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Front Page" sheetId="1" state="visible" r:id="rId1"/>
    <sheet xmlns:r="http://schemas.openxmlformats.org/officeDocument/2006/relationships" name="DCF" sheetId="2" state="visible" r:id="rId2"/>
    <sheet xmlns:r="http://schemas.openxmlformats.org/officeDocument/2006/relationships" name="Model" sheetId="3" state="visible" r:id="rId3"/>
    <sheet xmlns:r="http://schemas.openxmlformats.org/officeDocument/2006/relationships" name="Guidance" sheetId="4" state="visible" r:id="rId4"/>
    <sheet xmlns:r="http://schemas.openxmlformats.org/officeDocument/2006/relationships" name="Summary Page" sheetId="5" state="visible" r:id="rId5"/>
    <sheet xmlns:r="http://schemas.openxmlformats.org/officeDocument/2006/relationships" name="Update Log" sheetId="6" state="visible" r:id="rId6"/>
  </sheets>
  <definedNames>
    <definedName name="AA.AlternatePriceSourceStartPeriod">"Q1-2018"</definedName>
    <definedName name="AA.CIK">937966</definedName>
    <definedName name="AA.CompareQuarters.LatestMRQ">"Q3-2019"</definedName>
    <definedName name="AA.CSIN">"I9KH3H0125"</definedName>
    <definedName name="AA.CurationVersion">"2023.11.1.0"</definedName>
    <definedName name="AA.DBMacroVersion">"1.0.13.0"</definedName>
    <definedName name="AA.FreeCashFlow">"TRUE"</definedName>
    <definedName name="AA.HardcodeChecker.LatestMRQ">"Q3-2019"</definedName>
    <definedName name="AA.ModelChecks.LatestMRQ">"Q3-2021"</definedName>
    <definedName name="AA.ModelChecks.LatestVersionNumber">"2.38.1.0"</definedName>
    <definedName name="AA.ModelVersion">"FY2025.20"</definedName>
    <definedName name="AA.NonLibraryWideCurationVersion">"4"</definedName>
    <definedName name="AA.PartialUpdate.BsAvailable">"TRUE"</definedName>
    <definedName name="AA.PartialUpdate.CfsAvailable">"TRUE"</definedName>
    <definedName name="AA.PartialUpdate.IsAvailable">"TRUE"</definedName>
    <definedName name="AA.PeriodLayout">"QFY"</definedName>
    <definedName name="AA.PersonalMacro.VersionNumber">""</definedName>
    <definedName name="AA.RowNameEnforcerVersion">"2023.11.1.0"</definedName>
    <definedName name="AA.SessionToUploadId">""</definedName>
    <definedName name="AA.StartWorkModelVersion">"Q3-2025.20"</definedName>
    <definedName name="AA.StartWorkType">""</definedName>
    <definedName name="AA.SubyearType">"Q"</definedName>
    <definedName name="AA.TemplateUpgradeAttempted">"TRUE"</definedName>
    <definedName name="AA.TemplateVersion">"7.5.4.0"</definedName>
    <definedName name="AA.UpdateType">"Partial"</definedName>
    <definedName name="AA.VerifyUnitsAtModelVersion">"Q2-2018.20"</definedName>
    <definedName name="FP.DataSource">'Front Page'!$H$16</definedName>
    <definedName name="FP.DataSourceName">'Front Page'!$H$15</definedName>
    <definedName name="FP.Disclaimer">'Front Page'!$C$22</definedName>
    <definedName name="FP.LastPrice">'Front Page'!$H$20</definedName>
    <definedName name="FP.LastPriceDate">'Front Page'!$F$20</definedName>
    <definedName name="FP.RealTimeToggle">'Front Page'!$H$18</definedName>
    <definedName name="FP.UpdateDate">'Front Page'!$H$11</definedName>
    <definedName name="FP.UpdateEvent">'Front Page'!$H$13</definedName>
    <definedName name="FP_Comment">'Front Page'!$M$13:$P$20</definedName>
    <definedName name="FP_StockPriceOverride">'Front Page'!$C$20:$H$20</definedName>
    <definedName name="GD.CompanyName">Guidance!$B$1</definedName>
    <definedName name="GD.MRQ">Guidance!$F$2</definedName>
    <definedName name="GD_Difference_Mid_Absolute">Guidance!$P:$P</definedName>
    <definedName name="GD_Difference_Mid_Relative">Guidance!$Q:$Q</definedName>
    <definedName name="GD_Guidance_High">Guidance!$J:$J</definedName>
    <definedName name="GD_Guidance_Low">Guidance!$I:$I</definedName>
    <definedName name="GD_Guidance_Mid">Guidance!$K:$K</definedName>
    <definedName name="GD_Header_Column">Guidance!$5:$5</definedName>
    <definedName name="GD_Header_Section">Guidance!$4:$4</definedName>
    <definedName name="GD_Index">Guidance!$A:$A</definedName>
    <definedName name="GD_Item">Guidance!$D:$D</definedName>
    <definedName name="GD_Item_BasePeriod">Guidance!$G:$G</definedName>
    <definedName name="GD_Item_FiscalPeriod">Guidance!$F:$F</definedName>
    <definedName name="GD_Item_Name">Guidance!$E:$E</definedName>
    <definedName name="GD_Model_Output">Guidance!$N:$N</definedName>
    <definedName name="GD_Model_Type">Guidance!$M:$M</definedName>
    <definedName name="GD_Type">Guidance!$B:$B</definedName>
    <definedName name="GD_Update_Date">Guidance!$S:$S</definedName>
    <definedName name="GD_Update_Link">Guidance!$T:$T</definedName>
    <definedName name="HP.MRFX">Model!$B$827</definedName>
    <definedName name="HP.ReportCurrency">Model!$B$826</definedName>
    <definedName name="HP.Ticker">Model!$A$2</definedName>
    <definedName name="HP.TradeCurrency">Model!$B$824</definedName>
    <definedName name="HP.TradeCurrency.HardCoded">Model!$B$825</definedName>
    <definedName name="MO.ApplyTradeCurrencyScaling">Model!$B$823</definedName>
    <definedName name="MO.CFY">Model!$B$831</definedName>
    <definedName name="MO.CompanyName">Model!$A$1</definedName>
    <definedName name="MO.DataSourceIndex">Model!$B$834</definedName>
    <definedName name="MO.DataSourceName">Model!$A$4</definedName>
    <definedName name="MO.FirstForecastedFiscalYear">Model!$B$832</definedName>
    <definedName name="MO.KPI.1">Model!$A$735</definedName>
    <definedName name="MO.KPI.10">Model!$A$744</definedName>
    <definedName name="MO.KPI.11">Model!$A$745</definedName>
    <definedName name="MO.KPI.12">Model!$A$746</definedName>
    <definedName name="MO.KPI.13">Model!$A$747</definedName>
    <definedName name="MO.KPI.14">Model!$A$748</definedName>
    <definedName name="MO.KPI.15">Model!$A$749</definedName>
    <definedName name="MO.KPI.16">Model!$A$750</definedName>
    <definedName name="MO.KPI.17">Model!$A$751</definedName>
    <definedName name="MO.KPI.18">Model!$A$752</definedName>
    <definedName name="MO.KPI.19">Model!$A$753</definedName>
    <definedName name="MO.KPI.2">Model!$A$736</definedName>
    <definedName name="MO.KPI.20">Model!$A$754</definedName>
    <definedName name="MO.KPI.21">Model!$A$755</definedName>
    <definedName name="MO.KPI.22">Model!$A$756</definedName>
    <definedName name="MO.KPI.3">Model!$A$737</definedName>
    <definedName name="MO.KPI.4">Model!$A$738</definedName>
    <definedName name="MO.KPI.5">Model!$A$739</definedName>
    <definedName name="MO.KPI.6">Model!$A$740</definedName>
    <definedName name="MO.KPI.7">Model!$A$741</definedName>
    <definedName name="MO.KPI.8">Model!$A$742</definedName>
    <definedName name="MO.KPI.9">Model!$A$743</definedName>
    <definedName name="MO.KPI.Count">Model!$B$833</definedName>
    <definedName name="MO.LastPrice">Model!$B$3</definedName>
    <definedName name="MO.LastPriceDate">Model!$B$820</definedName>
    <definedName name="MO.LastPriceFormula">Model!$B$822</definedName>
    <definedName name="MO.LastPriceHardcoded">Model!$B$819</definedName>
    <definedName name="MO.MRFP">Model!$B$830</definedName>
    <definedName name="MO.MRFPColumnNumber">Model!$B$829</definedName>
    <definedName name="MO.MRFX.Hardcoded">Model!$B$828</definedName>
    <definedName name="MO.RealTime">Model!$B$4</definedName>
    <definedName name="MO.RealTimeStockPriceToggle">Model!$B$821</definedName>
    <definedName name="MO.ReportCurrency">Model!$B$826</definedName>
    <definedName name="MO.ReportFX">Model!$A$5</definedName>
    <definedName name="MO.Ticker">Model!$A$2</definedName>
    <definedName name="MO.Ticker.Bloomberg">Model!$A$714</definedName>
    <definedName name="MO.Ticker.Canalyst">Model!$A$713</definedName>
    <definedName name="MO.Ticker.CapIQ">Model!$A$715</definedName>
    <definedName name="MO.Ticker.FactSet">Model!$A$716</definedName>
    <definedName name="MO.Ticker.Thomson">Model!$A$717</definedName>
    <definedName name="MO.TradingCurrency">Model!$A$3</definedName>
    <definedName name="MO.ValuationToggle">Model!$B$445</definedName>
    <definedName name="MO_AN_DA">Model!$113:$113</definedName>
    <definedName name="MO_BS_AEandOther">Model!$657:$657</definedName>
    <definedName name="MO_BS_AP">Model!$656:$656</definedName>
    <definedName name="MO_BS_AR">Model!$629:$629</definedName>
    <definedName name="MO_BS_AR_TR">Model!$627:$627</definedName>
    <definedName name="MO_BS_CA">Model!$637:$637</definedName>
    <definedName name="MO_BS_Cash">Model!$625:$625</definedName>
    <definedName name="MO_BS_CL">Model!$664:$664</definedName>
    <definedName name="MO_BS_CommonStock">Model!$676:$676</definedName>
    <definedName name="MO_BS_ContractAssets">Model!$633:$633</definedName>
    <definedName name="MO_BS_ContractAssets_Current">Model!$633:$633</definedName>
    <definedName name="MO_BS_ContractLiabilities_Current">Model!$660:$660</definedName>
    <definedName name="MO_BS_ContractLiabilities_NonCurrent">Model!$670:$670</definedName>
    <definedName name="MO_BS_ContributedSurplus">Model!$677:$677</definedName>
    <definedName name="MO_BS_Goodwill">Model!$646:$646</definedName>
    <definedName name="MO_BS_Intangibles">Model!$647:$647</definedName>
    <definedName name="MO_BS_INV">Model!$631:$631</definedName>
    <definedName name="MO_BS_NCA">Model!$652:$652</definedName>
    <definedName name="MO_BS_NCI">Model!$682:$682</definedName>
    <definedName name="MO_BS_NCL">Model!$672:$672</definedName>
    <definedName name="MO_BS_OCI">Model!$680:$680</definedName>
    <definedName name="MO_BS_PPE">Model!$648:$648</definedName>
    <definedName name="MO_BS_RetainedEarnings">Model!$679:$679</definedName>
    <definedName name="MO_BS_ROU">Model!$649:$649</definedName>
    <definedName name="MO_BS_ROU_Finance">Model!$650:$650</definedName>
    <definedName name="MO_BS_SE">Model!$681:$681</definedName>
    <definedName name="MO_BS_STInvestments">Model!$626:$626</definedName>
    <definedName name="MO_BS_TA">Model!$653:$653</definedName>
    <definedName name="MO_BS_TaxAssets_Deferred_Current">Model!$632:$632</definedName>
    <definedName name="MO_BS_TaxAssets_Deferred_NonCurrent">Model!$641:$641</definedName>
    <definedName name="MO_BS_TaxLiabilities_Deferred_Current">Model!$662:$662</definedName>
    <definedName name="MO_BS_TaxLiabilities_Deferred_NonCurrent">Model!$668:$668</definedName>
    <definedName name="MO_BS_TL">Model!$673:$673</definedName>
    <definedName name="MO_BS_TLSE">Model!$683:$683</definedName>
    <definedName name="MO_BS_TreasuryStock">Model!$678:$678</definedName>
    <definedName name="MO_BSS_Cash">Model!$427:$427</definedName>
    <definedName name="MO_BSS_Debt">Model!$430:$430</definedName>
    <definedName name="MO_BSS_Debt_LT">Model!$429:$429</definedName>
    <definedName name="MO_BSS_Debt_Net">Model!$431:$431</definedName>
    <definedName name="MO_BSS_Debt_ST">Model!$428:$428</definedName>
    <definedName name="MO_BSS_Debt_ToCF">Model!$442:$442</definedName>
    <definedName name="MO_BSS_Debt_ToEBITDA">Model!$441:$441</definedName>
    <definedName name="MO_BSS_IE">Model!$433:$433</definedName>
    <definedName name="MO_BSS_IE_Net">Model!$437:$437</definedName>
    <definedName name="MO_BSS_II">Model!$435:$435</definedName>
    <definedName name="MO_BSS_InterestRate_Cash">Model!$436:$436</definedName>
    <definedName name="MO_BSS_InterestRate_Debt">Model!$434:$434</definedName>
    <definedName name="MO_BSS_NetInterestCoverage">Model!$440:$440</definedName>
    <definedName name="MO_BSS_NetInterestRate_Debt">Model!$438:$438</definedName>
    <definedName name="MO_CCFS_Balance_Begin">Model!$521:$521</definedName>
    <definedName name="MO_CCFS_Balance_End">Model!$522:$522</definedName>
    <definedName name="MO_CCFS_CFF">Model!$516:$516</definedName>
    <definedName name="MO_CCFS_CFI">Model!$504:$504</definedName>
    <definedName name="MO_CCFS_CFO">Model!$490:$490</definedName>
    <definedName name="MO_CCFS_CFO_BeforeWC">Model!$480:$480</definedName>
    <definedName name="MO_CCFS_FX">Model!$518:$518</definedName>
    <definedName name="MO_CCFS_NetChange">Model!$519:$519</definedName>
    <definedName name="MO_CFS_Balance_Begin">Model!$577:$577</definedName>
    <definedName name="MO_CFS_Balance_End">Model!$578:$578</definedName>
    <definedName name="MO_CFS_Buyback">Model!$564:$564</definedName>
    <definedName name="MO_CFS_CFF">Model!$572:$572</definedName>
    <definedName name="MO_CFS_CFI">Model!$560:$560</definedName>
    <definedName name="MO_CFS_CFO">Model!$546:$546</definedName>
    <definedName name="MO_CFS_CFO_BeforeWC">Model!$536:$536</definedName>
    <definedName name="MO_CFS_DA">Model!$527:$527</definedName>
    <definedName name="MO_CFS_DeferredTax">Model!$534:$534</definedName>
    <definedName name="MO_CFS_Dividend">Model!$563:$563</definedName>
    <definedName name="MO_CFS_FX">Model!$574:$574</definedName>
    <definedName name="MO_CFS_Impairment">Model!$528:$528</definedName>
    <definedName name="MO_CFS_NetChange">Model!$575:$575</definedName>
    <definedName name="MO_CFS_NewEquityIssued">Model!$565:$565</definedName>
    <definedName name="MO_CFS_NI">Model!$526:$526</definedName>
    <definedName name="MO_CFS_SBC">Model!$530:$530</definedName>
    <definedName name="MO_CFS_WC">Model!$545:$545</definedName>
    <definedName name="MO_CFS_WC_AEandOther">Model!$541:$541</definedName>
    <definedName name="MO_CFS_WC_AP">Model!$542:$542</definedName>
    <definedName name="MO_CFS_WC_AR">Model!$537:$537</definedName>
    <definedName name="MO_CFS_WC_INV">Model!$539:$539</definedName>
    <definedName name="MO_CFS_WC_TaxPayable">Model!$544:$544</definedName>
    <definedName name="MO_CFSum_Acquisition">Model!$405:$405</definedName>
    <definedName name="MO_CFSum_Capex">Model!$403:$403</definedName>
    <definedName name="MO_CFSum_CFO">Model!$399:$399</definedName>
    <definedName name="MO_CFSum_CFO_BeforeWC">Model!$397:$397</definedName>
    <definedName name="MO_CFSum_CFOPS">Model!$401:$401</definedName>
    <definedName name="MO_CFSum_CFOPS_BeforeWC">Model!$400:$400</definedName>
    <definedName name="MO_CFSum_CFPS">Model!$401:$401</definedName>
    <definedName name="MO_CFSum_ChangeInWC">Model!$398:$398</definedName>
    <definedName name="MO_CFSum_Divestiture">Model!$406:$406</definedName>
    <definedName name="MO_CFSum_Dividend">Model!$407:$407</definedName>
    <definedName name="MO_CFSum_DPS">Model!$408:$408</definedName>
    <definedName name="MO_CFSum_FCF_PostDivPostAD">Model!$419:$419</definedName>
    <definedName name="MO_CFSum_FCF_PostDivPostADPostDebtPostBuyback">Model!$420:$420</definedName>
    <definedName name="MO_CFSum_FCF_PostDivPreAD">Model!$418:$418</definedName>
    <definedName name="MO_CFSum_FCF_PostWCPostDivPostAD">Model!$423:$423</definedName>
    <definedName name="MO_CFSum_FCF_PostWCPostDivPostADPostDebtPostBuyback">Model!$424:$424</definedName>
    <definedName name="MO_CFSum_FCF_PostWCPostDivPreAD">Model!$422:$422</definedName>
    <definedName name="MO_CFSum_FCF_PostWCPreDiv">Model!$421:$421</definedName>
    <definedName name="MO_CFSum_FCF_PreDiv">Model!$417:$417</definedName>
    <definedName name="MO_CFSum_NetDebtIssuance">Model!$410:$410</definedName>
    <definedName name="MO_CFSum_NetShares">Model!$411:$411</definedName>
    <definedName name="MO_CFSum_NetShares_Price">Model!$412:$412</definedName>
    <definedName name="MO_CFSum_SBC">Model!$414:$414</definedName>
    <definedName name="MO_CFSum_SBC_Margin">Model!$415:$415</definedName>
    <definedName name="MO_Checks_Bottom">Model!$C$688:$XFD$708</definedName>
    <definedName name="MO_Checks_BS">Model!$685:$685</definedName>
    <definedName name="MO_Checks_CF">Model!$580:$580</definedName>
    <definedName name="MO_Checks_IS">Model!$320:$320</definedName>
    <definedName name="MO_Common_Column_A">Model!$A:$A</definedName>
    <definedName name="MO_Common_Column_B">Model!$B:$B</definedName>
    <definedName name="MO_Common_ColumnHeader">Model!$5:$5</definedName>
    <definedName name="MO_Common_CompanySubtitle">Model!$2:$2</definedName>
    <definedName name="MO_Common_CompanyTitle">Model!$1:$1</definedName>
    <definedName name="MO_Common_FPDays">Model!$3:$3</definedName>
    <definedName name="MO_Common_QEndDate">Model!$4:$4</definedName>
    <definedName name="MO_Common_QEndDate_LWD">Model!$813:$813</definedName>
    <definedName name="MO_DAF_A">Model!$590:$590</definedName>
    <definedName name="MO_DAF_A_Percentage">Model!$596:$596</definedName>
    <definedName name="MO_DAF_Capex">Model!$601:$601</definedName>
    <definedName name="MO_DAF_D">Model!$584:$584</definedName>
    <definedName name="MO_DAF_D_Percentage">Model!$595:$595</definedName>
    <definedName name="MO_DAF_DA">Model!$600:$600</definedName>
    <definedName name="MO_DAF_Intangibles_BoP">Model!$589:$589</definedName>
    <definedName name="MO_DAF_Intangibles_Capex">Model!$591:$591</definedName>
    <definedName name="MO_DAF_Intangibles_Capex_Percent">Model!$602:$602</definedName>
    <definedName name="MO_DAF_Intangibles_EoP">Model!$593:$593</definedName>
    <definedName name="MO_DAF_Intangibles_Life">Model!$598:$598</definedName>
    <definedName name="MO_DAF_Intangibles_Other">Model!$592:$592</definedName>
    <definedName name="MO_DAF_PPE_BoP">Model!$583:$583</definedName>
    <definedName name="MO_DAF_PPE_Capex">Model!$585:$585</definedName>
    <definedName name="MO_DAF_PPE_EoP">Model!$587:$587</definedName>
    <definedName name="MO_DAF_PPE_Life">Model!$597:$597</definedName>
    <definedName name="MO_DAF_PPE_Other">Model!$586:$586</definedName>
    <definedName name="MO_GA_TotalRevenue">Model!$51:$51</definedName>
    <definedName name="MO_IS_COGS">Model!$303:$303</definedName>
    <definedName name="MO_IS_EBIT">Model!$308:$308</definedName>
    <definedName name="MO_IS_EBT">Model!$312:$312</definedName>
    <definedName name="MO_IS_EI">Model!$317:$317</definedName>
    <definedName name="MO_IS_FirstRow">Model!$298:$298</definedName>
    <definedName name="MO_IS_GP">Model!$304:$304</definedName>
    <definedName name="MO_IS_NI_ContinOp">Model!$316:$316</definedName>
    <definedName name="MO_IS_RD">Model!$306:$306</definedName>
    <definedName name="MO_IS_REV">Model!$300:$300</definedName>
    <definedName name="MO_IS_SGA">Model!$307:$307</definedName>
    <definedName name="MO_IS_Tax">Model!$315:$315</definedName>
    <definedName name="MO_KPI_Backlog_EOP">Model!$208:$208</definedName>
    <definedName name="MO_KPI_EmployeeCount">Model!$256:$256</definedName>
    <definedName name="MO_KPI_Orders_Value">Model!$200:$200</definedName>
    <definedName name="MO_KPI_REV_Geo_China">Model!$216:$216</definedName>
    <definedName name="MO_KPI_REV_Geo_Europe">Model!$223:$223</definedName>
    <definedName name="MO_KPI_REV_Geo_Japan">Model!$212:$212</definedName>
    <definedName name="MO_KPI_REV_Geo_Malaysia">Model!$217:$217</definedName>
    <definedName name="MO_KPI_REV_Geo_Singapore">Model!$214:$214</definedName>
    <definedName name="MO_KPI_REV_Geo_SouthKorea">Model!$213:$213</definedName>
    <definedName name="MO_KPI_REV_Geo_Taiwan">Model!$215:$215</definedName>
    <definedName name="MO_KPI_REV_Geo_US">Model!$220:$220</definedName>
    <definedName name="MO_KPI_REV_SEMI">Model!$159:$159</definedName>
    <definedName name="MO_KPI_REV_Semi_Equipment">Model!$41:$41</definedName>
    <definedName name="MO_KPI_REV_SEMI_Logic">Model!$157:$157</definedName>
    <definedName name="MO_KPI_REV_SEMI_Memory">Model!$158:$158</definedName>
    <definedName name="MO_KPI_REV_SEMI_Other">Model!$154:$154</definedName>
    <definedName name="MO_KPI_REV_SVCandSpares">Model!$40:$40</definedName>
    <definedName name="MO_KPI_REV_Systems">Model!$39:$39</definedName>
    <definedName name="MO_KPI_REV_Systems_Logic">Model!$117:$117</definedName>
    <definedName name="MO_KPI_REV_Systems_Memory">Model!$118:$118</definedName>
    <definedName name="MO_KPI_RevenueContribution_LargestClient">Model!$272:$272</definedName>
    <definedName name="MO_KPI_RevenueContribution_SecondLargestClient">Model!$273:$273</definedName>
    <definedName name="MO_KPI_RPO">Model!$209:$209</definedName>
    <definedName name="MO_MA_COGS">Model!$280:$280</definedName>
    <definedName name="MO_MA_COGS_DA_Excluding">Model!$277:$277</definedName>
    <definedName name="MO_MA_DA">Model!$291:$291</definedName>
    <definedName name="MO_MA_EBIT">Model!$287:$287</definedName>
    <definedName name="MO_MA_EBIT_Adj">Model!$288:$288</definedName>
    <definedName name="MO_MA_EBITDA">Model!$293:$293</definedName>
    <definedName name="MO_MA_EBITDA_Adj">Model!$294:$294</definedName>
    <definedName name="MO_MA_GM">Model!$281:$281</definedName>
    <definedName name="MO_MA_GM_DA_Excluding">Model!$278:$278</definedName>
    <definedName name="MO_MA_OI_Operating">Model!$286:$286</definedName>
    <definedName name="MO_MA_RD">Model!$285:$285</definedName>
    <definedName name="MO_MA_SBC">Model!$292:$292</definedName>
    <definedName name="MO_MA_SGA">Model!$284:$284</definedName>
    <definedName name="MO_OS_Backlog_EOP">Model!$208:$208</definedName>
    <definedName name="MO_OS_EmployeeCount">Model!$256:$256</definedName>
    <definedName name="MO_OS_Orders_Value">Model!$200:$200</definedName>
    <definedName name="MO_OS_REV_SEMI">Model!$159:$159</definedName>
    <definedName name="MO_OS_REV_Semi_Equipment">Model!$41:$41</definedName>
    <definedName name="MO_OS_REV_SVCandSpares">Model!$40:$40</definedName>
    <definedName name="MO_OS_REV_Systems">Model!$39:$39</definedName>
    <definedName name="MO_OS_REV_Systems_Logic">Model!$117:$117</definedName>
    <definedName name="MO_OS_REV_Systems_Memory">Model!$118:$118</definedName>
    <definedName name="MO_OS_RevenueContribution_LargestClient">Model!$272:$272</definedName>
    <definedName name="MO_OS_RevenueContribution_SecondLargestClient">Model!$273:$273</definedName>
    <definedName name="MO_OS_RPO">Model!$209:$209</definedName>
    <definedName name="MO_RIS_Adjustments_Dilution_GAAP">Model!$361:$361</definedName>
    <definedName name="MO_RIS_Adjustments_Dilution_NONGAAP">Model!$364:$364</definedName>
    <definedName name="MO_RIS_Adjustments_NONGAAP">Model!$363:$363</definedName>
    <definedName name="MO_RIS_COGS">Model!$332:$332</definedName>
    <definedName name="MO_RIS_DA">Model!$342:$342</definedName>
    <definedName name="MO_RIS_DisCont">Model!$357:$357</definedName>
    <definedName name="MO_RIS_Dividend_Prefs">Model!$359:$359</definedName>
    <definedName name="MO_RIS_EBIT">Model!$338:$338</definedName>
    <definedName name="MO_RIS_EBIT_Adj">Model!$339:$339</definedName>
    <definedName name="MO_RIS_EBITDA">Model!$344:$344</definedName>
    <definedName name="MO_RIS_EBITDA_Adj">Model!$345:$345</definedName>
    <definedName name="MO_RIS_EBT">Model!$352:$352</definedName>
    <definedName name="MO_RIS_EI">Model!$349:$349</definedName>
    <definedName name="MO_RIS_EPS_WAB">Model!$370:$370</definedName>
    <definedName name="MO_RIS_EPS_WAD">Model!$371:$371</definedName>
    <definedName name="MO_RIS_EPS_WAD_Adj">Model!$372:$372</definedName>
    <definedName name="MO_RIS_GP">Model!$333:$333</definedName>
    <definedName name="MO_RIS_IE_Net">Model!$348:$348</definedName>
    <definedName name="MO_RIS_NCI">Model!$358:$358</definedName>
    <definedName name="MO_RIS_NI_ContinOp">Model!$356:$356</definedName>
    <definedName name="MO_RIS_NI_GAAP_Basic">Model!$360:$360</definedName>
    <definedName name="MO_RIS_NI_GAAP_Diluted">Model!$362:$362</definedName>
    <definedName name="MO_RIS_NI_NONGAAP_Diluted">Model!$365:$365</definedName>
    <definedName name="MO_RIS_OI">Model!$350:$350</definedName>
    <definedName name="MO_RIS_OI_Operating">Model!$337:$337</definedName>
    <definedName name="MO_RIS_OTI">Model!$351:$351</definedName>
    <definedName name="MO_RIS_RD">Model!$335:$335</definedName>
    <definedName name="MO_RIS_REV">Model!$329:$329</definedName>
    <definedName name="MO_RIS_SBC">Model!$343:$343</definedName>
    <definedName name="MO_RIS_SGA">Model!$336:$336</definedName>
    <definedName name="MO_RIS_ShareCount_WAB">Model!$375:$375</definedName>
    <definedName name="MO_RIS_ShareCount_WAD">Model!$376:$376</definedName>
    <definedName name="MO_RIS_ShareCount_WAD_Adj">Model!$377:$377</definedName>
    <definedName name="MO_RIS_Tax_Current">Model!$354:$354</definedName>
    <definedName name="MO_RIS_Tax_Deferred">Model!$355:$355</definedName>
    <definedName name="MO_RIS_TaxRate_Current">Model!$367:$367</definedName>
    <definedName name="MO_RIS_TaxRate_Deferred">Model!$368:$368</definedName>
    <definedName name="MO_SCA_Date_CoverPage">Model!$389:$389</definedName>
    <definedName name="MO_SCA_Ratio_DilutedOverBasic">Model!$392:$392</definedName>
    <definedName name="MO_SCA_ShareCount_CoverPage">Model!$388:$388</definedName>
    <definedName name="MO_SCA_ShareCount_DilutiveShares">Model!$391:$391</definedName>
    <definedName name="MO_SCA_ShareCount_EoP">Model!$380:$380</definedName>
    <definedName name="MO_SCA_ShareCount_EoP_Diluted">Model!$394:$394</definedName>
    <definedName name="MO_SCA_ShareCount_EoP_Growth_Dilutive_QoQ">Model!$381:$381</definedName>
    <definedName name="MO_SCA_ShareCount_EoP_Growth_Dilutive_YoY">Model!$382:$382</definedName>
    <definedName name="MO_SCA_ShareCount_EoP_Growth_NetIssuance_QoQ">Model!$383:$383</definedName>
    <definedName name="MO_SCA_ShareCount_EoP_Growth_NetIssuance_YoY">Model!$384:$384</definedName>
    <definedName name="MO_SCA_ShareCount_EoP_Growth_QoQ">Model!$385:$385</definedName>
    <definedName name="MO_SCA_ShareCount_EoP_Growth_YoY">Model!$386:$386</definedName>
    <definedName name="MO_Section_AdjustedNumbers">Model!$322:$322</definedName>
    <definedName name="MO_Section_BalanceSheet">Model!$623:$623</definedName>
    <definedName name="MO_Section_BalanceSheetSummary">Model!$426:$426</definedName>
    <definedName name="MO_Section_CashFlowStatement">Model!$524:$524</definedName>
    <definedName name="MO_Section_CashFlowSummary">Model!$396:$396</definedName>
    <definedName name="MO_Section_CumulativeCashFlowStatement">Model!$468:$468</definedName>
    <definedName name="MO_Section_DAForecasting">Model!$582:$582</definedName>
    <definedName name="MO_Section_GrowthAnalysis">Model!$6:$6</definedName>
    <definedName name="MO_Section_IncomeStatement">Model!$297:$297</definedName>
    <definedName name="MO_Section_KeyMetricsBookingsPRIP">Model!$179:$179</definedName>
    <definedName name="MO_Section_KeyMetricsCustomerConcentrationFS">Model!$271:$271</definedName>
    <definedName name="MO_Section_KeyMetricsNetSystemSalesBreakdownIP">Model!$116:$116</definedName>
    <definedName name="MO_Section_KeyMetricsPersonnelexpensesFS">Model!$247:$247</definedName>
    <definedName name="MO_Section_KeyMetricsUnitsSoldPRIP">Model!$170:$170</definedName>
    <definedName name="MO_Section_LastRow">Model!$836:$836</definedName>
    <definedName name="MO_Section_MarginAnalysis">Model!$276:$276</definedName>
    <definedName name="MO_Section_ModelChecks">Model!$687:$687</definedName>
    <definedName name="MO_Section_OperatingExpenseForecasting">Model!$69:$69</definedName>
    <definedName name="MO_Section_RevisedIncomeStatement">Model!$328:$328</definedName>
    <definedName name="MO_Section_SBCandDABreakdownFS">Model!$103:$103</definedName>
    <definedName name="MO_Section_SegmentedResultsGeographicBreakdownFS">Model!$211:$211</definedName>
    <definedName name="MO_Section_ShareCountAnalysis">Model!$379:$379</definedName>
    <definedName name="MO_Section_SupplementalInformation">Model!$115:$115</definedName>
    <definedName name="MO_Section_Tables">Model!$710:$710</definedName>
    <definedName name="MO_Section_Valuation">Model!$444:$444</definedName>
    <definedName name="MO_Section_WorkingCapitalForecasting">Model!$604:$604</definedName>
    <definedName name="MO_SNA_ConsensusEstimatePeriodNumber">Model!$772:$772</definedName>
    <definedName name="MO_SNA_ConsensusEstimatePeriodType">Model!$771:$771</definedName>
    <definedName name="MO_SNA_FPStartDate">Model!$783:$783</definedName>
    <definedName name="MO_SNA_Guidance_ApplicablePeriod_FY">Model!$767:$767</definedName>
    <definedName name="MO_SNA_Guidance_ApplicablePeriod_Q">Model!$761:$761</definedName>
    <definedName name="MO_SNA_Guidance_IsLatest_FY">Model!$766:$766</definedName>
    <definedName name="MO_SNA_Guidance_ReportDate_FY">Model!$765:$765</definedName>
    <definedName name="MO_SNA_Guidance_ReportDate_Q">Model!$760:$760</definedName>
    <definedName name="MO_SNA_IsHistoricalPeriod">Model!$784:$784</definedName>
    <definedName name="MO_SNA_LastDataRow">Model!$683:$683</definedName>
    <definedName name="MO_SPT_FXAverage">Model!$806:$806</definedName>
    <definedName name="MO_SPT_FXAverage_Sources">Model!$807:$811</definedName>
    <definedName name="MO_SPT_FXAverage_Sources_Bloomberg">Model!$808:$808</definedName>
    <definedName name="MO_SPT_FXAverage_Sources_CapIQ">Model!$809:$809</definedName>
    <definedName name="MO_SPT_FXAverage_Sources_FactSet">Model!$810:$810</definedName>
    <definedName name="MO_SPT_FXAverage_Sources_RealTimeOff">Model!$807:$807</definedName>
    <definedName name="MO_SPT_FXAverage_Sources_Thomson">Model!$811:$811</definedName>
    <definedName name="MO_SPT_FXEoP">Model!$815:$815</definedName>
    <definedName name="MO_SPT_StockAverage">Model!$799:$799</definedName>
    <definedName name="MO_SPT_StockAverage_Sources">Model!$800:$804</definedName>
    <definedName name="MO_SPT_StockAverage_Sources_Bloomberg">Model!$801:$801</definedName>
    <definedName name="MO_SPT_StockAverage_Sources_CapIQ">Model!$802:$802</definedName>
    <definedName name="MO_SPT_StockAverage_Sources_FactSet">Model!$803:$803</definedName>
    <definedName name="MO_SPT_StockAverage_Sources_RealTimeOff">Model!$800:$800</definedName>
    <definedName name="MO_SPT_StockAverage_Sources_Thomson">Model!$804:$804</definedName>
    <definedName name="MO_SPT_StockEoP">Model!$814:$814</definedName>
    <definedName name="MO_SPT_StockHigh">Model!$785:$785</definedName>
    <definedName name="MO_SPT_StockHigh_Sources">Model!$786:$790</definedName>
    <definedName name="MO_SPT_StockHigh_Sources_Bloomberg">Model!$787:$787</definedName>
    <definedName name="MO_SPT_StockHigh_Sources_CapIQ">Model!$788:$788</definedName>
    <definedName name="MO_SPT_StockHigh_Sources_FactSet">Model!$789:$789</definedName>
    <definedName name="MO_SPT_StockHigh_Sources_RealTimeOff">Model!$786:$786</definedName>
    <definedName name="MO_SPT_StockHigh_Sources_Thomson">Model!$790:$790</definedName>
    <definedName name="MO_SPT_StockLow">Model!$792:$792</definedName>
    <definedName name="MO_SPT_StockLow_Sources">Model!$793:$797</definedName>
    <definedName name="MO_SPT_StockLow_Sources_Bloomberg">Model!$794:$794</definedName>
    <definedName name="MO_SPT_StockLow_Sources_CapIQ">Model!$795:$795</definedName>
    <definedName name="MO_SPT_StockLow_Sources_FactSet">Model!$796:$796</definedName>
    <definedName name="MO_SPT_StockLow_Sources_RealTimeOff">Model!$793:$793</definedName>
    <definedName name="MO_SPT_StockLow_Sources_Thomson">Model!$797:$797</definedName>
    <definedName name="MO_SR_Geo_China">Model!$216:$216</definedName>
    <definedName name="MO_SR_Geo_Europe">Model!$223:$223</definedName>
    <definedName name="MO_SR_Geo_Japan">Model!$212:$212</definedName>
    <definedName name="MO_SR_Geo_Malaysia">Model!$217:$217</definedName>
    <definedName name="MO_SR_Geo_Singapore">Model!$214:$214</definedName>
    <definedName name="MO_SR_Geo_SouthKorea">Model!$213:$213</definedName>
    <definedName name="MO_SR_Geo_Taiwan">Model!$215:$215</definedName>
    <definedName name="MO_SR_Geo_US">Model!$220:$220</definedName>
    <definedName name="MO_SR_SEMI_Logic">Model!$157:$157</definedName>
    <definedName name="MO_SR_SEMI_Memory">Model!$158:$158</definedName>
    <definedName name="MO_SR_SEMI_Other">Model!$154:$154</definedName>
    <definedName name="MO_SubSection_BS_CA">Model!$624:$624</definedName>
    <definedName name="MO_SubSection_BS_CL">Model!$655:$655</definedName>
    <definedName name="MO_SubSection_BS_NCA">Model!$639:$639</definedName>
    <definedName name="MO_SubSection_BS_NCL">Model!$666:$666</definedName>
    <definedName name="MO_SubSection_BS_SE">Model!$675:$675</definedName>
    <definedName name="MO_SubSection_CCFS_CFF">Model!$506:$506</definedName>
    <definedName name="MO_SubSection_CCFS_CFI">Model!$492:$492</definedName>
    <definedName name="MO_SubSection_CCFS_CFO">Model!$469:$469</definedName>
    <definedName name="MO_SubSection_CFS_CFF">Model!$562:$562</definedName>
    <definedName name="MO_SubSection_CFS_CFI">Model!$548:$548</definedName>
    <definedName name="MO_SubSection_CFS_CFO">Model!$525:$525</definedName>
    <definedName name="MO_VA_EV">Model!$447:$447</definedName>
    <definedName name="MO_VA_EV_ToEBITDA">Model!$450:$450</definedName>
    <definedName name="MO_VA_EVCalc_NCI">Model!$464:$464</definedName>
    <definedName name="MO_VA_EVCalc_Other">Model!$466:$466</definedName>
    <definedName name="MO_VA_EVCalc_Prefs">Model!$465:$465</definedName>
    <definedName name="MO_VA_FCFYield_ToEV">Model!$453:$453</definedName>
    <definedName name="MO_VA_FCFYield_ToMktCap">Model!$452:$452</definedName>
    <definedName name="MO_VA_FX_Average">Model!$459:$459</definedName>
    <definedName name="MO_VA_FX_EoP">Model!$460:$460</definedName>
    <definedName name="MO_VA_MarketCap">Model!$446:$446</definedName>
    <definedName name="MO_VA_P_ToCF">Model!$451:$451</definedName>
    <definedName name="MO_VA_P_ToE">Model!$449:$449</definedName>
    <definedName name="MO_VA_StockPrice">Model!$445:$445</definedName>
    <definedName name="MO_VA_StockPrice_Avg">Model!$457:$457</definedName>
    <definedName name="MO_VA_StockPrice_EoP">Model!$458:$458</definedName>
    <definedName name="MO_VA_StockPrice_High">Model!$455:$455</definedName>
    <definedName name="MO_VA_StockPrice_Low">Model!$456:$456</definedName>
    <definedName name="MO_VA_StockPrice_TradingCurrency">Model!$461:$461</definedName>
    <definedName name="MO_WCF_AEandOther_Margin">Model!$609:$609</definedName>
    <definedName name="MO_WCF_AEandOther_Margin_Change">Model!$618:$618</definedName>
    <definedName name="MO_WCF_AP_Margin">Model!$610:$610</definedName>
    <definedName name="MO_WCF_AP_Margin_Change">Model!$619:$619</definedName>
    <definedName name="MO_WCF_AR_Margin">Model!$605:$605</definedName>
    <definedName name="MO_WCF_AR_Margin_Change">Model!$614:$614</definedName>
    <definedName name="MO_WCF_INV_Margin">Model!$607:$607</definedName>
    <definedName name="MO_WCF_INV_Margin_Change">Model!$616:$616</definedName>
    <definedName name="SP.CompanyName">'Summary Page'!$A$1</definedName>
    <definedName name="SP.ReportFX">'Summary Page'!$B$2</definedName>
    <definedName name="SP.ValuationToggle">'Summary Page'!$B$4</definedName>
    <definedName name="SP_BSR_Capital">'Summary Page'!$84:$84</definedName>
    <definedName name="SP_BSR_CashFlow">'Summary Page'!$83:$83</definedName>
    <definedName name="SP_BSR_CashFlow_LTM">'Summary Page'!$86:$86</definedName>
    <definedName name="SP_BSR_CL">'Summary Page'!$105:$105</definedName>
    <definedName name="SP_BSR_CL_Avg">'Summary Page'!$106:$106</definedName>
    <definedName name="SP_BSR_Debt">'Summary Page'!$99:$99</definedName>
    <definedName name="SP_BSR_Debt_Avg">'Summary Page'!$100:$100</definedName>
    <definedName name="SP_BSR_EBITDA">'Summary Page'!$82:$82</definedName>
    <definedName name="SP_BSR_EBITDA_LTM">'Summary Page'!$85:$85</definedName>
    <definedName name="SP_BSR_SE">'Summary Page'!$91:$91</definedName>
    <definedName name="SP_BSR_SE_Avg">'Summary Page'!$92:$92</definedName>
    <definedName name="SP_BSR_TA">'Summary Page'!$96:$96</definedName>
    <definedName name="SP_BSR_TA_Avg">'Summary Page'!$97:$97</definedName>
    <definedName name="SP_CFA_Acquisition">'Summary Page'!$68:$68</definedName>
    <definedName name="SP_CFA_Capex">'Summary Page'!$64:$64</definedName>
    <definedName name="SP_CFA_CFO">'Summary Page'!$63:$63</definedName>
    <definedName name="SP_CFA_CFO_BeforeWC">'Summary Page'!$61:$61</definedName>
    <definedName name="SP_CFA_CFO_PerShare">'Summary Page'!$75:$75</definedName>
    <definedName name="SP_CFA_Debt">'Summary Page'!$71:$71</definedName>
    <definedName name="SP_CFA_Div">'Summary Page'!$66:$66</definedName>
    <definedName name="SP_CFA_Div_PerShare">'Summary Page'!$77:$77</definedName>
    <definedName name="SP_CFA_Divestiture">'Summary Page'!$69:$69</definedName>
    <definedName name="SP_CFA_Equity">'Summary Page'!$70:$70</definedName>
    <definedName name="SP_CFA_FCF_PerShare">'Summary Page'!$76:$76</definedName>
    <definedName name="SP_CFA_FCF_PostDiv">'Summary Page'!$67:$67</definedName>
    <definedName name="SP_CFA_FCF_PreDiv">'Summary Page'!$65:$65</definedName>
    <definedName name="SP_CFA_NetChange">'Summary Page'!$73:$73</definedName>
    <definedName name="SP_CFA_Other">'Summary Page'!$72:$72</definedName>
    <definedName name="SP_CFA_Payout_vsEPS">'Summary Page'!$79:$79</definedName>
    <definedName name="SP_CFA_Payout_vsFCF">'Summary Page'!$78:$78</definedName>
    <definedName name="SP_CFA_WC">'Summary Page'!$62:$62</definedName>
    <definedName name="SP_Checks_SummaryPage">'Summary Page'!$C$126:$XFD$131</definedName>
    <definedName name="SP_Common_Column_A">'Summary Page'!$A:$A</definedName>
    <definedName name="SP_Common_Column_B">'Summary Page'!$B:$B</definedName>
    <definedName name="SP_Common_ColumnHeader">'Summary Page'!$2:$2</definedName>
    <definedName name="SP_Common_QEndDate">'Summary Page'!$1:$1</definedName>
    <definedName name="SP_CS_Cash">'Summary Page'!$7:$7</definedName>
    <definedName name="SP_CS_Debt">'Summary Page'!$8:$8</definedName>
    <definedName name="SP_CS_EV">'Summary Page'!$10:$10</definedName>
    <definedName name="SP_CS_EVCalc_Other">'Summary Page'!$9:$9</definedName>
    <definedName name="SP_CS_MarketCap">'Summary Page'!$6:$6</definedName>
    <definedName name="SP_CS_ShareCount_EoP_Diluted">'Summary Page'!$5:$5</definedName>
    <definedName name="SP_CS_StockPrice">'Summary Page'!$4:$4</definedName>
    <definedName name="SP_GF_Adjustments_Dilution">'Summary Page'!$40:$40</definedName>
    <definedName name="SP_GF_COGS">'Summary Page'!$25:$25</definedName>
    <definedName name="SP_GF_DisCont">'Summary Page'!$36:$36</definedName>
    <definedName name="SP_GF_Div_Prefs">'Summary Page'!$38:$38</definedName>
    <definedName name="SP_GF_EBIT">'Summary Page'!$29:$29</definedName>
    <definedName name="SP_GF_EBT">'Summary Page'!$34:$34</definedName>
    <definedName name="SP_GF_EI">'Summary Page'!$31:$31</definedName>
    <definedName name="SP_GF_EPS_WAD">'Summary Page'!$42:$42</definedName>
    <definedName name="SP_GF_IE">'Summary Page'!$30:$30</definedName>
    <definedName name="SP_GF_IE_Net">'Summary Page'!$30:$30</definedName>
    <definedName name="SP_GF_NCI">'Summary Page'!$37:$37</definedName>
    <definedName name="SP_GF_NI">'Summary Page'!$39:$39</definedName>
    <definedName name="SP_GF_NI_Diluted">'Summary Page'!$41:$41</definedName>
    <definedName name="SP_GF_OI">'Summary Page'!$33:$33</definedName>
    <definedName name="SP_GF_OI_Operating">'Summary Page'!$28:$28</definedName>
    <definedName name="SP_GF_OTI">'Summary Page'!$32:$32</definedName>
    <definedName name="SP_GF_RD">'Summary Page'!$27:$27</definedName>
    <definedName name="SP_GF_Rev">'Summary Page'!$24:$24</definedName>
    <definedName name="SP_GF_SGA">'Summary Page'!$26:$26</definedName>
    <definedName name="SP_GF_ShareCount">'Summary Page'!$43:$43</definedName>
    <definedName name="SP_GF_Tax">'Summary Page'!$35:$35</definedName>
    <definedName name="SP_MA_COGS">'Summary Page'!$52:$52</definedName>
    <definedName name="SP_MA_EBIT">'Summary Page'!$55:$55</definedName>
    <definedName name="SP_MA_EBIT_Adj">'Summary Page'!$56:$56</definedName>
    <definedName name="SP_MA_EBITDA">'Summary Page'!$57:$57</definedName>
    <definedName name="SP_MA_EBITDA_Adj">'Summary Page'!$58:$58</definedName>
    <definedName name="SP_MA_RD">'Summary Page'!$54:$54</definedName>
    <definedName name="SP_MA_SBC">'Summary Page'!$54:$54</definedName>
    <definedName name="SP_MA_SGA">'Summary Page'!$53:$53</definedName>
    <definedName name="SP_NGF_EBIT">'Summary Page'!$47:$47</definedName>
    <definedName name="SP_NGF_EBITDA">'Summary Page'!$46:$46</definedName>
    <definedName name="SP_NGF_EPS">'Summary Page'!$49:$49</definedName>
    <definedName name="SP_NGF_NI">'Summary Page'!$48:$48</definedName>
    <definedName name="SP_PR_ROA">'Summary Page'!$98:$98</definedName>
    <definedName name="SP_PR_ROCE">'Summary Page'!$108:$108</definedName>
    <definedName name="SP_PR_ROE">'Summary Page'!$93:$93</definedName>
    <definedName name="SP_PR_ROIC">'Summary Page'!$102:$102</definedName>
    <definedName name="SP_PSGM_CFO">'Summary Page'!$114:$114</definedName>
    <definedName name="SP_PSGM_EBITDA_Adj">'Summary Page'!$112:$112</definedName>
    <definedName name="SP_PSGM_FCF">'Summary Page'!$115:$115</definedName>
    <definedName name="SP_PSGM_NI_Adj">'Summary Page'!$113:$113</definedName>
    <definedName name="SP_PSGM_Revenue">'Summary Page'!$111:$111</definedName>
    <definedName name="SP_Section_BalanceSheetRatios">'Summary Page'!$81:$81</definedName>
    <definedName name="SP_Section_CapitalizationSummary">'Summary Page'!$3:$3</definedName>
    <definedName name="SP_Section_CashFlowAnalysis">'Summary Page'!$60:$60</definedName>
    <definedName name="SP_Section_Checks">'Summary Page'!$125:$125</definedName>
    <definedName name="SP_Section_CompanySpecificOperationalData">'Summary Page'!$12:$12</definedName>
    <definedName name="SP_Section_GAAPFinancials">'Summary Page'!$23:$23</definedName>
    <definedName name="SP_Section_LastRow">'Summary Page'!$133:$133</definedName>
    <definedName name="SP_Section_MarginAnalysis">'Summary Page'!$51:$51</definedName>
    <definedName name="SP_Section_NonGAAPFinancials">'Summary Page'!$45:$45</definedName>
    <definedName name="SP_Section_PerShareGrowthMetrics">'Summary Page'!$110:$110</definedName>
    <definedName name="SP_Section_ProfitabilityRatios">'Summary Page'!$88:$88</definedName>
    <definedName name="SP_Section_ValuationMetrics">'Summary Page'!$117:$117</definedName>
    <definedName name="SP_VM_EV_ToEBITDA">'Summary Page'!$120:$120</definedName>
    <definedName name="SP_VM_EV_toSales">'Summary Page'!$119:$119</definedName>
    <definedName name="SP_VM_FCFYield_ToEV">'Summary Page'!$123:$123</definedName>
    <definedName name="SP_VM_FCFYield_ToMktCap">'Summary Page'!$122:$122</definedName>
    <definedName name="SP_VM_P_ToCF">'Summary Page'!$121:$121</definedName>
    <definedName name="SP_VM_P_ToE">'Summary Page'!$118:$118</definedName>
    <definedName name="tb_ConsensusEstimate">Model!$A$770:$CB$780</definedName>
    <definedName name="tb_EntireModel">Model!$A$1:$CB$685</definedName>
    <definedName name="tb_Guidance_FY">Model!$A$764:$CB$768</definedName>
    <definedName name="tb_Guidance_Q">Model!$A$759:$CB$762</definedName>
    <definedName name="tb_KeyOutputs">Model!$A$725:$A$732</definedName>
    <definedName name="tb_KPIs">Model!$A$734:$A$757</definedName>
    <definedName name="tb_StockPrice">Model!$A$782:$CB$812</definedName>
    <definedName name="tb_Tickers">Model!$A$712:$A$717</definedName>
    <definedName name="tb_UpdateLog">'Update Log'!$C$10:$H$48</definedName>
    <definedName name="tb_ValuationToggle">Model!$A$719:$B$723</definedName>
    <definedName name="UL.CSIN">'Update Log'!$H$7</definedName>
    <definedName name="UL.ModelVersion">'Update Log'!$H$8</definedName>
    <definedName name="UL.MRQ">'Update Log'!$F$7</definedName>
    <definedName name="UL.MRQColNum">'Update Log'!$E$7</definedName>
    <definedName name="z_I9KH3H0125_MO_AN_CFO">Model!$323:$323</definedName>
    <definedName name="z_I9KH3H0125_MO_AN_FCF">Model!$326:$326</definedName>
    <definedName name="z_I9KH3H0125_MO_AN_Purchaseofintangibleassets">Model!$325:$325</definedName>
    <definedName name="z_I9KH3H0125_MO_AN_Purchaseofproperty">Model!$324:$324</definedName>
    <definedName name="z_I9KH3H0125_MO_BlankRow_AN">"Deleted"</definedName>
    <definedName name="z_I9KH3H0125_MO_BlankRow_AN_1">Model!$327:$327</definedName>
    <definedName name="z_I9KH3H0125_MO_BlankRow_BS_1">Model!$638:$638</definedName>
    <definedName name="z_I9KH3H0125_MO_BlankRow_BS_2">Model!$654:$654</definedName>
    <definedName name="z_I9KH3H0125_MO_BlankRow_BS_3">Model!$665:$665</definedName>
    <definedName name="z_I9KH3H0125_MO_BlankRow_BS_4">Model!$674:$674</definedName>
    <definedName name="z_I9KH3H0125_MO_BlankRow_BS_5">Model!$684:$684</definedName>
    <definedName name="z_I9KH3H0125_MO_BlankRow_BS_6">Model!$686:$686</definedName>
    <definedName name="z_I9KH3H0125_MO_BlankRow_BSS">Model!$443:$443</definedName>
    <definedName name="z_I9KH3H0125_MO_BlankRow_BSS_1">Model!$432:$432</definedName>
    <definedName name="z_I9KH3H0125_MO_BlankRow_BSS_2">Model!$439:$439</definedName>
    <definedName name="z_I9KH3H0125_MO_BlankRow_CCFS">Model!$491:$491</definedName>
    <definedName name="z_I9KH3H0125_MO_BlankRow_CCFS_1">Model!$505:$505</definedName>
    <definedName name="z_I9KH3H0125_MO_BlankRow_CCFS_2">Model!$517:$517</definedName>
    <definedName name="z_I9KH3H0125_MO_BlankRow_CCFS_3">Model!$520:$520</definedName>
    <definedName name="z_I9KH3H0125_MO_BlankRow_CCFS_4">Model!$523:$523</definedName>
    <definedName name="z_I9KH3H0125_MO_BlankRow_CFS_2">Model!$547:$547</definedName>
    <definedName name="z_I9KH3H0125_MO_BlankRow_CFS_3">Model!$561:$561</definedName>
    <definedName name="z_I9KH3H0125_MO_BlankRow_CFS_4">Model!$573:$573</definedName>
    <definedName name="z_I9KH3H0125_MO_BlankRow_CFS_5">Model!$576:$576</definedName>
    <definedName name="z_I9KH3H0125_MO_BlankRow_CFS_6">Model!$579:$579</definedName>
    <definedName name="z_I9KH3H0125_MO_BlankRow_CFS_7">Model!$581:$581</definedName>
    <definedName name="z_I9KH3H0125_MO_BlankRow_CFSum">Model!$413:$413</definedName>
    <definedName name="z_I9KH3H0125_MO_BlankRow_CFSum_1">Model!$425:$425</definedName>
    <definedName name="z_I9KH3H0125_MO_BlankRow_CFSum_2">Model!$409:$409</definedName>
    <definedName name="z_I9KH3H0125_MO_BlankRow_CFSum_3">Model!$416:$416</definedName>
    <definedName name="z_I9KH3H0125_MO_BlankRow_DAF">Model!$588:$588</definedName>
    <definedName name="z_I9KH3H0125_MO_BlankRow_DAF_1">Model!$594:$594</definedName>
    <definedName name="z_I9KH3H0125_MO_BlankRow_DAF_2">Model!$599:$599</definedName>
    <definedName name="z_I9KH3H0125_MO_BlankRow_DAF_3">Model!$603:$603</definedName>
    <definedName name="z_I9KH3H0125_MO_BlankRow_GA">Model!$42:$42</definedName>
    <definedName name="z_I9KH3H0125_MO_BlankRow_GA_1">Model!$68:$68</definedName>
    <definedName name="z_I9KH3H0125_MO_BlankRow_GA_3">Model!$52:$52</definedName>
    <definedName name="z_I9KH3H0125_MO_BlankRow_GA_4">Model!$65:$65</definedName>
    <definedName name="z_I9KH3H0125_MO_BlankRow_IS">Model!$319:$319</definedName>
    <definedName name="z_I9KH3H0125_MO_BlankRow_IS_1">"Deleted"</definedName>
    <definedName name="z_I9KH3H0125_MO_BlankRow_IS_2">Model!$321:$321</definedName>
    <definedName name="z_I9KH3H0125_MO_BlankRow_MA">Model!$283:$283</definedName>
    <definedName name="z_I9KH3H0125_MO_BlankRow_MA_1">Model!$296:$296</definedName>
    <definedName name="z_I9KH3H0125_MO_BlankRow_MA_2">Model!$448:$448</definedName>
    <definedName name="z_I9KH3H0125_MO_BlankRow_MA_4">Model!$462:$462</definedName>
    <definedName name="z_I9KH3H0125_MO_BlankRow_MA_5">Model!$467:$467</definedName>
    <definedName name="z_I9KH3H0125_MO_BlankRow_MA_6">Model!$454:$454</definedName>
    <definedName name="z_I9KH3H0125_MO_BlankRow_MA_7">Model!$290:$290</definedName>
    <definedName name="z_I9KH3H0125_MO_BlankRow_MA_8">"Deleted"</definedName>
    <definedName name="z_I9KH3H0125_MO_BlankRow_MA_9">Model!$279:$279</definedName>
    <definedName name="z_I9KH3H0125_MO_BlankRow_OS">Model!$60:$60</definedName>
    <definedName name="z_I9KH3H0125_MO_BlankRow_OS_10">Model!$174:$174</definedName>
    <definedName name="z_I9KH3H0125_MO_BlankRow_OS_11">Model!$186:$186</definedName>
    <definedName name="z_I9KH3H0125_MO_BlankRow_OS_12">Model!$153:$153</definedName>
    <definedName name="z_I9KH3H0125_MO_BlankRow_OS_13">Model!$160:$160</definedName>
    <definedName name="z_I9KH3H0125_MO_BlankRow_OS_14">Model!$207:$207</definedName>
    <definedName name="z_I9KH3H0125_MO_BlankRow_OS_15">Model!$201:$201</definedName>
    <definedName name="z_I9KH3H0125_MO_BlankRow_OS_16">Model!$178:$178</definedName>
    <definedName name="z_I9KH3H0125_MO_BlankRow_OS_17">"Deleted"</definedName>
    <definedName name="z_I9KH3H0125_MO_BlankRow_OS_18">Model!$622:$622</definedName>
    <definedName name="z_I9KH3H0125_MO_BlankRow_OS_19">Model!$270:$270</definedName>
    <definedName name="z_I9KH3H0125_MO_BlankRow_OS_2">Model!$19:$19</definedName>
    <definedName name="z_I9KH3H0125_MO_BlankRow_OS_20">Model!$246:$246</definedName>
    <definedName name="z_I9KH3H0125_MO_BlankRow_OS_21">Model!$114:$114</definedName>
    <definedName name="z_I9KH3H0125_MO_BlankRow_OS_22">Model!$387:$387</definedName>
    <definedName name="z_I9KH3H0125_MO_BlankRow_OS_23">Model!$395:$395</definedName>
    <definedName name="z_I9KH3H0125_MO_BlankRow_OS_24">Model!$613:$613</definedName>
    <definedName name="z_I9KH3H0125_MO_BlankRow_OS_25">Model!$77:$77</definedName>
    <definedName name="z_I9KH3H0125_MO_BlankRow_OS_26">Model!$82:$82</definedName>
    <definedName name="z_I9KH3H0125_MO_BlankRow_OS_27">Model!$87:$87</definedName>
    <definedName name="z_I9KH3H0125_MO_BlankRow_OS_28">Model!$95:$95</definedName>
    <definedName name="z_I9KH3H0125_MO_BlankRow_OS_29">"Deleted"</definedName>
    <definedName name="z_I9KH3H0125_MO_BlankRow_OS_3">Model!$32:$32</definedName>
    <definedName name="z_I9KH3H0125_MO_BlankRow_OS_30">Model!$222:$222</definedName>
    <definedName name="z_I9KH3H0125_MO_BlankRow_OS_31">Model!$235:$235</definedName>
    <definedName name="z_I9KH3H0125_MO_BlankRow_OS_32">Model!$253:$253</definedName>
    <definedName name="z_I9KH3H0125_MO_BlankRow_OS_33">Model!$165:$165</definedName>
    <definedName name="z_I9KH3H0125_MO_BlankRow_OS_34">"Deleted"</definedName>
    <definedName name="z_I9KH3H0125_MO_BlankRow_OS_35">Model!$120:$120</definedName>
    <definedName name="z_I9KH3H0125_MO_BlankRow_OS_36">Model!$257:$257</definedName>
    <definedName name="z_I9KH3H0125_MO_BlankRow_OS_37">Model!$267:$267</definedName>
    <definedName name="z_I9KH3H0125_MO_BlankRow_OS_38">Model!$102:$102</definedName>
    <definedName name="z_I9KH3H0125_MO_BlankRow_OS_39">Model!$124:$124</definedName>
    <definedName name="z_I9KH3H0125_MO_BlankRow_OS_4">Model!$146:$146</definedName>
    <definedName name="z_I9KH3H0125_MO_BlankRow_OS_40">"Deleted"</definedName>
    <definedName name="z_I9KH3H0125_MO_BlankRow_OS_41">"Deleted"</definedName>
    <definedName name="z_I9KH3H0125_MO_BlankRow_OS_42">"Deleted"</definedName>
    <definedName name="z_I9KH3H0125_MO_BlankRow_OS_43">Model!$195:$195</definedName>
    <definedName name="z_I9KH3H0125_MO_BlankRow_OS_44">Model!$224:$224</definedName>
    <definedName name="z_I9KH3H0125_MO_BlankRow_OS_45">Model!$275:$275</definedName>
    <definedName name="z_I9KH3H0125_MO_BlankRow_OS_46">Model!$390:$390</definedName>
    <definedName name="z_I9KH3H0125_MO_BlankRow_OS_47">Model!$393:$393</definedName>
    <definedName name="z_I9KH3H0125_MO_BlankRow_OS_5">Model!$135:$135</definedName>
    <definedName name="z_I9KH3H0125_MO_BlankRow_OS_7">Model!$192:$192</definedName>
    <definedName name="z_I9KH3H0125_MO_BlankRow_OS_8">Model!$210:$210</definedName>
    <definedName name="z_I9KH3H0125_MO_BlankRow_OS_9">Model!$169:$169</definedName>
    <definedName name="z_I9KH3H0125_MO_BlankRow_RIS">Model!$331:$331</definedName>
    <definedName name="z_I9KH3H0125_MO_BlankRow_RIS_1">Model!$334:$334</definedName>
    <definedName name="z_I9KH3H0125_MO_BlankRow_RIS_2">Model!$347:$347</definedName>
    <definedName name="z_I9KH3H0125_MO_BlankRow_RIS_3">Model!$341:$341</definedName>
    <definedName name="z_I9KH3H0125_MO_BlankRow_RIS_4">Model!$353:$353</definedName>
    <definedName name="z_I9KH3H0125_MO_BlankRow_RIS_5">Model!$366:$366</definedName>
    <definedName name="z_I9KH3H0125_MO_BlankRow_RIS_6">Model!$369:$369</definedName>
    <definedName name="z_I9KH3H0125_MO_BlankRow_RIS_7">Model!$374:$374</definedName>
    <definedName name="z_I9KH3H0125_MO_BlankRow_RIS_8">Model!$378:$378</definedName>
    <definedName name="z_I9KH3H0125_MO_BlankRow_SNA">Model!$709:$709</definedName>
    <definedName name="z_I9KH3H0125_MO_BlankRow_SNA_1">Model!$711:$711</definedName>
    <definedName name="z_I9KH3H0125_MO_BlankRow_SNA_10">Model!$805:$805</definedName>
    <definedName name="z_I9KH3H0125_MO_BlankRow_SNA_11">Model!$812:$812</definedName>
    <definedName name="z_I9KH3H0125_MO_BlankRow_SNA_12">Model!$817:$817</definedName>
    <definedName name="z_I9KH3H0125_MO_BlankRow_SNA_13">Model!$835:$835</definedName>
    <definedName name="z_I9KH3H0125_MO_BlankRow_SNA_14">Model!$816:$816</definedName>
    <definedName name="z_I9KH3H0125_MO_BlankRow_SNA_15">Model!$757:$757</definedName>
    <definedName name="z_I9KH3H0125_MO_BlankRow_SNA_16">Model!$758:$758</definedName>
    <definedName name="z_I9KH3H0125_MO_BlankRow_SNA_17">Model!$762:$762</definedName>
    <definedName name="z_I9KH3H0125_MO_BlankRow_SNA_18">Model!$763:$763</definedName>
    <definedName name="z_I9KH3H0125_MO_BlankRow_SNA_19">Model!$768:$768</definedName>
    <definedName name="z_I9KH3H0125_MO_BlankRow_SNA_2">Model!$718:$718</definedName>
    <definedName name="z_I9KH3H0125_MO_BlankRow_SNA_20">Model!$769:$769</definedName>
    <definedName name="z_I9KH3H0125_MO_BlankRow_SNA_3">Model!$724:$724</definedName>
    <definedName name="z_I9KH3H0125_MO_BlankRow_SNA_4">Model!$732:$732</definedName>
    <definedName name="z_I9KH3H0125_MO_BlankRow_SNA_5">Model!$733:$733</definedName>
    <definedName name="z_I9KH3H0125_MO_BlankRow_SNA_6">Model!$780:$780</definedName>
    <definedName name="z_I9KH3H0125_MO_BlankRow_SNA_7">Model!$781:$781</definedName>
    <definedName name="z_I9KH3H0125_MO_BlankRow_SNA_8">Model!$791:$791</definedName>
    <definedName name="z_I9KH3H0125_MO_BlankRow_SNA_9">Model!$798:$798</definedName>
    <definedName name="z_I9KH3H0125_MO_BS_Accountspayable">Model!$656:$656</definedName>
    <definedName name="z_I9KH3H0125_MO_BS_Accountsreceivable">Model!$627:$627</definedName>
    <definedName name="z_I9KH3H0125_MO_BS_Accruedandotherliabilities">Model!$657:$657</definedName>
    <definedName name="z_I9KH3H0125_MO_BS_Accruedandotherliabilities_1">Model!$671:$671</definedName>
    <definedName name="z_I9KH3H0125_MO_BS_Accumulatedothercomprehensiveincome">Model!$680:$680</definedName>
    <definedName name="z_I9KH3H0125_MO_BS_BSCheck">Model!$685:$685</definedName>
    <definedName name="z_I9KH3H0125_MO_BS_Cashandcashequivalents">Model!$625:$625</definedName>
    <definedName name="z_I9KH3H0125_MO_BS_Contractassets">Model!$633:$633</definedName>
    <definedName name="z_I9KH3H0125_MO_BS_Contractliabilities">Model!$670:$670</definedName>
    <definedName name="z_I9KH3H0125_MO_BS_Contractliabilities_1">Model!$660:$660</definedName>
    <definedName name="z_I9KH3H0125_MO_BS_CurrentAssets">Model!$624:$624</definedName>
    <definedName name="z_I9KH3H0125_MO_BS_CurrentLiabilities">Model!$655:$655</definedName>
    <definedName name="z_I9KH3H0125_MO_BS_Currentportionoflongtermdebt">Model!$659:$659</definedName>
    <definedName name="z_I9KH3H0125_MO_BS_Currenttaxassets">Model!$630:$630</definedName>
    <definedName name="z_I9KH3H0125_MO_BS_Currenttaxliabilities">Model!$658:$658</definedName>
    <definedName name="z_I9KH3H0125_MO_BS_Deferredandothertaxliabilities">Model!$668:$668</definedName>
    <definedName name="z_I9KH3H0125_MO_BS_Deferredtaxassets">Model!$632:$632</definedName>
    <definedName name="z_I9KH3H0125_MO_BS_Deferredtaxassets_1">Model!$641:$641</definedName>
    <definedName name="z_I9KH3H0125_MO_BS_Deferredtaxliabilities">Model!$662:$662</definedName>
    <definedName name="z_I9KH3H0125_MO_BS_Equityinvestments">Model!$645:$645</definedName>
    <definedName name="z_I9KH3H0125_MO_BS_Equitymethodinvestments">Model!$644:$644</definedName>
    <definedName name="z_I9KH3H0125_MO_BS_Financereceivables">Model!$628:$628</definedName>
    <definedName name="z_I9KH3H0125_MO_BS_Financereceivables_1">Model!$640:$640</definedName>
    <definedName name="z_I9KH3H0125_MO_BS_Goodwill">Model!$646:$646</definedName>
    <definedName name="z_I9KH3H0125_MO_BS_Heldforsaleassets">Model!$636:$636</definedName>
    <definedName name="z_I9KH3H0125_MO_BS_Heldforsaleliabilities">Model!$663:$663</definedName>
    <definedName name="z_I9KH3H0125_MO_BS_Inventories">Model!$631:$631</definedName>
    <definedName name="z_I9KH3H0125_MO_BS_Issuedandoutstandingshares">Model!$676:$676</definedName>
    <definedName name="z_I9KH3H0125_MO_BS_Loanreceivable">Model!$642:$642</definedName>
    <definedName name="z_I9KH3H0125_MO_BS_Loansreceivable">Model!$635:$635</definedName>
    <definedName name="z_I9KH3H0125_MO_BS_Longtermdebt">Model!$667:$667</definedName>
    <definedName name="z_I9KH3H0125_MO_BS_NCI">Model!$682:$682</definedName>
    <definedName name="z_I9KH3H0125_MO_BS_NonCurrentAssets">Model!$639:$639</definedName>
    <definedName name="z_I9KH3H0125_MO_BS_NonCurrentLiabilities">Model!$666:$666</definedName>
    <definedName name="z_I9KH3H0125_MO_BS_Otherassets">Model!$634:$634</definedName>
    <definedName name="z_I9KH3H0125_MO_BS_Otherassets_1">Model!$643:$643</definedName>
    <definedName name="z_I9KH3H0125_MO_BS_Otherintangibleassets">Model!$647:$647</definedName>
    <definedName name="z_I9KH3H0125_MO_BS_Propertyplantandequipment">Model!$648:$648</definedName>
    <definedName name="z_I9KH3H0125_MO_BS_Provisions">Model!$661:$661</definedName>
    <definedName name="z_I9KH3H0125_MO_BS_Provisions_1">Model!$669:$669</definedName>
    <definedName name="z_I9KH3H0125_MO_BS_Retainedearnings">Model!$679:$679</definedName>
    <definedName name="z_I9KH3H0125_MO_BS_Rightofuseassets">Model!$649:$649</definedName>
    <definedName name="z_I9KH3H0125_MO_BS_RightofuseassetsFinance">Model!$650:$650</definedName>
    <definedName name="z_I9KH3H0125_MO_BS_ShareholdersEquity">Model!$675:$675</definedName>
    <definedName name="z_I9KH3H0125_MO_BS_Sharepremium">Model!$677:$677</definedName>
    <definedName name="z_I9KH3H0125_MO_BS_Shortterminvestments">Model!$626:$626</definedName>
    <definedName name="z_I9KH3H0125_MO_BS_TotalAccountsReceivable">Model!$629:$629</definedName>
    <definedName name="z_I9KH3H0125_MO_BS_TotalAssets">Model!$653:$653</definedName>
    <definedName name="z_I9KH3H0125_MO_BS_TotalCurrentAssets">Model!$637:$637</definedName>
    <definedName name="z_I9KH3H0125_MO_BS_TotalCurrentLiabilities">Model!$664:$664</definedName>
    <definedName name="z_I9KH3H0125_MO_BS_TotalLiabilities">Model!$673:$673</definedName>
    <definedName name="z_I9KH3H0125_MO_BS_TotalLiabilitiesSE">Model!$683:$683</definedName>
    <definedName name="z_I9KH3H0125_MO_BS_TotalNonCurrentAssets">Model!$652:$652</definedName>
    <definedName name="z_I9KH3H0125_MO_BS_TotalNonCurrentliabilities">Model!$672:$672</definedName>
    <definedName name="z_I9KH3H0125_MO_BS_TotalRightofuseassets">Model!$651:$651</definedName>
    <definedName name="z_I9KH3H0125_MO_BS_TotalSE">Model!$681:$681</definedName>
    <definedName name="z_I9KH3H0125_MO_BS_Treasurysharesatcost">Model!$678:$678</definedName>
    <definedName name="z_I9KH3H0125_MO_BSS_Cash">Model!$427:$427</definedName>
    <definedName name="z_I9KH3H0125_MO_BSS_Debt">Model!$430:$430</definedName>
    <definedName name="z_I9KH3H0125_MO_BSS_DebtCashFlow">Model!$442:$442</definedName>
    <definedName name="z_I9KH3H0125_MO_BSS_DebtEBITDA">Model!$441:$441</definedName>
    <definedName name="z_I9KH3H0125_MO_BSS_EBITDANetInterestExpense">Model!$440:$440</definedName>
    <definedName name="z_I9KH3H0125_MO_BSS_EffectiveInterestRateonCash">Model!$436:$436</definedName>
    <definedName name="z_I9KH3H0125_MO_BSS_EffectiveInterestRateonDebt">Model!$434:$434</definedName>
    <definedName name="z_I9KH3H0125_MO_BSS_EffectiveNetInterestRateonDebt">Model!$438:$438</definedName>
    <definedName name="z_I9KH3H0125_MO_BSS_InterestExpense">Model!$433:$433</definedName>
    <definedName name="z_I9KH3H0125_MO_BSS_InterestIncome">Model!$435:$435</definedName>
    <definedName name="z_I9KH3H0125_MO_BSS_LTDebt">Model!$429:$429</definedName>
    <definedName name="z_I9KH3H0125_MO_BSS_NetDebt">Model!$431:$431</definedName>
    <definedName name="z_I9KH3H0125_MO_BSS_NetInterestExpenseIncome">Model!$437:$437</definedName>
    <definedName name="z_I9KH3H0125_MO_BSS_STDebt">Model!$428:$428</definedName>
    <definedName name="z_I9KH3H0125_MO_CCFS_Accountspayable">Model!$486:$486</definedName>
    <definedName name="z_I9KH3H0125_MO_CCFS_Accountsreceivable">Model!$481:$481</definedName>
    <definedName name="z_I9KH3H0125_MO_CCFS_Accruedandotherliabilities">Model!$485:$485</definedName>
    <definedName name="z_I9KH3H0125_MO_CCFS_Acquisitionofequitymethodinvestments">Model!$500:$500</definedName>
    <definedName name="z_I9KH3H0125_MO_CCFS_Acquisitionofsubsidiariesnetofcashacquired">Model!$503:$503</definedName>
    <definedName name="z_I9KH3H0125_MO_CCFS_Allowancefordoubtfulreceivables">Model!$476:$476</definedName>
    <definedName name="z_I9KH3H0125_MO_CCFS_Allowanceforobsoleteinventory">Model!$477:$477</definedName>
    <definedName name="z_I9KH3H0125_MO_CCFS_BeginningCashBalance">Model!$521:$521</definedName>
    <definedName name="z_I9KH3H0125_MO_CCFS_Capitalrepayment">Model!$511:$511</definedName>
    <definedName name="z_I9KH3H0125_MO_CCFS_Cashfromusedforderivativefinancialinstruments">Model!$497:$497</definedName>
    <definedName name="z_I9KH3H0125_MO_CCFS_CFF">Model!$506:$506</definedName>
    <definedName name="z_I9KH3H0125_MO_CCFS_CFI">Model!$492:$492</definedName>
    <definedName name="z_I9KH3H0125_MO_CCFS_CFO">Model!$469:$469</definedName>
    <definedName name="z_I9KH3H0125_MO_CCFS_CFObeforeWC">Model!$480:$480</definedName>
    <definedName name="z_I9KH3H0125_MO_CCFS_Changesinassetsandliabilities">Model!$489:$489</definedName>
    <definedName name="z_I9KH3H0125_MO_CCFS_Contractassetsandliabilities">Model!$487:$487</definedName>
    <definedName name="z_I9KH3H0125_MO_CCFS_Currenttaxassetsandliabilities">Model!$488:$488</definedName>
    <definedName name="z_I9KH3H0125_MO_CCFS_Deferredincometaxes">Model!$478:$478</definedName>
    <definedName name="z_I9KH3H0125_MO_CCFS_Depositsfromcustomers">Model!$513:$513</definedName>
    <definedName name="z_I9KH3H0125_MO_CCFS_Depreciationandamortization">Model!$471:$471</definedName>
    <definedName name="z_I9KH3H0125_MO_CCFS_Dividendincomefromequitymethodinvestments">Model!$501:$501</definedName>
    <definedName name="z_I9KH3H0125_MO_CCFS_Dividendpaid">Model!$507:$507</definedName>
    <definedName name="z_I9KH3H0125_MO_CCFS_EndingCashBalance">Model!$522:$522</definedName>
    <definedName name="z_I9KH3H0125_MO_CCFS_Equitymethodinvestments">Model!$479:$479</definedName>
    <definedName name="z_I9KH3H0125_MO_CCFS_Financereceivables">Model!$482:$482</definedName>
    <definedName name="z_I9KH3H0125_MO_CCFS_FX">Model!$518:$518</definedName>
    <definedName name="z_I9KH3H0125_MO_CCFS_Gainonsaleofsubsidiaries">Model!$475:$475</definedName>
    <definedName name="z_I9KH3H0125_MO_CCFS_Impairment">Model!$472:$472</definedName>
    <definedName name="z_I9KH3H0125_MO_CCFS_Inventories">Model!$483:$483</definedName>
    <definedName name="z_I9KH3H0125_MO_CCFS_Loansissuedandotherinvestments">Model!$498:$498</definedName>
    <definedName name="z_I9KH3H0125_MO_CCFS_Lossondisposalofproperty">Model!$473:$473</definedName>
    <definedName name="z_I9KH3H0125_MO_CCFS_Maturityofshortterminvestments">Model!$496:$496</definedName>
    <definedName name="z_I9KH3H0125_MO_CCFS_NetCFF">Model!$516:$516</definedName>
    <definedName name="z_I9KH3H0125_MO_CCFS_NetCFI">Model!$504:$504</definedName>
    <definedName name="z_I9KH3H0125_MO_CCFS_NetCFO">Model!$490:$490</definedName>
    <definedName name="z_I9KH3H0125_MO_CCFS_NetChangeinCashBalance">Model!$519:$519</definedName>
    <definedName name="z_I9KH3H0125_MO_CCFS_Netincome">Model!$470:$470</definedName>
    <definedName name="z_I9KH3H0125_MO_CCFS_Netproceedsfromissuanceofnotes">Model!$510:$510</definedName>
    <definedName name="z_I9KH3H0125_MO_CCFS_Netproceedsfromissuanceofshares">Model!$509:$509</definedName>
    <definedName name="z_I9KH3H0125_MO_CCFS_Otherassets">Model!$484:$484</definedName>
    <definedName name="z_I9KH3H0125_MO_CCFS_Proceedsfromsaleofproperty">Model!$502:$502</definedName>
    <definedName name="z_I9KH3H0125_MO_CCFS_Purchaseofintangibleassets">Model!$494:$494</definedName>
    <definedName name="z_I9KH3H0125_MO_CCFS_Purchaseofproperty">Model!$493:$493</definedName>
    <definedName name="z_I9KH3H0125_MO_CCFS_Purchaseofshortterminvestments">Model!$495:$495</definedName>
    <definedName name="z_I9KH3H0125_MO_CCFS_Purchaseoftreasuryshares">Model!$508:$508</definedName>
    <definedName name="z_I9KH3H0125_MO_CCFS_Repaymentofdebt">Model!$514:$514</definedName>
    <definedName name="z_I9KH3H0125_MO_CCFS_Repaymentonloans">Model!$499:$499</definedName>
    <definedName name="z_I9KH3H0125_MO_CCFS_Repurchaseofnotes">Model!$512:$512</definedName>
    <definedName name="z_I9KH3H0125_MO_CCFS_Sharebasedpayments">Model!$474:$474</definedName>
    <definedName name="z_I9KH3H0125_MO_CCFS_Taxbenefitdeficitfromsharebasedpayments">Model!$515:$515</definedName>
    <definedName name="z_I9KH3H0125_MO_CFS_Accountspayable">Model!$542:$542</definedName>
    <definedName name="z_I9KH3H0125_MO_CFS_Accountsreceivable">Model!$537:$537</definedName>
    <definedName name="z_I9KH3H0125_MO_CFS_Accruedandotherliabilities">Model!$541:$541</definedName>
    <definedName name="z_I9KH3H0125_MO_CFS_Acquisitionofequitymethodinvestments">Model!$556:$556</definedName>
    <definedName name="z_I9KH3H0125_MO_CFS_Acquisitionofsubsidiariesnetofcashacquired">Model!$559:$559</definedName>
    <definedName name="z_I9KH3H0125_MO_CFS_Allowancefordoubtfulreceivables">Model!$532:$532</definedName>
    <definedName name="z_I9KH3H0125_MO_CFS_Allowanceforobsoleteinventory">Model!$533:$533</definedName>
    <definedName name="z_I9KH3H0125_MO_CFS_BeginningCashBalance">Model!$577:$577</definedName>
    <definedName name="z_I9KH3H0125_MO_CFS_Capitalrepayment">Model!$567:$567</definedName>
    <definedName name="z_I9KH3H0125_MO_CFS_Cashfromusedforderivativefinancialinstruments">Model!$553:$553</definedName>
    <definedName name="z_I9KH3H0125_MO_CFS_CFCheck">Model!$580:$580</definedName>
    <definedName name="z_I9KH3H0125_MO_CFS_CFF">Model!$562:$562</definedName>
    <definedName name="z_I9KH3H0125_MO_CFS_CFI">Model!$548:$548</definedName>
    <definedName name="z_I9KH3H0125_MO_CFS_CFO">Model!$525:$525</definedName>
    <definedName name="z_I9KH3H0125_MO_CFS_CFObeforeWC">Model!$536:$536</definedName>
    <definedName name="z_I9KH3H0125_MO_CFS_Changesinassetsandliabilities">Model!$545:$545</definedName>
    <definedName name="z_I9KH3H0125_MO_CFS_Contractassetsandliabilities">Model!$543:$543</definedName>
    <definedName name="z_I9KH3H0125_MO_CFS_Currenttaxassetsandliabilities">Model!$544:$544</definedName>
    <definedName name="z_I9KH3H0125_MO_CFS_Deferredincometaxes">Model!$534:$534</definedName>
    <definedName name="z_I9KH3H0125_MO_CFS_Depositsfromcustomers">Model!$569:$569</definedName>
    <definedName name="z_I9KH3H0125_MO_CFS_Depreciationandamortization">Model!$527:$527</definedName>
    <definedName name="z_I9KH3H0125_MO_CFS_Dividendincomefromequitymethodinvestments">Model!$557:$557</definedName>
    <definedName name="z_I9KH3H0125_MO_CFS_Dividendpaid">Model!$563:$563</definedName>
    <definedName name="z_I9KH3H0125_MO_CFS_EndingCashBalance">Model!$578:$578</definedName>
    <definedName name="z_I9KH3H0125_MO_CFS_Equitymethodinvestments">Model!$535:$535</definedName>
    <definedName name="z_I9KH3H0125_MO_CFS_Financereceivables">Model!$538:$538</definedName>
    <definedName name="z_I9KH3H0125_MO_CFS_FX">Model!$574:$574</definedName>
    <definedName name="z_I9KH3H0125_MO_CFS_Gainonsaleofsubsidiaries">Model!$531:$531</definedName>
    <definedName name="z_I9KH3H0125_MO_CFS_Impairment">Model!$528:$528</definedName>
    <definedName name="z_I9KH3H0125_MO_CFS_Inventories">Model!$539:$539</definedName>
    <definedName name="z_I9KH3H0125_MO_CFS_Loansissuedandotherinvestments">Model!$554:$554</definedName>
    <definedName name="z_I9KH3H0125_MO_CFS_Lossondisposalofproperty">Model!$529:$529</definedName>
    <definedName name="z_I9KH3H0125_MO_CFS_Maturityofshortterminvestments">Model!$552:$552</definedName>
    <definedName name="z_I9KH3H0125_MO_CFS_NetCFF">Model!$572:$572</definedName>
    <definedName name="z_I9KH3H0125_MO_CFS_NetCFI">Model!$560:$560</definedName>
    <definedName name="z_I9KH3H0125_MO_CFS_NetCFO">Model!$546:$546</definedName>
    <definedName name="z_I9KH3H0125_MO_CFS_NetChangeinCashBalance">Model!$575:$575</definedName>
    <definedName name="z_I9KH3H0125_MO_CFS_Netincome">Model!$526:$526</definedName>
    <definedName name="z_I9KH3H0125_MO_CFS_Netproceedsfromissuanceofnotes">Model!$566:$566</definedName>
    <definedName name="z_I9KH3H0125_MO_CFS_Netproceedsfromissuanceofshares">Model!$565:$565</definedName>
    <definedName name="z_I9KH3H0125_MO_CFS_Otherassets">Model!$540:$540</definedName>
    <definedName name="z_I9KH3H0125_MO_CFS_Proceedsfromsaleofproperty">Model!$558:$558</definedName>
    <definedName name="z_I9KH3H0125_MO_CFS_Purchaseofintangibleassets">Model!$550:$550</definedName>
    <definedName name="z_I9KH3H0125_MO_CFS_Purchaseofproperty">Model!$549:$549</definedName>
    <definedName name="z_I9KH3H0125_MO_CFS_Purchaseofshortterminvestments">Model!$551:$551</definedName>
    <definedName name="z_I9KH3H0125_MO_CFS_Purchaseoftreasuryshares">Model!$564:$564</definedName>
    <definedName name="z_I9KH3H0125_MO_CFS_Repaymentofdebt">Model!$570:$570</definedName>
    <definedName name="z_I9KH3H0125_MO_CFS_Repaymentonloans">Model!$555:$555</definedName>
    <definedName name="z_I9KH3H0125_MO_CFS_Repurchaseofnotes">Model!$568:$568</definedName>
    <definedName name="z_I9KH3H0125_MO_CFS_Sharebasedpayments">Model!$530:$530</definedName>
    <definedName name="z_I9KH3H0125_MO_CFS_Taxbenefitdeficitfromsharebasedpayments">Model!$571:$571</definedName>
    <definedName name="z_I9KH3H0125_MO_CFSum_Acquisitions">Model!$405:$405</definedName>
    <definedName name="z_I9KH3H0125_MO_CFSum_Capex">Model!$403:$403</definedName>
    <definedName name="z_I9KH3H0125_MO_CFSum_CashFlowPerDilutedShare">Model!$400:$400</definedName>
    <definedName name="z_I9KH3H0125_MO_CFSum_CashFlowPerDilutedShare_1">Model!$401:$401</definedName>
    <definedName name="z_I9KH3H0125_MO_CFSum_ChangeinWorkingCapital">Model!$398:$398</definedName>
    <definedName name="z_I9KH3H0125_MO_CFSum_ConsensusEstimatesCapex">Model!$404:$404</definedName>
    <definedName name="z_I9KH3H0125_MO_CFSum_ConsensusEstimatesCashFlowPerDilutedShare">Model!$402:$402</definedName>
    <definedName name="z_I9KH3H0125_MO_CFSum_Divestiture">Model!$406:$406</definedName>
    <definedName name="z_I9KH3H0125_MO_CFSum_DividendPaid">Model!$407:$407</definedName>
    <definedName name="z_I9KH3H0125_MO_CFSum_DividendPerShare">Model!$408:$408</definedName>
    <definedName name="z_I9KH3H0125_MO_CFSum_EstimatedSharePriceforIssuanceBuybacks">Model!$412:$412</definedName>
    <definedName name="z_I9KH3H0125_MO_CFSum_FCF">Model!$417:$417</definedName>
    <definedName name="z_I9KH3H0125_MO_CFSum_FCF_1">Model!$418:$418</definedName>
    <definedName name="z_I9KH3H0125_MO_CFSum_FCF_2">Model!$419:$419</definedName>
    <definedName name="z_I9KH3H0125_MO_CFSum_FCFincludingWC">Model!$421:$421</definedName>
    <definedName name="z_I9KH3H0125_MO_CFSum_FCFincludingWCPostDiv">Model!$422:$422</definedName>
    <definedName name="z_I9KH3H0125_MO_CFSum_FCFincludingWCPostDiv_1">Model!$423:$423</definedName>
    <definedName name="z_I9KH3H0125_MO_CFSum_FCFincludingWCPostDivDebtBuyback">Model!$424:$424</definedName>
    <definedName name="z_I9KH3H0125_MO_CFSum_FCFPostDivDebtBuyback">Model!$420:$420</definedName>
    <definedName name="z_I9KH3H0125_MO_CFSum_NetDebtIssuanceRepayment">Model!$410:$410</definedName>
    <definedName name="z_I9KH3H0125_MO_CFSum_NetShareIssuanceBuybacks">Model!$411:$411</definedName>
    <definedName name="z_I9KH3H0125_MO_CFSum_OperatingCashFlowafterWC">Model!$399:$399</definedName>
    <definedName name="z_I9KH3H0125_MO_CFSum_OperatingCashFlowbeforeWC">Model!$397:$397</definedName>
    <definedName name="z_I9KH3H0125_MO_CFSum_SBCexpense">Model!$414:$414</definedName>
    <definedName name="z_I9KH3H0125_MO_CFSum_SBCexpenseasofrevenue">Model!$415:$415</definedName>
    <definedName name="z_I9KH3H0125_MO_Checks_SNA_AdjustedNumbersFYSumofQs">Model!$700:$700</definedName>
    <definedName name="z_I9KH3H0125_MO_Checks_SNA_BalanceSheetisnotRepeated">Model!$696:$696</definedName>
    <definedName name="z_I9KH3H0125_MO_Checks_SNA_CapexisUpdated">Model!$698:$698</definedName>
    <definedName name="z_I9KH3H0125_MO_Checks_SNA_CashFlowisnotRepeated">Model!$694:$694</definedName>
    <definedName name="z_I9KH3H0125_MO_Checks_SNA_CashFlowSummarySignsareCorrect">Model!$701:$701</definedName>
    <definedName name="z_I9KH3H0125_MO_Checks_SNA_CashisPositive">Model!$690:$690</definedName>
    <definedName name="z_I9KH3H0125_MO_Checks_SNA_CFFsubtotalFYSumofQs">Model!$707:$707</definedName>
    <definedName name="z_I9KH3H0125_MO_Checks_SNA_CFIsubtotalFYSumofQs">Model!$706:$706</definedName>
    <definedName name="z_I9KH3H0125_MO_Checks_SNA_CFOBeforeWCsubtotalFYSumofQs">Model!$704:$704</definedName>
    <definedName name="z_I9KH3H0125_MO_Checks_SNA_CFOsubtotalFYSumofQs">Model!$705:$705</definedName>
    <definedName name="z_I9KH3H0125_MO_Checks_SNA_CFSummaryFYSumofQs">Model!$708:$708</definedName>
    <definedName name="z_I9KH3H0125_MO_Checks_SNA_DebtisPositive">Model!$691:$691</definedName>
    <definedName name="z_I9KH3H0125_MO_Checks_SNA_EndingCFEndingCumulativeCF">Model!$697:$697</definedName>
    <definedName name="z_I9KH3H0125_MO_Checks_SNA_IncomeStatementisnotRepeated">Model!$695:$695</definedName>
    <definedName name="z_I9KH3H0125_MO_Checks_SNA_Marginaddsupto100">"Deleted"</definedName>
    <definedName name="z_I9KH3H0125_MO_Checks_SNA_MarginisUpdated">Model!$699:$699</definedName>
    <definedName name="z_I9KH3H0125_MO_Checks_SNA_NetIncomeonReportedISNIonRevised">Model!$689:$689</definedName>
    <definedName name="z_I9KH3H0125_MO_Checks_SNA_NetIncomeonRevisedISNIonCFstatement">Model!$688:$688</definedName>
    <definedName name="z_I9KH3H0125_MO_Checks_SNA_RISAdjustedNIFYSumofQs">Model!$703:$703</definedName>
    <definedName name="z_I9KH3H0125_MO_Checks_SNA_RISNIFYSumofQs">Model!$702:$702</definedName>
    <definedName name="z_I9KH3H0125_MO_Checks_SNA_SegmentedRevenueRevenue">Model!$692:$692</definedName>
    <definedName name="z_I9KH3H0125_MO_DAF_AmortizationaspercentageofIntangiblesBoP">Model!$596:$596</definedName>
    <definedName name="z_I9KH3H0125_MO_DAF_Amortizationofintangibles">Model!$590:$590</definedName>
    <definedName name="z_I9KH3H0125_MO_DAF_Capexofintangibles">Model!$591:$591</definedName>
    <definedName name="z_I9KH3H0125_MO_DAF_CapexofPPE">Model!$585:$585</definedName>
    <definedName name="z_I9KH3H0125_MO_DAF_DepreciationaspercentageofPPEBoP">Model!$595:$595</definedName>
    <definedName name="z_I9KH3H0125_MO_DAF_Depreciationoffixedassets">Model!$584:$584</definedName>
    <definedName name="z_I9KH3H0125_MO_DAF_Impliedlifeoffixedassets">Model!$597:$597</definedName>
    <definedName name="z_I9KH3H0125_MO_DAF_Impliedlifeofintangibles">Model!$598:$598</definedName>
    <definedName name="z_I9KH3H0125_MO_DAF_IntangiblesBoP">Model!$589:$589</definedName>
    <definedName name="z_I9KH3H0125_MO_DAF_IntangiblesEoP">Model!$593:$593</definedName>
    <definedName name="z_I9KH3H0125_MO_DAF_Othernetadditionstointangibles">Model!$592:$592</definedName>
    <definedName name="z_I9KH3H0125_MO_DAF_OthernetadditionstoPPE">Model!$586:$586</definedName>
    <definedName name="z_I9KH3H0125_MO_DAF_Percentageofcapexallocatedtointangibleassets">Model!$602:$602</definedName>
    <definedName name="z_I9KH3H0125_MO_DAF_PPEBoP">Model!$583:$583</definedName>
    <definedName name="z_I9KH3H0125_MO_DAF_PPEEoP">Model!$587:$587</definedName>
    <definedName name="z_I9KH3H0125_MO_DAF_TotalCapex">Model!$601:$601</definedName>
    <definedName name="z_I9KH3H0125_MO_DAF_TotalDA">Model!$600:$600</definedName>
    <definedName name="z_I9KH3H0125_MO_GA_DUVsales">Model!$63:$63</definedName>
    <definedName name="z_I9KH3H0125_MO_GA_EUVsales">Model!$61:$61</definedName>
    <definedName name="z_I9KH3H0125_MO_GA_HighNAEUV">Model!$9:$9</definedName>
    <definedName name="z_I9KH3H0125_MO_GA_LowNAEUV">Model!$10:$10</definedName>
    <definedName name="z_I9KH3H0125_MO_GA_Netdeferredrevenuefromfastshipment">Model!$66:$66</definedName>
    <definedName name="z_I9KH3H0125_MO_GA_Normalizedrevenue">Model!$67:$67</definedName>
    <definedName name="z_I9KH3H0125_MO_GA_Totalnetlithographysystemssold">Model!$16:$16</definedName>
    <definedName name="z_I9KH3H0125_MO_GA_YYDUVsalesgrowth">Model!$64:$64</definedName>
    <definedName name="z_I9KH3H0125_MO_GA_YYEUVsalesgrowth">Model!$62:$62</definedName>
    <definedName name="z_I9KH3H0125_MO_Header_ColumnHeader">Model!$5:$5</definedName>
    <definedName name="z_I9KH3H0125_MO_Header_CompanySubTitle">Model!$2:$2</definedName>
    <definedName name="z_I9KH3H0125_MO_Header_CompanyTitle">Model!$1:$1</definedName>
    <definedName name="z_I9KH3H0125_MO_Header_FPDays">Model!$3:$3</definedName>
    <definedName name="z_I9KH3H0125_MO_Header_QEndDate">Model!$4:$4</definedName>
    <definedName name="z_I9KH3H0125_MO_IS_Costofserviceandfieldoptionsales">Model!$302:$302</definedName>
    <definedName name="z_I9KH3H0125_MO_IS_Costofsystemsales">Model!$301:$301</definedName>
    <definedName name="z_I9KH3H0125_MO_IS_Currentincometaxes">Model!$313:$313</definedName>
    <definedName name="z_I9KH3H0125_MO_IS_Deferredincometaxes">Model!$314:$314</definedName>
    <definedName name="z_I9KH3H0125_MO_IS_Grossprofit">Model!$304:$304</definedName>
    <definedName name="z_I9KH3H0125_MO_IS_Incomeafterincometaxes">Model!$316:$316</definedName>
    <definedName name="z_I9KH3H0125_MO_IS_Incomebeforeincometaxes">Model!$312:$312</definedName>
    <definedName name="z_I9KH3H0125_MO_IS_Incomefromoperations">Model!$308:$308</definedName>
    <definedName name="z_I9KH3H0125_MO_IS_Interestandother">Model!$311:$311</definedName>
    <definedName name="z_I9KH3H0125_MO_IS_Interestexpense">Model!$309:$309</definedName>
    <definedName name="z_I9KH3H0125_MO_IS_Interestincomeandother">Model!$310:$310</definedName>
    <definedName name="z_I9KH3H0125_MO_IS_ISCheck">Model!$320:$320</definedName>
    <definedName name="z_I9KH3H0125_MO_IS_Netincome">Model!$318:$318</definedName>
    <definedName name="z_I9KH3H0125_MO_IS_Netserviceandfieldoptionsales">Model!$299:$299</definedName>
    <definedName name="z_I9KH3H0125_MO_IS_Netsystemsales">Model!$298:$298</definedName>
    <definedName name="z_I9KH3H0125_MO_IS_Otherincome">Model!$305:$305</definedName>
    <definedName name="z_I9KH3H0125_MO_IS_Profitlossrelatedtoequitymethodinvestments">Model!$317:$317</definedName>
    <definedName name="z_I9KH3H0125_MO_IS_Provisionforincometaxes">Model!$315:$315</definedName>
    <definedName name="z_I9KH3H0125_MO_IS_Researchanddevelopmentcosts">Model!$306:$306</definedName>
    <definedName name="z_I9KH3H0125_MO_IS_Selling">Model!$307:$307</definedName>
    <definedName name="z_I9KH3H0125_MO_IS_Totalcostofsales">Model!$303:$303</definedName>
    <definedName name="z_I9KH3H0125_MO_IS_Totalnetsales">Model!$300:$300</definedName>
    <definedName name="z_I9KH3H0125_MO_MA_AddbackDAMargin">Model!$291:$291</definedName>
    <definedName name="z_I9KH3H0125_MO_MA_AddbackSBCMargin">Model!$292:$292</definedName>
    <definedName name="z_I9KH3H0125_MO_MA_AdjustedEBITDAMargin">Model!$294:$294</definedName>
    <definedName name="z_I9KH3H0125_MO_MA_AdjustedEBITMargin">Model!$288:$288</definedName>
    <definedName name="z_I9KH3H0125_MO_MA_AverageFXRate">Model!$459:$459</definedName>
    <definedName name="z_I9KH3H0125_MO_MA_COGSMargin">Model!$277:$277</definedName>
    <definedName name="z_I9KH3H0125_MO_MA_COGSMargin_1">Model!$280:$280</definedName>
    <definedName name="z_I9KH3H0125_MO_MA_COGSMargin_3">"Deleted"</definedName>
    <definedName name="z_I9KH3H0125_MO_MA_COGSMarginExcludingDA">"Deleted"</definedName>
    <definedName name="z_I9KH3H0125_MO_MA_ConsensusEstimatesAdjustedEBITDAMargin">Model!$295:$295</definedName>
    <definedName name="z_I9KH3H0125_MO_MA_ConsensusEstimatesAdjustedEBITMargin">Model!$289:$289</definedName>
    <definedName name="z_I9KH3H0125_MO_MA_ConsensusEstimatesGrossMargin">Model!$282:$282</definedName>
    <definedName name="z_I9KH3H0125_MO_MA_EBITDAMargin">Model!$293:$293</definedName>
    <definedName name="z_I9KH3H0125_MO_MA_EBITMargin">Model!$287:$287</definedName>
    <definedName name="z_I9KH3H0125_MO_MA_EoPFXRate">Model!$460:$460</definedName>
    <definedName name="z_I9KH3H0125_MO_MA_GrossMargin_3">"Deleted"</definedName>
    <definedName name="z_I9KH3H0125_MO_MA_GrossMarginExcludingDA">Model!$278:$278</definedName>
    <definedName name="z_I9KH3H0125_MO_MA_GrossMarginExcludingDA_1">"Deleted"</definedName>
    <definedName name="z_I9KH3H0125_MO_MA_GrossMarginIncludingDA">Model!$281:$281</definedName>
    <definedName name="z_I9KH3H0125_MO_MA_OtherMargin">Model!$286:$286</definedName>
    <definedName name="z_I9KH3H0125_MO_MA_RDMargin_1">Model!$285:$285</definedName>
    <definedName name="z_I9KH3H0125_MO_MA_SGAMargin">Model!$284:$284</definedName>
    <definedName name="z_I9KH3H0125_MO_MA_StockEoP">Model!$458:$458</definedName>
    <definedName name="z_I9KH3H0125_MO_MA_StockPriceTradingCurAvg">Model!$461:$461</definedName>
    <definedName name="z_I9KH3H0125_MO_OS_Accountspayable">Model!$610:$610</definedName>
    <definedName name="z_I9KH3H0125_MO_OS_AccountspayableYYChange">Model!$619:$619</definedName>
    <definedName name="z_I9KH3H0125_MO_OS_Accountsreceivablenet">Model!$605:$605</definedName>
    <definedName name="z_I9KH3H0125_MO_OS_AccountsreceivablenetYYChange">Model!$614:$614</definedName>
    <definedName name="z_I9KH3H0125_MO_OS_Accruedandotherliabilities_1">Model!$609:$609</definedName>
    <definedName name="z_I9KH3H0125_MO_OS_AccruedandotherliabilitiesYYChange">Model!$618:$618</definedName>
    <definedName name="z_I9KH3H0125_MO_OS_AddbackDA">Model!$96:$96</definedName>
    <definedName name="z_I9KH3H0125_MO_OS_AddbackSBC">Model!$97:$97</definedName>
    <definedName name="z_I9KH3H0125_MO_OS_Amortizationofintangibles">Model!$111:$111</definedName>
    <definedName name="z_I9KH3H0125_MO_OS_Amortizationrelatedtocostofsales">Model!$108:$108</definedName>
    <definedName name="z_I9KH3H0125_MO_OS_AmortizationrelatedtoRDcosts">Model!$109:$109</definedName>
    <definedName name="z_I9KH3H0125_MO_OS_AmortizationrelatedtoSGA">Model!$110:$110</definedName>
    <definedName name="z_I9KH3H0125_MO_OS_ArFipriceunit">"Deleted"</definedName>
    <definedName name="z_I9KH3H0125_MO_OS_ArFisales">Model!$34:$34</definedName>
    <definedName name="z_I9KH3H0125_MO_OS_ArFisales_1">Model!$12:$12</definedName>
    <definedName name="z_I9KH3H0125_MO_OS_ArFisales_2">Model!$54:$54</definedName>
    <definedName name="z_I9KH3H0125_MO_OS_ArFisalesgrowth">Model!$44:$44</definedName>
    <definedName name="z_I9KH3H0125_MO_OS_ArFiunitprice">Model!$22:$22</definedName>
    <definedName name="z_I9KH3H0125_MO_OS_ArFpriceunit">Model!$24:$24</definedName>
    <definedName name="z_I9KH3H0125_MO_OS_ArFsales">Model!$35:$35</definedName>
    <definedName name="z_I9KH3H0125_MO_OS_ArFsales_1">Model!$13:$13</definedName>
    <definedName name="z_I9KH3H0125_MO_OS_ArFsales_2">Model!$55:$55</definedName>
    <definedName name="z_I9KH3H0125_MO_OS_ArFsalesgrowth">Model!$45:$45</definedName>
    <definedName name="z_I9KH3H0125_MO_OS_AverageNetherlandsemployees">Model!$268:$268</definedName>
    <definedName name="z_I9KH3H0125_MO_OS_AverageworldwideincludingNetherlandsemployees">Model!$269:$269</definedName>
    <definedName name="z_I9KH3H0125_MO_OS_ChinaLonglivedassets">Model!$240:$240</definedName>
    <definedName name="z_I9KH3H0125_MO_OS_Chinarevenues">Model!$131:$131</definedName>
    <definedName name="z_I9KH3H0125_MO_OS_Chinarevenues_1">Model!$142:$142</definedName>
    <definedName name="z_I9KH3H0125_MO_OS_Chinarevenues_2">Model!$216:$216</definedName>
    <definedName name="z_I9KH3H0125_MO_OS_Chinarevenuesmix">Model!$229:$229</definedName>
    <definedName name="z_I9KH3H0125_MO_OS_COGS">Model!$71:$71</definedName>
    <definedName name="z_I9KH3H0125_MO_OS_ConsensusEstimatesAdjustedEBIT">Model!$90:$90</definedName>
    <definedName name="z_I9KH3H0125_MO_OS_ConsensusEstimatesAdjustedEBITMargin">Model!$93:$93</definedName>
    <definedName name="z_I9KH3H0125_MO_OS_ConsensusEstimatesGrossMargin">Model!$75:$75</definedName>
    <definedName name="z_I9KH3H0125_MO_OS_Contractliabilitiescurrent">Model!$611:$611</definedName>
    <definedName name="z_I9KH3H0125_MO_OS_ContractliabilitiescurrentYYChange">Model!$620:$620</definedName>
    <definedName name="z_I9KH3H0125_MO_OS_CoverPageOrdinarySharesOutstandingEoP">Model!$388:$388</definedName>
    <definedName name="z_I9KH3H0125_MO_OS_Currenttaxliabilities">Model!$612:$612</definedName>
    <definedName name="z_I9KH3H0125_MO_OS_CurrenttaxliabilitiesYYChange">Model!$621:$621</definedName>
    <definedName name="z_I9KH3H0125_MO_OS_Customersupportemployees">Model!$258:$258</definedName>
    <definedName name="z_I9KH3H0125_MO_OS_DateofCoverPageShareCount">Model!$389:$389</definedName>
    <definedName name="z_I9KH3H0125_MO_OS_DepreciationofPPE">Model!$107:$107</definedName>
    <definedName name="z_I9KH3H0125_MO_OS_Depreciationrelatedtocostofsales">Model!$104:$104</definedName>
    <definedName name="z_I9KH3H0125_MO_OS_DepreciationrelatedtoRDcosts">Model!$105:$105</definedName>
    <definedName name="z_I9KH3H0125_MO_OS_DepreciationrelatedtoSGA">Model!$106:$106</definedName>
    <definedName name="z_I9KH3H0125_MO_OS_Dilutedsharecounttobasicsharecountratio">Model!$392:$392</definedName>
    <definedName name="z_I9KH3H0125_MO_OS_DilutiveShares">Model!$391:$391</definedName>
    <definedName name="z_I9KH3H0125_MO_OS_EBIT">Model!$89:$89</definedName>
    <definedName name="z_I9KH3H0125_MO_OS_EBITDA">Model!$98:$98</definedName>
    <definedName name="z_I9KH3H0125_MO_OS_EBITDAmargin">Model!$100:$100</definedName>
    <definedName name="z_I9KH3H0125_MO_OS_EBITmargin">Model!$92:$92</definedName>
    <definedName name="z_I9KH3H0125_MO_OS_EMEALonglivedassets">Model!$243:$243</definedName>
    <definedName name="z_I9KH3H0125_MO_OS_EMEArevenues">Model!$128:$128</definedName>
    <definedName name="z_I9KH3H0125_MO_OS_EMEArevenues_1">Model!$139:$139</definedName>
    <definedName name="z_I9KH3H0125_MO_OS_EMEArevenues_2">Model!$219:$219</definedName>
    <definedName name="z_I9KH3H0125_MO_OS_EMEArevenuesinclNL">Model!$223:$223</definedName>
    <definedName name="z_I9KH3H0125_MO_OS_EMEArevenuesmix">Model!$232:$232</definedName>
    <definedName name="z_I9KH3H0125_MO_OS_EoPTotalDilutedOrdinarySharesOutstanding">Model!$394:$394</definedName>
    <definedName name="z_I9KH3H0125_MO_OS_EUV3400Bunits">Model!$8:$8</definedName>
    <definedName name="z_I9KH3H0125_MO_OS_EUV3400Cunits">Model!$7:$7</definedName>
    <definedName name="z_I9KH3H0125_MO_OS_EUVBookings">Model!$193:$193</definedName>
    <definedName name="z_I9KH3H0125_MO_OS_EUVBookingsasofNetBookings">Model!$194:$194</definedName>
    <definedName name="z_I9KH3H0125_MO_OS_EUVpriceunit">Model!$20:$20</definedName>
    <definedName name="z_I9KH3H0125_MO_OS_EUVsales">Model!$33:$33</definedName>
    <definedName name="z_I9KH3H0125_MO_OS_EUVsales_1">Model!$11:$11</definedName>
    <definedName name="z_I9KH3H0125_MO_OS_EUVsales_2">Model!$53:$53</definedName>
    <definedName name="z_I9KH3H0125_MO_OS_EUVsalesgrowth">Model!$43:$43</definedName>
    <definedName name="z_I9KH3H0125_MO_OS_Financereceivablesnet">Model!$606:$606</definedName>
    <definedName name="z_I9KH3H0125_MO_OS_FinancereceivablesnetYYChange">Model!$615:$615</definedName>
    <definedName name="z_I9KH3H0125_MO_OS_Foundrybookings">Model!$196:$196</definedName>
    <definedName name="z_I9KH3H0125_MO_OS_Foundrybookings_1">Model!$202:$202</definedName>
    <definedName name="z_I9KH3H0125_MO_OS_Foundryrevenueasaofbookings">Model!$161:$161</definedName>
    <definedName name="z_I9KH3H0125_MO_OS_Foundrysales">Model!$148:$148</definedName>
    <definedName name="z_I9KH3H0125_MO_OS_Foundrysales_1">Model!$155:$155</definedName>
    <definedName name="z_I9KH3H0125_MO_OS_Foundrysales_2">"Deleted"</definedName>
    <definedName name="z_I9KH3H0125_MO_OS_Generaladministrativeemployees">Model!$261:$261</definedName>
    <definedName name="z_I9KH3H0125_MO_OS_GrossMargin">Model!$74:$74</definedName>
    <definedName name="z_I9KH3H0125_MO_OS_Grossprofit">Model!$72:$72</definedName>
    <definedName name="z_I9KH3H0125_MO_OS_IDMbookings">Model!$197:$197</definedName>
    <definedName name="z_I9KH3H0125_MO_OS_IDMbookings_1">Model!$203:$203</definedName>
    <definedName name="z_I9KH3H0125_MO_OS_IDMrevenueasaofbookings">Model!$162:$162</definedName>
    <definedName name="z_I9KH3H0125_MO_OS_IDMsales">Model!$149:$149</definedName>
    <definedName name="z_I9KH3H0125_MO_OS_IDMsales_1">Model!$156:$156</definedName>
    <definedName name="z_I9KH3H0125_MO_OS_IDMsales_2">"Deleted"</definedName>
    <definedName name="z_I9KH3H0125_MO_OS_ilinepriceunit">"Deleted"</definedName>
    <definedName name="z_I9KH3H0125_MO_OS_ilinesales">Model!$37:$37</definedName>
    <definedName name="z_I9KH3H0125_MO_OS_ilinesales_1">Model!$15:$15</definedName>
    <definedName name="z_I9KH3H0125_MO_OS_ilinesales_2">Model!$57:$57</definedName>
    <definedName name="z_I9KH3H0125_MO_OS_ilinesalesgrowth">Model!$47:$47</definedName>
    <definedName name="z_I9KH3H0125_MO_OS_ilineunitprice">Model!$28:$28</definedName>
    <definedName name="z_I9KH3H0125_MO_OS_Installedbasemanagementsales">Model!$147:$147</definedName>
    <definedName name="z_I9KH3H0125_MO_OS_Installedbasemanagementsales_1">Model!$154:$154</definedName>
    <definedName name="z_I9KH3H0125_MO_OS_Inventoriesnet">Model!$607:$607</definedName>
    <definedName name="z_I9KH3H0125_MO_OS_InventoriesnetYYChange">Model!$616:$616</definedName>
    <definedName name="z_I9KH3H0125_MO_OS_JapanLonglivedassets">Model!$236:$236</definedName>
    <definedName name="z_I9KH3H0125_MO_OS_Japanrevenues">Model!$130:$130</definedName>
    <definedName name="z_I9KH3H0125_MO_OS_Japanrevenues_1">Model!$141:$141</definedName>
    <definedName name="z_I9KH3H0125_MO_OS_Japanrevenues_2">Model!$212:$212</definedName>
    <definedName name="z_I9KH3H0125_MO_OS_Japanrevenuesmix">Model!$225:$225</definedName>
    <definedName name="z_I9KH3H0125_MO_OS_KoreaLonglivedassets">Model!$237:$237</definedName>
    <definedName name="z_I9KH3H0125_MO_OS_Korearevenues">Model!$126:$126</definedName>
    <definedName name="z_I9KH3H0125_MO_OS_Korearevenues_1">Model!$137:$137</definedName>
    <definedName name="z_I9KH3H0125_MO_OS_Korearevenues_2">Model!$213:$213</definedName>
    <definedName name="z_I9KH3H0125_MO_OS_Korearevenuesmix">Model!$226:$226</definedName>
    <definedName name="z_I9KH3H0125_MO_OS_KrFpriceunit">"Deleted"</definedName>
    <definedName name="z_I9KH3H0125_MO_OS_KrFsales">Model!$36:$36</definedName>
    <definedName name="z_I9KH3H0125_MO_OS_KrFsales_1">Model!$14:$14</definedName>
    <definedName name="z_I9KH3H0125_MO_OS_KrFsales_2">Model!$56:$56</definedName>
    <definedName name="z_I9KH3H0125_MO_OS_KrFsalesgrowth">Model!$46:$46</definedName>
    <definedName name="z_I9KH3H0125_MO_OS_KrFunitprice">Model!$26:$26</definedName>
    <definedName name="z_I9KH3H0125_MO_OS_LogicNetsystemsales">Model!$117:$117</definedName>
    <definedName name="z_I9KH3H0125_MO_OS_Logicnetsystemsalesasoftotalnetsystemsales">Model!$121:$121</definedName>
    <definedName name="z_I9KH3H0125_MO_OS_LogicNetsystemsalesinunits">Model!$175:$175</definedName>
    <definedName name="z_I9KH3H0125_MO_OS_LTMNetsystemsbookings">Model!$185:$185</definedName>
    <definedName name="z_I9KH3H0125_MO_OS_Manufacturingandsupplychainmanagementemployees">Model!$259:$259</definedName>
    <definedName name="z_I9KH3H0125_MO_OS_Memorybookings">Model!$199:$199</definedName>
    <definedName name="z_I9KH3H0125_MO_OS_Memorybookings_1">Model!$205:$205</definedName>
    <definedName name="z_I9KH3H0125_MO_OS_MemoryNetsystemsales">Model!$118:$118</definedName>
    <definedName name="z_I9KH3H0125_MO_OS_Memorynetsystemsalesasoftotalnetsystemsales">Model!$122:$122</definedName>
    <definedName name="z_I9KH3H0125_MO_OS_MemoryNetsystemsalesinunits">Model!$176:$176</definedName>
    <definedName name="z_I9KH3H0125_MO_OS_Memorysales">Model!$151:$151</definedName>
    <definedName name="z_I9KH3H0125_MO_OS_Memorysales_1">Model!$158:$158</definedName>
    <definedName name="z_I9KH3H0125_MO_OS_Memorysales_2">"Deleted"</definedName>
    <definedName name="z_I9KH3H0125_MO_OS_MetrologyInspectionpriceunit">Model!$30:$30</definedName>
    <definedName name="z_I9KH3H0125_MO_OS_MetrologyInspectionsales">Model!$38:$38</definedName>
    <definedName name="z_I9KH3H0125_MO_OS_MetrologyInspectionsales_1">Model!$17:$17</definedName>
    <definedName name="z_I9KH3H0125_MO_OS_MetrologyInspectionsales_2">Model!$58:$58</definedName>
    <definedName name="z_I9KH3H0125_MO_OS_MetrologyInspectionsalesgrowth">Model!$48:$48</definedName>
    <definedName name="z_I9KH3H0125_MO_OS_MetrologyInspectionunitpricegrowth">Model!$31:$31</definedName>
    <definedName name="z_I9KH3H0125_MO_OS_Netbookings">Model!$189:$189</definedName>
    <definedName name="z_I9KH3H0125_MO_OS_NetherlandsLonglivedassets">Model!$242:$242</definedName>
    <definedName name="z_I9KH3H0125_MO_OS_Netherlandsrevenues">Model!$133:$133</definedName>
    <definedName name="z_I9KH3H0125_MO_OS_Netherlandsrevenues_1">Model!$144:$144</definedName>
    <definedName name="z_I9KH3H0125_MO_OS_Netherlandsrevenues_2">Model!$218:$218</definedName>
    <definedName name="z_I9KH3H0125_MO_OS_Netherlandsrevenuesmix">Model!$231:$231</definedName>
    <definedName name="z_I9KH3H0125_MO_OS_Netlithographysystemsbookings">Model!$182:$182</definedName>
    <definedName name="z_I9KH3H0125_MO_OS_Netlithographysystemssold">Model!$173:$173</definedName>
    <definedName name="z_I9KH3H0125_MO_OS_Netserviceandfieldoptionsales">Model!$40:$40</definedName>
    <definedName name="z_I9KH3H0125_MO_OS_Netserviceandfieldoptionsalesgrowth">Model!$50:$50</definedName>
    <definedName name="z_I9KH3H0125_MO_OS_Netsystemsales_1">Model!$168:$168</definedName>
    <definedName name="z_I9KH3H0125_MO_OS_Newlithographysystemsbookings">Model!$180:$180</definedName>
    <definedName name="z_I9KH3H0125_MO_OS_Newlithographysystemssold">Model!$171:$171</definedName>
    <definedName name="z_I9KH3H0125_MO_OS_Newsystems">Model!$166:$166</definedName>
    <definedName name="z_I9KH3H0125_MO_OS_Newsystemsbookings">Model!$187:$187</definedName>
    <definedName name="z_I9KH3H0125_MO_OS_Numberofpayrollemployees">Model!$254:$254</definedName>
    <definedName name="z_I9KH3H0125_MO_OS_Numberoftemporaryemployees">Model!$255:$255</definedName>
    <definedName name="z_I9KH3H0125_MO_OS_OrdinarySharesOutstandingEoP">Model!$380:$380</definedName>
    <definedName name="z_I9KH3H0125_MO_OS_Other_3">Model!$88:$88</definedName>
    <definedName name="z_I9KH3H0125_MO_OS_Otherassets">Model!$608:$608</definedName>
    <definedName name="z_I9KH3H0125_MO_OS_OtherassetsYYChange">Model!$617:$617</definedName>
    <definedName name="z_I9KH3H0125_MO_OS_OtherDA">Model!$112:$112</definedName>
    <definedName name="z_I9KH3H0125_MO_OS_Pensionandretirementexpenses">Model!$250:$250</definedName>
    <definedName name="z_I9KH3H0125_MO_OS_QQbasicshareexpansionEoP">Model!$385:$385</definedName>
    <definedName name="z_I9KH3H0125_MO_OS_QQbasicshareexpansionfromdilutivesecurities">Model!$381:$381</definedName>
    <definedName name="z_I9KH3H0125_MO_OS_QQbasicshareexpansionfromshareissuancebuyback">Model!$383:$383</definedName>
    <definedName name="z_I9KH3H0125_MO_OS_QQNetsystemsbookingsgrowth">Model!$183:$183</definedName>
    <definedName name="z_I9KH3H0125_MO_OS_RD">Model!$78:$78</definedName>
    <definedName name="z_I9KH3H0125_MO_OS_RDmargin">Model!$80:$80</definedName>
    <definedName name="z_I9KH3H0125_MO_OS_Recognizedrevenueasofbookings">Model!$191:$191</definedName>
    <definedName name="z_I9KH3H0125_MO_OS_RemainingperformanceobligationsRPOs">Model!$209:$209</definedName>
    <definedName name="z_I9KH3H0125_MO_OS_Researchanddevelopmentemployees">Model!$263:$263</definedName>
    <definedName name="z_I9KH3H0125_MO_OS_RestofAsiaLonglivedassets">Model!$241:$241</definedName>
    <definedName name="z_I9KH3H0125_MO_OS_RestofAsiarevenues">Model!$129:$129</definedName>
    <definedName name="z_I9KH3H0125_MO_OS_RestofAsiarevenues_1">Model!$140:$140</definedName>
    <definedName name="z_I9KH3H0125_MO_OS_RestofAsiarevenues_2">Model!$217:$217</definedName>
    <definedName name="z_I9KH3H0125_MO_OS_RestofAsiarevenuesmix">Model!$230:$230</definedName>
    <definedName name="z_I9KH3H0125_MO_OS_Revenue">Model!$70:$70</definedName>
    <definedName name="z_I9KH3H0125_MO_OS_Salesandmatureproductsandservicesemployees">Model!$262:$262</definedName>
    <definedName name="z_I9KH3H0125_MO_OS_Salestolargestcustomerasaoftotalnetsales">Model!$272:$272</definedName>
    <definedName name="z_I9KH3H0125_MO_OS_Salestosecondlargestcustomerasaoftotalnetsales">Model!$273:$273</definedName>
    <definedName name="z_I9KH3H0125_MO_OS_Salestotwolargestcustomersasaoftotalnetsales">Model!$274:$274</definedName>
    <definedName name="z_I9KH3H0125_MO_OS_SGA">Model!$83:$83</definedName>
    <definedName name="z_I9KH3H0125_MO_OS_SGAmargin">Model!$85:$85</definedName>
    <definedName name="z_I9KH3H0125_MO_OS_Sharebasedpayments">Model!$251:$251</definedName>
    <definedName name="z_I9KH3H0125_MO_OS_SingaporeLonglivedassets">Model!$238:$238</definedName>
    <definedName name="z_I9KH3H0125_MO_OS_Singaporerevenues">Model!$132:$132</definedName>
    <definedName name="z_I9KH3H0125_MO_OS_Singaporerevenues_1">Model!$143:$143</definedName>
    <definedName name="z_I9KH3H0125_MO_OS_Singaporerevenues_2">Model!$214:$214</definedName>
    <definedName name="z_I9KH3H0125_MO_OS_Singaporerevenuesmix">Model!$227:$227</definedName>
    <definedName name="z_I9KH3H0125_MO_OS_Socialsecurityexpenses">Model!$249:$249</definedName>
    <definedName name="z_I9KH3H0125_MO_OS_Strategicsupplymanagementemployees">Model!$260:$260</definedName>
    <definedName name="z_I9KH3H0125_MO_OS_Systemsbacklog">Model!$208:$208</definedName>
    <definedName name="z_I9KH3H0125_MO_OS_TaiwanLonglivedassets">Model!$239:$239</definedName>
    <definedName name="z_I9KH3H0125_MO_OS_Taiwanrevenues">Model!$125:$125</definedName>
    <definedName name="z_I9KH3H0125_MO_OS_Taiwanrevenues_1">Model!$136:$136</definedName>
    <definedName name="z_I9KH3H0125_MO_OS_Taiwanrevenues_2">Model!$215:$215</definedName>
    <definedName name="z_I9KH3H0125_MO_OS_Taiwanrevenuesmix">Model!$228:$228</definedName>
    <definedName name="z_I9KH3H0125_MO_OS_Temporaryemployees">Model!$265:$265</definedName>
    <definedName name="z_I9KH3H0125_MO_OS_Totalbookings">Model!$200:$200</definedName>
    <definedName name="z_I9KH3H0125_MO_OS_Totalbookings_1">Model!$206:$206</definedName>
    <definedName name="z_I9KH3H0125_MO_OS_TotalDA">Model!$113:$113</definedName>
    <definedName name="z_I9KH3H0125_MO_OS_Totalemployeecount">Model!$256:$256</definedName>
    <definedName name="z_I9KH3H0125_MO_OS_Totalemployees">Model!$264:$264</definedName>
    <definedName name="z_I9KH3H0125_MO_OS_TotalLogicbookings">Model!$198:$198</definedName>
    <definedName name="z_I9KH3H0125_MO_OS_TotalLogicbookings_1">Model!$204:$204</definedName>
    <definedName name="z_I9KH3H0125_MO_OS_Totallogicrevenueasaofbookings">Model!$163:$163</definedName>
    <definedName name="z_I9KH3H0125_MO_OS_TotalLogicsales">Model!$157:$157</definedName>
    <definedName name="z_I9KH3H0125_MO_OS_TotalLogicsales_1">"Deleted"</definedName>
    <definedName name="z_I9KH3H0125_MO_OS_TotalLonglivedassets">Model!$245:$245</definedName>
    <definedName name="z_I9KH3H0125_MO_OS_Totalmemoryrevenueasaofbookings">Model!$164:$164</definedName>
    <definedName name="z_I9KH3H0125_MO_OS_Totalnetsales">Model!$152:$152</definedName>
    <definedName name="z_I9KH3H0125_MO_OS_Totalnetsales_1">Model!$159:$159</definedName>
    <definedName name="z_I9KH3H0125_MO_OS_Totalnetsystemsales">Model!$39:$39</definedName>
    <definedName name="z_I9KH3H0125_MO_OS_Totalnetsystemsales_1">Model!$18:$18</definedName>
    <definedName name="z_I9KH3H0125_MO_OS_Totalnetsystemsales_2">Model!$59:$59</definedName>
    <definedName name="z_I9KH3H0125_MO_OS_Totalnetsystemsales_3">"Deleted"</definedName>
    <definedName name="z_I9KH3H0125_MO_OS_TotalNetsystemsales_5">Model!$119:$119</definedName>
    <definedName name="z_I9KH3H0125_MO_OS_Totalnetsystemsalesbyenduse">Model!$123:$123</definedName>
    <definedName name="z_I9KH3H0125_MO_OS_Totalnetsystemsalesgrowth">Model!$49:$49</definedName>
    <definedName name="z_I9KH3H0125_MO_OS_TotalNetsystemsalesinunits">Model!$177:$177</definedName>
    <definedName name="z_I9KH3H0125_MO_OS_Totalpayrollemployees">Model!$266:$266</definedName>
    <definedName name="z_I9KH3H0125_MO_OS_Totalpersonnelexpenses">Model!$252:$252</definedName>
    <definedName name="z_I9KH3H0125_MO_OS_TotalRevenueGrowth">Model!$51:$51</definedName>
    <definedName name="z_I9KH3H0125_MO_OS_TotalRevenues">Model!$41:$41</definedName>
    <definedName name="z_I9KH3H0125_MO_OS_TotalRevenues_1">Model!$134:$134</definedName>
    <definedName name="z_I9KH3H0125_MO_OS_TotalRevenues_2">Model!$145:$145</definedName>
    <definedName name="z_I9KH3H0125_MO_OS_Totalrevenues_3">Model!$221:$221</definedName>
    <definedName name="z_I9KH3H0125_MO_OS_Totalrevenuesmix">Model!$234:$234</definedName>
    <definedName name="z_I9KH3H0125_MO_OS_UnitedStatesLonglivedassets">Model!$244:$244</definedName>
    <definedName name="z_I9KH3H0125_MO_OS_UnitedStatesrevenues">Model!$127:$127</definedName>
    <definedName name="z_I9KH3H0125_MO_OS_UnitedStatesrevenues_1">Model!$138:$138</definedName>
    <definedName name="z_I9KH3H0125_MO_OS_UnitedStatesrevenues_2">Model!$220:$220</definedName>
    <definedName name="z_I9KH3H0125_MO_OS_UnitedStatesrevenuesmix">Model!$233:$233</definedName>
    <definedName name="z_I9KH3H0125_MO_OS_Usedlithographysystemsbookings">Model!$181:$181</definedName>
    <definedName name="z_I9KH3H0125_MO_OS_Usedlithographysystemssold">Model!$172:$172</definedName>
    <definedName name="z_I9KH3H0125_MO_OS_Usedsystemnsbookings">Model!$188:$188</definedName>
    <definedName name="z_I9KH3H0125_MO_OS_Usedsystems">Model!$167:$167</definedName>
    <definedName name="z_I9KH3H0125_MO_OS_Wagesandsalaries">Model!$248:$248</definedName>
    <definedName name="z_I9KH3H0125_MO_OS_YoYnetbookingsgrowth">Model!$190:$190</definedName>
    <definedName name="z_I9KH3H0125_MO_OS_YTDTotalLogicsales">Model!$150:$150</definedName>
    <definedName name="z_I9KH3H0125_MO_OS_YYArFiunitpricegrowth">Model!$23:$23</definedName>
    <definedName name="z_I9KH3H0125_MO_OS_YYArFunitpricegrowth">Model!$25:$25</definedName>
    <definedName name="z_I9KH3H0125_MO_OS_YYbasicshareexpansionEoP">Model!$386:$386</definedName>
    <definedName name="z_I9KH3H0125_MO_OS_YYbasicshareexpansionfromdilutivesecurities">Model!$382:$382</definedName>
    <definedName name="z_I9KH3H0125_MO_OS_YYbasicshareexpansionfromshareissuancebuyback">Model!$384:$384</definedName>
    <definedName name="z_I9KH3H0125_MO_OS_YYEBITDAgrowth">Model!$99:$99</definedName>
    <definedName name="z_I9KH3H0125_MO_OS_YYEBITDAmarginimprovement">Model!$101:$101</definedName>
    <definedName name="z_I9KH3H0125_MO_OS_YYEBITgrowth">Model!$91:$91</definedName>
    <definedName name="z_I9KH3H0125_MO_OS_YYEBITmarginimprovement">Model!$94:$94</definedName>
    <definedName name="z_I9KH3H0125_MO_OS_YYEUVunitpricegrowth">Model!$21:$21</definedName>
    <definedName name="z_I9KH3H0125_MO_OS_YYGrossMarginimprovement">Model!$76:$76</definedName>
    <definedName name="z_I9KH3H0125_MO_OS_YYGrossProfitgrowth">Model!$73:$73</definedName>
    <definedName name="z_I9KH3H0125_MO_OS_YYilineunitpricegrowth">Model!$29:$29</definedName>
    <definedName name="z_I9KH3H0125_MO_OS_YYKrFunitpricegrowth">Model!$27:$27</definedName>
    <definedName name="z_I9KH3H0125_MO_OS_YYNetsystemsbookingsgrowth">Model!$184:$184</definedName>
    <definedName name="z_I9KH3H0125_MO_OS_YYRDgrowth">Model!$79:$79</definedName>
    <definedName name="z_I9KH3H0125_MO_OS_YYRDmarginimprovement">Model!$81:$81</definedName>
    <definedName name="z_I9KH3H0125_MO_OS_YYSGAgrowth">Model!$84:$84</definedName>
    <definedName name="z_I9KH3H0125_MO_OS_YYSGAmarginimprovement">Model!$86:$86</definedName>
    <definedName name="z_I9KH3H0125_MO_RIS_AdjustedEarningsPerShareWAD">Model!$372:$372</definedName>
    <definedName name="z_I9KH3H0125_MO_RIS_AdjustedEBITDANoAdjustments">Model!$345:$345</definedName>
    <definedName name="z_I9KH3H0125_MO_RIS_AdjustedEBITNoAdjustments">Model!$339:$339</definedName>
    <definedName name="z_I9KH3H0125_MO_RIS_AdjustedNetIncome">Model!$365:$365</definedName>
    <definedName name="z_I9KH3H0125_MO_RIS_AdjustedSharesOutstandingWAD">Model!$377:$377</definedName>
    <definedName name="z_I9KH3H0125_MO_RIS_AdjustmentsforConvertibleSecurities">Model!$361:$361</definedName>
    <definedName name="z_I9KH3H0125_MO_RIS_COGS_1">Model!$332:$332</definedName>
    <definedName name="z_I9KH3H0125_MO_RIS_ConsensusEstimatesAdjustedEarningsPerShareWAD">Model!$373:$373</definedName>
    <definedName name="z_I9KH3H0125_MO_RIS_ConsensusEstimatesAdjustedEBIT_1">Model!$340:$340</definedName>
    <definedName name="z_I9KH3H0125_MO_RIS_ConsensusEstimatesAdjustedEBITDA">Model!$346:$346</definedName>
    <definedName name="z_I9KH3H0125_MO_RIS_ConsensusEstimatesNetRevenue">Model!$330:$330</definedName>
    <definedName name="z_I9KH3H0125_MO_RIS_Currenttax">Model!$354:$354</definedName>
    <definedName name="z_I9KH3H0125_MO_RIS_Currenttaxrate">Model!$367:$367</definedName>
    <definedName name="z_I9KH3H0125_MO_RIS_DA">Model!$342:$342</definedName>
    <definedName name="z_I9KH3H0125_MO_RIS_Deferredtax">Model!$355:$355</definedName>
    <definedName name="z_I9KH3H0125_MO_RIS_Deferredtaxrate">Model!$368:$368</definedName>
    <definedName name="z_I9KH3H0125_MO_RIS_DilutedNetIncometoCommonShareholders">Model!$362:$362</definedName>
    <definedName name="z_I9KH3H0125_MO_RIS_DiscontinuedOperations">Model!$357:$357</definedName>
    <definedName name="z_I9KH3H0125_MO_RIS_EarningsPerShareWAB">Model!$370:$370</definedName>
    <definedName name="z_I9KH3H0125_MO_RIS_EarningsPerShareWAD">Model!$371:$371</definedName>
    <definedName name="z_I9KH3H0125_MO_RIS_EarningstoPreferredandOtherSecurities">Model!$359:$359</definedName>
    <definedName name="z_I9KH3H0125_MO_RIS_EBIT_2">Model!$338:$338</definedName>
    <definedName name="z_I9KH3H0125_MO_RIS_EBITDA">Model!$344:$344</definedName>
    <definedName name="z_I9KH3H0125_MO_RIS_EBITDA_1">"Deleted"</definedName>
    <definedName name="z_I9KH3H0125_MO_RIS_EBT">Model!$352:$352</definedName>
    <definedName name="z_I9KH3H0125_MO_RIS_GrossProfit">Model!$333:$333</definedName>
    <definedName name="z_I9KH3H0125_MO_RIS_Incomefromequitymethodinvestments">Model!$349:$349</definedName>
    <definedName name="z_I9KH3H0125_MO_RIS_Interestexpense">Model!$348:$348</definedName>
    <definedName name="z_I9KH3H0125_MO_RIS_NetIncomefromContinuedOperation">Model!$356:$356</definedName>
    <definedName name="z_I9KH3H0125_MO_RIS_NetIncometoCommonShareholders">Model!$360:$360</definedName>
    <definedName name="z_I9KH3H0125_MO_RIS_NetIncometoNCI">Model!$358:$358</definedName>
    <definedName name="z_I9KH3H0125_MO_RIS_NetRevenue">Model!$329:$329</definedName>
    <definedName name="z_I9KH3H0125_MO_RIS_NonGAAPAdjustments">Model!$363:$363</definedName>
    <definedName name="z_I9KH3H0125_MO_RIS_NonGAAPAdjustmentsforDilutiveSecurities">Model!$364:$364</definedName>
    <definedName name="z_I9KH3H0125_MO_RIS_Onetimeitem">Model!$351:$351</definedName>
    <definedName name="z_I9KH3H0125_MO_RIS_Other_1">Model!$337:$337</definedName>
    <definedName name="z_I9KH3H0125_MO_RIS_Otheritems">Model!$350:$350</definedName>
    <definedName name="z_I9KH3H0125_MO_RIS_RD_1">Model!$335:$335</definedName>
    <definedName name="z_I9KH3H0125_MO_RIS_SBC">Model!$343:$343</definedName>
    <definedName name="z_I9KH3H0125_MO_RIS_SGA">Model!$336:$336</definedName>
    <definedName name="z_I9KH3H0125_MO_RIS_SharesOutstandingWAB">Model!$375:$375</definedName>
    <definedName name="z_I9KH3H0125_MO_RIS_SharesOutstandingWAD">Model!$376:$376</definedName>
    <definedName name="z_I9KH3H0125_MO_Section_AN_AdjustedNumbers">"Deleted"</definedName>
    <definedName name="z_I9KH3H0125_MO_Section_AN_AdjustedNumbersAsReported">"Deleted"</definedName>
    <definedName name="z_I9KH3H0125_MO_Section_BS_BalanceSheet">Model!$623:$623</definedName>
    <definedName name="z_I9KH3H0125_MO_Section_BS_ModelChecks">Model!$687:$687</definedName>
    <definedName name="z_I9KH3H0125_MO_Section_BSS_BalanceSheetSummary">Model!$426:$426</definedName>
    <definedName name="z_I9KH3H0125_MO_Section_CCFS_CumulativeCashFlowStatement">Model!$468:$468</definedName>
    <definedName name="z_I9KH3H0125_MO_Section_CFS_CashFlowStatement">Model!$524:$524</definedName>
    <definedName name="z_I9KH3H0125_MO_Section_CFSum_CashFlowSummary">Model!$396:$396</definedName>
    <definedName name="z_I9KH3H0125_MO_Section_DAF_DAForecasting">Model!$582:$582</definedName>
    <definedName name="z_I9KH3H0125_MO_Section_IS_IncomeStatement">Model!$297:$297</definedName>
    <definedName name="z_I9KH3H0125_MO_Section_MA_MarginAnalysis">Model!$276:$276</definedName>
    <definedName name="z_I9KH3H0125_MO_Section_OS_AdjustedNumbersAsReported">Model!$322:$322</definedName>
    <definedName name="z_I9KH3H0125_MO_Section_OS_GrowthAnalysis">Model!$6:$6</definedName>
    <definedName name="z_I9KH3H0125_MO_Section_OS_KeyMetricsBookingsPRIP">Model!$179:$179</definedName>
    <definedName name="z_I9KH3H0125_MO_Section_OS_KeyMetricsCustomerConcentrationFS">Model!$271:$271</definedName>
    <definedName name="z_I9KH3H0125_MO_Section_OS_KeyMetricsNetSystemSalesBreakdownIP">Model!$116:$116</definedName>
    <definedName name="z_I9KH3H0125_MO_Section_OS_KeyMetricsPersonnelexpensesFS">Model!$247:$247</definedName>
    <definedName name="z_I9KH3H0125_MO_Section_OS_KeyMetricsPR">"Deleted"</definedName>
    <definedName name="z_I9KH3H0125_MO_Section_OS_KeyMetricsUnitsSoldPRIP">Model!$170:$170</definedName>
    <definedName name="z_I9KH3H0125_MO_Section_OS_OperatingExpenseForecasting">Model!$69:$69</definedName>
    <definedName name="z_I9KH3H0125_MO_Section_OS_SBCandDABreakdownFS">Model!$103:$103</definedName>
    <definedName name="z_I9KH3H0125_MO_Section_OS_SegmentedResultsGeographicBreakdownFS">Model!$211:$211</definedName>
    <definedName name="z_I9KH3H0125_MO_Section_OS_SegmentedResultsGeographicRevenueBreakdownFS">"Deleted"</definedName>
    <definedName name="z_I9KH3H0125_MO_Section_OS_SegmentedResultsRevenueBreakdownFS">"Deleted"</definedName>
    <definedName name="z_I9KH3H0125_MO_Section_OS_ShareCountAnalysis">Model!$379:$379</definedName>
    <definedName name="z_I9KH3H0125_MO_Section_OS_SupplementalInformation">Model!$115:$115</definedName>
    <definedName name="z_I9KH3H0125_MO_Section_OS_WorkingCapitalForecasting">Model!$604:$604</definedName>
    <definedName name="z_I9KH3H0125_MO_Section_RIS_RevisedIncomeStatement">Model!$328:$328</definedName>
    <definedName name="z_I9KH3H0125_MO_Section_SNA_Canalyst">Model!$836:$836</definedName>
    <definedName name="z_I9KH3H0125_MO_Section_SNA_OtherTables">Model!$710:$710</definedName>
    <definedName name="z_I9KH3H0125_MO_Section_VA_Valuation">Model!$444:$444</definedName>
    <definedName name="z_I9KH3H0125_MO_Unstructured_SNA_AdjustedEarningsPerShareWADNoAdjustments">Model!$729:$729</definedName>
    <definedName name="z_I9KH3H0125_MO_Unstructured_SNA_AdjustedEBITDANoAdjustments">Model!$727:$727</definedName>
    <definedName name="z_I9KH3H0125_MO_Unstructured_SNA_AdjustedEBITNoAdjustments">Model!$728:$728</definedName>
    <definedName name="z_I9KH3H0125_MO_Unstructured_SNA_AnnualGuidanceTable">Model!$764:$764</definedName>
    <definedName name="z_I9KH3H0125_MO_Unstructured_SNA_ApplicablePeriod">Model!$761:$761</definedName>
    <definedName name="z_I9KH3H0125_MO_Unstructured_SNA_ApplicablePeriod_1">Model!$767:$767</definedName>
    <definedName name="z_I9KH3H0125_MO_Unstructured_SNA_ApplyTradeCurrencyScaling">Model!$823:$823</definedName>
    <definedName name="z_I9KH3H0125_MO_Unstructured_SNA_ASMLAS">Model!$717:$717</definedName>
    <definedName name="z_I9KH3H0125_MO_Unstructured_SNA_ASMLEN">Model!$714:$714</definedName>
    <definedName name="z_I9KH3H0125_MO_Unstructured_SNA_ASMLEN_1">"Deleted"</definedName>
    <definedName name="z_I9KH3H0125_MO_Unstructured_SNA_ASMLNL">Model!$713:$713</definedName>
    <definedName name="z_I9KH3H0125_MO_Unstructured_SNA_ASMLNL_1">Model!$716:$716</definedName>
    <definedName name="z_I9KH3H0125_MO_Unstructured_SNA_Avg">Model!$722:$722</definedName>
    <definedName name="z_I9KH3H0125_MO_Unstructured_SNA_Bloomberg">Model!$787:$787</definedName>
    <definedName name="z_I9KH3H0125_MO_Unstructured_SNA_Bloomberg_1">Model!$794:$794</definedName>
    <definedName name="z_I9KH3H0125_MO_Unstructured_SNA_Bloomberg_2">Model!$801:$801</definedName>
    <definedName name="z_I9KH3H0125_MO_Unstructured_SNA_Bloomberg_3">Model!$808:$808</definedName>
    <definedName name="z_I9KH3H0125_MO_Unstructured_SNA_CapitalIQ">Model!$788:$788</definedName>
    <definedName name="z_I9KH3H0125_MO_Unstructured_SNA_CapitalIQ_1">Model!$795:$795</definedName>
    <definedName name="z_I9KH3H0125_MO_Unstructured_SNA_CapitalIQ_2">Model!$802:$802</definedName>
    <definedName name="z_I9KH3H0125_MO_Unstructured_SNA_CapitalIQ_3">Model!$809:$809</definedName>
    <definedName name="z_I9KH3H0125_MO_Unstructured_SNA_ConsensusEstimatesAdjustedEarningsPerShareWAD">Model!$777:$777</definedName>
    <definedName name="z_I9KH3H0125_MO_Unstructured_SNA_ConsensusEstimatesAdjustedEBIT_1">Model!$776:$776</definedName>
    <definedName name="z_I9KH3H0125_MO_Unstructured_SNA_ConsensusEstimatesAdjustedEBITDA">Model!$775:$775</definedName>
    <definedName name="z_I9KH3H0125_MO_Unstructured_SNA_ConsensusEstimatesCapex">Model!$779:$779</definedName>
    <definedName name="z_I9KH3H0125_MO_Unstructured_SNA_ConsensusEstimatesCashFlowPerDilutedShare">Model!$778:$778</definedName>
    <definedName name="z_I9KH3H0125_MO_Unstructured_SNA_ConsensusEstimatesGrossMargin">Model!$773:$773</definedName>
    <definedName name="z_I9KH3H0125_MO_Unstructured_SNA_ConsensusEstimatesNetRevenue">Model!$774:$774</definedName>
    <definedName name="z_I9KH3H0125_MO_Unstructured_SNA_ConsensusEstimateTable">Model!$770:$770</definedName>
    <definedName name="z_I9KH3H0125_MO_Unstructured_SNA_CurrentFiscalYear">Model!$831:$831</definedName>
    <definedName name="z_I9KH3H0125_MO_Unstructured_SNA_DataSourceIndex">Model!$834:$834</definedName>
    <definedName name="z_I9KH3H0125_MO_Unstructured_SNA_EBITinOPEXEBITinISAR">Model!$693:$693</definedName>
    <definedName name="z_I9KH3H0125_MO_Unstructured_SNA_ENASML">Model!$715:$715</definedName>
    <definedName name="z_I9KH3H0125_MO_Unstructured_SNA_EoP">Model!$723:$723</definedName>
    <definedName name="z_I9KH3H0125_MO_Unstructured_SNA_EVEBITDAAvg">Model!$730:$730</definedName>
    <definedName name="z_I9KH3H0125_MO_Unstructured_SNA_FactSet">Model!$789:$789</definedName>
    <definedName name="z_I9KH3H0125_MO_Unstructured_SNA_FactSet_1">Model!$796:$796</definedName>
    <definedName name="z_I9KH3H0125_MO_Unstructured_SNA_FactSet_2">Model!$803:$803</definedName>
    <definedName name="z_I9KH3H0125_MO_Unstructured_SNA_FactSet_3">Model!$810:$810</definedName>
    <definedName name="z_I9KH3H0125_MO_Unstructured_SNA_FirstForecastFiscalYear">Model!$832:$832</definedName>
    <definedName name="z_I9KH3H0125_MO_Unstructured_SNA_FiscalPeriodStartDate">Model!$783:$783</definedName>
    <definedName name="z_I9KH3H0125_MO_Unstructured_SNA_FXAverageRealTimeOffSource">Model!$806:$806</definedName>
    <definedName name="z_I9KH3H0125_MO_Unstructured_SNA_FXEoP">Model!$815:$815</definedName>
    <definedName name="z_I9KH3H0125_MO_Unstructured_SNA_FYorFQ">Model!$771:$771</definedName>
    <definedName name="z_I9KH3H0125_MO_Unstructured_SNA_GeneralTable">Model!$818:$818</definedName>
    <definedName name="z_I9KH3H0125_MO_Unstructured_SNA_High">Model!$720:$720</definedName>
    <definedName name="z_I9KH3H0125_MO_Unstructured_SNA_IsHistoricalPeriod">Model!$784:$784</definedName>
    <definedName name="z_I9KH3H0125_MO_Unstructured_SNA_IsLatest">Model!$766:$766</definedName>
    <definedName name="z_I9KH3H0125_MO_Unstructured_SNA_KeyOutputs">Model!$725:$725</definedName>
    <definedName name="z_I9KH3H0125_MO_Unstructured_SNA_KPICount">Model!$833:$833</definedName>
    <definedName name="z_I9KH3H0125_MO_Unstructured_SNA_KPIData">Model!$734:$734</definedName>
    <definedName name="z_I9KH3H0125_MO_Unstructured_SNA_LastPrice">Model!$819:$819</definedName>
    <definedName name="z_I9KH3H0125_MO_Unstructured_SNA_LastPriceDate">Model!$820:$820</definedName>
    <definedName name="z_I9KH3H0125_MO_Unstructured_SNA_LastPriceFormula">Model!$822:$822</definedName>
    <definedName name="z_I9KH3H0125_MO_Unstructured_SNA_LastWorkingDayInPeriod">Model!$813:$813</definedName>
    <definedName name="z_I9KH3H0125_MO_Unstructured_SNA_Low">Model!$721:$721</definedName>
    <definedName name="z_I9KH3H0125_MO_Unstructured_SNA_ModelSheetCurrencyHardcoded">Model!$826:$826</definedName>
    <definedName name="z_I9KH3H0125_MO_Unstructured_SNA_MOKPIBacklogEOP">Model!$744:$744</definedName>
    <definedName name="z_I9KH3H0125_MO_Unstructured_SNA_MOKPIOrdersValue">Model!$746:$746</definedName>
    <definedName name="z_I9KH3H0125_MO_Unstructured_SNA_MOKPIRevenueContributionLargestClient">Model!$747:$747</definedName>
    <definedName name="z_I9KH3H0125_MO_Unstructured_SNA_MOKPIRevenueContributionSecondLargestClient">Model!$748:$748</definedName>
    <definedName name="z_I9KH3H0125_MO_Unstructured_SNA_MOKPIREVGeoChina">Model!$751:$751</definedName>
    <definedName name="z_I9KH3H0125_MO_Unstructured_SNA_MOKPIREVGeoEurope">Model!$756:$756</definedName>
    <definedName name="z_I9KH3H0125_MO_Unstructured_SNA_MOKPIREVGeoJapan">Model!$752:$752</definedName>
    <definedName name="z_I9KH3H0125_MO_Unstructured_SNA_MOKPIREVGeoMalaysia">Model!$754:$754</definedName>
    <definedName name="z_I9KH3H0125_MO_Unstructured_SNA_MOKPIREVGeoSingapore">Model!$753:$753</definedName>
    <definedName name="z_I9KH3H0125_MO_Unstructured_SNA_MOKPIREVGeoSouthKorea">Model!$755:$755</definedName>
    <definedName name="z_I9KH3H0125_MO_Unstructured_SNA_MOKPIREVGeoTaiwan">Model!$750:$750</definedName>
    <definedName name="z_I9KH3H0125_MO_Unstructured_SNA_MOKPIREVGeoUS">Model!$749:$749</definedName>
    <definedName name="z_I9KH3H0125_MO_Unstructured_SNA_MOKPIREVSemiEquipment">Model!$743:$743</definedName>
    <definedName name="z_I9KH3H0125_MO_Unstructured_SNA_MOKPIREVSVCandSpares">Model!$742:$742</definedName>
    <definedName name="z_I9KH3H0125_MO_Unstructured_SNA_MOKPIREVSystems">Model!$741:$741</definedName>
    <definedName name="z_I9KH3H0125_MO_Unstructured_SNA_MOKPIRPO">Model!$745:$745</definedName>
    <definedName name="z_I9KH3H0125_MO_Unstructured_SNA_MOMAEBITDAAdj">Model!$739:$739</definedName>
    <definedName name="z_I9KH3H0125_MO_Unstructured_SNA_MOOSEmployeeCount">Model!$740:$740</definedName>
    <definedName name="z_I9KH3H0125_MO_Unstructured_SNA_MORISEBITDAAdj">Model!$738:$738</definedName>
    <definedName name="z_I9KH3H0125_MO_Unstructured_SNA_MORISEPSWADAdj">Model!$737:$737</definedName>
    <definedName name="z_I9KH3H0125_MO_Unstructured_SNA_MORISNINONGAAPDiluted">Model!$736:$736</definedName>
    <definedName name="z_I9KH3H0125_MO_Unstructured_SNA_MORISREV">Model!$735:$735</definedName>
    <definedName name="z_I9KH3H0125_MO_Unstructured_SNA_MostRecentFiscalPeriodMRFP">Model!$830:$830</definedName>
    <definedName name="z_I9KH3H0125_MO_Unstructured_SNA_MostRecentFX">Model!$827:$827</definedName>
    <definedName name="z_I9KH3H0125_MO_Unstructured_SNA_MostRecentFXHardcoded">Model!$828:$828</definedName>
    <definedName name="z_I9KH3H0125_MO_Unstructured_SNA_MRFPColumnNumber">Model!$829:$829</definedName>
    <definedName name="z_I9KH3H0125_MO_Unstructured_SNA_NetRevenue">Model!$726:$726</definedName>
    <definedName name="z_I9KH3H0125_MO_Unstructured_SNA_PEAvg">Model!$731:$731</definedName>
    <definedName name="z_I9KH3H0125_MO_Unstructured_SNA_Period">Model!$772:$772</definedName>
    <definedName name="z_I9KH3H0125_MO_Unstructured_SNA_QuarterlyGuidanceTable">Model!$759:$759</definedName>
    <definedName name="z_I9KH3H0125_MO_Unstructured_SNA_RealTimeOffSource">Model!$786:$786</definedName>
    <definedName name="z_I9KH3H0125_MO_Unstructured_SNA_RealTimeOffSource_1">Model!$793:$793</definedName>
    <definedName name="z_I9KH3H0125_MO_Unstructured_SNA_RealTimeOffSource_2">Model!$800:$800</definedName>
    <definedName name="z_I9KH3H0125_MO_Unstructured_SNA_RealTimeOffSource_3">Model!$807:$807</definedName>
    <definedName name="z_I9KH3H0125_MO_Unstructured_SNA_RealTimeStockPrice">Model!$821:$821</definedName>
    <definedName name="z_I9KH3H0125_MO_Unstructured_SNA_Refinitiv">Model!$790:$790</definedName>
    <definedName name="z_I9KH3H0125_MO_Unstructured_SNA_Refinitiv_1">Model!$797:$797</definedName>
    <definedName name="z_I9KH3H0125_MO_Unstructured_SNA_Refinitiv_2">Model!$804:$804</definedName>
    <definedName name="z_I9KH3H0125_MO_Unstructured_SNA_Refinitiv_3">Model!$811:$811</definedName>
    <definedName name="z_I9KH3H0125_MO_Unstructured_SNA_ReportingDate">Model!$760:$760</definedName>
    <definedName name="z_I9KH3H0125_MO_Unstructured_SNA_ReportingDate_1">Model!$765:$765</definedName>
    <definedName name="z_I9KH3H0125_MO_Unstructured_SNA_StockAverageRealTimeOffSource">Model!$799:$799</definedName>
    <definedName name="z_I9KH3H0125_MO_Unstructured_SNA_StockHighRealTimeOffSource">Model!$785:$785</definedName>
    <definedName name="z_I9KH3H0125_MO_Unstructured_SNA_StockLowRealTimeOffSource">Model!$792:$792</definedName>
    <definedName name="z_I9KH3H0125_MO_Unstructured_SNA_StockPriceEoP">Model!$814:$814</definedName>
    <definedName name="z_I9KH3H0125_MO_Unstructured_SNA_StockPriceTable">Model!$782:$782</definedName>
    <definedName name="z_I9KH3H0125_MO_Unstructured_SNA_TickerSymbol">Model!$712:$712</definedName>
    <definedName name="z_I9KH3H0125_MO_Unstructured_SNA_TradeCurrency">Model!$824:$824</definedName>
    <definedName name="z_I9KH3H0125_MO_Unstructured_SNA_TradeCurrencyHardcoded">Model!$825:$825</definedName>
    <definedName name="z_I9KH3H0125_MO_Unstructured_SNA_ValuationToggleTable">Model!$719:$719</definedName>
    <definedName name="z_I9KH3H0125_MO_VA_EnterpriseValueAverage">Model!$447:$447</definedName>
    <definedName name="z_I9KH3H0125_MO_VA_EnterpriseValueAvg">"Deleted"</definedName>
    <definedName name="z_I9KH3H0125_MO_VA_EnterpriseValueComponents">Model!$463:$463</definedName>
    <definedName name="z_I9KH3H0125_MO_VA_EnterpriseValueHigh">"Deleted"</definedName>
    <definedName name="z_I9KH3H0125_MO_VA_EnterpriseValueLow">"Deleted"</definedName>
    <definedName name="z_I9KH3H0125_MO_VA_EVEBITDAAverage">Model!$450:$450</definedName>
    <definedName name="z_I9KH3H0125_MO_VA_FCFYieldtoAverageEnterpriseValue">Model!$453:$453</definedName>
    <definedName name="z_I9KH3H0125_MO_VA_FCFYieldtoAverageMarketCap">Model!$452:$452</definedName>
    <definedName name="z_I9KH3H0125_MO_VA_MarketCapAverage">Model!$446:$446</definedName>
    <definedName name="z_I9KH3H0125_MO_VA_MarketCapAvg">"Deleted"</definedName>
    <definedName name="z_I9KH3H0125_MO_VA_MarketCapHigh">"Deleted"</definedName>
    <definedName name="z_I9KH3H0125_MO_VA_MarketCapLow">"Deleted"</definedName>
    <definedName name="z_I9KH3H0125_MO_VA_NoncontrollingInterest">Model!$464:$464</definedName>
    <definedName name="z_I9KH3H0125_MO_VA_OtherEVComponents">Model!$466:$466</definedName>
    <definedName name="z_I9KH3H0125_MO_VA_PCFAverage">Model!$451:$451</definedName>
    <definedName name="z_I9KH3H0125_MO_VA_PEAverage">Model!$449:$449</definedName>
    <definedName name="z_I9KH3H0125_MO_VA_PreferredShares">Model!$465:$465</definedName>
    <definedName name="z_I9KH3H0125_MO_VA_StockAvg">Model!$457:$457</definedName>
    <definedName name="z_I9KH3H0125_MO_VA_StockHigh">Model!$455:$455</definedName>
    <definedName name="z_I9KH3H0125_MO_VA_StockLow">Model!$456:$456</definedName>
    <definedName name="z_I9KH3H0125_MO_VA_StockPriceAverage">Model!$445:$445</definedName>
    <definedName name="AA.ModelColorScheme">"Classic"</definedName>
    <definedName name="AA.ColorizerVersion">"2.0.4.0"</definedName>
    <definedName name="WS.CanalystName" localSheetId="0">"Front Page"</definedName>
    <definedName name="WS.CanalystName" localSheetId="2">"Model"</definedName>
    <definedName name="_xlnm.Print_Titles" localSheetId="2">'Model'!$5:$5</definedName>
    <definedName name="_xlnm.Print_Area" localSheetId="2">'Model'!$A$1:$CB$683</definedName>
    <definedName name="_xlnm._FilterDatabase" localSheetId="3" hidden="1">'Guidance'!$A$5:$U$5</definedName>
    <definedName name="WS.CanalystName" localSheetId="4">"Summary Page"</definedName>
    <definedName name="_xlnm.Print_Area" localSheetId="4">'Summary Page'!$A$1:$CB$123</definedName>
    <definedName name="WS.CanalystName" localSheetId="5">"Update Log"</definedName>
  </definedNames>
  <calcPr calcId="124519" fullCalcOnLoad="1"/>
</workbook>
</file>

<file path=xl/styles.xml><?xml version="1.0" encoding="utf-8"?>
<styleSheet xmlns="http://schemas.openxmlformats.org/spreadsheetml/2006/main">
  <numFmts count="36">
    <numFmt numFmtId="164" formatCode="_(* #,##0.0_);_(* \(#,##0.0\);_(* &quot;-&quot;??_);_(&quot;Model Sheet Currency :   &quot;@_)"/>
    <numFmt numFmtId="165" formatCode="_(* #,##0_);_(* \(#,##0\);_(* &quot;-&quot;??_);_(@_)"/>
    <numFmt numFmtId="166" formatCode="_(* #,##0.0_);_(* \(#,##0.0\);_(* &quot;-&quot;??_);_(@_)"/>
    <numFmt numFmtId="167" formatCode="_(* 0.0%_);_(* \-0.0%_);_(* &quot;-&quot;??_);_(@_)"/>
    <numFmt numFmtId="168" formatCode="_(* 0.0\ \x_);\ _(* &quot;n/a&quot;_);_(* &quot;-&quot;??_);_(@_)"/>
    <numFmt numFmtId="169" formatCode="_(&quot;$&quot;* 0.00_);_(&quot;$&quot;* \(0.00\);_(&quot;$&quot;* &quot;-&quot;??_);_(@_)"/>
    <numFmt numFmtId="170" formatCode="_(* 0.0%_);_(* &quot;NMF&quot;_);_(* &quot;-&quot;??_);_(@_)"/>
    <numFmt numFmtId="171" formatCode="_(\€* 0.00_);_(\€* \(0.00\);_(\€* &quot;-&quot;??_);_(@_)"/>
    <numFmt numFmtId="172" formatCode="_(* #,##0.0_);_(* \(#,##0.0\);_(* &quot;-&quot;??_);@"/>
    <numFmt numFmtId="173" formatCode="_(* 0.0%_);_(* &quot;n/a&quot;_);_(* &quot;-&quot;??_);_(@_)"/>
    <numFmt numFmtId="174" formatCode="_(&quot;$&quot;* 0.00_);_(&quot;$&quot;* \(0.00\);_(&quot;$&quot;* &quot; - &quot;??_);_(@_)"/>
    <numFmt numFmtId="175" formatCode="_(* #,##0.000_);_(* \(#,##0.000\);_(* &quot;-&quot;??_);_(@_)"/>
    <numFmt numFmtId="176" formatCode="_(&quot;$&quot;* #,##0_);_(&quot;$&quot;* \(#,##0\);_(&quot;$&quot;* &quot;-&quot;??_);_(@_)"/>
    <numFmt numFmtId="177" formatCode="_(* #,##0.0_);_(* \(#,##0.0\);_(* &quot;-&quot;??_);_(&quot;Bloomberg &gt;&gt; &quot;@_)"/>
    <numFmt numFmtId="178" formatCode="_(* #,##0.0_);_(* \(#,##0.0\);_(* &quot;-&quot;??_);_(&quot;Capital IQ &gt;&gt; &quot;@_)"/>
    <numFmt numFmtId="179" formatCode="_(* #,##0.0_);_(* \(#,##0.0\);_(* &quot;-&quot;??_);_(&quot;FactSet &gt;&gt; &quot;@_)"/>
    <numFmt numFmtId="180" formatCode="_(* #,##0.0_);_(* \(#,##0.0\);_(* &quot; -&quot;??_);_(&quot;Refinitiv &gt;&gt; &quot;@_)"/>
    <numFmt numFmtId="181" formatCode="_(\€* #,##0.00_);_(\€* \(#,##0.00\);_(\€* &quot; - &quot;??_);_(@_)"/>
    <numFmt numFmtId="182" formatCode="_(* #,##0.0_);_(* \(#,##0.0\);_(* &quot;-&quot;??_);_(&quot;Ticker :   &quot;@_)"/>
    <numFmt numFmtId="183" formatCode="_(* #,##0.0_);_(* \(#,##0.0\);_(* &quot; - &quot;??_);_(&quot;Last Price (&quot;@&quot;) &quot;_)"/>
    <numFmt numFmtId="184" formatCode="_(* #,##0.0_);_(* \(#,##0.0\);_(* &quot;-&quot;??_);_(&quot;Real-Time Stock Price :   &quot;@_)"/>
    <numFmt numFmtId="185" formatCode="0.0%"/>
    <numFmt numFmtId="186" formatCode="yyyy\-mm\-dd"/>
    <numFmt numFmtId="187" formatCode="m/dd/yy;@"/>
    <numFmt numFmtId="188" formatCode="_(\$* 0.00_);_(\$* \(0.00\);_(\$* &quot;-&quot;??_);_(@\ * \ &quot;Toggle  &gt;&gt;&gt;&quot;_)"/>
    <numFmt numFmtId="189" formatCode="_(\€* #,##0_);_(\€* \(#,##0\);_(\€* &quot; - &quot;??_);_(@_)"/>
    <numFmt numFmtId="190" formatCode="_(* 0%_);_(* \-0%_);_(* &quot;-&quot;??_);_(@_)"/>
    <numFmt numFmtId="191" formatCode="m/d/yy"/>
    <numFmt numFmtId="192" formatCode="&quot;Most Recent Period:&quot;"/>
    <numFmt numFmtId="193" formatCode="_(* #,##0.0_);_(* \(#,##0.0\);_(* &quot;-&quot;??_);_(&quot;Canalyst Security Identification #: &quot;@_)"/>
    <numFmt numFmtId="194" formatCode="_(* #,##0.0_);_(* \(#,##0.0\);_(* &quot;-&quot;??_);_(&quot;Model Version #: &quot;@_)"/>
    <numFmt numFmtId="195" formatCode="_(* #,##0.0_);_(* \(#,##0.0\);_(* &quot;-&quot;??_);_(&quot;Tegus Ticker &gt;&gt; &quot;@_)"/>
    <numFmt numFmtId="196" formatCode="_(* 0.000\ \x_);\ _(* &quot;n/a&quot;_);_(* &quot;-&quot;??_);_(@_)"/>
    <numFmt numFmtId="197" formatCode=";;;"/>
    <numFmt numFmtId="198" formatCode="$#,##0.00"/>
    <numFmt numFmtId="199" formatCode="+0.0%;-0.0%"/>
  </numFmts>
  <fonts count="65">
    <font>
      <name val="Calibri"/>
      <family val="2"/>
      <sz val="11"/>
    </font>
    <font>
      <name val="Arial"/>
      <family val="2"/>
      <color theme="1"/>
      <sz val="10"/>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i val="1"/>
      <color theme="1"/>
      <sz val="11"/>
      <scheme val="minor"/>
    </font>
    <font>
      <name val="Calibri"/>
      <family val="2"/>
      <b val="1"/>
      <sz val="11"/>
      <scheme val="minor"/>
    </font>
    <font>
      <name val="Calibri"/>
      <family val="2"/>
      <b val="1"/>
      <sz val="11"/>
    </font>
    <font>
      <name val="Calibri"/>
      <family val="2"/>
      <sz val="11"/>
      <scheme val="minor"/>
    </font>
    <font>
      <name val="Calibri"/>
      <family val="2"/>
      <color rgb="FFFF0000"/>
      <sz val="11"/>
    </font>
    <font>
      <name val="Calibri"/>
      <family val="2"/>
      <color theme="1"/>
      <sz val="22"/>
      <scheme val="minor"/>
    </font>
    <font>
      <name val="Calibri"/>
      <family val="2"/>
      <color theme="10"/>
      <sz val="11"/>
      <u val="single"/>
    </font>
    <font>
      <name val="Calibri"/>
      <family val="2"/>
      <color theme="1"/>
      <sz val="14"/>
      <scheme val="minor"/>
    </font>
    <font>
      <name val="Calibri"/>
      <family val="2"/>
      <b val="1"/>
      <color rgb="FFFF0000"/>
      <sz val="11"/>
    </font>
    <font>
      <name val="Calibri"/>
      <family val="2"/>
      <color rgb="FF006100"/>
      <sz val="11"/>
      <scheme val="minor"/>
    </font>
    <font>
      <name val="Calibri"/>
      <family val="2"/>
      <color theme="1"/>
      <sz val="10"/>
      <scheme val="minor"/>
    </font>
    <font>
      <name val="Calibri"/>
      <family val="2"/>
      <b val="1"/>
      <color theme="1"/>
      <sz val="10"/>
      <scheme val="minor"/>
    </font>
    <font>
      <name val="Calibri"/>
      <family val="2"/>
      <b val="1"/>
      <color theme="1"/>
      <sz val="14"/>
      <scheme val="minor"/>
    </font>
    <font>
      <name val="Calibri"/>
      <family val="2"/>
      <sz val="14"/>
      <scheme val="minor"/>
    </font>
    <font>
      <name val="Calibri"/>
      <family val="2"/>
      <i val="1"/>
      <sz val="11"/>
    </font>
    <font>
      <name val="Calibri"/>
      <family val="2"/>
      <i val="1"/>
      <sz val="11"/>
      <scheme val="minor"/>
    </font>
    <font>
      <name val="Calibri"/>
      <family val="2"/>
      <color rgb="FF000000"/>
      <sz val="11"/>
      <scheme val="minor"/>
    </font>
    <font>
      <name val="Calibri"/>
      <family val="2"/>
      <color theme="0"/>
      <sz val="10"/>
      <scheme val="minor"/>
    </font>
    <font>
      <name val="Calibri"/>
      <family val="2"/>
      <i val="1"/>
      <color rgb="FF000000"/>
      <sz val="11"/>
      <scheme val="minor"/>
    </font>
    <font>
      <name val="Calibri"/>
      <family val="2"/>
      <i val="1"/>
      <color rgb="FF000000"/>
      <sz val="11"/>
    </font>
    <font>
      <name val="Calibri"/>
      <family val="2"/>
      <b val="1"/>
      <color rgb="FF000000"/>
      <sz val="11"/>
    </font>
    <font>
      <name val="Calibri"/>
      <family val="2"/>
      <b val="1"/>
      <color rgb="FFFFFFFF"/>
      <sz val="11"/>
    </font>
    <font>
      <name val="Calibri"/>
      <family val="2"/>
      <color rgb="FFFFFFFF"/>
      <sz val="11"/>
    </font>
    <font>
      <name val="Calibri"/>
      <family val="2"/>
      <b val="1"/>
      <color rgb="FFFFFFFF"/>
      <sz val="11"/>
      <scheme val="minor"/>
    </font>
    <font>
      <name val="Calibri"/>
      <family val="2"/>
      <color rgb="FF000000"/>
      <sz val="11"/>
    </font>
    <font>
      <name val="Calibri"/>
      <family val="2"/>
      <b val="1"/>
      <i val="1"/>
      <color rgb="FF000000"/>
      <sz val="11"/>
    </font>
    <font>
      <name val="Calibri"/>
      <family val="2"/>
      <b val="1"/>
      <i val="1"/>
      <color rgb="FF000000"/>
      <sz val="11"/>
      <scheme val="minor"/>
    </font>
    <font>
      <name val="Calibri"/>
      <family val="2"/>
      <b val="1"/>
      <color rgb="FF000000"/>
      <sz val="11"/>
      <scheme val="minor"/>
    </font>
    <font>
      <name val="Calibri"/>
      <family val="2"/>
      <color theme="10"/>
      <sz val="26"/>
      <u val="single"/>
      <scheme val="minor"/>
    </font>
    <font>
      <name val="Calibri"/>
      <family val="2"/>
      <color theme="0" tint="-0.0410900004208088"/>
      <sz val="11"/>
    </font>
    <font>
      <name val="Calibri"/>
      <family val="2"/>
      <b val="1"/>
      <color theme="0"/>
      <sz val="11"/>
    </font>
    <font>
      <name val="Calibri"/>
      <family val="2"/>
      <color rgb="FFF2F2F2"/>
      <sz val="11"/>
    </font>
    <font>
      <name val="Calibri"/>
      <family val="2"/>
      <color rgb="FF000000"/>
      <sz val="22"/>
      <u val="single"/>
      <scheme val="minor"/>
    </font>
    <font>
      <name val="Calibri"/>
      <family val="2"/>
      <color rgb="FF000000"/>
      <sz val="11"/>
      <u val="single"/>
      <scheme val="minor"/>
    </font>
    <font>
      <name val="Calibri"/>
      <family val="2"/>
      <color rgb="FF0000FF"/>
      <sz val="11"/>
      <u val="single"/>
      <scheme val="minor"/>
    </font>
    <font>
      <name val="Calibri"/>
      <family val="2"/>
      <color rgb="FF0000FF"/>
      <sz val="14"/>
      <u val="single"/>
      <scheme val="minor"/>
    </font>
    <font>
      <name val="Calibri"/>
      <family val="2"/>
      <color theme="0"/>
      <sz val="11"/>
    </font>
    <font>
      <name val="Calibri"/>
      <family val="2"/>
      <b val="1"/>
      <i val="1"/>
      <sz val="11"/>
    </font>
    <font>
      <name val="Calibri"/>
      <family val="2"/>
      <b val="1"/>
      <i val="1"/>
      <color rgb="FFFF0000"/>
      <sz val="11"/>
    </font>
    <font>
      <name val="Tahoma"/>
      <family val="2"/>
      <b val="1"/>
      <sz val="9"/>
    </font>
    <font>
      <name val="Tahoma"/>
      <family val="2"/>
      <sz val="9"/>
    </font>
    <font>
      <name val="Calibri"/>
      <family val="2"/>
      <color rgb="FF000000"/>
      <sz val="7"/>
      <scheme val="minor"/>
    </font>
    <font>
      <name val="Calibri"/>
      <family val="2"/>
      <b val="1"/>
      <color rgb="FF000000"/>
      <sz val="7"/>
      <scheme val="minor"/>
    </font>
    <font>
      <name val="Calibri"/>
      <family val="2"/>
      <i val="1"/>
      <color rgb="FFFF0000"/>
      <sz val="11"/>
    </font>
    <font>
      <name val="Calibri"/>
      <family val="2"/>
      <b val="1"/>
      <color rgb="FFD04B35"/>
      <sz val="14"/>
      <scheme val="minor"/>
    </font>
    <font>
      <name val="Calibri"/>
      <family val="2"/>
      <color theme="10"/>
      <sz val="14"/>
      <u val="single"/>
      <scheme val="minor"/>
    </font>
    <font>
      <name val="Tahoma"/>
      <family val="2"/>
      <sz val="10"/>
    </font>
    <font>
      <name val="Tahoma"/>
      <family val="2"/>
      <b val="1"/>
      <sz val="10"/>
    </font>
    <font>
      <name val="Calibri"/>
      <family val="2"/>
      <b val="1"/>
      <i val="1"/>
      <color rgb="FF0000FC"/>
      <sz val="11"/>
    </font>
    <font>
      <name val="Calibri"/>
      <family val="2"/>
      <b val="1"/>
      <color rgb="FF0000FC"/>
      <sz val="11"/>
    </font>
    <font>
      <name val="Calibri"/>
      <family val="2"/>
      <color rgb="FF0000FC"/>
      <sz val="11"/>
    </font>
    <font>
      <name val="Calibri"/>
      <family val="2"/>
      <i val="1"/>
      <color rgb="FF0000FC"/>
      <sz val="11"/>
    </font>
    <font>
      <name val="Calibri"/>
      <family val="2"/>
      <i val="1"/>
      <color rgb="FF0000FC"/>
      <sz val="11"/>
      <scheme val="minor"/>
    </font>
    <font>
      <name val="Calibri"/>
      <family val="2"/>
      <color rgb="FF0000FC"/>
      <sz val="11"/>
      <scheme val="minor"/>
    </font>
    <font>
      <b val="1"/>
      <color rgb="00000000"/>
      <sz val="14"/>
    </font>
    <font>
      <b val="1"/>
    </font>
    <font>
      <b val="1"/>
      <color rgb="00000000"/>
      <sz val="12"/>
    </font>
    <font>
      <color rgb="00007F00"/>
      <sz val="10"/>
    </font>
    <font>
      <b val="1"/>
      <sz val="14"/>
    </font>
    <font>
      <b val="1"/>
      <sz val="12"/>
    </font>
  </fonts>
  <fills count="10">
    <fill>
      <patternFill/>
    </fill>
    <fill>
      <patternFill patternType="gray125"/>
    </fill>
    <fill>
      <patternFill patternType="solid">
        <fgColor rgb="FFC6EFCE"/>
        <bgColor indexed="64"/>
      </patternFill>
    </fill>
    <fill>
      <patternFill patternType="solid">
        <fgColor rgb="FFFFFFFF"/>
        <bgColor indexed="64"/>
      </patternFill>
    </fill>
    <fill>
      <patternFill patternType="solid">
        <fgColor rgb="FF000000"/>
        <bgColor indexed="64"/>
      </patternFill>
    </fill>
    <fill>
      <patternFill patternType="solid">
        <fgColor rgb="FF89E0FF"/>
        <bgColor indexed="64"/>
      </patternFill>
    </fill>
    <fill>
      <patternFill patternType="solid">
        <fgColor rgb="FFF2F2F2"/>
        <bgColor indexed="64"/>
      </patternFill>
    </fill>
    <fill>
      <patternFill patternType="solid">
        <fgColor rgb="FFD0F9F2"/>
        <bgColor indexed="64"/>
      </patternFill>
    </fill>
    <fill>
      <patternFill patternType="solid">
        <fgColor rgb="FFECEDF0"/>
        <bgColor indexed="64"/>
      </patternFill>
    </fill>
    <fill>
      <patternFill patternType="solid">
        <fgColor rgb="00CCCCFF"/>
        <bgColor rgb="00CCCCFF"/>
      </patternFill>
    </fill>
  </fills>
  <borders count="45">
    <border>
      <left/>
      <right/>
      <top/>
      <bottom/>
      <diagonal/>
    </border>
    <border>
      <left/>
      <right style="thin">
        <color auto="1"/>
      </right>
      <top/>
      <bottom style="thin">
        <color auto="1"/>
      </bottom>
    </border>
    <border>
      <left/>
      <right/>
      <top/>
      <bottom style="thin">
        <color auto="1"/>
      </bottom>
    </border>
    <border>
      <left style="thin">
        <color auto="1"/>
      </left>
      <right/>
      <top/>
      <bottom style="thin">
        <color auto="1"/>
      </bottom>
    </border>
    <border>
      <left/>
      <right style="thin">
        <color auto="1"/>
      </right>
      <top/>
      <bottom/>
    </border>
    <border>
      <left style="thin">
        <color auto="1"/>
      </left>
      <right/>
      <top/>
      <bottom/>
    </border>
    <border>
      <left/>
      <right style="thin">
        <color auto="1"/>
      </right>
      <top style="thin">
        <color auto="1"/>
      </top>
      <bottom/>
    </border>
    <border>
      <left/>
      <right/>
      <top style="thin">
        <color auto="1"/>
      </top>
      <bottom/>
    </border>
    <border>
      <left style="thin">
        <color auto="1"/>
      </left>
      <right/>
      <top style="thin">
        <color auto="1"/>
      </top>
      <bottom/>
    </border>
    <border>
      <left/>
      <right/>
      <top style="thin">
        <color auto="1"/>
      </top>
      <bottom style="thin">
        <color auto="1"/>
      </bottom>
    </border>
    <border>
      <left/>
      <right style="thin">
        <color rgb="FF000000"/>
      </right>
      <top/>
      <bottom/>
    </border>
    <border>
      <left style="thin">
        <color rgb="FF000000"/>
      </left>
      <right/>
      <top/>
      <bottom/>
    </border>
    <border>
      <left/>
      <right/>
      <top style="thin">
        <color rgb="FF000000"/>
      </top>
      <bottom/>
    </border>
    <border>
      <left/>
      <right/>
      <top/>
      <bottom style="thin">
        <color rgb="FF000000"/>
      </bottom>
    </border>
    <border>
      <left/>
      <right style="thin">
        <color rgb="FF000000"/>
      </right>
      <top style="thin">
        <color rgb="FF000000"/>
      </top>
      <bottom/>
    </border>
    <border>
      <left style="thin">
        <color rgb="FF000000"/>
      </left>
      <right/>
      <top style="thin">
        <color rgb="FF000000"/>
      </top>
      <bottom/>
    </border>
    <border>
      <left/>
      <right/>
      <top style="thin">
        <color rgb="FF000000"/>
      </top>
      <bottom style="thin">
        <color rgb="FF000000"/>
      </bottom>
    </border>
    <border>
      <left style="thin">
        <color auto="1"/>
      </left>
      <right style="thin">
        <color auto="1"/>
      </right>
      <top style="thin">
        <color auto="1"/>
      </top>
      <bottom/>
    </border>
    <border>
      <left style="thin">
        <color auto="1"/>
      </left>
      <right style="thin">
        <color auto="1"/>
      </right>
      <top/>
      <bottom/>
    </border>
    <border>
      <left style="thin">
        <color rgb="FF000000"/>
      </left>
      <right style="thin">
        <color rgb="FF000000"/>
      </right>
      <top/>
      <bottom style="thin">
        <color rgb="FF000000"/>
      </bottom>
    </border>
    <border>
      <left style="thin">
        <color auto="1"/>
      </left>
      <right style="thin">
        <color auto="1"/>
      </right>
      <top/>
      <bottom style="thin">
        <color auto="1"/>
      </bottom>
    </border>
    <border>
      <left/>
      <right style="thick">
        <color auto="1"/>
      </right>
      <top/>
      <bottom/>
    </border>
    <border>
      <left/>
      <right style="thick">
        <color auto="1"/>
      </right>
      <top/>
      <bottom style="thin">
        <color rgb="FF000000"/>
      </bottom>
    </border>
    <border>
      <left/>
      <right style="thick">
        <color auto="1"/>
      </right>
      <top style="thin">
        <color rgb="FF000000"/>
      </top>
      <bottom style="thin">
        <color rgb="FF000000"/>
      </bottom>
    </border>
    <border>
      <left/>
      <right style="thick">
        <color auto="1"/>
      </right>
      <top style="thin">
        <color rgb="FF000000"/>
      </top>
      <bottom/>
    </border>
    <border>
      <left style="thin">
        <color rgb="FF000000"/>
      </left>
      <right/>
      <top/>
      <bottom style="thin">
        <color auto="1"/>
      </bottom>
    </border>
    <border>
      <left/>
      <right style="thick">
        <color auto="1"/>
      </right>
      <top/>
      <bottom style="thin">
        <color auto="1"/>
      </bottom>
    </border>
    <border>
      <left/>
      <right style="thin">
        <color rgb="FF000000"/>
      </right>
      <top/>
      <bottom style="thin">
        <color auto="1"/>
      </bottom>
    </border>
    <border>
      <left/>
      <right style="thick">
        <color auto="1"/>
      </right>
      <top style="thin">
        <color auto="1"/>
      </top>
      <bottom/>
    </border>
    <border>
      <left style="thin">
        <color auto="1"/>
      </left>
      <right style="thin">
        <color auto="1"/>
      </right>
      <top style="thin">
        <color auto="1"/>
      </top>
      <bottom style="thin">
        <color auto="1"/>
      </bottom>
    </border>
    <border>
      <left style="thin">
        <color rgb="FF000000"/>
      </left>
      <right style="thin">
        <color auto="1"/>
      </right>
      <top style="thin">
        <color auto="1"/>
      </top>
      <bottom style="thin">
        <color rgb="FF000000"/>
      </bottom>
    </border>
    <border>
      <left style="thin">
        <color auto="1"/>
      </left>
      <right style="thin">
        <color auto="1"/>
      </right>
      <top style="thin">
        <color auto="1"/>
      </top>
      <bottom style="thin">
        <color rgb="FF000000"/>
      </bottom>
    </border>
    <border>
      <left/>
      <right style="thin">
        <color rgb="FF000000"/>
      </right>
      <top/>
      <bottom style="thin">
        <color rgb="FF000000"/>
      </bottom>
    </border>
    <border>
      <left style="thin">
        <color rgb="FF000000"/>
      </left>
      <right style="thin">
        <color auto="1"/>
      </right>
      <top/>
      <bottom style="thin">
        <color rgb="FF000000"/>
      </bottom>
    </border>
    <border>
      <left style="thin">
        <color auto="1"/>
      </left>
      <right style="thin">
        <color auto="1"/>
      </right>
      <top/>
      <bottom style="thin">
        <color rgb="FF000000"/>
      </bottom>
    </border>
    <border>
      <left style="thin">
        <color auto="1"/>
      </left>
      <right style="thin">
        <color rgb="FF000000"/>
      </right>
      <top/>
      <bottom style="thin">
        <color rgb="FF000000"/>
      </bottom>
    </border>
    <border>
      <left style="thin">
        <color rgb="FF000000"/>
      </left>
      <right style="thin">
        <color rgb="FF000000"/>
      </right>
      <top style="thin">
        <color rgb="FF000000"/>
      </top>
      <bottom style="thin">
        <color rgb="FF000000"/>
      </bottom>
    </border>
    <border>
      <left/>
      <right style="thick">
        <color auto="1"/>
      </right>
      <top style="thin">
        <color auto="1"/>
      </top>
      <bottom style="thin">
        <color auto="1"/>
      </bottom>
    </border>
    <border>
      <left/>
      <right/>
      <top style="thin">
        <color auto="1"/>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9">
    <xf numFmtId="0" fontId="0" fillId="0" borderId="0"/>
    <xf numFmtId="9" fontId="1" fillId="0" borderId="0"/>
    <xf numFmtId="44" fontId="0" fillId="0" borderId="0"/>
    <xf numFmtId="42" fontId="1" fillId="0" borderId="0"/>
    <xf numFmtId="43" fontId="1" fillId="0" borderId="0"/>
    <xf numFmtId="41" fontId="1" fillId="0" borderId="0"/>
    <xf numFmtId="44" fontId="2" fillId="0" borderId="0"/>
    <xf numFmtId="44" fontId="0" fillId="0" borderId="0"/>
    <xf numFmtId="44" fontId="2" fillId="0" borderId="0"/>
    <xf numFmtId="0" fontId="14" fillId="2" borderId="0"/>
    <xf numFmtId="0" fontId="4" fillId="0" borderId="0"/>
    <xf numFmtId="0" fontId="11" fillId="0" borderId="0" applyAlignment="1" applyProtection="1">
      <alignment vertical="top"/>
      <protection locked="0" hidden="0"/>
    </xf>
    <xf numFmtId="0" fontId="2" fillId="0" borderId="0"/>
    <xf numFmtId="0" fontId="2" fillId="0" borderId="0"/>
    <xf numFmtId="0" fontId="2" fillId="0" borderId="0"/>
    <xf numFmtId="0" fontId="2" fillId="0" borderId="0"/>
    <xf numFmtId="0" fontId="0" fillId="0" borderId="0"/>
    <xf numFmtId="9" fontId="2" fillId="0" borderId="0"/>
    <xf numFmtId="9" fontId="2" fillId="0" borderId="0"/>
  </cellStyleXfs>
  <cellXfs count="2197">
    <xf numFmtId="0" fontId="0" fillId="0" borderId="0" pivotButton="0" quotePrefix="0" xfId="0"/>
    <xf numFmtId="0" fontId="15" fillId="3" borderId="0" pivotButton="0" quotePrefix="0" xfId="28"/>
    <xf numFmtId="0" fontId="2" fillId="0" borderId="0" pivotButton="0" quotePrefix="0" xfId="28"/>
    <xf numFmtId="0" fontId="2" fillId="3" borderId="0" pivotButton="0" quotePrefix="0" xfId="28"/>
    <xf numFmtId="0" fontId="2" fillId="3" borderId="0" applyAlignment="1" pivotButton="0" quotePrefix="1" xfId="28">
      <alignment horizontal="left" vertical="top" wrapText="1"/>
    </xf>
    <xf numFmtId="0" fontId="2" fillId="3" borderId="1" applyAlignment="1" pivotButton="0" quotePrefix="0" xfId="28">
      <alignment vertical="top" wrapText="1"/>
    </xf>
    <xf numFmtId="0" fontId="2" fillId="3" borderId="2" applyAlignment="1" pivotButton="0" quotePrefix="0" xfId="28">
      <alignment vertical="top" wrapText="1"/>
    </xf>
    <xf numFmtId="0" fontId="2" fillId="3" borderId="3" applyAlignment="1" pivotButton="0" quotePrefix="0" xfId="28">
      <alignment vertical="top" wrapText="1"/>
    </xf>
    <xf numFmtId="0" fontId="2" fillId="3" borderId="4" applyAlignment="1" pivotButton="0" quotePrefix="0" xfId="28">
      <alignment vertical="top" wrapText="1"/>
    </xf>
    <xf numFmtId="0" fontId="2" fillId="3" borderId="0" applyAlignment="1" pivotButton="0" quotePrefix="0" xfId="28">
      <alignment vertical="top" wrapText="1"/>
    </xf>
    <xf numFmtId="0" fontId="2" fillId="3" borderId="5" applyAlignment="1" pivotButton="0" quotePrefix="0" xfId="28">
      <alignment vertical="top" wrapText="1"/>
    </xf>
    <xf numFmtId="0" fontId="2" fillId="3" borderId="6" applyAlignment="1" pivotButton="0" quotePrefix="0" xfId="28">
      <alignment vertical="top" wrapText="1"/>
    </xf>
    <xf numFmtId="0" fontId="2" fillId="3" borderId="7" applyAlignment="1" pivotButton="0" quotePrefix="0" xfId="28">
      <alignment vertical="top" wrapText="1"/>
    </xf>
    <xf numFmtId="0" fontId="46" fillId="3" borderId="8" applyAlignment="1" pivotButton="0" quotePrefix="0" xfId="28">
      <alignment vertical="top" wrapText="1"/>
    </xf>
    <xf numFmtId="0" fontId="10" fillId="3" borderId="0" applyAlignment="1" pivotButton="0" quotePrefix="0" xfId="28">
      <alignment horizontal="center"/>
    </xf>
    <xf numFmtId="0" fontId="15" fillId="3" borderId="0" pivotButton="0" quotePrefix="0" xfId="28"/>
    <xf numFmtId="0" fontId="2" fillId="0" borderId="0" pivotButton="0" quotePrefix="0" xfId="28"/>
    <xf numFmtId="0" fontId="2" fillId="3" borderId="0" pivotButton="0" quotePrefix="0" xfId="28"/>
    <xf numFmtId="164" fontId="3" fillId="3" borderId="0" pivotButton="0" quotePrefix="0" xfId="0"/>
    <xf numFmtId="165" fontId="0" fillId="3" borderId="0" pivotButton="0" quotePrefix="0" xfId="0"/>
    <xf numFmtId="166" fontId="0" fillId="3" borderId="0" applyAlignment="1" pivotButton="0" quotePrefix="0" xfId="30">
      <alignment horizontal="left" indent="1"/>
    </xf>
    <xf numFmtId="167" fontId="7" fillId="3" borderId="7" applyAlignment="1" pivotButton="0" quotePrefix="0" xfId="0">
      <alignment horizontal="left"/>
    </xf>
    <xf numFmtId="166" fontId="7" fillId="3" borderId="0" applyAlignment="1" pivotButton="0" quotePrefix="0" xfId="0">
      <alignment horizontal="left"/>
    </xf>
    <xf numFmtId="165" fontId="7" fillId="3" borderId="0" pivotButton="0" quotePrefix="0" xfId="0"/>
    <xf numFmtId="166" fontId="0" fillId="3" borderId="0" applyAlignment="1" pivotButton="0" quotePrefix="0" xfId="0">
      <alignment horizontal="left" indent="1"/>
    </xf>
    <xf numFmtId="167" fontId="7" fillId="3" borderId="0" pivotButton="0" quotePrefix="0" xfId="0"/>
    <xf numFmtId="168" fontId="3" fillId="3" borderId="0" pivotButton="0" quotePrefix="0" xfId="0"/>
    <xf numFmtId="168" fontId="0" fillId="3" borderId="0" pivotButton="0" quotePrefix="0" xfId="0"/>
    <xf numFmtId="168" fontId="2" fillId="3" borderId="0" pivotButton="0" quotePrefix="0" xfId="0"/>
    <xf numFmtId="167" fontId="0" fillId="3" borderId="0" applyAlignment="1" pivotButton="0" quotePrefix="0" xfId="0">
      <alignment horizontal="left"/>
    </xf>
    <xf numFmtId="166" fontId="7" fillId="3" borderId="0" applyAlignment="1" pivotButton="0" quotePrefix="0" xfId="0">
      <alignment horizontal="left" indent="1"/>
    </xf>
    <xf numFmtId="166" fontId="0" fillId="3" borderId="0" applyAlignment="1" pivotButton="0" quotePrefix="0" xfId="0">
      <alignment horizontal="left" indent="2"/>
    </xf>
    <xf numFmtId="167" fontId="24" fillId="3" borderId="0" pivotButton="0" quotePrefix="0" xfId="0"/>
    <xf numFmtId="168" fontId="7" fillId="3" borderId="0" pivotButton="0" quotePrefix="0" xfId="0"/>
    <xf numFmtId="166" fontId="28" fillId="4" borderId="0" pivotButton="0" quotePrefix="0" xfId="30"/>
    <xf numFmtId="167" fontId="7" fillId="3" borderId="7" applyAlignment="1" pivotButton="0" quotePrefix="0" xfId="30">
      <alignment horizontal="left"/>
    </xf>
    <xf numFmtId="166" fontId="7" fillId="3" borderId="7" applyAlignment="1" pivotButton="0" quotePrefix="0" xfId="30">
      <alignment horizontal="left"/>
    </xf>
    <xf numFmtId="167" fontId="27" fillId="4" borderId="0" pivotButton="0" quotePrefix="0" xfId="30"/>
    <xf numFmtId="0" fontId="0" fillId="3" borderId="0" pivotButton="0" quotePrefix="0" xfId="0"/>
    <xf numFmtId="165" fontId="0" fillId="3" borderId="0" applyAlignment="1" pivotButton="0" quotePrefix="0" xfId="0">
      <alignment horizontal="left"/>
    </xf>
    <xf numFmtId="167" fontId="26" fillId="4" borderId="0" pivotButton="0" quotePrefix="0" xfId="0"/>
    <xf numFmtId="0" fontId="15" fillId="0" borderId="0" pivotButton="0" quotePrefix="0" xfId="28"/>
    <xf numFmtId="166" fontId="32" fillId="3" borderId="0" applyAlignment="1" pivotButton="0" quotePrefix="0" xfId="30">
      <alignment horizontal="center"/>
    </xf>
    <xf numFmtId="169" fontId="25" fillId="5" borderId="0" pivotButton="0" quotePrefix="0" xfId="30"/>
    <xf numFmtId="165" fontId="29" fillId="5" borderId="0" pivotButton="0" quotePrefix="0" xfId="30"/>
    <xf numFmtId="167" fontId="29" fillId="5" borderId="0" applyAlignment="1" pivotButton="0" quotePrefix="0" xfId="30">
      <alignment horizontal="right"/>
    </xf>
    <xf numFmtId="167" fontId="25" fillId="3" borderId="0" applyAlignment="1" pivotButton="0" quotePrefix="0" xfId="30">
      <alignment horizontal="center"/>
    </xf>
    <xf numFmtId="167" fontId="29" fillId="5" borderId="0" pivotButton="0" quotePrefix="0" xfId="30"/>
    <xf numFmtId="167" fontId="25" fillId="5" borderId="0" applyAlignment="1" pivotButton="0" quotePrefix="0" xfId="30">
      <alignment horizontal="right"/>
    </xf>
    <xf numFmtId="170" fontId="25" fillId="5" borderId="0" applyAlignment="1" pivotButton="0" quotePrefix="0" xfId="30">
      <alignment horizontal="right"/>
    </xf>
    <xf numFmtId="165" fontId="29" fillId="3" borderId="0" pivotButton="0" quotePrefix="0" xfId="30"/>
    <xf numFmtId="167" fontId="25" fillId="3" borderId="0" applyAlignment="1" pivotButton="0" quotePrefix="0" xfId="30">
      <alignment horizontal="right"/>
    </xf>
    <xf numFmtId="168" fontId="29" fillId="5" borderId="0" applyAlignment="1" pivotButton="0" quotePrefix="0" xfId="30">
      <alignment horizontal="right"/>
    </xf>
    <xf numFmtId="167" fontId="29" fillId="3" borderId="0" applyAlignment="1" pivotButton="0" quotePrefix="0" xfId="30">
      <alignment horizontal="right"/>
    </xf>
    <xf numFmtId="167" fontId="0" fillId="3" borderId="0" applyAlignment="1" pivotButton="0" quotePrefix="0" xfId="0">
      <alignment horizontal="left" indent="1"/>
    </xf>
    <xf numFmtId="167" fontId="7" fillId="3" borderId="0" applyAlignment="1" pivotButton="0" quotePrefix="0" xfId="0">
      <alignment horizontal="left" indent="1"/>
    </xf>
    <xf numFmtId="167" fontId="26" fillId="4" borderId="0" pivotButton="0" quotePrefix="0" xfId="30"/>
    <xf numFmtId="169" fontId="25" fillId="3" borderId="0" pivotButton="0" quotePrefix="0" xfId="30"/>
    <xf numFmtId="170" fontId="25" fillId="3" borderId="0" applyAlignment="1" pivotButton="0" quotePrefix="0" xfId="30">
      <alignment horizontal="right"/>
    </xf>
    <xf numFmtId="168" fontId="25" fillId="3" borderId="0" pivotButton="0" quotePrefix="0" xfId="30"/>
    <xf numFmtId="168" fontId="29" fillId="3" borderId="0" pivotButton="0" quotePrefix="0" xfId="30"/>
    <xf numFmtId="167" fontId="29" fillId="3" borderId="0" applyAlignment="1" pivotButton="0" quotePrefix="0" xfId="30">
      <alignment horizontal="center"/>
    </xf>
    <xf numFmtId="165" fontId="0" fillId="3" borderId="0" applyAlignment="1" pivotButton="0" quotePrefix="0" xfId="0">
      <alignment horizontal="left" indent="2"/>
    </xf>
    <xf numFmtId="17" fontId="31" fillId="3" borderId="0" applyAlignment="1" pivotButton="0" quotePrefix="0" xfId="30">
      <alignment horizontal="center"/>
    </xf>
    <xf numFmtId="167" fontId="32" fillId="3" borderId="0" pivotButton="0" quotePrefix="0" xfId="16"/>
    <xf numFmtId="167" fontId="25" fillId="5" borderId="0" applyAlignment="1" pivotButton="0" quotePrefix="0" xfId="0">
      <alignment horizontal="right"/>
    </xf>
    <xf numFmtId="167" fontId="25" fillId="3" borderId="0" applyAlignment="1" pivotButton="0" quotePrefix="0" xfId="0">
      <alignment horizontal="right"/>
    </xf>
    <xf numFmtId="167" fontId="32" fillId="3" borderId="7" pivotButton="0" quotePrefix="0" xfId="16"/>
    <xf numFmtId="167" fontId="25" fillId="5" borderId="7" applyAlignment="1" pivotButton="0" quotePrefix="0" xfId="0">
      <alignment horizontal="right"/>
    </xf>
    <xf numFmtId="167" fontId="25" fillId="3" borderId="7" applyAlignment="1" pivotButton="0" quotePrefix="0" xfId="0">
      <alignment horizontal="right"/>
    </xf>
    <xf numFmtId="167" fontId="25" fillId="3" borderId="0" applyAlignment="1" pivotButton="0" quotePrefix="0" xfId="0">
      <alignment horizontal="left" indent="1"/>
    </xf>
    <xf numFmtId="167" fontId="29" fillId="3" borderId="0" pivotButton="0" quotePrefix="0" xfId="0"/>
    <xf numFmtId="166" fontId="7" fillId="3" borderId="9" applyAlignment="1" pivotButton="0" quotePrefix="0" xfId="30">
      <alignment horizontal="left"/>
    </xf>
    <xf numFmtId="166" fontId="7" fillId="3" borderId="7" applyAlignment="1" pivotButton="0" quotePrefix="0" xfId="0">
      <alignment horizontal="left"/>
    </xf>
    <xf numFmtId="171" fontId="2" fillId="3" borderId="0" pivotButton="0" quotePrefix="0" xfId="16"/>
    <xf numFmtId="171" fontId="0" fillId="3" borderId="0" pivotButton="0" quotePrefix="0" xfId="0"/>
    <xf numFmtId="171" fontId="3" fillId="3" borderId="0" pivotButton="0" quotePrefix="0" xfId="16"/>
    <xf numFmtId="171" fontId="7" fillId="3" borderId="0" pivotButton="0" quotePrefix="0" xfId="0"/>
    <xf numFmtId="166" fontId="3" fillId="3" borderId="0" pivotButton="0" quotePrefix="0" xfId="0"/>
    <xf numFmtId="166" fontId="25" fillId="3" borderId="0" applyAlignment="1" pivotButton="0" quotePrefix="0" xfId="0">
      <alignment horizontal="left"/>
    </xf>
    <xf numFmtId="166" fontId="25" fillId="3" borderId="0" applyAlignment="1" pivotButton="0" quotePrefix="0" xfId="0">
      <alignment horizontal="left" indent="3"/>
    </xf>
    <xf numFmtId="166" fontId="29" fillId="3" borderId="0" applyAlignment="1" pivotButton="0" quotePrefix="0" xfId="0">
      <alignment horizontal="left" indent="1"/>
    </xf>
    <xf numFmtId="166" fontId="29" fillId="3" borderId="0" applyAlignment="1" pivotButton="0" quotePrefix="0" xfId="0">
      <alignment horizontal="left" indent="3"/>
    </xf>
    <xf numFmtId="166" fontId="32" fillId="3" borderId="0" pivotButton="0" quotePrefix="0" xfId="0"/>
    <xf numFmtId="167" fontId="25" fillId="3" borderId="0" pivotButton="0" quotePrefix="0" xfId="0"/>
    <xf numFmtId="167" fontId="25" fillId="3" borderId="0" applyAlignment="1" pivotButton="0" quotePrefix="0" xfId="0">
      <alignment horizontal="left" indent="3"/>
    </xf>
    <xf numFmtId="166" fontId="25" fillId="3" borderId="7" applyAlignment="1" pivotButton="0" quotePrefix="0" xfId="0">
      <alignment horizontal="left"/>
    </xf>
    <xf numFmtId="166" fontId="25" fillId="3" borderId="7" applyAlignment="1" pivotButton="0" quotePrefix="0" xfId="0">
      <alignment horizontal="left" indent="3"/>
    </xf>
    <xf numFmtId="171" fontId="13" fillId="3" borderId="0" applyAlignment="1" pivotButton="0" quotePrefix="0" xfId="30">
      <alignment horizontal="left"/>
    </xf>
    <xf numFmtId="171" fontId="25" fillId="5" borderId="0" applyAlignment="1" pivotButton="0" quotePrefix="0" xfId="0">
      <alignment horizontal="right"/>
    </xf>
    <xf numFmtId="171" fontId="25" fillId="3" borderId="0" pivotButton="0" quotePrefix="0" xfId="0"/>
    <xf numFmtId="166" fontId="29" fillId="3" borderId="0" applyAlignment="1" pivotButton="0" quotePrefix="0" xfId="0">
      <alignment horizontal="left"/>
    </xf>
    <xf numFmtId="165" fontId="0" fillId="3" borderId="0" applyAlignment="1" pivotButton="0" quotePrefix="0" xfId="0">
      <alignment horizontal="left" indent="1"/>
    </xf>
    <xf numFmtId="165" fontId="7" fillId="3" borderId="7" applyAlignment="1" pivotButton="0" quotePrefix="0" xfId="0">
      <alignment horizontal="left"/>
    </xf>
    <xf numFmtId="167" fontId="24" fillId="3" borderId="0" applyAlignment="1" pivotButton="0" quotePrefix="0" xfId="0">
      <alignment horizontal="left" indent="1"/>
    </xf>
    <xf numFmtId="167" fontId="23" fillId="3" borderId="0" pivotButton="0" quotePrefix="0" xfId="16"/>
    <xf numFmtId="167" fontId="24" fillId="5" borderId="0" applyAlignment="1" pivotButton="0" quotePrefix="0" xfId="0">
      <alignment horizontal="right"/>
    </xf>
    <xf numFmtId="171" fontId="23" fillId="3" borderId="0" applyAlignment="1" pivotButton="0" quotePrefix="0" xfId="0">
      <alignment horizontal="left" indent="1"/>
    </xf>
    <xf numFmtId="171" fontId="24" fillId="3" borderId="0" applyAlignment="1" pivotButton="0" quotePrefix="0" xfId="0">
      <alignment horizontal="left" indent="3"/>
    </xf>
    <xf numFmtId="171" fontId="24" fillId="3" borderId="0" pivotButton="0" quotePrefix="0" xfId="0"/>
    <xf numFmtId="171" fontId="21" fillId="3" borderId="0" pivotButton="0" quotePrefix="0" xfId="16"/>
    <xf numFmtId="0" fontId="36" fillId="3" borderId="0" pivotButton="0" quotePrefix="0" xfId="0"/>
    <xf numFmtId="167" fontId="0" fillId="3" borderId="0" pivotButton="0" quotePrefix="0" xfId="0"/>
    <xf numFmtId="167" fontId="0" fillId="3" borderId="0" applyAlignment="1" pivotButton="0" quotePrefix="0" xfId="0">
      <alignment horizontal="left" indent="2"/>
    </xf>
    <xf numFmtId="165" fontId="29" fillId="3" borderId="0" applyAlignment="1" pivotButton="0" quotePrefix="0" xfId="0">
      <alignment horizontal="left" indent="1"/>
    </xf>
    <xf numFmtId="165" fontId="21" fillId="3" borderId="0" pivotButton="0" quotePrefix="0" xfId="16"/>
    <xf numFmtId="165" fontId="29" fillId="5" borderId="0" applyAlignment="1" pivotButton="0" quotePrefix="0" xfId="0">
      <alignment horizontal="right"/>
    </xf>
    <xf numFmtId="167" fontId="0" fillId="3" borderId="2" applyAlignment="1" pivotButton="0" quotePrefix="0" xfId="0">
      <alignment horizontal="left" indent="2"/>
    </xf>
    <xf numFmtId="166" fontId="29" fillId="3" borderId="0" applyAlignment="1" pivotButton="0" quotePrefix="0" xfId="0">
      <alignment horizontal="left" indent="2"/>
    </xf>
    <xf numFmtId="166" fontId="21" fillId="3" borderId="0" pivotButton="0" quotePrefix="0" xfId="16"/>
    <xf numFmtId="166" fontId="29" fillId="3" borderId="0" applyAlignment="1" pivotButton="0" quotePrefix="0" xfId="30">
      <alignment horizontal="left" indent="1"/>
    </xf>
    <xf numFmtId="166" fontId="25" fillId="3" borderId="7" applyAlignment="1" pivotButton="0" quotePrefix="0" xfId="30">
      <alignment horizontal="left"/>
    </xf>
    <xf numFmtId="166" fontId="25" fillId="3" borderId="7" applyAlignment="1" pivotButton="0" quotePrefix="0" xfId="0">
      <alignment horizontal="left" indent="4"/>
    </xf>
    <xf numFmtId="166" fontId="25" fillId="3" borderId="0" applyAlignment="1" pivotButton="0" quotePrefix="0" xfId="30">
      <alignment horizontal="left"/>
    </xf>
    <xf numFmtId="165" fontId="25" fillId="3" borderId="7" applyAlignment="1" pivotButton="0" quotePrefix="0" xfId="0">
      <alignment horizontal="left"/>
    </xf>
    <xf numFmtId="165" fontId="32" fillId="3" borderId="7" pivotButton="0" quotePrefix="0" xfId="16"/>
    <xf numFmtId="165" fontId="25" fillId="5" borderId="7" applyAlignment="1" pivotButton="0" quotePrefix="0" xfId="0">
      <alignment horizontal="right"/>
    </xf>
    <xf numFmtId="165" fontId="25" fillId="3" borderId="7" applyAlignment="1" pivotButton="0" quotePrefix="0" xfId="0">
      <alignment horizontal="right"/>
    </xf>
    <xf numFmtId="165" fontId="25" fillId="3" borderId="0" applyAlignment="1" pivotButton="0" quotePrefix="0" xfId="0">
      <alignment horizontal="left"/>
    </xf>
    <xf numFmtId="165" fontId="32" fillId="3" borderId="0" pivotButton="0" quotePrefix="0" xfId="16"/>
    <xf numFmtId="167" fontId="29" fillId="3" borderId="0" applyAlignment="1" pivotButton="0" quotePrefix="0" xfId="30">
      <alignment horizontal="left" indent="1"/>
    </xf>
    <xf numFmtId="165" fontId="0" fillId="3" borderId="2" applyAlignment="1" pivotButton="0" quotePrefix="0" xfId="0">
      <alignment horizontal="left" indent="2"/>
    </xf>
    <xf numFmtId="165" fontId="0" fillId="3" borderId="7" applyAlignment="1" pivotButton="0" quotePrefix="0" xfId="0">
      <alignment horizontal="left" indent="1"/>
    </xf>
    <xf numFmtId="166" fontId="29" fillId="3" borderId="7" applyAlignment="1" pivotButton="0" quotePrefix="0" xfId="0">
      <alignment horizontal="left" indent="1"/>
    </xf>
    <xf numFmtId="167" fontId="0" fillId="3" borderId="7" applyAlignment="1" pivotButton="0" quotePrefix="0" xfId="0">
      <alignment horizontal="left"/>
    </xf>
    <xf numFmtId="167" fontId="29" fillId="3" borderId="0" applyAlignment="1" pivotButton="0" quotePrefix="0" xfId="0">
      <alignment horizontal="left"/>
    </xf>
    <xf numFmtId="167" fontId="21" fillId="3" borderId="0" pivotButton="0" quotePrefix="0" xfId="16"/>
    <xf numFmtId="167" fontId="29" fillId="5" borderId="0" applyAlignment="1" pivotButton="0" quotePrefix="0" xfId="0">
      <alignment horizontal="right"/>
    </xf>
    <xf numFmtId="166" fontId="29" fillId="3" borderId="10" pivotButton="0" quotePrefix="0" xfId="0"/>
    <xf numFmtId="166" fontId="21" fillId="3" borderId="11" applyAlignment="1" pivotButton="0" quotePrefix="0" xfId="26">
      <alignment horizontal="left" indent="1"/>
    </xf>
    <xf numFmtId="172" fontId="37" fillId="3" borderId="0" applyAlignment="1" pivotButton="0" quotePrefix="0" xfId="24">
      <alignment horizontal="left"/>
    </xf>
    <xf numFmtId="0" fontId="25" fillId="3" borderId="0" pivotButton="0" quotePrefix="0" xfId="0"/>
    <xf numFmtId="0" fontId="24" fillId="3" borderId="0" pivotButton="0" quotePrefix="0" xfId="0"/>
    <xf numFmtId="0" fontId="29" fillId="3" borderId="0" applyAlignment="1" pivotButton="0" quotePrefix="0" xfId="0">
      <alignment horizontal="left"/>
    </xf>
    <xf numFmtId="0" fontId="29" fillId="3" borderId="0" pivotButton="0" quotePrefix="0" xfId="0"/>
    <xf numFmtId="166" fontId="25" fillId="3" borderId="0" applyAlignment="1" pivotButton="0" quotePrefix="0" xfId="0">
      <alignment horizontal="center"/>
    </xf>
    <xf numFmtId="14" fontId="29" fillId="3" borderId="0" applyAlignment="1" pivotButton="0" quotePrefix="0" xfId="0">
      <alignment horizontal="left"/>
    </xf>
    <xf numFmtId="0" fontId="38" fillId="3" borderId="0" pivotButton="0" quotePrefix="0" xfId="24"/>
    <xf numFmtId="0" fontId="29" fillId="3" borderId="0" applyAlignment="1" pivotButton="0" quotePrefix="0" xfId="0">
      <alignment horizontal="center"/>
    </xf>
    <xf numFmtId="166" fontId="29" fillId="3" borderId="0" applyAlignment="1" pivotButton="0" quotePrefix="0" xfId="0">
      <alignment horizontal="center"/>
    </xf>
    <xf numFmtId="0" fontId="26" fillId="4" borderId="0" applyAlignment="1" pivotButton="0" quotePrefix="0" xfId="0">
      <alignment horizontal="left"/>
    </xf>
    <xf numFmtId="0" fontId="26" fillId="4" borderId="0" applyAlignment="1" pivotButton="0" quotePrefix="0" xfId="0">
      <alignment horizontal="centerContinuous"/>
    </xf>
    <xf numFmtId="0" fontId="26" fillId="4" borderId="0" applyAlignment="1" pivotButton="0" quotePrefix="0" xfId="0">
      <alignment horizontal="center"/>
    </xf>
    <xf numFmtId="167" fontId="26" fillId="4" borderId="0" applyAlignment="1" pivotButton="0" quotePrefix="0" xfId="0">
      <alignment horizontal="center"/>
    </xf>
    <xf numFmtId="0" fontId="29" fillId="6" borderId="0" pivotButton="0" quotePrefix="0" xfId="0"/>
    <xf numFmtId="0" fontId="24" fillId="6" borderId="0" pivotButton="0" quotePrefix="0" xfId="0"/>
    <xf numFmtId="166" fontId="29" fillId="6" borderId="0" pivotButton="0" quotePrefix="0" xfId="0"/>
    <xf numFmtId="14" fontId="29" fillId="6" borderId="0" applyAlignment="1" pivotButton="0" quotePrefix="0" xfId="0">
      <alignment horizontal="left"/>
    </xf>
    <xf numFmtId="167" fontId="29" fillId="6" borderId="0" pivotButton="0" quotePrefix="0" xfId="0"/>
    <xf numFmtId="0" fontId="26" fillId="3" borderId="0" applyAlignment="1" pivotButton="0" quotePrefix="0" xfId="0">
      <alignment horizontal="left"/>
    </xf>
    <xf numFmtId="0" fontId="26" fillId="3" borderId="0" applyAlignment="1" pivotButton="0" quotePrefix="0" xfId="0">
      <alignment horizontal="center"/>
    </xf>
    <xf numFmtId="0" fontId="25" fillId="6" borderId="0" pivotButton="0" quotePrefix="0" xfId="0"/>
    <xf numFmtId="166" fontId="25" fillId="6" borderId="0" applyAlignment="1" pivotButton="0" quotePrefix="0" xfId="0">
      <alignment horizontal="center"/>
    </xf>
    <xf numFmtId="167" fontId="25" fillId="6" borderId="0" applyAlignment="1" pivotButton="0" quotePrefix="0" xfId="0">
      <alignment horizontal="center"/>
    </xf>
    <xf numFmtId="0" fontId="39" fillId="6" borderId="0" pivotButton="0" quotePrefix="0" xfId="24"/>
    <xf numFmtId="0" fontId="39" fillId="3" borderId="0" pivotButton="0" quotePrefix="0" xfId="24"/>
    <xf numFmtId="166" fontId="32" fillId="3" borderId="0" applyAlignment="1" pivotButton="0" quotePrefix="0" xfId="30">
      <alignment horizontal="left"/>
    </xf>
    <xf numFmtId="166" fontId="31" fillId="3" borderId="0" applyAlignment="1" pivotButton="0" quotePrefix="0" xfId="30">
      <alignment horizontal="center"/>
    </xf>
    <xf numFmtId="171" fontId="25" fillId="3" borderId="0" applyAlignment="1" pivotButton="0" quotePrefix="0" xfId="30">
      <alignment horizontal="left" indent="1"/>
    </xf>
    <xf numFmtId="166" fontId="29" fillId="3" borderId="0" applyAlignment="1" pivotButton="0" quotePrefix="0" xfId="30">
      <alignment horizontal="left" indent="3"/>
    </xf>
    <xf numFmtId="166" fontId="25" fillId="3" borderId="7" applyAlignment="1" pivotButton="0" quotePrefix="0" xfId="30">
      <alignment horizontal="left" indent="3"/>
    </xf>
    <xf numFmtId="166" fontId="25" fillId="3" borderId="0" applyAlignment="1" pivotButton="0" quotePrefix="0" xfId="30">
      <alignment horizontal="left" indent="3"/>
    </xf>
    <xf numFmtId="167" fontId="21" fillId="3" borderId="0" pivotButton="0" quotePrefix="0" xfId="21"/>
    <xf numFmtId="167" fontId="29" fillId="3" borderId="0" applyAlignment="1" pivotButton="0" quotePrefix="0" xfId="30">
      <alignment horizontal="left"/>
    </xf>
    <xf numFmtId="171" fontId="32" fillId="3" borderId="0" pivotButton="0" quotePrefix="0" xfId="21"/>
    <xf numFmtId="171" fontId="25" fillId="3" borderId="0" applyAlignment="1" pivotButton="0" quotePrefix="0" xfId="30">
      <alignment horizontal="left" indent="3"/>
    </xf>
    <xf numFmtId="167" fontId="29" fillId="3" borderId="0" pivotButton="0" quotePrefix="0" xfId="30"/>
    <xf numFmtId="167" fontId="25" fillId="3" borderId="0" applyAlignment="1" pivotButton="0" quotePrefix="0" xfId="30">
      <alignment horizontal="left"/>
    </xf>
    <xf numFmtId="167" fontId="32" fillId="3" borderId="0" pivotButton="0" quotePrefix="0" xfId="21"/>
    <xf numFmtId="169" fontId="32" fillId="3" borderId="0" pivotButton="0" quotePrefix="0" xfId="21"/>
    <xf numFmtId="170" fontId="25" fillId="3" borderId="0" applyAlignment="1" pivotButton="0" quotePrefix="0" xfId="30">
      <alignment horizontal="left"/>
    </xf>
    <xf numFmtId="170" fontId="32" fillId="3" borderId="0" pivotButton="0" quotePrefix="0" xfId="21"/>
    <xf numFmtId="169" fontId="25" fillId="3" borderId="0" applyAlignment="1" pivotButton="0" quotePrefix="0" xfId="30">
      <alignment horizontal="left" indent="3"/>
    </xf>
    <xf numFmtId="168" fontId="32" fillId="3" borderId="0" pivotButton="0" quotePrefix="0" xfId="30"/>
    <xf numFmtId="168" fontId="25" fillId="3" borderId="0" applyAlignment="1" pivotButton="0" quotePrefix="0" xfId="30">
      <alignment horizontal="left" indent="3"/>
    </xf>
    <xf numFmtId="173" fontId="25" fillId="3" borderId="0" applyAlignment="1" pivotButton="0" quotePrefix="0" xfId="30">
      <alignment horizontal="left"/>
    </xf>
    <xf numFmtId="173" fontId="32" fillId="3" borderId="0" pivotButton="0" quotePrefix="0" xfId="21"/>
    <xf numFmtId="168" fontId="21" fillId="3" borderId="0" pivotButton="0" quotePrefix="0" xfId="30"/>
    <xf numFmtId="168" fontId="29" fillId="3" borderId="0" applyAlignment="1" pivotButton="0" quotePrefix="0" xfId="30">
      <alignment horizontal="left" indent="3"/>
    </xf>
    <xf numFmtId="0" fontId="29" fillId="3" borderId="0" pivotButton="0" quotePrefix="0" xfId="30"/>
    <xf numFmtId="166" fontId="7" fillId="3" borderId="12" pivotButton="0" quotePrefix="0" xfId="0"/>
    <xf numFmtId="174" fontId="0" fillId="3" borderId="0" applyAlignment="1" pivotButton="0" quotePrefix="0" xfId="0">
      <alignment horizontal="left" indent="1"/>
    </xf>
    <xf numFmtId="174" fontId="0" fillId="3" borderId="0" pivotButton="0" quotePrefix="0" xfId="0"/>
    <xf numFmtId="165" fontId="0" fillId="3" borderId="13" applyAlignment="1" pivotButton="0" quotePrefix="0" xfId="0">
      <alignment horizontal="left" indent="1"/>
    </xf>
    <xf numFmtId="165" fontId="0" fillId="3" borderId="13" pivotButton="0" quotePrefix="0" xfId="0"/>
    <xf numFmtId="0" fontId="27" fillId="4" borderId="0" pivotButton="0" quotePrefix="0" xfId="0"/>
    <xf numFmtId="167" fontId="19" fillId="3" borderId="0" pivotButton="0" quotePrefix="0" xfId="0"/>
    <xf numFmtId="171" fontId="25" fillId="3" borderId="0" pivotButton="0" quotePrefix="0" xfId="30"/>
    <xf numFmtId="167" fontId="25" fillId="3" borderId="0" pivotButton="0" quotePrefix="0" xfId="30"/>
    <xf numFmtId="170" fontId="25" fillId="3" borderId="0" pivotButton="0" quotePrefix="0" xfId="30"/>
    <xf numFmtId="173" fontId="25" fillId="3" borderId="0" pivotButton="0" quotePrefix="0" xfId="30"/>
    <xf numFmtId="166" fontId="26" fillId="4" borderId="0" applyAlignment="1" pivotButton="0" quotePrefix="0" xfId="0">
      <alignment horizontal="left"/>
    </xf>
    <xf numFmtId="166" fontId="26" fillId="4" borderId="0" applyAlignment="1" pivotButton="0" quotePrefix="0" xfId="0">
      <alignment horizontal="left" indent="3"/>
    </xf>
    <xf numFmtId="167" fontId="43" fillId="3" borderId="0" pivotButton="0" quotePrefix="0" xfId="0"/>
    <xf numFmtId="166" fontId="0" fillId="3" borderId="9" applyAlignment="1" pivotButton="0" quotePrefix="0" xfId="0">
      <alignment horizontal="left" indent="1"/>
    </xf>
    <xf numFmtId="166" fontId="29" fillId="3" borderId="9" applyAlignment="1" pivotButton="0" quotePrefix="0" xfId="0">
      <alignment horizontal="left" indent="1"/>
    </xf>
    <xf numFmtId="166" fontId="29" fillId="3" borderId="9" applyAlignment="1" pivotButton="0" quotePrefix="0" xfId="0">
      <alignment horizontal="left" indent="3"/>
    </xf>
    <xf numFmtId="175" fontId="0" fillId="3" borderId="0" pivotButton="0" quotePrefix="0" xfId="0"/>
    <xf numFmtId="175" fontId="9" fillId="3" borderId="0" pivotButton="0" quotePrefix="0" xfId="0"/>
    <xf numFmtId="166" fontId="29" fillId="3" borderId="12" pivotButton="0" quotePrefix="0" xfId="0"/>
    <xf numFmtId="166" fontId="21" fillId="3" borderId="12" pivotButton="0" quotePrefix="0" xfId="26"/>
    <xf numFmtId="166" fontId="29" fillId="3" borderId="14" pivotButton="0" quotePrefix="0" xfId="0"/>
    <xf numFmtId="176" fontId="32" fillId="3" borderId="15" applyAlignment="1" pivotButton="0" quotePrefix="0" xfId="26">
      <alignment horizontal="left"/>
    </xf>
    <xf numFmtId="176" fontId="21" fillId="3" borderId="11" applyAlignment="1" pivotButton="0" quotePrefix="0" xfId="26">
      <alignment horizontal="left"/>
    </xf>
    <xf numFmtId="175" fontId="21" fillId="3" borderId="11" applyAlignment="1" pivotButton="0" quotePrefix="0" xfId="26">
      <alignment horizontal="left" indent="1"/>
    </xf>
    <xf numFmtId="175" fontId="21" fillId="3" borderId="11" applyAlignment="1" pivotButton="0" quotePrefix="0" xfId="26">
      <alignment horizontal="left" indent="2"/>
    </xf>
    <xf numFmtId="175" fontId="0" fillId="3" borderId="0" applyAlignment="1" pivotButton="0" quotePrefix="0" xfId="0">
      <alignment horizontal="left" indent="1"/>
    </xf>
    <xf numFmtId="165" fontId="25" fillId="5" borderId="0" applyAlignment="1" pivotButton="0" quotePrefix="0" xfId="0">
      <alignment horizontal="right"/>
    </xf>
    <xf numFmtId="167" fontId="24" fillId="5" borderId="0" pivotButton="0" quotePrefix="0" xfId="0"/>
    <xf numFmtId="167" fontId="25" fillId="5" borderId="0" pivotButton="0" quotePrefix="0" xfId="0"/>
    <xf numFmtId="167" fontId="29" fillId="3" borderId="0" applyAlignment="1" pivotButton="0" quotePrefix="0" xfId="0">
      <alignment horizontal="right"/>
    </xf>
    <xf numFmtId="165" fontId="29" fillId="3" borderId="0" applyAlignment="1" pivotButton="0" quotePrefix="0" xfId="0">
      <alignment horizontal="right"/>
    </xf>
    <xf numFmtId="165" fontId="25" fillId="3" borderId="0" applyAlignment="1" pivotButton="0" quotePrefix="0" xfId="0">
      <alignment horizontal="right"/>
    </xf>
    <xf numFmtId="167" fontId="24" fillId="3" borderId="0" applyAlignment="1" pivotButton="0" quotePrefix="0" xfId="0">
      <alignment horizontal="right"/>
    </xf>
    <xf numFmtId="167" fontId="42" fillId="3" borderId="0" pivotButton="0" quotePrefix="0" xfId="0"/>
    <xf numFmtId="173" fontId="25" fillId="3" borderId="0" applyAlignment="1" pivotButton="0" quotePrefix="0" xfId="30">
      <alignment horizontal="right"/>
    </xf>
    <xf numFmtId="165" fontId="29" fillId="6" borderId="0" pivotButton="0" quotePrefix="0" xfId="0"/>
    <xf numFmtId="165" fontId="29" fillId="3" borderId="0" pivotButton="0" quotePrefix="0" xfId="0"/>
    <xf numFmtId="165" fontId="25" fillId="6" borderId="0" applyAlignment="1" pivotButton="0" quotePrefix="0" xfId="0">
      <alignment horizontal="center"/>
    </xf>
    <xf numFmtId="167" fontId="29" fillId="3" borderId="7" applyAlignment="1" pivotButton="0" quotePrefix="0" xfId="0">
      <alignment horizontal="left" indent="1"/>
    </xf>
    <xf numFmtId="167" fontId="29" fillId="3" borderId="2" applyAlignment="1" pivotButton="0" quotePrefix="0" xfId="30">
      <alignment horizontal="left" indent="1"/>
    </xf>
    <xf numFmtId="167" fontId="0" fillId="3" borderId="2" applyAlignment="1" pivotButton="0" quotePrefix="0" xfId="0">
      <alignment horizontal="left" indent="1"/>
    </xf>
    <xf numFmtId="166" fontId="29" fillId="3" borderId="2" applyAlignment="1" pivotButton="0" quotePrefix="0" xfId="0">
      <alignment horizontal="left" indent="2"/>
    </xf>
    <xf numFmtId="166" fontId="21" fillId="3" borderId="2" pivotButton="0" quotePrefix="0" xfId="16"/>
    <xf numFmtId="165" fontId="29" fillId="3" borderId="2" applyAlignment="1" pivotButton="0" quotePrefix="0" xfId="0">
      <alignment horizontal="left" indent="1"/>
    </xf>
    <xf numFmtId="165" fontId="21" fillId="3" borderId="2" pivotButton="0" quotePrefix="0" xfId="16"/>
    <xf numFmtId="165" fontId="29" fillId="3" borderId="2" applyAlignment="1" pivotButton="0" quotePrefix="0" xfId="0">
      <alignment horizontal="right"/>
    </xf>
    <xf numFmtId="166" fontId="0" fillId="3" borderId="2" applyAlignment="1" pivotButton="0" quotePrefix="0" xfId="30">
      <alignment horizontal="left" indent="1"/>
    </xf>
    <xf numFmtId="165" fontId="0" fillId="3" borderId="2" applyAlignment="1" pivotButton="0" quotePrefix="0" xfId="0">
      <alignment horizontal="left" indent="1"/>
    </xf>
    <xf numFmtId="166" fontId="0" fillId="3" borderId="2" applyAlignment="1" pivotButton="0" quotePrefix="0" xfId="0">
      <alignment horizontal="left" indent="1"/>
    </xf>
    <xf numFmtId="167" fontId="25" fillId="3" borderId="2" applyAlignment="1" pivotButton="0" quotePrefix="0" xfId="0">
      <alignment horizontal="left" indent="2"/>
    </xf>
    <xf numFmtId="167" fontId="32" fillId="3" borderId="2" pivotButton="0" quotePrefix="0" xfId="16"/>
    <xf numFmtId="166" fontId="0" fillId="3" borderId="7" applyAlignment="1" pivotButton="0" quotePrefix="0" xfId="0">
      <alignment horizontal="left" indent="1"/>
    </xf>
    <xf numFmtId="166" fontId="29" fillId="3" borderId="2" applyAlignment="1" pivotButton="0" quotePrefix="0" xfId="0">
      <alignment horizontal="left" indent="1"/>
    </xf>
    <xf numFmtId="166" fontId="29" fillId="3" borderId="2" applyAlignment="1" pivotButton="0" quotePrefix="0" xfId="0">
      <alignment horizontal="left" indent="3"/>
    </xf>
    <xf numFmtId="166" fontId="0" fillId="3" borderId="11" pivotButton="0" quotePrefix="0" xfId="0"/>
    <xf numFmtId="166" fontId="21" fillId="3" borderId="16" applyAlignment="1" pivotButton="0" quotePrefix="0" xfId="26">
      <alignment horizontal="left" indent="1"/>
    </xf>
    <xf numFmtId="166" fontId="29" fillId="3" borderId="16" pivotButton="0" quotePrefix="0" xfId="0"/>
    <xf numFmtId="166" fontId="21" fillId="3" borderId="16" pivotButton="0" quotePrefix="0" xfId="26"/>
    <xf numFmtId="175" fontId="0" fillId="3" borderId="11" pivotButton="0" quotePrefix="0" xfId="0"/>
    <xf numFmtId="165" fontId="29" fillId="5" borderId="2" applyAlignment="1" pivotButton="0" quotePrefix="0" xfId="0">
      <alignment horizontal="right"/>
    </xf>
    <xf numFmtId="166" fontId="21" fillId="3" borderId="2" pivotButton="0" quotePrefix="0" xfId="26"/>
    <xf numFmtId="166" fontId="29" fillId="3" borderId="1" pivotButton="0" quotePrefix="0" xfId="0"/>
    <xf numFmtId="166" fontId="21" fillId="3" borderId="5" applyAlignment="1" pivotButton="0" quotePrefix="0" xfId="26">
      <alignment horizontal="left" indent="1"/>
    </xf>
    <xf numFmtId="166" fontId="21" fillId="3" borderId="3" applyAlignment="1" pivotButton="0" quotePrefix="0" xfId="26">
      <alignment horizontal="left" indent="1"/>
    </xf>
    <xf numFmtId="166" fontId="32" fillId="3" borderId="17" pivotButton="0" quotePrefix="0" xfId="26"/>
    <xf numFmtId="177" fontId="21" fillId="3" borderId="18" applyAlignment="1" pivotButton="0" quotePrefix="0" xfId="26">
      <alignment horizontal="left" indent="1"/>
    </xf>
    <xf numFmtId="178" fontId="21" fillId="3" borderId="18" applyAlignment="1" pivotButton="0" quotePrefix="0" xfId="26">
      <alignment horizontal="left" indent="1"/>
    </xf>
    <xf numFmtId="179" fontId="21" fillId="3" borderId="18" applyAlignment="1" pivotButton="0" quotePrefix="0" xfId="26">
      <alignment horizontal="left" indent="1"/>
    </xf>
    <xf numFmtId="166" fontId="32" fillId="3" borderId="8" pivotButton="0" quotePrefix="0" xfId="26"/>
    <xf numFmtId="166" fontId="29" fillId="3" borderId="2" applyAlignment="1" pivotButton="0" quotePrefix="0" xfId="30">
      <alignment horizontal="left" indent="3"/>
    </xf>
    <xf numFmtId="167" fontId="21" fillId="3" borderId="2" pivotButton="0" quotePrefix="0" xfId="21"/>
    <xf numFmtId="167" fontId="29" fillId="5" borderId="2" applyAlignment="1" pivotButton="0" quotePrefix="0" xfId="30">
      <alignment horizontal="right"/>
    </xf>
    <xf numFmtId="167" fontId="29" fillId="3" borderId="2" applyAlignment="1" pivotButton="0" quotePrefix="0" xfId="30">
      <alignment horizontal="right"/>
    </xf>
    <xf numFmtId="167" fontId="29" fillId="5" borderId="2" pivotButton="0" quotePrefix="0" xfId="30"/>
    <xf numFmtId="169" fontId="21" fillId="3" borderId="5" applyAlignment="1" pivotButton="0" quotePrefix="0" xfId="26">
      <alignment horizontal="left" indent="1"/>
    </xf>
    <xf numFmtId="169" fontId="0" fillId="3" borderId="11" pivotButton="0" quotePrefix="0" xfId="0"/>
    <xf numFmtId="165" fontId="29" fillId="3" borderId="0" applyAlignment="1" pivotButton="0" quotePrefix="0" xfId="0">
      <alignment horizontal="left" indent="2"/>
    </xf>
    <xf numFmtId="165" fontId="29" fillId="3" borderId="2" applyAlignment="1" pivotButton="0" quotePrefix="0" xfId="0">
      <alignment horizontal="left" indent="2"/>
    </xf>
    <xf numFmtId="166" fontId="3" fillId="3" borderId="6" applyAlignment="1" pivotButton="0" quotePrefix="0" xfId="26">
      <alignment horizontal="left"/>
    </xf>
    <xf numFmtId="166" fontId="2" fillId="3" borderId="4" applyAlignment="1" pivotButton="0" quotePrefix="0" xfId="26">
      <alignment horizontal="left" indent="1"/>
    </xf>
    <xf numFmtId="168" fontId="25" fillId="3" borderId="0" applyAlignment="1" pivotButton="0" quotePrefix="0" xfId="0">
      <alignment horizontal="right"/>
    </xf>
    <xf numFmtId="166" fontId="0" fillId="3" borderId="13" applyAlignment="1" pivotButton="0" quotePrefix="0" xfId="0">
      <alignment horizontal="left" indent="1"/>
    </xf>
    <xf numFmtId="0" fontId="4" fillId="3" borderId="19" pivotButton="0" quotePrefix="0" xfId="24"/>
    <xf numFmtId="168" fontId="25" fillId="5" borderId="0" applyAlignment="1" pivotButton="0" quotePrefix="0" xfId="30">
      <alignment horizontal="right"/>
    </xf>
    <xf numFmtId="173" fontId="25" fillId="5" borderId="0" applyAlignment="1" pivotButton="0" quotePrefix="0" xfId="30">
      <alignment horizontal="right"/>
    </xf>
    <xf numFmtId="165" fontId="26" fillId="4" borderId="0" pivotButton="0" quotePrefix="0" xfId="30"/>
    <xf numFmtId="165" fontId="26" fillId="4" borderId="0" pivotButton="0" quotePrefix="0" xfId="0"/>
    <xf numFmtId="175" fontId="29" fillId="3" borderId="0" pivotButton="0" quotePrefix="0" xfId="0"/>
    <xf numFmtId="165" fontId="25" fillId="3" borderId="0" pivotButton="0" quotePrefix="0" xfId="30"/>
    <xf numFmtId="180" fontId="21" fillId="3" borderId="20" applyAlignment="1" pivotButton="0" quotePrefix="0" xfId="26">
      <alignment horizontal="left" indent="1"/>
    </xf>
    <xf numFmtId="167" fontId="25" fillId="3" borderId="0" applyAlignment="1" pivotButton="0" quotePrefix="0" xfId="0">
      <alignment horizontal="center"/>
    </xf>
    <xf numFmtId="167" fontId="29" fillId="3" borderId="0" applyAlignment="1" pivotButton="0" quotePrefix="0" xfId="0">
      <alignment horizontal="center"/>
    </xf>
    <xf numFmtId="166" fontId="0" fillId="3" borderId="0" pivotButton="0" quotePrefix="0" xfId="0"/>
    <xf numFmtId="181" fontId="21" fillId="3" borderId="11" applyAlignment="1" pivotButton="0" quotePrefix="0" xfId="26">
      <alignment horizontal="left" indent="1"/>
    </xf>
    <xf numFmtId="181" fontId="29" fillId="3" borderId="0" pivotButton="0" quotePrefix="0" xfId="0"/>
    <xf numFmtId="181" fontId="29" fillId="3" borderId="10" pivotButton="0" quotePrefix="0" xfId="0"/>
    <xf numFmtId="181" fontId="0" fillId="3" borderId="11" pivotButton="0" quotePrefix="0" xfId="0"/>
    <xf numFmtId="181" fontId="21" fillId="3" borderId="11" applyAlignment="1" pivotButton="0" quotePrefix="0" xfId="26">
      <alignment horizontal="left" indent="2"/>
    </xf>
    <xf numFmtId="181" fontId="0" fillId="3" borderId="0" applyAlignment="1" pivotButton="0" quotePrefix="0" xfId="0">
      <alignment horizontal="left" indent="1"/>
    </xf>
    <xf numFmtId="181" fontId="0" fillId="3" borderId="0" pivotButton="0" quotePrefix="0" xfId="0"/>
    <xf numFmtId="182" fontId="2" fillId="3" borderId="0" applyAlignment="1" pivotButton="0" quotePrefix="0" xfId="0">
      <alignment horizontal="left"/>
    </xf>
    <xf numFmtId="183" fontId="3" fillId="3" borderId="0" applyAlignment="1" pivotButton="0" quotePrefix="0" xfId="0">
      <alignment horizontal="left"/>
    </xf>
    <xf numFmtId="181" fontId="6" fillId="3" borderId="0" applyAlignment="1" pivotButton="0" quotePrefix="0" xfId="16">
      <alignment horizontal="center"/>
    </xf>
    <xf numFmtId="166" fontId="7" fillId="3" borderId="0" applyAlignment="1" pivotButton="0" quotePrefix="0" xfId="0">
      <alignment horizontal="center"/>
    </xf>
    <xf numFmtId="184" fontId="3" fillId="3" borderId="0" pivotButton="0" quotePrefix="0" xfId="0"/>
    <xf numFmtId="0" fontId="7" fillId="3" borderId="0" applyAlignment="1" pivotButton="0" quotePrefix="0" xfId="0">
      <alignment horizontal="center"/>
    </xf>
    <xf numFmtId="171" fontId="13" fillId="3" borderId="0" applyAlignment="1" pivotButton="0" quotePrefix="0" xfId="0">
      <alignment horizontal="left"/>
    </xf>
    <xf numFmtId="172" fontId="21" fillId="3" borderId="0" applyAlignment="1" pivotButton="0" quotePrefix="0" xfId="0">
      <alignment horizontal="center"/>
    </xf>
    <xf numFmtId="0" fontId="32" fillId="3" borderId="0" applyAlignment="1" pivotButton="0" quotePrefix="0" xfId="16">
      <alignment horizontal="center"/>
    </xf>
    <xf numFmtId="165" fontId="29" fillId="3" borderId="0" applyAlignment="1" pivotButton="0" quotePrefix="0" xfId="0">
      <alignment horizontal="left"/>
    </xf>
    <xf numFmtId="165" fontId="29" fillId="3" borderId="0" applyAlignment="1" pivotButton="0" quotePrefix="0" xfId="0">
      <alignment horizontal="left" indent="4"/>
    </xf>
    <xf numFmtId="167" fontId="21" fillId="3" borderId="2" pivotButton="0" quotePrefix="0" xfId="16"/>
    <xf numFmtId="167" fontId="29" fillId="3" borderId="2" applyAlignment="1" pivotButton="0" quotePrefix="0" xfId="0">
      <alignment horizontal="right"/>
    </xf>
    <xf numFmtId="167" fontId="25" fillId="3" borderId="0" applyAlignment="1" pivotButton="0" quotePrefix="0" xfId="0">
      <alignment horizontal="left"/>
    </xf>
    <xf numFmtId="166" fontId="29" fillId="3" borderId="0" applyAlignment="1" pivotButton="0" quotePrefix="0" xfId="0">
      <alignment horizontal="left" indent="4"/>
    </xf>
    <xf numFmtId="166" fontId="32" fillId="3" borderId="0" pivotButton="0" quotePrefix="0" xfId="16"/>
    <xf numFmtId="166" fontId="32" fillId="3" borderId="7" pivotButton="0" quotePrefix="0" xfId="16"/>
    <xf numFmtId="165" fontId="21" fillId="3" borderId="7" pivotButton="0" quotePrefix="0" xfId="16"/>
    <xf numFmtId="165" fontId="29" fillId="3" borderId="7" applyAlignment="1" pivotButton="0" quotePrefix="0" xfId="0">
      <alignment horizontal="right"/>
    </xf>
    <xf numFmtId="167" fontId="21" fillId="3" borderId="7" pivotButton="0" quotePrefix="0" xfId="16"/>
    <xf numFmtId="167" fontId="29" fillId="3" borderId="7" applyAlignment="1" pivotButton="0" quotePrefix="0" xfId="0">
      <alignment horizontal="right"/>
    </xf>
    <xf numFmtId="167" fontId="29" fillId="3" borderId="0" applyAlignment="1" pivotButton="0" quotePrefix="0" xfId="0">
      <alignment horizontal="left" indent="1"/>
    </xf>
    <xf numFmtId="166" fontId="25" fillId="3" borderId="9" applyAlignment="1" pivotButton="0" quotePrefix="0" xfId="0">
      <alignment horizontal="left" indent="3"/>
    </xf>
    <xf numFmtId="166" fontId="29" fillId="3" borderId="7" applyAlignment="1" pivotButton="0" quotePrefix="0" xfId="0">
      <alignment horizontal="left" indent="3"/>
    </xf>
    <xf numFmtId="166" fontId="31" fillId="3" borderId="7" applyAlignment="1" pivotButton="0" quotePrefix="0" xfId="0">
      <alignment horizontal="left" indent="1"/>
    </xf>
    <xf numFmtId="171" fontId="25" fillId="3" borderId="0" applyAlignment="1" pivotButton="0" quotePrefix="0" xfId="0">
      <alignment horizontal="left" indent="3"/>
    </xf>
    <xf numFmtId="171" fontId="29" fillId="3" borderId="0" applyAlignment="1" pivotButton="0" quotePrefix="0" xfId="0">
      <alignment horizontal="left" indent="3"/>
    </xf>
    <xf numFmtId="171" fontId="29" fillId="3" borderId="0" pivotButton="0" quotePrefix="0" xfId="0"/>
    <xf numFmtId="166" fontId="29" fillId="3" borderId="13" applyAlignment="1" pivotButton="0" quotePrefix="0" xfId="0">
      <alignment horizontal="left" indent="3"/>
    </xf>
    <xf numFmtId="168" fontId="25" fillId="3" borderId="0" applyAlignment="1" pivotButton="0" quotePrefix="0" xfId="0">
      <alignment horizontal="left" indent="3"/>
    </xf>
    <xf numFmtId="168" fontId="25" fillId="3" borderId="0" pivotButton="0" quotePrefix="0" xfId="0"/>
    <xf numFmtId="165" fontId="29" fillId="3" borderId="0" applyAlignment="1" pivotButton="0" quotePrefix="0" xfId="0">
      <alignment horizontal="left" indent="3"/>
    </xf>
    <xf numFmtId="168" fontId="21" fillId="3" borderId="0" pivotButton="0" quotePrefix="0" xfId="0"/>
    <xf numFmtId="168" fontId="29" fillId="3" borderId="0" applyAlignment="1" pivotButton="0" quotePrefix="0" xfId="0">
      <alignment horizontal="left" indent="3"/>
    </xf>
    <xf numFmtId="168" fontId="29" fillId="3" borderId="0" pivotButton="0" quotePrefix="0" xfId="0"/>
    <xf numFmtId="181" fontId="21" fillId="3" borderId="0" pivotButton="0" quotePrefix="0" xfId="16"/>
    <xf numFmtId="175" fontId="21" fillId="3" borderId="0" pivotButton="0" quotePrefix="0" xfId="16"/>
    <xf numFmtId="174" fontId="21" fillId="3" borderId="0" pivotButton="0" quotePrefix="0" xfId="16"/>
    <xf numFmtId="165" fontId="25" fillId="3" borderId="0" applyAlignment="1" pivotButton="0" quotePrefix="0" xfId="0">
      <alignment horizontal="left" indent="3"/>
    </xf>
    <xf numFmtId="165" fontId="25" fillId="3" borderId="0" pivotButton="0" quotePrefix="0" xfId="0"/>
    <xf numFmtId="185" fontId="25" fillId="3" borderId="0" pivotButton="0" quotePrefix="0" xfId="0"/>
    <xf numFmtId="167" fontId="30" fillId="3" borderId="0" applyAlignment="1" pivotButton="0" quotePrefix="0" xfId="0">
      <alignment horizontal="left" indent="3"/>
    </xf>
    <xf numFmtId="167" fontId="30" fillId="3" borderId="0" pivotButton="0" quotePrefix="0" xfId="0"/>
    <xf numFmtId="166" fontId="21" fillId="3" borderId="13" applyAlignment="1" pivotButton="0" quotePrefix="0" xfId="26">
      <alignment horizontal="left" indent="1"/>
    </xf>
    <xf numFmtId="165" fontId="29" fillId="3" borderId="11" pivotButton="0" quotePrefix="0" xfId="0"/>
    <xf numFmtId="165" fontId="29" fillId="3" borderId="13" pivotButton="0" quotePrefix="0" xfId="0"/>
    <xf numFmtId="166" fontId="21" fillId="3" borderId="12" applyAlignment="1" pivotButton="0" quotePrefix="0" xfId="26">
      <alignment horizontal="left" indent="1"/>
    </xf>
    <xf numFmtId="165" fontId="29" fillId="3" borderId="12" pivotButton="0" quotePrefix="0" xfId="0"/>
    <xf numFmtId="166" fontId="21" fillId="3" borderId="1" applyAlignment="1" pivotButton="0" quotePrefix="0" xfId="26">
      <alignment horizontal="left" indent="1"/>
    </xf>
    <xf numFmtId="165" fontId="21" fillId="3" borderId="13" pivotButton="0" quotePrefix="0" xfId="26"/>
    <xf numFmtId="174" fontId="29" fillId="3" borderId="0" pivotButton="0" quotePrefix="0" xfId="0"/>
    <xf numFmtId="0" fontId="29" fillId="3" borderId="12" pivotButton="0" quotePrefix="0" xfId="0"/>
    <xf numFmtId="165" fontId="29" fillId="5" borderId="0" pivotButton="0" quotePrefix="0" xfId="0"/>
    <xf numFmtId="167" fontId="29" fillId="5" borderId="2" applyAlignment="1" pivotButton="0" quotePrefix="0" xfId="0">
      <alignment horizontal="right"/>
    </xf>
    <xf numFmtId="167" fontId="29" fillId="5" borderId="7" applyAlignment="1" pivotButton="0" quotePrefix="0" xfId="0">
      <alignment horizontal="right"/>
    </xf>
    <xf numFmtId="165" fontId="29" fillId="5" borderId="7" applyAlignment="1" pivotButton="0" quotePrefix="0" xfId="0">
      <alignment horizontal="right"/>
    </xf>
    <xf numFmtId="171" fontId="29" fillId="5" borderId="0" pivotButton="0" quotePrefix="0" xfId="0"/>
    <xf numFmtId="171" fontId="25" fillId="5" borderId="0" pivotButton="0" quotePrefix="0" xfId="0"/>
    <xf numFmtId="168" fontId="29" fillId="5" borderId="0" applyAlignment="1" pivotButton="0" quotePrefix="0" xfId="0">
      <alignment horizontal="right"/>
    </xf>
    <xf numFmtId="165" fontId="25" fillId="5" borderId="0" pivotButton="0" quotePrefix="0" xfId="0"/>
    <xf numFmtId="185" fontId="25" fillId="5" borderId="0" pivotButton="0" quotePrefix="0" xfId="0"/>
    <xf numFmtId="167" fontId="30" fillId="5" borderId="0" pivotButton="0" quotePrefix="0" xfId="0"/>
    <xf numFmtId="17" fontId="31" fillId="5" borderId="0" applyAlignment="1" pivotButton="0" quotePrefix="0" xfId="30">
      <alignment horizontal="center"/>
    </xf>
    <xf numFmtId="166" fontId="32" fillId="5" borderId="0" applyAlignment="1" pivotButton="0" quotePrefix="0" xfId="30">
      <alignment horizontal="center"/>
    </xf>
    <xf numFmtId="167" fontId="21" fillId="3" borderId="0" applyAlignment="1" pivotButton="0" quotePrefix="0" xfId="16">
      <alignment horizontal="left"/>
    </xf>
    <xf numFmtId="165" fontId="29" fillId="5" borderId="0" applyAlignment="1" pivotButton="0" quotePrefix="0" xfId="0">
      <alignment horizontal="left"/>
    </xf>
    <xf numFmtId="0" fontId="29" fillId="3" borderId="6" pivotButton="0" quotePrefix="0" xfId="0"/>
    <xf numFmtId="165" fontId="21" fillId="3" borderId="4" pivotButton="0" quotePrefix="0" xfId="26"/>
    <xf numFmtId="165" fontId="21" fillId="3" borderId="1" pivotButton="0" quotePrefix="0" xfId="26"/>
    <xf numFmtId="0" fontId="29" fillId="3" borderId="21" pivotButton="0" quotePrefix="0" xfId="0"/>
    <xf numFmtId="167" fontId="26" fillId="4" borderId="21" pivotButton="0" quotePrefix="0" xfId="0"/>
    <xf numFmtId="165" fontId="29" fillId="3" borderId="21" pivotButton="0" quotePrefix="0" xfId="0"/>
    <xf numFmtId="165" fontId="29" fillId="3" borderId="22" pivotButton="0" quotePrefix="0" xfId="0"/>
    <xf numFmtId="169" fontId="29" fillId="3" borderId="21" pivotButton="0" quotePrefix="0" xfId="0"/>
    <xf numFmtId="166" fontId="29" fillId="3" borderId="23" pivotButton="0" quotePrefix="0" xfId="0"/>
    <xf numFmtId="166" fontId="29" fillId="3" borderId="24" pivotButton="0" quotePrefix="0" xfId="0"/>
    <xf numFmtId="181" fontId="29" fillId="3" borderId="21" pivotButton="0" quotePrefix="0" xfId="0"/>
    <xf numFmtId="174" fontId="29" fillId="3" borderId="21" pivotButton="0" quotePrefix="0" xfId="0"/>
    <xf numFmtId="166" fontId="28" fillId="4" borderId="21" pivotButton="0" quotePrefix="0" xfId="30"/>
    <xf numFmtId="167" fontId="27" fillId="4" borderId="21" pivotButton="0" quotePrefix="0" xfId="30"/>
    <xf numFmtId="166" fontId="25" fillId="3" borderId="12" applyAlignment="1" pivotButton="0" quotePrefix="0" xfId="0">
      <alignment horizontal="left"/>
    </xf>
    <xf numFmtId="166" fontId="25" fillId="3" borderId="12" applyAlignment="1" pivotButton="0" quotePrefix="0" xfId="0">
      <alignment horizontal="left" indent="3"/>
    </xf>
    <xf numFmtId="166" fontId="24" fillId="3" borderId="0" applyAlignment="1" pivotButton="0" quotePrefix="0" xfId="0">
      <alignment horizontal="left"/>
    </xf>
    <xf numFmtId="167" fontId="48" fillId="3" borderId="0" applyAlignment="1" pivotButton="0" quotePrefix="0" xfId="0">
      <alignment horizontal="right"/>
    </xf>
    <xf numFmtId="167" fontId="48" fillId="5" borderId="0" applyAlignment="1" pivotButton="0" quotePrefix="0" xfId="0">
      <alignment horizontal="right"/>
    </xf>
    <xf numFmtId="186" fontId="29" fillId="3" borderId="0" pivotButton="0" quotePrefix="0" xfId="0"/>
    <xf numFmtId="187" fontId="0" fillId="3" borderId="0" pivotButton="0" quotePrefix="0" xfId="0"/>
    <xf numFmtId="187" fontId="29" fillId="3" borderId="0" applyAlignment="1" pivotButton="0" quotePrefix="0" xfId="0">
      <alignment horizontal="left" indent="3"/>
    </xf>
    <xf numFmtId="187" fontId="29" fillId="3" borderId="0" pivotButton="0" quotePrefix="0" xfId="0"/>
    <xf numFmtId="187" fontId="29" fillId="5" borderId="0" pivotButton="0" quotePrefix="0" xfId="0"/>
    <xf numFmtId="166" fontId="29" fillId="3" borderId="13" applyAlignment="1" pivotButton="0" quotePrefix="0" xfId="0">
      <alignment horizontal="left" indent="1"/>
    </xf>
    <xf numFmtId="171" fontId="32" fillId="3" borderId="0" applyAlignment="1" pivotButton="0" quotePrefix="0" xfId="0">
      <alignment horizontal="left"/>
    </xf>
    <xf numFmtId="166" fontId="29" fillId="3" borderId="13" applyAlignment="1" pivotButton="0" quotePrefix="0" xfId="30">
      <alignment horizontal="left" indent="1"/>
    </xf>
    <xf numFmtId="166" fontId="29" fillId="3" borderId="13" applyAlignment="1" pivotButton="0" quotePrefix="0" xfId="30">
      <alignment horizontal="left" indent="3"/>
    </xf>
    <xf numFmtId="167" fontId="7" fillId="3" borderId="0" applyAlignment="1" pivotButton="0" quotePrefix="0" xfId="0">
      <alignment horizontal="left"/>
    </xf>
    <xf numFmtId="167" fontId="19" fillId="3" borderId="0" applyAlignment="1" pivotButton="0" quotePrefix="0" xfId="0">
      <alignment horizontal="left" indent="1"/>
    </xf>
    <xf numFmtId="167" fontId="23" fillId="3" borderId="0" applyAlignment="1" pivotButton="0" quotePrefix="0" xfId="0">
      <alignment horizontal="left" indent="1"/>
    </xf>
    <xf numFmtId="167" fontId="24" fillId="3" borderId="0" applyAlignment="1" pivotButton="0" quotePrefix="0" xfId="0">
      <alignment horizontal="left" indent="3"/>
    </xf>
    <xf numFmtId="167" fontId="24" fillId="5" borderId="0" applyAlignment="1" pivotButton="0" quotePrefix="0" xfId="0">
      <alignment horizontal="center"/>
    </xf>
    <xf numFmtId="167" fontId="29" fillId="3" borderId="0" applyAlignment="1" pivotButton="0" quotePrefix="0" xfId="0">
      <alignment horizontal="left" indent="2"/>
    </xf>
    <xf numFmtId="166" fontId="31" fillId="3" borderId="0" applyAlignment="1" pivotButton="0" quotePrefix="0" xfId="0">
      <alignment horizontal="left" indent="1"/>
    </xf>
    <xf numFmtId="175" fontId="29" fillId="3" borderId="10" pivotButton="0" quotePrefix="0" xfId="0"/>
    <xf numFmtId="166" fontId="21" fillId="3" borderId="25" applyAlignment="1" pivotButton="0" quotePrefix="0" xfId="26">
      <alignment horizontal="left" indent="1"/>
    </xf>
    <xf numFmtId="175" fontId="21" fillId="3" borderId="2" pivotButton="0" quotePrefix="0" xfId="26"/>
    <xf numFmtId="175" fontId="29" fillId="3" borderId="2" pivotButton="0" quotePrefix="0" xfId="0"/>
    <xf numFmtId="175" fontId="29" fillId="3" borderId="26" pivotButton="0" quotePrefix="0" xfId="0"/>
    <xf numFmtId="175" fontId="29" fillId="3" borderId="27" pivotButton="0" quotePrefix="0" xfId="0"/>
    <xf numFmtId="188" fontId="7" fillId="3" borderId="0" applyAlignment="1" pivotButton="0" quotePrefix="0" xfId="0">
      <alignment horizontal="left"/>
    </xf>
    <xf numFmtId="166" fontId="0" fillId="3" borderId="0" applyAlignment="1" pivotButton="0" quotePrefix="0" xfId="0">
      <alignment horizontal="left"/>
    </xf>
    <xf numFmtId="166" fontId="7" fillId="3" borderId="0" pivotButton="0" quotePrefix="0" xfId="0"/>
    <xf numFmtId="166" fontId="0" fillId="3" borderId="2" applyAlignment="1" pivotButton="0" quotePrefix="0" xfId="0">
      <alignment horizontal="left" indent="2"/>
    </xf>
    <xf numFmtId="166" fontId="0" fillId="3" borderId="0" applyAlignment="1" pivotButton="0" quotePrefix="0" xfId="30">
      <alignment horizontal="left" indent="2"/>
    </xf>
    <xf numFmtId="166" fontId="0" fillId="3" borderId="2" applyAlignment="1" pivotButton="0" quotePrefix="0" xfId="30">
      <alignment horizontal="left" indent="2"/>
    </xf>
    <xf numFmtId="167" fontId="24" fillId="3" borderId="0" applyAlignment="1" pivotButton="0" quotePrefix="0" xfId="0">
      <alignment horizontal="left" indent="4"/>
    </xf>
    <xf numFmtId="167" fontId="24" fillId="3" borderId="2" applyAlignment="1" pivotButton="0" quotePrefix="0" xfId="0">
      <alignment horizontal="left" indent="4"/>
    </xf>
    <xf numFmtId="167" fontId="0" fillId="3" borderId="0" applyAlignment="1" pivotButton="0" quotePrefix="0" xfId="30">
      <alignment horizontal="left" indent="1"/>
    </xf>
    <xf numFmtId="166" fontId="19" fillId="3" borderId="0" pivotButton="0" quotePrefix="0" xfId="0"/>
    <xf numFmtId="167" fontId="24" fillId="3" borderId="0" applyAlignment="1" pivotButton="0" quotePrefix="0" xfId="0">
      <alignment horizontal="left" indent="2"/>
    </xf>
    <xf numFmtId="189" fontId="29" fillId="3" borderId="0" pivotButton="0" quotePrefix="0" xfId="16"/>
    <xf numFmtId="189" fontId="29" fillId="5" borderId="0" applyAlignment="1" pivotButton="0" quotePrefix="0" xfId="0">
      <alignment horizontal="right"/>
    </xf>
    <xf numFmtId="189" fontId="29" fillId="3" borderId="0" applyAlignment="1" pivotButton="0" quotePrefix="0" xfId="0">
      <alignment horizontal="right"/>
    </xf>
    <xf numFmtId="189" fontId="0" fillId="3" borderId="0" pivotButton="0" quotePrefix="0" xfId="0"/>
    <xf numFmtId="189" fontId="21" fillId="3" borderId="0" pivotButton="0" quotePrefix="0" xfId="16"/>
    <xf numFmtId="189" fontId="29" fillId="3" borderId="0" applyAlignment="1" pivotButton="0" quotePrefix="0" xfId="0">
      <alignment horizontal="left"/>
    </xf>
    <xf numFmtId="167" fontId="42" fillId="3" borderId="0" applyAlignment="1" pivotButton="0" quotePrefix="0" xfId="0">
      <alignment horizontal="left"/>
    </xf>
    <xf numFmtId="167" fontId="24" fillId="3" borderId="0" pivotButton="0" quotePrefix="0" xfId="16"/>
    <xf numFmtId="166" fontId="7" fillId="3" borderId="0" applyAlignment="1" pivotButton="0" quotePrefix="0" xfId="30">
      <alignment horizontal="left"/>
    </xf>
    <xf numFmtId="165" fontId="7" fillId="3" borderId="0" applyAlignment="1" pivotButton="0" quotePrefix="0" xfId="0">
      <alignment horizontal="left"/>
    </xf>
    <xf numFmtId="165" fontId="19" fillId="3" borderId="0" applyAlignment="1" pivotButton="0" quotePrefix="0" xfId="0">
      <alignment horizontal="left" indent="1"/>
    </xf>
    <xf numFmtId="190" fontId="21" fillId="3" borderId="0" pivotButton="0" quotePrefix="0" xfId="16"/>
    <xf numFmtId="190" fontId="29" fillId="5" borderId="0" applyAlignment="1" pivotButton="0" quotePrefix="0" xfId="0">
      <alignment horizontal="right"/>
    </xf>
    <xf numFmtId="190" fontId="29" fillId="3" borderId="0" applyAlignment="1" pivotButton="0" quotePrefix="0" xfId="0">
      <alignment horizontal="right"/>
    </xf>
    <xf numFmtId="190" fontId="0" fillId="3" borderId="0" pivotButton="0" quotePrefix="0" xfId="0"/>
    <xf numFmtId="190" fontId="21" fillId="3" borderId="2" pivotButton="0" quotePrefix="0" xfId="16"/>
    <xf numFmtId="190" fontId="29" fillId="5" borderId="2" applyAlignment="1" pivotButton="0" quotePrefix="0" xfId="0">
      <alignment horizontal="right"/>
    </xf>
    <xf numFmtId="190" fontId="29" fillId="3" borderId="2" applyAlignment="1" pivotButton="0" quotePrefix="0" xfId="0">
      <alignment horizontal="right"/>
    </xf>
    <xf numFmtId="190" fontId="25" fillId="3" borderId="0" applyAlignment="1" pivotButton="0" quotePrefix="0" xfId="0">
      <alignment horizontal="left"/>
    </xf>
    <xf numFmtId="190" fontId="32" fillId="3" borderId="0" pivotButton="0" quotePrefix="0" xfId="16"/>
    <xf numFmtId="190" fontId="25" fillId="5" borderId="0" applyAlignment="1" pivotButton="0" quotePrefix="0" xfId="0">
      <alignment horizontal="right"/>
    </xf>
    <xf numFmtId="190" fontId="25" fillId="3" borderId="0" applyAlignment="1" pivotButton="0" quotePrefix="0" xfId="0">
      <alignment horizontal="right"/>
    </xf>
    <xf numFmtId="190" fontId="7" fillId="3" borderId="0" pivotButton="0" quotePrefix="0" xfId="0"/>
    <xf numFmtId="190" fontId="7" fillId="3" borderId="7" applyAlignment="1" pivotButton="0" quotePrefix="0" xfId="0">
      <alignment horizontal="left"/>
    </xf>
    <xf numFmtId="190" fontId="32" fillId="3" borderId="7" pivotButton="0" quotePrefix="0" xfId="16"/>
    <xf numFmtId="190" fontId="25" fillId="5" borderId="7" applyAlignment="1" pivotButton="0" quotePrefix="0" xfId="0">
      <alignment horizontal="right"/>
    </xf>
    <xf numFmtId="190" fontId="29" fillId="3" borderId="0" applyAlignment="1" pivotButton="0" quotePrefix="0" xfId="0">
      <alignment horizontal="left" indent="1"/>
    </xf>
    <xf numFmtId="190" fontId="29" fillId="3" borderId="2" applyAlignment="1" pivotButton="0" quotePrefix="0" xfId="0">
      <alignment horizontal="left" indent="1"/>
    </xf>
    <xf numFmtId="190" fontId="29" fillId="3" borderId="0" applyAlignment="1" pivotButton="0" quotePrefix="0" xfId="0">
      <alignment horizontal="left" indent="4"/>
    </xf>
    <xf numFmtId="190" fontId="29" fillId="5" borderId="0" pivotButton="0" quotePrefix="0" xfId="0"/>
    <xf numFmtId="190" fontId="29" fillId="3" borderId="0" pivotButton="0" quotePrefix="0" xfId="0"/>
    <xf numFmtId="190" fontId="25" fillId="3" borderId="7" applyAlignment="1" pivotButton="0" quotePrefix="0" xfId="0">
      <alignment horizontal="left" indent="4"/>
    </xf>
    <xf numFmtId="190" fontId="25" fillId="5" borderId="7" pivotButton="0" quotePrefix="0" xfId="0"/>
    <xf numFmtId="190" fontId="25" fillId="3" borderId="7" pivotButton="0" quotePrefix="0" xfId="0"/>
    <xf numFmtId="167" fontId="29" fillId="3" borderId="0" applyAlignment="1" pivotButton="0" quotePrefix="0" xfId="30">
      <alignment horizontal="left" indent="2"/>
    </xf>
    <xf numFmtId="167" fontId="29" fillId="3" borderId="2" applyAlignment="1" pivotButton="0" quotePrefix="0" xfId="30">
      <alignment horizontal="left" indent="2"/>
    </xf>
    <xf numFmtId="1" fontId="25" fillId="3" borderId="0" applyAlignment="1" pivotButton="0" quotePrefix="0" xfId="0">
      <alignment horizontal="center"/>
    </xf>
    <xf numFmtId="17" fontId="23" fillId="3" borderId="0" applyAlignment="1" pivotButton="0" quotePrefix="0" xfId="0">
      <alignment horizontal="center"/>
    </xf>
    <xf numFmtId="0" fontId="32" fillId="3" borderId="0" applyAlignment="1" pivotButton="0" quotePrefix="0" xfId="0">
      <alignment horizontal="center"/>
    </xf>
    <xf numFmtId="190" fontId="0" fillId="3" borderId="0" applyAlignment="1" pivotButton="0" quotePrefix="0" xfId="0">
      <alignment horizontal="left" indent="1"/>
    </xf>
    <xf numFmtId="190" fontId="0" fillId="3" borderId="2" applyAlignment="1" pivotButton="0" quotePrefix="0" xfId="0">
      <alignment horizontal="left" indent="1"/>
    </xf>
    <xf numFmtId="190" fontId="0" fillId="3" borderId="2" applyAlignment="1" pivotButton="0" quotePrefix="0" xfId="0">
      <alignment horizontal="right"/>
    </xf>
    <xf numFmtId="190" fontId="25" fillId="3" borderId="7" applyAlignment="1" pivotButton="0" quotePrefix="0" xfId="0">
      <alignment horizontal="right"/>
    </xf>
    <xf numFmtId="190" fontId="7" fillId="3" borderId="7" applyAlignment="1" pivotButton="0" quotePrefix="0" xfId="0">
      <alignment horizontal="right"/>
    </xf>
    <xf numFmtId="165" fontId="9" fillId="3" borderId="0" applyAlignment="1" pivotButton="0" quotePrefix="0" xfId="0">
      <alignment horizontal="right"/>
    </xf>
    <xf numFmtId="190" fontId="0" fillId="3" borderId="0" applyAlignment="1" pivotButton="0" quotePrefix="0" xfId="30">
      <alignment horizontal="left" indent="1"/>
    </xf>
    <xf numFmtId="190" fontId="7" fillId="3" borderId="7" applyAlignment="1" pivotButton="0" quotePrefix="0" xfId="30">
      <alignment horizontal="left"/>
    </xf>
    <xf numFmtId="190" fontId="7" fillId="3" borderId="7" pivotButton="0" quotePrefix="0" xfId="0"/>
    <xf numFmtId="165" fontId="0" fillId="3" borderId="2" applyAlignment="1" pivotButton="0" quotePrefix="0" xfId="0">
      <alignment horizontal="right"/>
    </xf>
    <xf numFmtId="165" fontId="0" fillId="3" borderId="7" applyAlignment="1" pivotButton="0" quotePrefix="0" xfId="0">
      <alignment horizontal="right"/>
    </xf>
    <xf numFmtId="165" fontId="7" fillId="3" borderId="7" applyAlignment="1" pivotButton="0" quotePrefix="0" xfId="0">
      <alignment horizontal="right"/>
    </xf>
    <xf numFmtId="167" fontId="0" fillId="3" borderId="2" applyAlignment="1" pivotButton="0" quotePrefix="0" xfId="0">
      <alignment horizontal="right"/>
    </xf>
    <xf numFmtId="167" fontId="0" fillId="3" borderId="7" applyAlignment="1" pivotButton="0" quotePrefix="0" xfId="0">
      <alignment horizontal="right"/>
    </xf>
    <xf numFmtId="167" fontId="7" fillId="3" borderId="7" applyAlignment="1" pivotButton="0" quotePrefix="0" xfId="0">
      <alignment horizontal="right"/>
    </xf>
    <xf numFmtId="167" fontId="25" fillId="3" borderId="2" applyAlignment="1" pivotButton="0" quotePrefix="0" xfId="0">
      <alignment horizontal="right"/>
    </xf>
    <xf numFmtId="167" fontId="13" fillId="3" borderId="0" pivotButton="0" quotePrefix="0" xfId="0"/>
    <xf numFmtId="171" fontId="25" fillId="3" borderId="0" pivotButton="0" quotePrefix="0" xfId="16"/>
    <xf numFmtId="171" fontId="9" fillId="3" borderId="0" pivotButton="0" quotePrefix="0" xfId="0"/>
    <xf numFmtId="171" fontId="13" fillId="3" borderId="0" pivotButton="0" quotePrefix="0" xfId="0"/>
    <xf numFmtId="167" fontId="23" fillId="3" borderId="0" applyAlignment="1" pivotButton="0" quotePrefix="0" xfId="16">
      <alignment horizontal="left" indent="1"/>
    </xf>
    <xf numFmtId="167" fontId="48" fillId="3" borderId="0" pivotButton="0" quotePrefix="0" xfId="0"/>
    <xf numFmtId="167" fontId="13" fillId="3" borderId="0" applyAlignment="1" pivotButton="0" quotePrefix="0" xfId="0">
      <alignment horizontal="right"/>
    </xf>
    <xf numFmtId="171" fontId="25" fillId="3" borderId="0" applyAlignment="1" pivotButton="0" quotePrefix="0" xfId="0">
      <alignment horizontal="right"/>
    </xf>
    <xf numFmtId="181" fontId="29" fillId="3" borderId="0" applyAlignment="1" pivotButton="0" quotePrefix="0" xfId="0">
      <alignment horizontal="right"/>
    </xf>
    <xf numFmtId="175" fontId="29" fillId="3" borderId="0" applyAlignment="1" pivotButton="0" quotePrefix="0" xfId="0">
      <alignment horizontal="right"/>
    </xf>
    <xf numFmtId="167" fontId="29" fillId="3" borderId="4" pivotButton="0" quotePrefix="0" xfId="0"/>
    <xf numFmtId="166" fontId="29" fillId="3" borderId="4" pivotButton="0" quotePrefix="0" xfId="0"/>
    <xf numFmtId="169" fontId="29" fillId="3" borderId="4" pivotButton="0" quotePrefix="0" xfId="0"/>
    <xf numFmtId="17" fontId="29" fillId="3" borderId="0" pivotButton="0" quotePrefix="0" xfId="0"/>
    <xf numFmtId="17" fontId="29" fillId="3" borderId="10" pivotButton="0" quotePrefix="0" xfId="0"/>
    <xf numFmtId="165" fontId="0" fillId="5" borderId="2" applyAlignment="1" pivotButton="0" quotePrefix="0" xfId="0">
      <alignment horizontal="right"/>
    </xf>
    <xf numFmtId="165" fontId="0" fillId="5" borderId="7" applyAlignment="1" pivotButton="0" quotePrefix="0" xfId="0">
      <alignment horizontal="right"/>
    </xf>
    <xf numFmtId="165" fontId="7" fillId="5" borderId="7" applyAlignment="1" pivotButton="0" quotePrefix="0" xfId="0">
      <alignment horizontal="right"/>
    </xf>
    <xf numFmtId="167" fontId="0" fillId="5" borderId="2" pivotButton="0" quotePrefix="0" xfId="0"/>
    <xf numFmtId="167" fontId="7" fillId="5" borderId="7" applyAlignment="1" pivotButton="0" quotePrefix="0" xfId="0">
      <alignment horizontal="right"/>
    </xf>
    <xf numFmtId="167" fontId="25" fillId="5" borderId="2" applyAlignment="1" pivotButton="0" quotePrefix="0" xfId="0">
      <alignment horizontal="right"/>
    </xf>
    <xf numFmtId="168" fontId="25" fillId="5" borderId="0" applyAlignment="1" pivotButton="0" quotePrefix="0" xfId="0">
      <alignment horizontal="right"/>
    </xf>
    <xf numFmtId="190" fontId="0" fillId="5" borderId="2" applyAlignment="1" pivotButton="0" quotePrefix="0" xfId="0">
      <alignment horizontal="right"/>
    </xf>
    <xf numFmtId="190" fontId="7" fillId="5" borderId="7" applyAlignment="1" pivotButton="0" quotePrefix="0" xfId="0">
      <alignment horizontal="right"/>
    </xf>
    <xf numFmtId="171" fontId="25" fillId="5" borderId="0" pivotButton="0" quotePrefix="0" xfId="16"/>
    <xf numFmtId="167" fontId="0" fillId="5" borderId="2" applyAlignment="1" pivotButton="0" quotePrefix="0" xfId="0">
      <alignment horizontal="right"/>
    </xf>
    <xf numFmtId="167" fontId="0" fillId="5" borderId="7" applyAlignment="1" pivotButton="0" quotePrefix="0" xfId="0">
      <alignment horizontal="right"/>
    </xf>
    <xf numFmtId="190" fontId="7" fillId="5" borderId="7" pivotButton="0" quotePrefix="0" xfId="0"/>
    <xf numFmtId="167" fontId="7" fillId="5" borderId="7" pivotButton="0" quotePrefix="0" xfId="0"/>
    <xf numFmtId="171" fontId="24" fillId="5" borderId="0" applyAlignment="1" pivotButton="0" quotePrefix="0" xfId="0">
      <alignment horizontal="right"/>
    </xf>
    <xf numFmtId="1" fontId="25" fillId="5" borderId="0" applyAlignment="1" pivotButton="0" quotePrefix="0" xfId="0">
      <alignment horizontal="center"/>
    </xf>
    <xf numFmtId="17" fontId="23" fillId="5" borderId="0" applyAlignment="1" pivotButton="0" quotePrefix="0" xfId="0">
      <alignment horizontal="center"/>
    </xf>
    <xf numFmtId="0" fontId="32" fillId="5" borderId="0" applyAlignment="1" pivotButton="0" quotePrefix="0" xfId="0">
      <alignment horizontal="center"/>
    </xf>
    <xf numFmtId="181" fontId="29" fillId="5" borderId="0" applyAlignment="1" pivotButton="0" quotePrefix="0" xfId="0">
      <alignment horizontal="right"/>
    </xf>
    <xf numFmtId="175" fontId="29" fillId="5" borderId="0" applyAlignment="1" pivotButton="0" quotePrefix="0" xfId="0">
      <alignment horizontal="right"/>
    </xf>
    <xf numFmtId="167" fontId="48" fillId="5" borderId="2" pivotButton="0" quotePrefix="0" xfId="0"/>
    <xf numFmtId="165" fontId="9" fillId="5" borderId="0" applyAlignment="1" pivotButton="0" quotePrefix="0" xfId="0">
      <alignment horizontal="right"/>
    </xf>
    <xf numFmtId="167" fontId="13" fillId="5" borderId="0" pivotButton="0" quotePrefix="0" xfId="0"/>
    <xf numFmtId="171" fontId="9" fillId="5" borderId="0" pivotButton="0" quotePrefix="0" xfId="0"/>
    <xf numFmtId="171" fontId="13" fillId="5" borderId="0" pivotButton="0" quotePrefix="0" xfId="0"/>
    <xf numFmtId="167" fontId="48" fillId="5" borderId="0" pivotButton="0" quotePrefix="0" xfId="0"/>
    <xf numFmtId="167" fontId="13" fillId="5" borderId="0" applyAlignment="1" pivotButton="0" quotePrefix="0" xfId="0">
      <alignment horizontal="right"/>
    </xf>
    <xf numFmtId="167" fontId="43" fillId="5" borderId="0" pivotButton="0" quotePrefix="0" xfId="0"/>
    <xf numFmtId="167" fontId="24" fillId="3" borderId="2" applyAlignment="1" pivotButton="0" quotePrefix="0" xfId="0">
      <alignment horizontal="left" indent="1"/>
    </xf>
    <xf numFmtId="167" fontId="30" fillId="3" borderId="0" applyAlignment="1" pivotButton="0" quotePrefix="0" xfId="0">
      <alignment horizontal="left"/>
    </xf>
    <xf numFmtId="167" fontId="30" fillId="3" borderId="0" applyAlignment="1" pivotButton="0" quotePrefix="0" xfId="0">
      <alignment horizontal="left" indent="4"/>
    </xf>
    <xf numFmtId="167" fontId="24" fillId="3" borderId="2" applyAlignment="1" pivotButton="0" quotePrefix="0" xfId="30">
      <alignment horizontal="left" indent="1"/>
    </xf>
    <xf numFmtId="165" fontId="9" fillId="3" borderId="2" applyAlignment="1" pivotButton="0" quotePrefix="0" xfId="0">
      <alignment horizontal="right"/>
    </xf>
    <xf numFmtId="165" fontId="9" fillId="5" borderId="2" applyAlignment="1" pivotButton="0" quotePrefix="0" xfId="0">
      <alignment horizontal="right"/>
    </xf>
    <xf numFmtId="165" fontId="25" fillId="3" borderId="0" applyAlignment="1" pivotButton="0" quotePrefix="0" xfId="0">
      <alignment horizontal="left" indent="1"/>
    </xf>
    <xf numFmtId="166" fontId="21" fillId="3" borderId="0" applyAlignment="1" pivotButton="0" quotePrefix="0" xfId="26">
      <alignment horizontal="left" indent="1"/>
    </xf>
    <xf numFmtId="166" fontId="32" fillId="3" borderId="6" applyAlignment="1" pivotButton="0" quotePrefix="0" xfId="26">
      <alignment horizontal="left"/>
    </xf>
    <xf numFmtId="166" fontId="21" fillId="3" borderId="4" applyAlignment="1" pivotButton="0" quotePrefix="0" xfId="26">
      <alignment horizontal="left" indent="1"/>
    </xf>
    <xf numFmtId="165" fontId="29" fillId="3" borderId="7" pivotButton="0" quotePrefix="0" xfId="0"/>
    <xf numFmtId="165" fontId="21" fillId="3" borderId="7" pivotButton="0" quotePrefix="0" xfId="26"/>
    <xf numFmtId="165" fontId="29" fillId="3" borderId="28" pivotButton="0" quotePrefix="0" xfId="0"/>
    <xf numFmtId="165" fontId="29" fillId="3" borderId="6" pivotButton="0" quotePrefix="0" xfId="0"/>
    <xf numFmtId="165" fontId="29" fillId="3" borderId="2" pivotButton="0" quotePrefix="0" xfId="0"/>
    <xf numFmtId="165" fontId="21" fillId="3" borderId="2" pivotButton="0" quotePrefix="0" xfId="26"/>
    <xf numFmtId="165" fontId="29" fillId="3" borderId="26" pivotButton="0" quotePrefix="0" xfId="0"/>
    <xf numFmtId="165" fontId="29" fillId="3" borderId="1" pivotButton="0" quotePrefix="0" xfId="0"/>
    <xf numFmtId="166" fontId="32" fillId="3" borderId="7" applyAlignment="1" pivotButton="0" quotePrefix="0" xfId="26">
      <alignment horizontal="left"/>
    </xf>
    <xf numFmtId="166" fontId="32" fillId="3" borderId="0" applyAlignment="1" pivotButton="0" quotePrefix="0" xfId="26">
      <alignment horizontal="left"/>
    </xf>
    <xf numFmtId="166" fontId="32" fillId="3" borderId="2" applyAlignment="1" pivotButton="0" quotePrefix="0" xfId="26">
      <alignment horizontal="left"/>
    </xf>
    <xf numFmtId="191" fontId="25" fillId="3" borderId="0" applyAlignment="1" pivotButton="0" quotePrefix="0" xfId="0">
      <alignment horizontal="right"/>
    </xf>
    <xf numFmtId="191" fontId="25" fillId="3" borderId="4" applyAlignment="1" pivotButton="0" quotePrefix="0" xfId="0">
      <alignment horizontal="right"/>
    </xf>
    <xf numFmtId="0" fontId="25" fillId="3" borderId="0" applyAlignment="1" pivotButton="0" quotePrefix="0" xfId="0">
      <alignment horizontal="right"/>
    </xf>
    <xf numFmtId="0" fontId="25" fillId="3" borderId="4" applyAlignment="1" pivotButton="0" quotePrefix="0" xfId="0">
      <alignment horizontal="right"/>
    </xf>
    <xf numFmtId="0" fontId="12" fillId="3" borderId="0" applyAlignment="1" pivotButton="0" quotePrefix="0" xfId="28">
      <alignment vertical="center"/>
    </xf>
    <xf numFmtId="0" fontId="17" fillId="3" borderId="0" applyAlignment="1" pivotButton="0" quotePrefix="0" xfId="28">
      <alignment vertical="center"/>
    </xf>
    <xf numFmtId="0" fontId="2" fillId="3" borderId="0" applyAlignment="1" pivotButton="0" quotePrefix="0" xfId="28">
      <alignment vertical="center"/>
    </xf>
    <xf numFmtId="0" fontId="17" fillId="3" borderId="0" applyAlignment="1" pivotButton="0" quotePrefix="0" xfId="28">
      <alignment horizontal="center" vertical="center"/>
    </xf>
    <xf numFmtId="0" fontId="12" fillId="3" borderId="0" pivotButton="0" quotePrefix="0" xfId="28"/>
    <xf numFmtId="14" fontId="12" fillId="3" borderId="0" applyAlignment="1" pivotButton="0" quotePrefix="0" xfId="28">
      <alignment horizontal="center" vertical="center"/>
    </xf>
    <xf numFmtId="0" fontId="12" fillId="3" borderId="0" applyAlignment="1" pivotButton="0" quotePrefix="0" xfId="28">
      <alignment horizontal="center"/>
    </xf>
    <xf numFmtId="0" fontId="16" fillId="3" borderId="0" pivotButton="0" quotePrefix="0" xfId="28"/>
    <xf numFmtId="0" fontId="22" fillId="3" borderId="0" applyAlignment="1" pivotButton="0" quotePrefix="0" xfId="28">
      <alignment horizontal="center"/>
    </xf>
    <xf numFmtId="1" fontId="15" fillId="3" borderId="0" applyAlignment="1" pivotButton="0" quotePrefix="0" xfId="28">
      <alignment horizontal="center"/>
    </xf>
    <xf numFmtId="0" fontId="16" fillId="3" borderId="0" pivotButton="0" quotePrefix="1" xfId="28"/>
    <xf numFmtId="0" fontId="17" fillId="3" borderId="0" pivotButton="0" quotePrefix="0" xfId="28"/>
    <xf numFmtId="186" fontId="15" fillId="3" borderId="0" pivotButton="0" quotePrefix="0" xfId="28"/>
    <xf numFmtId="192" fontId="17" fillId="3" borderId="0" applyAlignment="1" pivotButton="0" quotePrefix="0" xfId="28">
      <alignment horizontal="center" vertical="center"/>
    </xf>
    <xf numFmtId="193" fontId="3" fillId="3" borderId="0" applyAlignment="1" pivotButton="0" quotePrefix="0" xfId="28">
      <alignment horizontal="right"/>
    </xf>
    <xf numFmtId="194" fontId="3" fillId="3" borderId="0" applyAlignment="1" pivotButton="0" quotePrefix="0" xfId="28">
      <alignment horizontal="right"/>
    </xf>
    <xf numFmtId="14" fontId="8" fillId="3" borderId="29" applyAlignment="1" pivotButton="0" quotePrefix="0" xfId="28">
      <alignment horizontal="center"/>
    </xf>
    <xf numFmtId="0" fontId="8" fillId="3" borderId="29" applyAlignment="1" pivotButton="0" quotePrefix="0" xfId="28">
      <alignment horizontal="center"/>
    </xf>
    <xf numFmtId="0" fontId="2" fillId="3" borderId="29" applyAlignment="1" pivotButton="0" quotePrefix="0" xfId="28">
      <alignment horizontal="center"/>
    </xf>
    <xf numFmtId="0" fontId="8" fillId="3" borderId="20" applyAlignment="1" pivotButton="0" quotePrefix="0" xfId="28">
      <alignment horizontal="left"/>
    </xf>
    <xf numFmtId="0" fontId="4" fillId="3" borderId="20" pivotButton="0" quotePrefix="0" xfId="24"/>
    <xf numFmtId="0" fontId="8" fillId="3" borderId="3" applyAlignment="1" pivotButton="0" quotePrefix="0" xfId="28">
      <alignment horizontal="left"/>
    </xf>
    <xf numFmtId="0" fontId="4" fillId="3" borderId="29" pivotButton="0" quotePrefix="0" xfId="24"/>
    <xf numFmtId="0" fontId="8" fillId="3" borderId="29" applyAlignment="1" pivotButton="0" quotePrefix="0" xfId="28">
      <alignment horizontal="left"/>
    </xf>
    <xf numFmtId="14" fontId="8" fillId="3" borderId="30" applyAlignment="1" pivotButton="0" quotePrefix="0" xfId="28">
      <alignment horizontal="center"/>
    </xf>
    <xf numFmtId="0" fontId="8" fillId="3" borderId="31" applyAlignment="1" pivotButton="0" quotePrefix="0" xfId="28">
      <alignment horizontal="center"/>
    </xf>
    <xf numFmtId="0" fontId="2" fillId="3" borderId="31" applyAlignment="1" pivotButton="0" quotePrefix="0" xfId="28">
      <alignment horizontal="center"/>
    </xf>
    <xf numFmtId="0" fontId="8" fillId="3" borderId="31" applyAlignment="1" pivotButton="0" quotePrefix="0" xfId="28">
      <alignment horizontal="left"/>
    </xf>
    <xf numFmtId="0" fontId="4" fillId="3" borderId="32" pivotButton="0" quotePrefix="0" xfId="24"/>
    <xf numFmtId="14" fontId="8" fillId="3" borderId="33" applyAlignment="1" pivotButton="0" quotePrefix="0" xfId="28">
      <alignment horizontal="center"/>
    </xf>
    <xf numFmtId="0" fontId="8" fillId="3" borderId="34" applyAlignment="1" pivotButton="0" quotePrefix="0" xfId="28">
      <alignment horizontal="center"/>
    </xf>
    <xf numFmtId="0" fontId="2" fillId="3" borderId="34" applyAlignment="1" pivotButton="0" quotePrefix="0" xfId="28">
      <alignment horizontal="center"/>
    </xf>
    <xf numFmtId="0" fontId="8" fillId="3" borderId="34" applyAlignment="1" pivotButton="0" quotePrefix="0" xfId="28">
      <alignment horizontal="left"/>
    </xf>
    <xf numFmtId="0" fontId="4" fillId="3" borderId="35" applyAlignment="1" pivotButton="0" quotePrefix="0" xfId="24">
      <alignment horizontal="left"/>
    </xf>
    <xf numFmtId="14" fontId="8" fillId="3" borderId="20" applyAlignment="1" pivotButton="0" quotePrefix="0" xfId="28">
      <alignment horizontal="center"/>
    </xf>
    <xf numFmtId="0" fontId="8" fillId="3" borderId="20" applyAlignment="1" pivotButton="0" quotePrefix="0" xfId="28">
      <alignment horizontal="center"/>
    </xf>
    <xf numFmtId="0" fontId="2" fillId="3" borderId="20" applyAlignment="1" pivotButton="0" quotePrefix="0" xfId="28">
      <alignment horizontal="center"/>
    </xf>
    <xf numFmtId="0" fontId="4" fillId="3" borderId="20" applyAlignment="1" pivotButton="0" quotePrefix="0" xfId="24">
      <alignment horizontal="left"/>
    </xf>
    <xf numFmtId="14" fontId="12" fillId="7" borderId="0" applyAlignment="1" pivotButton="0" quotePrefix="0" xfId="28">
      <alignment horizontal="center" vertical="center"/>
    </xf>
    <xf numFmtId="0" fontId="18" fillId="7" borderId="0" applyAlignment="1" pivotButton="0" quotePrefix="0" xfId="28">
      <alignment horizontal="center" vertical="center"/>
    </xf>
    <xf numFmtId="1" fontId="49" fillId="8" borderId="0" applyAlignment="1" pivotButton="0" quotePrefix="0" xfId="28">
      <alignment horizontal="center" vertical="center"/>
    </xf>
    <xf numFmtId="181" fontId="49" fillId="8" borderId="0" applyAlignment="1" pivotButton="0" quotePrefix="0" xfId="16">
      <alignment horizontal="center" vertical="center"/>
    </xf>
    <xf numFmtId="0" fontId="32" fillId="3" borderId="29" applyAlignment="1" pivotButton="0" quotePrefix="0" xfId="28">
      <alignment horizontal="center"/>
    </xf>
    <xf numFmtId="0" fontId="32" fillId="3" borderId="17" applyAlignment="1" pivotButton="0" quotePrefix="0" xfId="28">
      <alignment horizontal="left"/>
    </xf>
    <xf numFmtId="0" fontId="4" fillId="0" borderId="20" pivotButton="0" quotePrefix="0" xfId="24"/>
    <xf numFmtId="171" fontId="24" fillId="3" borderId="0" applyAlignment="1" pivotButton="0" quotePrefix="0" xfId="0">
      <alignment horizontal="right"/>
    </xf>
    <xf numFmtId="0" fontId="12" fillId="0" borderId="0" pivotButton="0" quotePrefix="0" xfId="28"/>
    <xf numFmtId="0" fontId="50" fillId="3" borderId="0" pivotButton="0" quotePrefix="0" xfId="24"/>
    <xf numFmtId="195" fontId="21" fillId="3" borderId="18" applyAlignment="1" pivotButton="0" quotePrefix="0" xfId="26">
      <alignment horizontal="left" indent="1"/>
    </xf>
    <xf numFmtId="166" fontId="19" fillId="3" borderId="2" applyAlignment="1" pivotButton="0" quotePrefix="0" xfId="0">
      <alignment horizontal="left" indent="1"/>
    </xf>
    <xf numFmtId="166" fontId="24" fillId="3" borderId="2" applyAlignment="1" pivotButton="0" quotePrefix="0" xfId="0">
      <alignment horizontal="left" indent="3"/>
    </xf>
    <xf numFmtId="167" fontId="24" fillId="5" borderId="2" pivotButton="0" quotePrefix="0" xfId="0"/>
    <xf numFmtId="167" fontId="48" fillId="3" borderId="2" pivotButton="0" quotePrefix="0" xfId="0"/>
    <xf numFmtId="167" fontId="24" fillId="3" borderId="2" pivotButton="0" quotePrefix="0" xfId="0"/>
    <xf numFmtId="166" fontId="29" fillId="3" borderId="0" applyAlignment="1" pivotButton="0" quotePrefix="0" xfId="30">
      <alignment horizontal="left"/>
    </xf>
    <xf numFmtId="166" fontId="29" fillId="3" borderId="2" applyAlignment="1" pivotButton="0" quotePrefix="0" xfId="30">
      <alignment horizontal="left" indent="1"/>
    </xf>
    <xf numFmtId="196" fontId="19" fillId="3" borderId="0" applyAlignment="1" pivotButton="0" quotePrefix="0" xfId="0">
      <alignment horizontal="left" indent="1"/>
    </xf>
    <xf numFmtId="196" fontId="24" fillId="3" borderId="0" applyAlignment="1" pivotButton="0" quotePrefix="0" xfId="0">
      <alignment horizontal="left" indent="3"/>
    </xf>
    <xf numFmtId="196" fontId="24" fillId="5" borderId="0" pivotButton="0" quotePrefix="0" xfId="0"/>
    <xf numFmtId="196" fontId="48" fillId="3" borderId="0" pivotButton="0" quotePrefix="0" xfId="0"/>
    <xf numFmtId="196" fontId="48" fillId="5" borderId="0" pivotButton="0" quotePrefix="0" xfId="0"/>
    <xf numFmtId="196" fontId="0" fillId="3" borderId="0" pivotButton="0" quotePrefix="0" xfId="0"/>
    <xf numFmtId="171" fontId="29" fillId="3" borderId="2" applyAlignment="1" pivotButton="0" quotePrefix="0" xfId="30">
      <alignment horizontal="left"/>
    </xf>
    <xf numFmtId="0" fontId="33" fillId="3" borderId="0" pivotButton="0" quotePrefix="0" xfId="24"/>
    <xf numFmtId="191" fontId="25" fillId="3" borderId="21" applyAlignment="1" pivotButton="0" quotePrefix="0" xfId="0">
      <alignment horizontal="right"/>
    </xf>
    <xf numFmtId="175" fontId="29" fillId="3" borderId="21" pivotButton="0" quotePrefix="0" xfId="0"/>
    <xf numFmtId="165" fontId="29" fillId="3" borderId="7" applyAlignment="1" pivotButton="0" quotePrefix="0" xfId="0">
      <alignment horizontal="left" indent="2"/>
    </xf>
    <xf numFmtId="165" fontId="9" fillId="3" borderId="7" applyAlignment="1" pivotButton="0" quotePrefix="0" xfId="0">
      <alignment horizontal="right"/>
    </xf>
    <xf numFmtId="165" fontId="9" fillId="5" borderId="7" applyAlignment="1" pivotButton="0" quotePrefix="0" xfId="0">
      <alignment horizontal="right"/>
    </xf>
    <xf numFmtId="166" fontId="24" fillId="3" borderId="0" applyAlignment="1" pivotButton="0" quotePrefix="0" xfId="0">
      <alignment horizontal="left" indent="1"/>
    </xf>
    <xf numFmtId="0" fontId="4" fillId="3" borderId="36" pivotButton="0" quotePrefix="0" xfId="24"/>
    <xf numFmtId="0" fontId="25" fillId="3" borderId="21" applyAlignment="1" pivotButton="0" quotePrefix="0" xfId="0">
      <alignment horizontal="right"/>
    </xf>
    <xf numFmtId="17" fontId="29" fillId="3" borderId="21" pivotButton="0" quotePrefix="0" xfId="0"/>
    <xf numFmtId="0" fontId="0" fillId="0" borderId="0" pivotButton="0" quotePrefix="0" xfId="0"/>
    <xf numFmtId="166" fontId="0" fillId="0" borderId="0" pivotButton="0" quotePrefix="0" xfId="0"/>
    <xf numFmtId="166" fontId="7" fillId="0" borderId="0" applyAlignment="1" pivotButton="0" quotePrefix="0" xfId="0">
      <alignment horizontal="center"/>
    </xf>
    <xf numFmtId="167" fontId="7" fillId="0" borderId="0" pivotButton="0" quotePrefix="0" xfId="0"/>
    <xf numFmtId="165" fontId="0" fillId="0" borderId="0" pivotButton="0" quotePrefix="0" xfId="0"/>
    <xf numFmtId="165" fontId="7" fillId="0" borderId="0" pivotButton="0" quotePrefix="0" xfId="0"/>
    <xf numFmtId="189" fontId="0" fillId="0" borderId="0" pivotButton="0" quotePrefix="0" xfId="0"/>
    <xf numFmtId="167" fontId="19" fillId="0" borderId="0" pivotButton="0" quotePrefix="0" xfId="0"/>
    <xf numFmtId="166" fontId="7" fillId="0" borderId="0" pivotButton="0" quotePrefix="0" xfId="0"/>
    <xf numFmtId="167" fontId="42" fillId="0" borderId="0" pivotButton="0" quotePrefix="0" xfId="0"/>
    <xf numFmtId="190" fontId="0" fillId="0" borderId="0" pivotButton="0" quotePrefix="0" xfId="0"/>
    <xf numFmtId="190" fontId="7" fillId="0" borderId="0" pivotButton="0" quotePrefix="0" xfId="0"/>
    <xf numFmtId="167" fontId="0" fillId="0" borderId="0" pivotButton="0" quotePrefix="0" xfId="0"/>
    <xf numFmtId="166" fontId="19" fillId="0" borderId="0" pivotButton="0" quotePrefix="0" xfId="0"/>
    <xf numFmtId="167" fontId="0" fillId="0" borderId="0" applyAlignment="1" pivotButton="0" quotePrefix="0" xfId="0">
      <alignment horizontal="left" indent="1"/>
    </xf>
    <xf numFmtId="167" fontId="25" fillId="0" borderId="0" pivotButton="0" quotePrefix="0" xfId="0"/>
    <xf numFmtId="167" fontId="24" fillId="0" borderId="0" pivotButton="0" quotePrefix="0" xfId="0"/>
    <xf numFmtId="166" fontId="24" fillId="0" borderId="0" pivotButton="0" quotePrefix="0" xfId="0"/>
    <xf numFmtId="171" fontId="7" fillId="0" borderId="0" pivotButton="0" quotePrefix="0" xfId="0"/>
    <xf numFmtId="171" fontId="24" fillId="0" borderId="0" pivotButton="0" quotePrefix="0" xfId="0"/>
    <xf numFmtId="187" fontId="0" fillId="0" borderId="0" pivotButton="0" quotePrefix="0" xfId="0"/>
    <xf numFmtId="196" fontId="0" fillId="0" borderId="0" pivotButton="0" quotePrefix="0" xfId="0"/>
    <xf numFmtId="171" fontId="0" fillId="0" borderId="0" pivotButton="0" quotePrefix="0" xfId="0"/>
    <xf numFmtId="168" fontId="7" fillId="0" borderId="0" pivotButton="0" quotePrefix="0" xfId="0"/>
    <xf numFmtId="168" fontId="0" fillId="0" borderId="0" pivotButton="0" quotePrefix="0" xfId="0"/>
    <xf numFmtId="181" fontId="0" fillId="0" borderId="0" pivotButton="0" quotePrefix="0" xfId="0"/>
    <xf numFmtId="175" fontId="0" fillId="0" borderId="0" pivotButton="0" quotePrefix="0" xfId="0"/>
    <xf numFmtId="174" fontId="7" fillId="0" borderId="0" pivotButton="0" quotePrefix="0" xfId="0"/>
    <xf numFmtId="169" fontId="0" fillId="0" borderId="0" pivotButton="0" quotePrefix="0" xfId="0"/>
    <xf numFmtId="174" fontId="0" fillId="0" borderId="0" pivotButton="0" quotePrefix="0" xfId="0"/>
    <xf numFmtId="0" fontId="34" fillId="0" borderId="0" pivotButton="0" quotePrefix="0" xfId="0"/>
    <xf numFmtId="0" fontId="7" fillId="0" borderId="0" pivotButton="0" quotePrefix="0" xfId="0"/>
    <xf numFmtId="0" fontId="19" fillId="0" borderId="0" pivotButton="0" quotePrefix="0" xfId="0"/>
    <xf numFmtId="0" fontId="0" fillId="0" borderId="0" applyAlignment="1" pivotButton="0" quotePrefix="0" xfId="0">
      <alignment horizontal="left"/>
    </xf>
    <xf numFmtId="0" fontId="9" fillId="0" borderId="0" pivotButton="0" quotePrefix="0" xfId="0"/>
    <xf numFmtId="0" fontId="35" fillId="0" borderId="0" applyAlignment="1" pivotButton="0" quotePrefix="0" xfId="0">
      <alignment horizontal="left"/>
    </xf>
    <xf numFmtId="0" fontId="35" fillId="0" borderId="0" applyAlignment="1" pivotButton="0" quotePrefix="0" xfId="0">
      <alignment horizontal="center"/>
    </xf>
    <xf numFmtId="0" fontId="0" fillId="0" borderId="0" pivotButton="0" quotePrefix="0" xfId="30"/>
    <xf numFmtId="166" fontId="0" fillId="0" borderId="0" pivotButton="0" quotePrefix="0" xfId="30"/>
    <xf numFmtId="171" fontId="7" fillId="0" borderId="0" pivotButton="0" quotePrefix="0" xfId="30"/>
    <xf numFmtId="166" fontId="7" fillId="0" borderId="0" pivotButton="0" quotePrefix="0" xfId="30"/>
    <xf numFmtId="167" fontId="0" fillId="0" borderId="0" pivotButton="0" quotePrefix="0" xfId="30"/>
    <xf numFmtId="167" fontId="7" fillId="0" borderId="0" pivotButton="0" quotePrefix="0" xfId="30"/>
    <xf numFmtId="170" fontId="7" fillId="0" borderId="0" pivotButton="0" quotePrefix="0" xfId="30"/>
    <xf numFmtId="169" fontId="7" fillId="0" borderId="0" pivotButton="0" quotePrefix="0" xfId="30"/>
    <xf numFmtId="168" fontId="7" fillId="0" borderId="0" pivotButton="0" quotePrefix="0" xfId="30"/>
    <xf numFmtId="173" fontId="7" fillId="0" borderId="0" pivotButton="0" quotePrefix="0" xfId="30"/>
    <xf numFmtId="168" fontId="0" fillId="0" borderId="0" pivotButton="0" quotePrefix="0" xfId="30"/>
    <xf numFmtId="0" fontId="41" fillId="0" borderId="0" pivotButton="0" quotePrefix="0" xfId="30"/>
    <xf numFmtId="0" fontId="40" fillId="3" borderId="0" pivotButton="0" quotePrefix="0" xfId="24"/>
    <xf numFmtId="166" fontId="21" fillId="2" borderId="0" pivotButton="0" quotePrefix="0" xfId="23"/>
    <xf numFmtId="167" fontId="29" fillId="3" borderId="0" pivotButton="0" quotePrefix="0" xfId="0"/>
    <xf numFmtId="167" fontId="21" fillId="3" borderId="0" pivotButton="0" quotePrefix="0" xfId="26"/>
    <xf numFmtId="166" fontId="21" fillId="3" borderId="0" pivotButton="0" quotePrefix="0" xfId="26"/>
    <xf numFmtId="169" fontId="29" fillId="3" borderId="0" pivotButton="0" quotePrefix="0" xfId="0"/>
    <xf numFmtId="169" fontId="21" fillId="3" borderId="0" pivotButton="0" quotePrefix="0" xfId="16"/>
    <xf numFmtId="197" fontId="0" fillId="3" borderId="0" pivotButton="0" quotePrefix="0" xfId="0"/>
    <xf numFmtId="0" fontId="29" fillId="3" borderId="0" pivotButton="0" quotePrefix="0" xfId="0"/>
    <xf numFmtId="0" fontId="24" fillId="3" borderId="0" pivotButton="0" quotePrefix="0" xfId="0"/>
    <xf numFmtId="1" fontId="7" fillId="5" borderId="0" applyAlignment="1" pivotButton="0" quotePrefix="0" xfId="0">
      <alignment horizontal="center"/>
    </xf>
    <xf numFmtId="1" fontId="7" fillId="3" borderId="0" applyAlignment="1" pivotButton="0" quotePrefix="0" xfId="0">
      <alignment horizontal="center"/>
    </xf>
    <xf numFmtId="17" fontId="19" fillId="5" borderId="0" applyAlignment="1" pivotButton="0" quotePrefix="0" xfId="0">
      <alignment horizontal="center"/>
    </xf>
    <xf numFmtId="17" fontId="5" fillId="5" borderId="0" applyAlignment="1" pivotButton="0" quotePrefix="0" xfId="0">
      <alignment horizontal="center"/>
    </xf>
    <xf numFmtId="17" fontId="5" fillId="3" borderId="0" applyAlignment="1" pivotButton="0" quotePrefix="0" xfId="0">
      <alignment horizontal="center"/>
    </xf>
    <xf numFmtId="17" fontId="20" fillId="3" borderId="0" applyAlignment="1" pivotButton="0" quotePrefix="0" xfId="0">
      <alignment horizontal="center"/>
    </xf>
    <xf numFmtId="0" fontId="7" fillId="5" borderId="0" applyAlignment="1" pivotButton="0" quotePrefix="0" xfId="0">
      <alignment horizontal="center"/>
    </xf>
    <xf numFmtId="0" fontId="3" fillId="5" borderId="0" applyAlignment="1" pivotButton="0" quotePrefix="0" xfId="0">
      <alignment horizontal="center"/>
    </xf>
    <xf numFmtId="0" fontId="3" fillId="3" borderId="0" applyAlignment="1" pivotButton="0" quotePrefix="0" xfId="0">
      <alignment horizontal="center"/>
    </xf>
    <xf numFmtId="0" fontId="6" fillId="3" borderId="0" applyAlignment="1" pivotButton="0" quotePrefix="0" xfId="0">
      <alignment horizontal="center"/>
    </xf>
    <xf numFmtId="167" fontId="26" fillId="4" borderId="0" pivotButton="0" quotePrefix="0" xfId="0"/>
    <xf numFmtId="165" fontId="29" fillId="5" borderId="0" applyAlignment="1" pivotButton="0" quotePrefix="0" xfId="0">
      <alignment horizontal="right"/>
    </xf>
    <xf numFmtId="165" fontId="29" fillId="3" borderId="0" applyAlignment="1" pivotButton="0" quotePrefix="0" xfId="0">
      <alignment horizontal="right"/>
    </xf>
    <xf numFmtId="165" fontId="25" fillId="5" borderId="0" applyAlignment="1" pivotButton="0" quotePrefix="0" xfId="0">
      <alignment horizontal="right"/>
    </xf>
    <xf numFmtId="165" fontId="25" fillId="3" borderId="0" applyAlignment="1" pivotButton="0" quotePrefix="0" xfId="0">
      <alignment horizontal="right"/>
    </xf>
    <xf numFmtId="189" fontId="29" fillId="5" borderId="0" applyAlignment="1" pivotButton="0" quotePrefix="0" xfId="0">
      <alignment horizontal="right"/>
    </xf>
    <xf numFmtId="189" fontId="29" fillId="3" borderId="0" applyAlignment="1" pivotButton="0" quotePrefix="0" xfId="0">
      <alignment horizontal="right"/>
    </xf>
    <xf numFmtId="167" fontId="24" fillId="5" borderId="0" applyAlignment="1" pivotButton="0" quotePrefix="0" xfId="0">
      <alignment horizontal="right"/>
    </xf>
    <xf numFmtId="167" fontId="24" fillId="3" borderId="0" applyAlignment="1" pivotButton="0" quotePrefix="0" xfId="0">
      <alignment horizontal="right"/>
    </xf>
    <xf numFmtId="167" fontId="25" fillId="5" borderId="0" applyAlignment="1" pivotButton="0" quotePrefix="0" xfId="0">
      <alignment horizontal="right"/>
    </xf>
    <xf numFmtId="167" fontId="25" fillId="3" borderId="0" applyAlignment="1" pivotButton="0" quotePrefix="0" xfId="0">
      <alignment horizontal="right"/>
    </xf>
    <xf numFmtId="167" fontId="24" fillId="5" borderId="0" pivotButton="0" quotePrefix="0" xfId="0"/>
    <xf numFmtId="167" fontId="24" fillId="3" borderId="0" pivotButton="0" quotePrefix="0" xfId="0"/>
    <xf numFmtId="167" fontId="30" fillId="5" borderId="0" pivotButton="0" quotePrefix="0" xfId="0"/>
    <xf numFmtId="167" fontId="30" fillId="3" borderId="0" pivotButton="0" quotePrefix="0" xfId="0"/>
    <xf numFmtId="190" fontId="29" fillId="5" borderId="0" applyAlignment="1" pivotButton="0" quotePrefix="0" xfId="0">
      <alignment horizontal="right"/>
    </xf>
    <xf numFmtId="190" fontId="0" fillId="5" borderId="0" applyAlignment="1" pivotButton="0" quotePrefix="0" xfId="0">
      <alignment horizontal="right"/>
    </xf>
    <xf numFmtId="190" fontId="0" fillId="3" borderId="0" applyAlignment="1" pivotButton="0" quotePrefix="0" xfId="0">
      <alignment horizontal="right"/>
    </xf>
    <xf numFmtId="190" fontId="29" fillId="3" borderId="0" applyAlignment="1" pivotButton="0" quotePrefix="0" xfId="0">
      <alignment horizontal="right"/>
    </xf>
    <xf numFmtId="165" fontId="29" fillId="5" borderId="0" pivotButton="0" quotePrefix="0" xfId="0"/>
    <xf numFmtId="165" fontId="29" fillId="3" borderId="0" pivotButton="0" quotePrefix="0" xfId="0"/>
    <xf numFmtId="167" fontId="29" fillId="5" borderId="0" applyAlignment="1" pivotButton="0" quotePrefix="0" xfId="0">
      <alignment horizontal="right"/>
    </xf>
    <xf numFmtId="167" fontId="29" fillId="3" borderId="0" applyAlignment="1" pivotButton="0" quotePrefix="0" xfId="0">
      <alignment horizontal="right"/>
    </xf>
    <xf numFmtId="190" fontId="25" fillId="5" borderId="0" applyAlignment="1" pivotButton="0" quotePrefix="0" xfId="0">
      <alignment horizontal="right"/>
    </xf>
    <xf numFmtId="190" fontId="25" fillId="3" borderId="0" applyAlignment="1" pivotButton="0" quotePrefix="0" xfId="0">
      <alignment horizontal="right"/>
    </xf>
    <xf numFmtId="190" fontId="29" fillId="5" borderId="0" pivotButton="0" quotePrefix="0" xfId="0"/>
    <xf numFmtId="190" fontId="0" fillId="3" borderId="0" pivotButton="0" quotePrefix="0" xfId="0"/>
    <xf numFmtId="190" fontId="0" fillId="5" borderId="0" pivotButton="0" quotePrefix="0" xfId="0"/>
    <xf numFmtId="190" fontId="29" fillId="3" borderId="0" pivotButton="0" quotePrefix="0" xfId="0"/>
    <xf numFmtId="165" fontId="0" fillId="5" borderId="0" applyAlignment="1" pivotButton="0" quotePrefix="0" xfId="0">
      <alignment horizontal="right"/>
    </xf>
    <xf numFmtId="165" fontId="0" fillId="3" borderId="0" applyAlignment="1" pivotButton="0" quotePrefix="0" xfId="0">
      <alignment horizontal="right"/>
    </xf>
    <xf numFmtId="167" fontId="0" fillId="3" borderId="0" applyAlignment="1" pivotButton="0" quotePrefix="0" xfId="0">
      <alignment horizontal="right"/>
    </xf>
    <xf numFmtId="167" fontId="0" fillId="5" borderId="0" applyAlignment="1" pivotButton="0" quotePrefix="0" xfId="0">
      <alignment horizontal="right"/>
    </xf>
    <xf numFmtId="167" fontId="19" fillId="5" borderId="0" applyAlignment="1" pivotButton="0" quotePrefix="0" xfId="0">
      <alignment horizontal="right"/>
    </xf>
    <xf numFmtId="167" fontId="19" fillId="3" borderId="0" applyAlignment="1" pivotButton="0" quotePrefix="0" xfId="0">
      <alignment horizontal="right"/>
    </xf>
    <xf numFmtId="165" fontId="7" fillId="5" borderId="0" applyAlignment="1" pivotButton="0" quotePrefix="0" xfId="0">
      <alignment horizontal="right"/>
    </xf>
    <xf numFmtId="165" fontId="7" fillId="3" borderId="0" applyAlignment="1" pivotButton="0" quotePrefix="0" xfId="0">
      <alignment horizontal="right"/>
    </xf>
    <xf numFmtId="167" fontId="0" fillId="5" borderId="0" pivotButton="0" quotePrefix="0" xfId="0"/>
    <xf numFmtId="167" fontId="29" fillId="5" borderId="0" pivotButton="0" quotePrefix="0" xfId="0"/>
    <xf numFmtId="165" fontId="0" fillId="5" borderId="0" applyAlignment="1" pivotButton="0" quotePrefix="0" xfId="0">
      <alignment horizontal="left"/>
    </xf>
    <xf numFmtId="165" fontId="0" fillId="3" borderId="0" applyAlignment="1" pivotButton="0" quotePrefix="0" xfId="0">
      <alignment horizontal="left"/>
    </xf>
    <xf numFmtId="167" fontId="23" fillId="3" borderId="0" pivotButton="0" quotePrefix="0" xfId="0"/>
    <xf numFmtId="167" fontId="7" fillId="5" borderId="0" applyAlignment="1" pivotButton="0" quotePrefix="0" xfId="0">
      <alignment horizontal="right"/>
    </xf>
    <xf numFmtId="167" fontId="7" fillId="3" borderId="0" applyAlignment="1" pivotButton="0" quotePrefix="0" xfId="0">
      <alignment horizontal="right"/>
    </xf>
    <xf numFmtId="167" fontId="25" fillId="5" borderId="0" pivotButton="0" quotePrefix="0" xfId="0"/>
    <xf numFmtId="167" fontId="25" fillId="3" borderId="0" pivotButton="0" quotePrefix="0" xfId="0"/>
    <xf numFmtId="171" fontId="7" fillId="5" borderId="0" pivotButton="0" quotePrefix="0" xfId="0"/>
    <xf numFmtId="171" fontId="7" fillId="3" borderId="0" pivotButton="0" quotePrefix="0" xfId="0"/>
    <xf numFmtId="171" fontId="24" fillId="5" borderId="0" pivotButton="0" quotePrefix="0" xfId="0"/>
    <xf numFmtId="171" fontId="24" fillId="3" borderId="0" pivotButton="0" quotePrefix="0" xfId="0"/>
    <xf numFmtId="171" fontId="23" fillId="3" borderId="0" pivotButton="0" quotePrefix="0" xfId="0"/>
    <xf numFmtId="167" fontId="19" fillId="3" borderId="0" pivotButton="0" quotePrefix="0" xfId="0"/>
    <xf numFmtId="167" fontId="19" fillId="5" borderId="0" pivotButton="0" quotePrefix="0" xfId="0"/>
    <xf numFmtId="187" fontId="29" fillId="5" borderId="0" pivotButton="0" quotePrefix="0" xfId="0"/>
    <xf numFmtId="187" fontId="29" fillId="3" borderId="0" pivotButton="0" quotePrefix="0" xfId="0"/>
    <xf numFmtId="196" fontId="24" fillId="5" borderId="0" pivotButton="0" quotePrefix="0" xfId="0"/>
    <xf numFmtId="196" fontId="24" fillId="3" borderId="0" pivotButton="0" quotePrefix="0" xfId="0"/>
    <xf numFmtId="171" fontId="25" fillId="5" borderId="0" applyAlignment="1" pivotButton="0" quotePrefix="0" xfId="16">
      <alignment horizontal="right" indent="1"/>
    </xf>
    <xf numFmtId="171" fontId="25" fillId="5" borderId="0" pivotButton="0" quotePrefix="0" xfId="16"/>
    <xf numFmtId="171" fontId="25" fillId="3" borderId="0" pivotButton="0" quotePrefix="0" xfId="16"/>
    <xf numFmtId="171" fontId="23" fillId="3" borderId="0" pivotButton="0" quotePrefix="0" xfId="16"/>
    <xf numFmtId="171" fontId="0" fillId="5" borderId="0" pivotButton="0" quotePrefix="0" xfId="0"/>
    <xf numFmtId="171" fontId="0" fillId="3" borderId="0" pivotButton="0" quotePrefix="0" xfId="0"/>
    <xf numFmtId="171" fontId="29" fillId="3" borderId="0" pivotButton="0" quotePrefix="0" xfId="0"/>
    <xf numFmtId="171" fontId="29" fillId="5" borderId="0" pivotButton="0" quotePrefix="0" xfId="0"/>
    <xf numFmtId="171" fontId="25" fillId="5" borderId="0" pivotButton="0" quotePrefix="0" xfId="0"/>
    <xf numFmtId="171" fontId="25" fillId="3" borderId="0" pivotButton="0" quotePrefix="0" xfId="0"/>
    <xf numFmtId="168" fontId="25" fillId="5" borderId="0" applyAlignment="1" pivotButton="0" quotePrefix="0" xfId="0">
      <alignment horizontal="right"/>
    </xf>
    <xf numFmtId="168" fontId="25" fillId="3" borderId="0" applyAlignment="1" pivotButton="0" quotePrefix="0" xfId="0">
      <alignment horizontal="right"/>
    </xf>
    <xf numFmtId="168" fontId="7" fillId="5" borderId="0" applyAlignment="1" pivotButton="0" quotePrefix="0" xfId="0">
      <alignment horizontal="right"/>
    </xf>
    <xf numFmtId="168" fontId="25" fillId="3" borderId="0" pivotButton="0" quotePrefix="0" xfId="0"/>
    <xf numFmtId="171" fontId="7" fillId="5" borderId="0" applyAlignment="1" pivotButton="0" quotePrefix="0" xfId="0">
      <alignment horizontal="right"/>
    </xf>
    <xf numFmtId="171" fontId="7" fillId="3" borderId="0" applyAlignment="1" pivotButton="0" quotePrefix="0" xfId="0">
      <alignment horizontal="right"/>
    </xf>
    <xf numFmtId="168" fontId="29" fillId="5" borderId="0" applyAlignment="1" pivotButton="0" quotePrefix="0" xfId="0">
      <alignment horizontal="right"/>
    </xf>
    <xf numFmtId="168" fontId="29" fillId="3" borderId="0" applyAlignment="1" pivotButton="0" quotePrefix="0" xfId="0">
      <alignment horizontal="right"/>
    </xf>
    <xf numFmtId="168" fontId="29" fillId="3" borderId="0" pivotButton="0" quotePrefix="0" xfId="0"/>
    <xf numFmtId="168" fontId="0" fillId="5" borderId="0" applyAlignment="1" pivotButton="0" quotePrefix="0" xfId="0">
      <alignment horizontal="right"/>
    </xf>
    <xf numFmtId="181" fontId="0" fillId="5" borderId="0" applyAlignment="1" pivotButton="0" quotePrefix="0" xfId="0">
      <alignment horizontal="right"/>
    </xf>
    <xf numFmtId="181" fontId="0" fillId="3" borderId="0" applyAlignment="1" pivotButton="0" quotePrefix="0" xfId="0">
      <alignment horizontal="right"/>
    </xf>
    <xf numFmtId="175" fontId="0" fillId="5" borderId="0" applyAlignment="1" pivotButton="0" quotePrefix="0" xfId="0">
      <alignment horizontal="right"/>
    </xf>
    <xf numFmtId="175" fontId="0" fillId="3" borderId="0" applyAlignment="1" pivotButton="0" quotePrefix="0" xfId="0">
      <alignment horizontal="right"/>
    </xf>
    <xf numFmtId="165" fontId="0" fillId="5" borderId="0" pivotButton="0" quotePrefix="0" xfId="0"/>
    <xf numFmtId="165" fontId="0" fillId="3" borderId="0" pivotButton="0" quotePrefix="0" xfId="0"/>
    <xf numFmtId="165" fontId="25" fillId="5" borderId="0" pivotButton="0" quotePrefix="0" xfId="0"/>
    <xf numFmtId="165" fontId="25" fillId="3" borderId="0" pivotButton="0" quotePrefix="0" xfId="0"/>
    <xf numFmtId="167" fontId="7" fillId="5" borderId="0" pivotButton="0" quotePrefix="0" xfId="0"/>
    <xf numFmtId="167" fontId="7" fillId="3" borderId="0" pivotButton="0" quotePrefix="0" xfId="0"/>
    <xf numFmtId="185" fontId="25" fillId="5" borderId="0" pivotButton="0" quotePrefix="0" xfId="0"/>
    <xf numFmtId="185" fontId="25" fillId="3" borderId="0" pivotButton="0" quotePrefix="0" xfId="0"/>
    <xf numFmtId="167" fontId="42" fillId="5" borderId="0" pivotButton="0" quotePrefix="0" xfId="0"/>
    <xf numFmtId="167" fontId="42" fillId="3" borderId="0" pivotButton="0" quotePrefix="0" xfId="0"/>
    <xf numFmtId="165" fontId="21" fillId="3" borderId="0" pivotButton="0" quotePrefix="0" xfId="26"/>
    <xf numFmtId="191" fontId="32" fillId="3" borderId="0" applyAlignment="1" pivotButton="0" quotePrefix="0" xfId="26">
      <alignment horizontal="right"/>
    </xf>
    <xf numFmtId="191" fontId="25" fillId="3" borderId="0" applyAlignment="1" pivotButton="0" quotePrefix="0" xfId="0">
      <alignment horizontal="right"/>
    </xf>
    <xf numFmtId="0" fontId="32" fillId="3" borderId="0" applyAlignment="1" pivotButton="0" quotePrefix="0" xfId="26">
      <alignment horizontal="right"/>
    </xf>
    <xf numFmtId="0" fontId="25" fillId="3" borderId="0" applyAlignment="1" pivotButton="0" quotePrefix="0" xfId="0">
      <alignment horizontal="right"/>
    </xf>
    <xf numFmtId="17" fontId="21" fillId="3" borderId="0" pivotButton="0" quotePrefix="0" xfId="26"/>
    <xf numFmtId="17" fontId="29" fillId="3" borderId="0" pivotButton="0" quotePrefix="0" xfId="0"/>
    <xf numFmtId="181" fontId="21" fillId="3" borderId="0" pivotButton="0" quotePrefix="0" xfId="26"/>
    <xf numFmtId="181" fontId="29" fillId="3" borderId="0" pivotButton="0" quotePrefix="0" xfId="0"/>
    <xf numFmtId="175" fontId="21" fillId="3" borderId="0" pivotButton="0" quotePrefix="0" xfId="26"/>
    <xf numFmtId="175" fontId="29" fillId="3" borderId="0" pivotButton="0" quotePrefix="0" xfId="0"/>
    <xf numFmtId="174" fontId="29" fillId="3" borderId="0" pivotButton="0" quotePrefix="0" xfId="0"/>
    <xf numFmtId="0" fontId="27" fillId="4" borderId="0" pivotButton="0" quotePrefix="0" xfId="0"/>
    <xf numFmtId="0" fontId="0" fillId="3" borderId="0" pivotButton="0" quotePrefix="0" xfId="0"/>
    <xf numFmtId="17" fontId="30" fillId="5" borderId="0" applyAlignment="1" pivotButton="0" quotePrefix="0" xfId="30">
      <alignment horizontal="center"/>
    </xf>
    <xf numFmtId="17" fontId="31" fillId="5" borderId="0" applyAlignment="1" pivotButton="0" quotePrefix="0" xfId="30">
      <alignment horizontal="center"/>
    </xf>
    <xf numFmtId="17" fontId="31" fillId="3" borderId="0" applyAlignment="1" pivotButton="0" quotePrefix="0" xfId="30">
      <alignment horizontal="center"/>
    </xf>
    <xf numFmtId="166" fontId="25" fillId="5" borderId="0" applyAlignment="1" pivotButton="0" quotePrefix="0" xfId="30">
      <alignment horizontal="center"/>
    </xf>
    <xf numFmtId="166" fontId="32" fillId="5" borderId="0" applyAlignment="1" pivotButton="0" quotePrefix="0" xfId="30">
      <alignment horizontal="center"/>
    </xf>
    <xf numFmtId="166" fontId="32" fillId="3" borderId="0" applyAlignment="1" pivotButton="0" quotePrefix="0" xfId="30">
      <alignment horizontal="center"/>
    </xf>
    <xf numFmtId="166" fontId="28" fillId="4" borderId="0" pivotButton="0" quotePrefix="0" xfId="30"/>
    <xf numFmtId="171" fontId="25" fillId="5" borderId="0" applyAlignment="1" pivotButton="0" quotePrefix="0" xfId="0">
      <alignment horizontal="right"/>
    </xf>
    <xf numFmtId="167" fontId="29" fillId="5" borderId="0" applyAlignment="1" pivotButton="0" quotePrefix="0" xfId="30">
      <alignment horizontal="right"/>
    </xf>
    <xf numFmtId="167" fontId="29" fillId="3" borderId="0" applyAlignment="1" pivotButton="0" quotePrefix="0" xfId="30">
      <alignment horizontal="right"/>
    </xf>
    <xf numFmtId="167" fontId="25" fillId="5" borderId="0" applyAlignment="1" pivotButton="0" quotePrefix="0" xfId="30">
      <alignment horizontal="right"/>
    </xf>
    <xf numFmtId="167" fontId="25" fillId="3" borderId="0" applyAlignment="1" pivotButton="0" quotePrefix="0" xfId="30">
      <alignment horizontal="right"/>
    </xf>
    <xf numFmtId="167" fontId="27" fillId="4" borderId="0" pivotButton="0" quotePrefix="0" xfId="30"/>
    <xf numFmtId="167" fontId="25" fillId="5" borderId="0" applyAlignment="1" pivotButton="0" quotePrefix="0" xfId="30">
      <alignment horizontal="center"/>
    </xf>
    <xf numFmtId="167" fontId="25" fillId="3" borderId="0" applyAlignment="1" pivotButton="0" quotePrefix="0" xfId="30">
      <alignment horizontal="center"/>
    </xf>
    <xf numFmtId="167" fontId="29" fillId="3" borderId="0" applyAlignment="1" pivotButton="0" quotePrefix="0" xfId="30">
      <alignment horizontal="center"/>
    </xf>
    <xf numFmtId="167" fontId="29" fillId="5" borderId="0" pivotButton="0" quotePrefix="0" xfId="30"/>
    <xf numFmtId="170" fontId="25" fillId="5" borderId="0" applyAlignment="1" pivotButton="0" quotePrefix="0" xfId="30">
      <alignment horizontal="right"/>
    </xf>
    <xf numFmtId="170" fontId="25" fillId="3" borderId="0" applyAlignment="1" pivotButton="0" quotePrefix="0" xfId="30">
      <alignment horizontal="right"/>
    </xf>
    <xf numFmtId="169" fontId="25" fillId="5" borderId="0" pivotButton="0" quotePrefix="0" xfId="30"/>
    <xf numFmtId="169" fontId="25" fillId="3" borderId="0" pivotButton="0" quotePrefix="0" xfId="30"/>
    <xf numFmtId="168" fontId="25" fillId="5" borderId="0" applyAlignment="1" pivotButton="0" quotePrefix="0" xfId="30">
      <alignment horizontal="right"/>
    </xf>
    <xf numFmtId="168" fontId="25" fillId="3" borderId="0" applyAlignment="1" pivotButton="0" quotePrefix="0" xfId="30">
      <alignment horizontal="right"/>
    </xf>
    <xf numFmtId="168" fontId="25" fillId="3" borderId="0" pivotButton="0" quotePrefix="0" xfId="30"/>
    <xf numFmtId="173" fontId="25" fillId="5" borderId="0" applyAlignment="1" pivotButton="0" quotePrefix="0" xfId="30">
      <alignment horizontal="right"/>
    </xf>
    <xf numFmtId="173" fontId="25" fillId="3" borderId="0" applyAlignment="1" pivotButton="0" quotePrefix="0" xfId="30">
      <alignment horizontal="right"/>
    </xf>
    <xf numFmtId="165" fontId="29" fillId="5" borderId="0" pivotButton="0" quotePrefix="0" xfId="30"/>
    <xf numFmtId="165" fontId="29" fillId="3" borderId="0" pivotButton="0" quotePrefix="0" xfId="30"/>
    <xf numFmtId="168" fontId="29" fillId="5" borderId="0" applyAlignment="1" pivotButton="0" quotePrefix="0" xfId="30">
      <alignment horizontal="right"/>
    </xf>
    <xf numFmtId="168" fontId="29" fillId="3" borderId="0" applyAlignment="1" pivotButton="0" quotePrefix="0" xfId="30">
      <alignment horizontal="right"/>
    </xf>
    <xf numFmtId="168" fontId="29" fillId="3" borderId="0" pivotButton="0" quotePrefix="0" xfId="30"/>
    <xf numFmtId="167" fontId="29" fillId="3" borderId="0" pivotButton="0" quotePrefix="0" xfId="30"/>
    <xf numFmtId="166" fontId="29" fillId="3" borderId="0" applyAlignment="1" pivotButton="0" quotePrefix="0" xfId="0">
      <alignment horizontal="right"/>
    </xf>
    <xf numFmtId="166" fontId="29" fillId="3" borderId="0" pivotButton="0" quotePrefix="0" xfId="0"/>
    <xf numFmtId="166" fontId="29" fillId="3" borderId="21" pivotButton="0" quotePrefix="0" xfId="0"/>
    <xf numFmtId="166" fontId="29" fillId="3" borderId="0" pivotButton="0" quotePrefix="0" xfId="0"/>
    <xf numFmtId="166" fontId="26" fillId="4" borderId="0" pivotButton="0" quotePrefix="0" xfId="30"/>
    <xf numFmtId="166" fontId="29" fillId="3" borderId="2" pivotButton="0" quotePrefix="0" xfId="0"/>
    <xf numFmtId="166" fontId="29" fillId="3" borderId="26" pivotButton="0" quotePrefix="0" xfId="0"/>
    <xf numFmtId="166" fontId="25" fillId="3" borderId="0" pivotButton="0" quotePrefix="0" xfId="0"/>
    <xf numFmtId="166" fontId="26" fillId="4" borderId="0" pivotButton="0" quotePrefix="0" xfId="0"/>
    <xf numFmtId="166" fontId="24" fillId="3" borderId="0" pivotButton="0" quotePrefix="0" xfId="0"/>
    <xf numFmtId="166" fontId="25" fillId="3" borderId="12" pivotButton="0" quotePrefix="0" xfId="0"/>
    <xf numFmtId="166" fontId="28" fillId="4" borderId="0" pivotButton="0" quotePrefix="0" xfId="0"/>
    <xf numFmtId="166" fontId="28" fillId="4" borderId="21" pivotButton="0" quotePrefix="0" xfId="0"/>
    <xf numFmtId="166" fontId="28" fillId="4" borderId="0" pivotButton="0" quotePrefix="0" xfId="0"/>
    <xf numFmtId="166" fontId="19" fillId="3" borderId="0" applyAlignment="1" pivotButton="0" quotePrefix="0" xfId="0">
      <alignment horizontal="left" indent="1"/>
    </xf>
    <xf numFmtId="166" fontId="23" fillId="3" borderId="0" pivotButton="0" quotePrefix="0" xfId="16"/>
    <xf numFmtId="166" fontId="23" fillId="3" borderId="0" applyAlignment="1" pivotButton="0" quotePrefix="0" xfId="0">
      <alignment horizontal="left" indent="1"/>
    </xf>
    <xf numFmtId="166" fontId="24" fillId="3" borderId="0" applyAlignment="1" pivotButton="0" quotePrefix="0" xfId="0">
      <alignment horizontal="left" indent="3"/>
    </xf>
    <xf numFmtId="166" fontId="29" fillId="3" borderId="0" pivotButton="0" quotePrefix="0" xfId="30"/>
    <xf numFmtId="166" fontId="25" fillId="3" borderId="0" pivotButton="0" quotePrefix="0" xfId="30"/>
    <xf numFmtId="166" fontId="27" fillId="4" borderId="0" pivotButton="0" quotePrefix="0" xfId="30"/>
    <xf numFmtId="1" fontId="25" fillId="5" borderId="0" applyAlignment="1" pivotButton="0" quotePrefix="0" xfId="0">
      <alignment horizontal="center"/>
    </xf>
    <xf numFmtId="17" fontId="23" fillId="5" borderId="0" applyAlignment="1" pivotButton="0" quotePrefix="0" xfId="0">
      <alignment horizontal="center"/>
    </xf>
    <xf numFmtId="0" fontId="32" fillId="5" borderId="0" applyAlignment="1" pivotButton="0" quotePrefix="0" xfId="0">
      <alignment horizontal="center"/>
    </xf>
    <xf numFmtId="165" fontId="9" fillId="5" borderId="0" applyAlignment="1" pivotButton="0" quotePrefix="0" xfId="0">
      <alignment horizontal="right"/>
    </xf>
    <xf numFmtId="167" fontId="48" fillId="5" borderId="0" applyAlignment="1" pivotButton="0" quotePrefix="0" xfId="0">
      <alignment horizontal="right"/>
    </xf>
    <xf numFmtId="165" fontId="29" fillId="5" borderId="0" applyAlignment="1" pivotButton="0" quotePrefix="0" xfId="0">
      <alignment horizontal="left"/>
    </xf>
    <xf numFmtId="167" fontId="24" fillId="5" borderId="0" applyAlignment="1" pivotButton="0" quotePrefix="0" xfId="0">
      <alignment horizontal="center"/>
    </xf>
    <xf numFmtId="167" fontId="13" fillId="5" borderId="0" pivotButton="0" quotePrefix="0" xfId="0"/>
    <xf numFmtId="171" fontId="24" fillId="5" borderId="0" applyAlignment="1" pivotButton="0" quotePrefix="0" xfId="0">
      <alignment horizontal="right"/>
    </xf>
    <xf numFmtId="167" fontId="48" fillId="5" borderId="0" pivotButton="0" quotePrefix="0" xfId="0"/>
    <xf numFmtId="196" fontId="48" fillId="5" borderId="0" pivotButton="0" quotePrefix="0" xfId="0"/>
    <xf numFmtId="171" fontId="9" fillId="5" borderId="0" pivotButton="0" quotePrefix="0" xfId="0"/>
    <xf numFmtId="171" fontId="13" fillId="5" borderId="0" pivotButton="0" quotePrefix="0" xfId="0"/>
    <xf numFmtId="167" fontId="13" fillId="5" borderId="0" applyAlignment="1" pivotButton="0" quotePrefix="0" xfId="0">
      <alignment horizontal="right"/>
    </xf>
    <xf numFmtId="181" fontId="29" fillId="5" borderId="0" applyAlignment="1" pivotButton="0" quotePrefix="0" xfId="0">
      <alignment horizontal="right"/>
    </xf>
    <xf numFmtId="175" fontId="29" fillId="5" borderId="0" applyAlignment="1" pivotButton="0" quotePrefix="0" xfId="0">
      <alignment horizontal="right"/>
    </xf>
    <xf numFmtId="167" fontId="43" fillId="5" borderId="0" pivotButton="0" quotePrefix="0" xfId="0"/>
    <xf numFmtId="1" fontId="25" fillId="3" borderId="0" applyAlignment="1" pivotButton="0" quotePrefix="0" xfId="0">
      <alignment horizontal="center"/>
    </xf>
    <xf numFmtId="17" fontId="23" fillId="3" borderId="0" applyAlignment="1" pivotButton="0" quotePrefix="0" xfId="0">
      <alignment horizontal="center"/>
    </xf>
    <xf numFmtId="0" fontId="32" fillId="3" borderId="0" applyAlignment="1" pivotButton="0" quotePrefix="0" xfId="0">
      <alignment horizontal="center"/>
    </xf>
    <xf numFmtId="165" fontId="9" fillId="3" borderId="0" applyAlignment="1" pivotButton="0" quotePrefix="0" xfId="0">
      <alignment horizontal="right"/>
    </xf>
    <xf numFmtId="167" fontId="48" fillId="3" borderId="0" applyAlignment="1" pivotButton="0" quotePrefix="0" xfId="0">
      <alignment horizontal="right"/>
    </xf>
    <xf numFmtId="165" fontId="29" fillId="3" borderId="0" applyAlignment="1" pivotButton="0" quotePrefix="0" xfId="0">
      <alignment horizontal="left"/>
    </xf>
    <xf numFmtId="167" fontId="13" fillId="3" borderId="0" pivotButton="0" quotePrefix="0" xfId="0"/>
    <xf numFmtId="171" fontId="24" fillId="3" borderId="0" applyAlignment="1" pivotButton="0" quotePrefix="0" xfId="0">
      <alignment horizontal="right"/>
    </xf>
    <xf numFmtId="167" fontId="48" fillId="3" borderId="0" pivotButton="0" quotePrefix="0" xfId="0"/>
    <xf numFmtId="196" fontId="48" fillId="3" borderId="0" pivotButton="0" quotePrefix="0" xfId="0"/>
    <xf numFmtId="171" fontId="9" fillId="3" borderId="0" pivotButton="0" quotePrefix="0" xfId="0"/>
    <xf numFmtId="171" fontId="13" fillId="3" borderId="0" pivotButton="0" quotePrefix="0" xfId="0"/>
    <xf numFmtId="167" fontId="13" fillId="3" borderId="0" applyAlignment="1" pivotButton="0" quotePrefix="0" xfId="0">
      <alignment horizontal="right"/>
    </xf>
    <xf numFmtId="171" fontId="25" fillId="3" borderId="0" applyAlignment="1" pivotButton="0" quotePrefix="0" xfId="0">
      <alignment horizontal="right"/>
    </xf>
    <xf numFmtId="181" fontId="29" fillId="3" borderId="0" applyAlignment="1" pivotButton="0" quotePrefix="0" xfId="0">
      <alignment horizontal="right"/>
    </xf>
    <xf numFmtId="175" fontId="29" fillId="3" borderId="0" applyAlignment="1" pivotButton="0" quotePrefix="0" xfId="0">
      <alignment horizontal="right"/>
    </xf>
    <xf numFmtId="167" fontId="43" fillId="3" borderId="0" pivotButton="0" quotePrefix="0" xfId="0"/>
    <xf numFmtId="0" fontId="24" fillId="3" borderId="21" pivotButton="0" quotePrefix="0" xfId="0"/>
    <xf numFmtId="1" fontId="7" fillId="5" borderId="21" applyAlignment="1" pivotButton="0" quotePrefix="0" xfId="0">
      <alignment horizontal="center"/>
    </xf>
    <xf numFmtId="0" fontId="3" fillId="5" borderId="21" applyAlignment="1" pivotButton="0" quotePrefix="0" xfId="0">
      <alignment horizontal="center"/>
    </xf>
    <xf numFmtId="165" fontId="29" fillId="5" borderId="21" applyAlignment="1" pivotButton="0" quotePrefix="0" xfId="0">
      <alignment horizontal="right"/>
    </xf>
    <xf numFmtId="165" fontId="25" fillId="5" borderId="21" applyAlignment="1" pivotButton="0" quotePrefix="0" xfId="0">
      <alignment horizontal="right"/>
    </xf>
    <xf numFmtId="165" fontId="25" fillId="5" borderId="28" applyAlignment="1" pivotButton="0" quotePrefix="0" xfId="0">
      <alignment horizontal="right"/>
    </xf>
    <xf numFmtId="189" fontId="29" fillId="5" borderId="21" applyAlignment="1" pivotButton="0" quotePrefix="0" xfId="0">
      <alignment horizontal="right"/>
    </xf>
    <xf numFmtId="167" fontId="24" fillId="5" borderId="21" applyAlignment="1" pivotButton="0" quotePrefix="0" xfId="0">
      <alignment horizontal="right"/>
    </xf>
    <xf numFmtId="167" fontId="25" fillId="5" borderId="21" applyAlignment="1" pivotButton="0" quotePrefix="0" xfId="0">
      <alignment horizontal="right"/>
    </xf>
    <xf numFmtId="167" fontId="24" fillId="5" borderId="21" pivotButton="0" quotePrefix="0" xfId="0"/>
    <xf numFmtId="167" fontId="24" fillId="5" borderId="26" pivotButton="0" quotePrefix="0" xfId="0"/>
    <xf numFmtId="167" fontId="30" fillId="5" borderId="21" pivotButton="0" quotePrefix="0" xfId="0"/>
    <xf numFmtId="190" fontId="0" fillId="5" borderId="21" applyAlignment="1" pivotButton="0" quotePrefix="0" xfId="0">
      <alignment horizontal="right"/>
    </xf>
    <xf numFmtId="190" fontId="0" fillId="5" borderId="26" applyAlignment="1" pivotButton="0" quotePrefix="0" xfId="0">
      <alignment horizontal="right"/>
    </xf>
    <xf numFmtId="190" fontId="7" fillId="5" borderId="28" applyAlignment="1" pivotButton="0" quotePrefix="0" xfId="0">
      <alignment horizontal="right"/>
    </xf>
    <xf numFmtId="165" fontId="29" fillId="5" borderId="21" pivotButton="0" quotePrefix="0" xfId="0"/>
    <xf numFmtId="167" fontId="29" fillId="5" borderId="21" applyAlignment="1" pivotButton="0" quotePrefix="0" xfId="0">
      <alignment horizontal="right"/>
    </xf>
    <xf numFmtId="190" fontId="29" fillId="5" borderId="21" applyAlignment="1" pivotButton="0" quotePrefix="0" xfId="0">
      <alignment horizontal="right"/>
    </xf>
    <xf numFmtId="190" fontId="29" fillId="5" borderId="26" applyAlignment="1" pivotButton="0" quotePrefix="0" xfId="0">
      <alignment horizontal="right"/>
    </xf>
    <xf numFmtId="190" fontId="25" fillId="5" borderId="21" applyAlignment="1" pivotButton="0" quotePrefix="0" xfId="0">
      <alignment horizontal="right"/>
    </xf>
    <xf numFmtId="190" fontId="29" fillId="5" borderId="21" pivotButton="0" quotePrefix="0" xfId="0"/>
    <xf numFmtId="190" fontId="7" fillId="5" borderId="28" pivotButton="0" quotePrefix="0" xfId="0"/>
    <xf numFmtId="165" fontId="29" fillId="5" borderId="26" applyAlignment="1" pivotButton="0" quotePrefix="0" xfId="0">
      <alignment horizontal="right"/>
    </xf>
    <xf numFmtId="165" fontId="7" fillId="5" borderId="28" applyAlignment="1" pivotButton="0" quotePrefix="0" xfId="0">
      <alignment horizontal="right"/>
    </xf>
    <xf numFmtId="165" fontId="0" fillId="5" borderId="21" applyAlignment="1" pivotButton="0" quotePrefix="0" xfId="0">
      <alignment horizontal="right"/>
    </xf>
    <xf numFmtId="165" fontId="0" fillId="5" borderId="28" applyAlignment="1" pivotButton="0" quotePrefix="0" xfId="0">
      <alignment horizontal="right"/>
    </xf>
    <xf numFmtId="165" fontId="0" fillId="5" borderId="26" applyAlignment="1" pivotButton="0" quotePrefix="0" xfId="0">
      <alignment horizontal="right"/>
    </xf>
    <xf numFmtId="167" fontId="29" fillId="5" borderId="26" applyAlignment="1" pivotButton="0" quotePrefix="0" xfId="0">
      <alignment horizontal="right"/>
    </xf>
    <xf numFmtId="167" fontId="0" fillId="5" borderId="28" applyAlignment="1" pivotButton="0" quotePrefix="0" xfId="0">
      <alignment horizontal="right"/>
    </xf>
    <xf numFmtId="167" fontId="0" fillId="5" borderId="21" applyAlignment="1" pivotButton="0" quotePrefix="0" xfId="0">
      <alignment horizontal="right"/>
    </xf>
    <xf numFmtId="167" fontId="0" fillId="5" borderId="26" applyAlignment="1" pivotButton="0" quotePrefix="0" xfId="0">
      <alignment horizontal="right"/>
    </xf>
    <xf numFmtId="167" fontId="7" fillId="5" borderId="28" applyAlignment="1" pivotButton="0" quotePrefix="0" xfId="0">
      <alignment horizontal="right"/>
    </xf>
    <xf numFmtId="165" fontId="0" fillId="5" borderId="21" applyAlignment="1" pivotButton="0" quotePrefix="0" xfId="0">
      <alignment horizontal="left"/>
    </xf>
    <xf numFmtId="167" fontId="29" fillId="5" borderId="28" applyAlignment="1" pivotButton="0" quotePrefix="0" xfId="0">
      <alignment horizontal="right"/>
    </xf>
    <xf numFmtId="167" fontId="25" fillId="5" borderId="26" applyAlignment="1" pivotButton="0" quotePrefix="0" xfId="0">
      <alignment horizontal="right"/>
    </xf>
    <xf numFmtId="167" fontId="7" fillId="5" borderId="21" applyAlignment="1" pivotButton="0" quotePrefix="0" xfId="0">
      <alignment horizontal="right"/>
    </xf>
    <xf numFmtId="167" fontId="25" fillId="5" borderId="21" pivotButton="0" quotePrefix="0" xfId="0"/>
    <xf numFmtId="171" fontId="24" fillId="5" borderId="21" pivotButton="0" quotePrefix="0" xfId="0"/>
    <xf numFmtId="167" fontId="19" fillId="5" borderId="21" pivotButton="0" quotePrefix="0" xfId="0"/>
    <xf numFmtId="187" fontId="29" fillId="5" borderId="21" pivotButton="0" quotePrefix="0" xfId="0"/>
    <xf numFmtId="196" fontId="24" fillId="5" borderId="21" pivotButton="0" quotePrefix="0" xfId="0"/>
    <xf numFmtId="171" fontId="25" fillId="5" borderId="21" pivotButton="0" quotePrefix="0" xfId="16"/>
    <xf numFmtId="171" fontId="0" fillId="5" borderId="21" pivotButton="0" quotePrefix="0" xfId="0"/>
    <xf numFmtId="171" fontId="29" fillId="5" borderId="21" pivotButton="0" quotePrefix="0" xfId="0"/>
    <xf numFmtId="171" fontId="25" fillId="5" borderId="21" pivotButton="0" quotePrefix="0" xfId="0"/>
    <xf numFmtId="168" fontId="25" fillId="5" borderId="21" applyAlignment="1" pivotButton="0" quotePrefix="0" xfId="0">
      <alignment horizontal="right"/>
    </xf>
    <xf numFmtId="168" fontId="7" fillId="5" borderId="21" applyAlignment="1" pivotButton="0" quotePrefix="0" xfId="0">
      <alignment horizontal="right"/>
    </xf>
    <xf numFmtId="171" fontId="7" fillId="5" borderId="21" applyAlignment="1" pivotButton="0" quotePrefix="0" xfId="0">
      <alignment horizontal="right"/>
    </xf>
    <xf numFmtId="168" fontId="29" fillId="5" borderId="21" applyAlignment="1" pivotButton="0" quotePrefix="0" xfId="0">
      <alignment horizontal="right"/>
    </xf>
    <xf numFmtId="168" fontId="0" fillId="5" borderId="21" applyAlignment="1" pivotButton="0" quotePrefix="0" xfId="0">
      <alignment horizontal="right"/>
    </xf>
    <xf numFmtId="181" fontId="0" fillId="5" borderId="21" applyAlignment="1" pivotButton="0" quotePrefix="0" xfId="0">
      <alignment horizontal="right"/>
    </xf>
    <xf numFmtId="175" fontId="0" fillId="5" borderId="21" applyAlignment="1" pivotButton="0" quotePrefix="0" xfId="0">
      <alignment horizontal="right"/>
    </xf>
    <xf numFmtId="165" fontId="0" fillId="5" borderId="21" pivotButton="0" quotePrefix="0" xfId="0"/>
    <xf numFmtId="165" fontId="25" fillId="5" borderId="21" pivotButton="0" quotePrefix="0" xfId="0"/>
    <xf numFmtId="167" fontId="7" fillId="5" borderId="21" pivotButton="0" quotePrefix="0" xfId="0"/>
    <xf numFmtId="185" fontId="25" fillId="5" borderId="21" pivotButton="0" quotePrefix="0" xfId="0"/>
    <xf numFmtId="167" fontId="42" fillId="5" borderId="21" pivotButton="0" quotePrefix="0" xfId="0"/>
    <xf numFmtId="17" fontId="31" fillId="5" borderId="21" applyAlignment="1" pivotButton="0" quotePrefix="0" xfId="30">
      <alignment horizontal="center"/>
    </xf>
    <xf numFmtId="166" fontId="32" fillId="5" borderId="21" applyAlignment="1" pivotButton="0" quotePrefix="0" xfId="30">
      <alignment horizontal="center"/>
    </xf>
    <xf numFmtId="171" fontId="25" fillId="5" borderId="21" applyAlignment="1" pivotButton="0" quotePrefix="0" xfId="0">
      <alignment horizontal="right"/>
    </xf>
    <xf numFmtId="167" fontId="29" fillId="5" borderId="21" applyAlignment="1" pivotButton="0" quotePrefix="0" xfId="30">
      <alignment horizontal="right"/>
    </xf>
    <xf numFmtId="167" fontId="29" fillId="5" borderId="26" applyAlignment="1" pivotButton="0" quotePrefix="0" xfId="30">
      <alignment horizontal="right"/>
    </xf>
    <xf numFmtId="167" fontId="25" fillId="5" borderId="21" applyAlignment="1" pivotButton="0" quotePrefix="0" xfId="30">
      <alignment horizontal="right"/>
    </xf>
    <xf numFmtId="167" fontId="29" fillId="5" borderId="21" pivotButton="0" quotePrefix="0" xfId="30"/>
    <xf numFmtId="170" fontId="25" fillId="5" borderId="21" applyAlignment="1" pivotButton="0" quotePrefix="0" xfId="30">
      <alignment horizontal="right"/>
    </xf>
    <xf numFmtId="169" fontId="25" fillId="5" borderId="21" pivotButton="0" quotePrefix="0" xfId="30"/>
    <xf numFmtId="168" fontId="25" fillId="5" borderId="21" applyAlignment="1" pivotButton="0" quotePrefix="0" xfId="30">
      <alignment horizontal="right"/>
    </xf>
    <xf numFmtId="173" fontId="25" fillId="5" borderId="21" applyAlignment="1" pivotButton="0" quotePrefix="0" xfId="30">
      <alignment horizontal="right"/>
    </xf>
    <xf numFmtId="165" fontId="29" fillId="5" borderId="21" pivotButton="0" quotePrefix="0" xfId="30"/>
    <xf numFmtId="168" fontId="29" fillId="5" borderId="21" applyAlignment="1" pivotButton="0" quotePrefix="0" xfId="30">
      <alignment horizontal="right"/>
    </xf>
    <xf numFmtId="17" fontId="5" fillId="5" borderId="21" applyAlignment="1" pivotButton="0" quotePrefix="0" xfId="0">
      <alignment horizontal="center"/>
    </xf>
    <xf numFmtId="165" fontId="29" fillId="5" borderId="28" applyAlignment="1" pivotButton="0" quotePrefix="0" xfId="0">
      <alignment horizontal="right"/>
    </xf>
    <xf numFmtId="165" fontId="9" fillId="5" borderId="26" applyAlignment="1" pivotButton="0" quotePrefix="0" xfId="0">
      <alignment horizontal="right"/>
    </xf>
    <xf numFmtId="190" fontId="0" fillId="5" borderId="21" pivotButton="0" quotePrefix="0" xfId="0"/>
    <xf numFmtId="165" fontId="7" fillId="5" borderId="21" applyAlignment="1" pivotButton="0" quotePrefix="0" xfId="0">
      <alignment horizontal="right"/>
    </xf>
    <xf numFmtId="167" fontId="25" fillId="5" borderId="28" applyAlignment="1" pivotButton="0" quotePrefix="0" xfId="0">
      <alignment horizontal="right"/>
    </xf>
    <xf numFmtId="171" fontId="7" fillId="5" borderId="21" pivotButton="0" quotePrefix="0" xfId="0"/>
    <xf numFmtId="167" fontId="13" fillId="5" borderId="21" pivotButton="0" quotePrefix="0" xfId="0"/>
    <xf numFmtId="166" fontId="29" fillId="5" borderId="0" applyAlignment="1" pivotButton="0" quotePrefix="0" xfId="0">
      <alignment horizontal="right"/>
    </xf>
    <xf numFmtId="166" fontId="29" fillId="3" borderId="0" applyAlignment="1" pivotButton="0" quotePrefix="0" xfId="0">
      <alignment horizontal="right"/>
    </xf>
    <xf numFmtId="166" fontId="29" fillId="5" borderId="21" applyAlignment="1" pivotButton="0" quotePrefix="0" xfId="0">
      <alignment horizontal="right"/>
    </xf>
    <xf numFmtId="166" fontId="29" fillId="3" borderId="0" applyAlignment="1" pivotButton="0" quotePrefix="0" xfId="0">
      <alignment horizontal="right"/>
    </xf>
    <xf numFmtId="166" fontId="29" fillId="5" borderId="0" applyAlignment="1" pivotButton="0" quotePrefix="0" xfId="0">
      <alignment horizontal="right"/>
    </xf>
    <xf numFmtId="166" fontId="25" fillId="5" borderId="7" applyAlignment="1" pivotButton="0" quotePrefix="0" xfId="0">
      <alignment horizontal="right"/>
    </xf>
    <xf numFmtId="166" fontId="25" fillId="3" borderId="7" applyAlignment="1" pivotButton="0" quotePrefix="0" xfId="0">
      <alignment horizontal="right"/>
    </xf>
    <xf numFmtId="166" fontId="25" fillId="5" borderId="28" applyAlignment="1" pivotButton="0" quotePrefix="0" xfId="0">
      <alignment horizontal="right"/>
    </xf>
    <xf numFmtId="166" fontId="29" fillId="5" borderId="0" pivotButton="0" quotePrefix="0" xfId="0"/>
    <xf numFmtId="166" fontId="29" fillId="3" borderId="0" pivotButton="0" quotePrefix="0" xfId="0"/>
    <xf numFmtId="166" fontId="29" fillId="5" borderId="21" pivotButton="0" quotePrefix="0" xfId="0"/>
    <xf numFmtId="166" fontId="29" fillId="3" borderId="0" pivotButton="0" quotePrefix="0" xfId="0"/>
    <xf numFmtId="166" fontId="29" fillId="5" borderId="0" pivotButton="0" quotePrefix="0" xfId="0"/>
    <xf numFmtId="166" fontId="25" fillId="5" borderId="7" pivotButton="0" quotePrefix="0" xfId="0"/>
    <xf numFmtId="166" fontId="25" fillId="3" borderId="7" pivotButton="0" quotePrefix="0" xfId="0"/>
    <xf numFmtId="166" fontId="25" fillId="5" borderId="28" pivotButton="0" quotePrefix="0" xfId="0"/>
    <xf numFmtId="166" fontId="26" fillId="4" borderId="0" pivotButton="0" quotePrefix="0" xfId="30"/>
    <xf numFmtId="166" fontId="26" fillId="4" borderId="21" pivotButton="0" quotePrefix="0" xfId="30"/>
    <xf numFmtId="166" fontId="26" fillId="4" borderId="0" pivotButton="0" quotePrefix="0" xfId="30"/>
    <xf numFmtId="166" fontId="25" fillId="5" borderId="0" applyAlignment="1" pivotButton="0" quotePrefix="0" xfId="0">
      <alignment horizontal="right"/>
    </xf>
    <xf numFmtId="166" fontId="25" fillId="3" borderId="0" applyAlignment="1" pivotButton="0" quotePrefix="0" xfId="0">
      <alignment horizontal="right"/>
    </xf>
    <xf numFmtId="166" fontId="25" fillId="5" borderId="21" applyAlignment="1" pivotButton="0" quotePrefix="0" xfId="0">
      <alignment horizontal="right"/>
    </xf>
    <xf numFmtId="166" fontId="25" fillId="3" borderId="0" applyAlignment="1" pivotButton="0" quotePrefix="0" xfId="0">
      <alignment horizontal="right"/>
    </xf>
    <xf numFmtId="166" fontId="25" fillId="5" borderId="0" applyAlignment="1" pivotButton="0" quotePrefix="0" xfId="0">
      <alignment horizontal="right"/>
    </xf>
    <xf numFmtId="166" fontId="29" fillId="5" borderId="2" applyAlignment="1" pivotButton="0" quotePrefix="0" xfId="0">
      <alignment horizontal="right"/>
    </xf>
    <xf numFmtId="166" fontId="29" fillId="3" borderId="2" applyAlignment="1" pivotButton="0" quotePrefix="0" xfId="0">
      <alignment horizontal="right"/>
    </xf>
    <xf numFmtId="166" fontId="29" fillId="5" borderId="26" applyAlignment="1" pivotButton="0" quotePrefix="0" xfId="0">
      <alignment horizontal="right"/>
    </xf>
    <xf numFmtId="166" fontId="9" fillId="3" borderId="0" applyAlignment="1" pivotButton="0" quotePrefix="0" xfId="0">
      <alignment horizontal="right"/>
    </xf>
    <xf numFmtId="166" fontId="9" fillId="3" borderId="0" applyAlignment="1" pivotButton="0" quotePrefix="0" xfId="0">
      <alignment horizontal="right"/>
    </xf>
    <xf numFmtId="166" fontId="9" fillId="5" borderId="0" applyAlignment="1" pivotButton="0" quotePrefix="0" xfId="0">
      <alignment horizontal="right"/>
    </xf>
    <xf numFmtId="166" fontId="9" fillId="5" borderId="0" applyAlignment="1" pivotButton="0" quotePrefix="0" xfId="0">
      <alignment horizontal="right"/>
    </xf>
    <xf numFmtId="166" fontId="24" fillId="5" borderId="0" applyAlignment="1" pivotButton="0" quotePrefix="0" xfId="0">
      <alignment horizontal="right"/>
    </xf>
    <xf numFmtId="166" fontId="24" fillId="3" borderId="0" applyAlignment="1" pivotButton="0" quotePrefix="0" xfId="0">
      <alignment horizontal="right"/>
    </xf>
    <xf numFmtId="166" fontId="24" fillId="5" borderId="21" applyAlignment="1" pivotButton="0" quotePrefix="0" xfId="0">
      <alignment horizontal="right"/>
    </xf>
    <xf numFmtId="166" fontId="24" fillId="3" borderId="0" applyAlignment="1" pivotButton="0" quotePrefix="0" xfId="0">
      <alignment horizontal="right"/>
    </xf>
    <xf numFmtId="166" fontId="24" fillId="5" borderId="0" applyAlignment="1" pivotButton="0" quotePrefix="0" xfId="0">
      <alignment horizontal="right"/>
    </xf>
    <xf numFmtId="166" fontId="0" fillId="5" borderId="0" pivotButton="0" quotePrefix="0" xfId="0"/>
    <xf numFmtId="166" fontId="29" fillId="5" borderId="2" pivotButton="0" quotePrefix="0" xfId="0"/>
    <xf numFmtId="166" fontId="29" fillId="3" borderId="2" pivotButton="0" quotePrefix="0" xfId="0"/>
    <xf numFmtId="166" fontId="0" fillId="5" borderId="2" pivotButton="0" quotePrefix="0" xfId="0"/>
    <xf numFmtId="166" fontId="29" fillId="5" borderId="26" pivotButton="0" quotePrefix="0" xfId="0"/>
    <xf numFmtId="166" fontId="9" fillId="3" borderId="0" pivotButton="0" quotePrefix="0" xfId="0"/>
    <xf numFmtId="166" fontId="0" fillId="5" borderId="21" pivotButton="0" quotePrefix="0" xfId="0"/>
    <xf numFmtId="166" fontId="9" fillId="3" borderId="2" pivotButton="0" quotePrefix="0" xfId="0"/>
    <xf numFmtId="166" fontId="9" fillId="5" borderId="2" pivotButton="0" quotePrefix="0" xfId="0"/>
    <xf numFmtId="166" fontId="25" fillId="5" borderId="0" pivotButton="0" quotePrefix="0" xfId="0"/>
    <xf numFmtId="166" fontId="25" fillId="3" borderId="0" pivotButton="0" quotePrefix="0" xfId="0"/>
    <xf numFmtId="166" fontId="25" fillId="5" borderId="21" pivotButton="0" quotePrefix="0" xfId="0"/>
    <xf numFmtId="166" fontId="25" fillId="3" borderId="0" pivotButton="0" quotePrefix="0" xfId="0"/>
    <xf numFmtId="166" fontId="25" fillId="5" borderId="0" pivotButton="0" quotePrefix="0" xfId="0"/>
    <xf numFmtId="166" fontId="0" fillId="5" borderId="0" applyAlignment="1" pivotButton="0" quotePrefix="0" xfId="0">
      <alignment horizontal="right"/>
    </xf>
    <xf numFmtId="166" fontId="0" fillId="5" borderId="21" applyAlignment="1" pivotButton="0" quotePrefix="0" xfId="0">
      <alignment horizontal="right"/>
    </xf>
    <xf numFmtId="166" fontId="7" fillId="5" borderId="7" applyAlignment="1" pivotButton="0" quotePrefix="0" xfId="0">
      <alignment horizontal="right"/>
    </xf>
    <xf numFmtId="166" fontId="7" fillId="5" borderId="28" applyAlignment="1" pivotButton="0" quotePrefix="0" xfId="0">
      <alignment horizontal="right"/>
    </xf>
    <xf numFmtId="166" fontId="0" fillId="3" borderId="0" pivotButton="0" quotePrefix="0" xfId="0"/>
    <xf numFmtId="166" fontId="0" fillId="5" borderId="2" applyAlignment="1" pivotButton="0" quotePrefix="0" xfId="0">
      <alignment horizontal="right"/>
    </xf>
    <xf numFmtId="166" fontId="7" fillId="5" borderId="7" pivotButton="0" quotePrefix="0" xfId="0"/>
    <xf numFmtId="166" fontId="26" fillId="4" borderId="0" pivotButton="0" quotePrefix="0" xfId="0"/>
    <xf numFmtId="166" fontId="26" fillId="4" borderId="0" pivotButton="0" quotePrefix="0" xfId="0"/>
    <xf numFmtId="166" fontId="0" fillId="5" borderId="0" pivotButton="0" quotePrefix="0" xfId="30"/>
    <xf numFmtId="166" fontId="0" fillId="5" borderId="2" pivotButton="0" quotePrefix="0" xfId="30"/>
    <xf numFmtId="166" fontId="0" fillId="3" borderId="2" pivotButton="0" quotePrefix="0" xfId="0"/>
    <xf numFmtId="166" fontId="0" fillId="5" borderId="26" pivotButton="0" quotePrefix="0" xfId="0"/>
    <xf numFmtId="166" fontId="7" fillId="5" borderId="7" pivotButton="0" quotePrefix="0" xfId="30"/>
    <xf numFmtId="166" fontId="7" fillId="3" borderId="7" pivotButton="0" quotePrefix="0" xfId="0"/>
    <xf numFmtId="166" fontId="7" fillId="5" borderId="28" pivotButton="0" quotePrefix="0" xfId="0"/>
    <xf numFmtId="166" fontId="7" fillId="5" borderId="0" pivotButton="0" quotePrefix="0" xfId="30"/>
    <xf numFmtId="166" fontId="7" fillId="5" borderId="0" pivotButton="0" quotePrefix="0" xfId="0"/>
    <xf numFmtId="166" fontId="7" fillId="3" borderId="0" pivotButton="0" quotePrefix="0" xfId="0"/>
    <xf numFmtId="166" fontId="7" fillId="5" borderId="21" pivotButton="0" quotePrefix="0" xfId="0"/>
    <xf numFmtId="166" fontId="29" fillId="5" borderId="0" pivotButton="0" quotePrefix="0" xfId="30"/>
    <xf numFmtId="166" fontId="9" fillId="5" borderId="21" pivotButton="0" quotePrefix="0" xfId="0"/>
    <xf numFmtId="166" fontId="29" fillId="5" borderId="2" pivotButton="0" quotePrefix="0" xfId="30"/>
    <xf numFmtId="166" fontId="7" fillId="5" borderId="9" pivotButton="0" quotePrefix="0" xfId="30"/>
    <xf numFmtId="166" fontId="7" fillId="5" borderId="9" pivotButton="0" quotePrefix="0" xfId="0"/>
    <xf numFmtId="166" fontId="7" fillId="3" borderId="9" pivotButton="0" quotePrefix="0" xfId="0"/>
    <xf numFmtId="166" fontId="7" fillId="5" borderId="37" pivotButton="0" quotePrefix="0" xfId="0"/>
    <xf numFmtId="166" fontId="25" fillId="3" borderId="9" pivotButton="0" quotePrefix="0" xfId="0"/>
    <xf numFmtId="166" fontId="25" fillId="5" borderId="9" pivotButton="0" quotePrefix="0" xfId="0"/>
    <xf numFmtId="166" fontId="29" fillId="5" borderId="7" pivotButton="0" quotePrefix="0" xfId="0"/>
    <xf numFmtId="166" fontId="29" fillId="3" borderId="7" pivotButton="0" quotePrefix="0" xfId="0"/>
    <xf numFmtId="166" fontId="29" fillId="5" borderId="28" pivotButton="0" quotePrefix="0" xfId="0"/>
    <xf numFmtId="166" fontId="26" fillId="4" borderId="21" pivotButton="0" quotePrefix="0" xfId="0"/>
    <xf numFmtId="166" fontId="24" fillId="5" borderId="0" pivotButton="0" quotePrefix="0" xfId="0"/>
    <xf numFmtId="166" fontId="24" fillId="3" borderId="0" pivotButton="0" quotePrefix="0" xfId="0"/>
    <xf numFmtId="166" fontId="23" fillId="3" borderId="0" pivotButton="0" quotePrefix="0" xfId="0"/>
    <xf numFmtId="166" fontId="24" fillId="5" borderId="21" pivotButton="0" quotePrefix="0" xfId="0"/>
    <xf numFmtId="166" fontId="24" fillId="3" borderId="0" pivotButton="0" quotePrefix="0" xfId="0"/>
    <xf numFmtId="166" fontId="23" fillId="5" borderId="0" pivotButton="0" quotePrefix="0" xfId="0"/>
    <xf numFmtId="166" fontId="23" fillId="5" borderId="0" pivotButton="0" quotePrefix="0" xfId="0"/>
    <xf numFmtId="166" fontId="9" fillId="3" borderId="0" pivotButton="0" quotePrefix="0" xfId="0"/>
    <xf numFmtId="166" fontId="9" fillId="5" borderId="0" pivotButton="0" quotePrefix="0" xfId="0"/>
    <xf numFmtId="166" fontId="9" fillId="5" borderId="0" pivotButton="0" quotePrefix="0" xfId="0"/>
    <xf numFmtId="166" fontId="29" fillId="5" borderId="9" pivotButton="0" quotePrefix="0" xfId="0"/>
    <xf numFmtId="166" fontId="29" fillId="3" borderId="9" pivotButton="0" quotePrefix="0" xfId="0"/>
    <xf numFmtId="166" fontId="29" fillId="5" borderId="37" pivotButton="0" quotePrefix="0" xfId="0"/>
    <xf numFmtId="166" fontId="0" fillId="3" borderId="0" pivotButton="0" quotePrefix="0" xfId="30"/>
    <xf numFmtId="166" fontId="29" fillId="5" borderId="13" pivotButton="0" quotePrefix="0" xfId="0"/>
    <xf numFmtId="166" fontId="29" fillId="3" borderId="13" pivotButton="0" quotePrefix="0" xfId="0"/>
    <xf numFmtId="166" fontId="29" fillId="5" borderId="22" pivotButton="0" quotePrefix="0" xfId="0"/>
    <xf numFmtId="166" fontId="25" fillId="5" borderId="12" pivotButton="0" quotePrefix="0" xfId="0"/>
    <xf numFmtId="166" fontId="25" fillId="3" borderId="12" pivotButton="0" quotePrefix="0" xfId="0"/>
    <xf numFmtId="166" fontId="25" fillId="5" borderId="24" pivotButton="0" quotePrefix="0" xfId="0"/>
    <xf numFmtId="166" fontId="13" fillId="3" borderId="0" pivotButton="0" quotePrefix="0" xfId="0"/>
    <xf numFmtId="166" fontId="13" fillId="3" borderId="0" pivotButton="0" quotePrefix="0" xfId="0"/>
    <xf numFmtId="166" fontId="13" fillId="5" borderId="0" pivotButton="0" quotePrefix="0" xfId="0"/>
    <xf numFmtId="166" fontId="13" fillId="5" borderId="0" pivotButton="0" quotePrefix="0" xfId="0"/>
    <xf numFmtId="166" fontId="0" fillId="5" borderId="13" pivotButton="0" quotePrefix="0" xfId="0"/>
    <xf numFmtId="166" fontId="0" fillId="3" borderId="13" pivotButton="0" quotePrefix="0" xfId="0"/>
    <xf numFmtId="166" fontId="0" fillId="5" borderId="22" pivotButton="0" quotePrefix="0" xfId="0"/>
    <xf numFmtId="166" fontId="29" fillId="3" borderId="0" pivotButton="0" quotePrefix="0" xfId="30"/>
    <xf numFmtId="166" fontId="29" fillId="3" borderId="2" pivotButton="0" quotePrefix="0" xfId="30"/>
    <xf numFmtId="166" fontId="0" fillId="3" borderId="2" pivotButton="0" quotePrefix="0" xfId="30"/>
    <xf numFmtId="166" fontId="0" fillId="5" borderId="9" pivotButton="0" quotePrefix="0" xfId="30"/>
    <xf numFmtId="166" fontId="0" fillId="3" borderId="9" pivotButton="0" quotePrefix="0" xfId="30"/>
    <xf numFmtId="166" fontId="0" fillId="3" borderId="9" pivotButton="0" quotePrefix="0" xfId="0"/>
    <xf numFmtId="166" fontId="29" fillId="5" borderId="9" pivotButton="0" quotePrefix="0" xfId="30"/>
    <xf numFmtId="166" fontId="29" fillId="5" borderId="37" pivotButton="0" quotePrefix="0" xfId="30"/>
    <xf numFmtId="166" fontId="0" fillId="5" borderId="9" pivotButton="0" quotePrefix="0" xfId="0"/>
    <xf numFmtId="166" fontId="0" fillId="5" borderId="37" pivotButton="0" quotePrefix="0" xfId="0"/>
    <xf numFmtId="166" fontId="26" fillId="4" borderId="0" applyAlignment="1" pivotButton="0" quotePrefix="0" xfId="0">
      <alignment horizontal="right"/>
    </xf>
    <xf numFmtId="166" fontId="26" fillId="4" borderId="21" applyAlignment="1" pivotButton="0" quotePrefix="0" xfId="0">
      <alignment horizontal="right"/>
    </xf>
    <xf numFmtId="166" fontId="26" fillId="4" borderId="0" applyAlignment="1" pivotButton="0" quotePrefix="0" xfId="0">
      <alignment horizontal="right"/>
    </xf>
    <xf numFmtId="166" fontId="25" fillId="5" borderId="12" applyAlignment="1" pivotButton="0" quotePrefix="0" xfId="0">
      <alignment horizontal="right"/>
    </xf>
    <xf numFmtId="166" fontId="25" fillId="3" borderId="12" applyAlignment="1" pivotButton="0" quotePrefix="0" xfId="0">
      <alignment horizontal="right"/>
    </xf>
    <xf numFmtId="166" fontId="25" fillId="5" borderId="24" applyAlignment="1" pivotButton="0" quotePrefix="0" xfId="0">
      <alignment horizontal="right"/>
    </xf>
    <xf numFmtId="166" fontId="0" fillId="5" borderId="7" pivotButton="0" quotePrefix="0" xfId="30"/>
    <xf numFmtId="166" fontId="0" fillId="5" borderId="7" pivotButton="0" quotePrefix="0" xfId="0"/>
    <xf numFmtId="166" fontId="0" fillId="3" borderId="7" pivotButton="0" quotePrefix="0" xfId="0"/>
    <xf numFmtId="166" fontId="0" fillId="5" borderId="28" pivotButton="0" quotePrefix="0" xfId="0"/>
    <xf numFmtId="166" fontId="29" fillId="3" borderId="21" pivotButton="0" quotePrefix="0" xfId="0"/>
    <xf numFmtId="166" fontId="28" fillId="4" borderId="0" pivotButton="0" quotePrefix="0" xfId="0"/>
    <xf numFmtId="166" fontId="28" fillId="4" borderId="21" pivotButton="0" quotePrefix="0" xfId="0"/>
    <xf numFmtId="166" fontId="28" fillId="4" borderId="0" pivotButton="0" quotePrefix="0" xfId="0"/>
    <xf numFmtId="166" fontId="29" fillId="3" borderId="21" applyAlignment="1" pivotButton="0" quotePrefix="0" xfId="0">
      <alignment horizontal="right"/>
    </xf>
    <xf numFmtId="166" fontId="21" fillId="2" borderId="0" applyAlignment="1" pivotButton="0" quotePrefix="0" xfId="23">
      <alignment horizontal="right"/>
    </xf>
    <xf numFmtId="166" fontId="21" fillId="2" borderId="21" applyAlignment="1" pivotButton="0" quotePrefix="0" xfId="23">
      <alignment horizontal="right"/>
    </xf>
    <xf numFmtId="166" fontId="21" fillId="2" borderId="0" applyAlignment="1" pivotButton="0" quotePrefix="0" xfId="23">
      <alignment horizontal="right"/>
    </xf>
    <xf numFmtId="166" fontId="25" fillId="3" borderId="8" pivotButton="0" quotePrefix="0" xfId="0"/>
    <xf numFmtId="166" fontId="25" fillId="3" borderId="28" pivotButton="0" quotePrefix="0" xfId="0"/>
    <xf numFmtId="166" fontId="25" fillId="3" borderId="6" pivotButton="0" quotePrefix="0" xfId="0"/>
    <xf numFmtId="166" fontId="25" fillId="3" borderId="5" pivotButton="0" quotePrefix="0" xfId="0"/>
    <xf numFmtId="166" fontId="25" fillId="3" borderId="21" pivotButton="0" quotePrefix="0" xfId="0"/>
    <xf numFmtId="166" fontId="25" fillId="3" borderId="4" pivotButton="0" quotePrefix="0" xfId="0"/>
    <xf numFmtId="166" fontId="19" fillId="3" borderId="0" applyAlignment="1" pivotButton="0" quotePrefix="0" xfId="0">
      <alignment horizontal="left" indent="1"/>
    </xf>
    <xf numFmtId="166" fontId="23" fillId="3" borderId="0" pivotButton="0" quotePrefix="0" xfId="16"/>
    <xf numFmtId="166" fontId="23" fillId="3" borderId="0" applyAlignment="1" pivotButton="0" quotePrefix="0" xfId="0">
      <alignment horizontal="left" indent="1"/>
    </xf>
    <xf numFmtId="166" fontId="24" fillId="3" borderId="0" applyAlignment="1" pivotButton="0" quotePrefix="0" xfId="0">
      <alignment horizontal="left" indent="3"/>
    </xf>
    <xf numFmtId="166" fontId="25" fillId="5" borderId="7" pivotButton="0" quotePrefix="0" xfId="30"/>
    <xf numFmtId="166" fontId="25" fillId="3" borderId="7" pivotButton="0" quotePrefix="0" xfId="30"/>
    <xf numFmtId="166" fontId="25" fillId="5" borderId="28" pivotButton="0" quotePrefix="0" xfId="30"/>
    <xf numFmtId="166" fontId="29" fillId="5" borderId="21" pivotButton="0" quotePrefix="0" xfId="30"/>
    <xf numFmtId="166" fontId="29" fillId="3" borderId="0" pivotButton="0" quotePrefix="0" xfId="30"/>
    <xf numFmtId="166" fontId="29" fillId="5" borderId="0" pivotButton="0" quotePrefix="0" xfId="30"/>
    <xf numFmtId="166" fontId="29" fillId="5" borderId="26" pivotButton="0" quotePrefix="0" xfId="30"/>
    <xf numFmtId="166" fontId="25" fillId="5" borderId="0" pivotButton="0" quotePrefix="0" xfId="30"/>
    <xf numFmtId="166" fontId="25" fillId="3" borderId="0" pivotButton="0" quotePrefix="0" xfId="30"/>
    <xf numFmtId="166" fontId="25" fillId="5" borderId="21" pivotButton="0" quotePrefix="0" xfId="30"/>
    <xf numFmtId="166" fontId="25" fillId="3" borderId="0" pivotButton="0" quotePrefix="0" xfId="30"/>
    <xf numFmtId="166" fontId="25" fillId="5" borderId="0" pivotButton="0" quotePrefix="0" xfId="30"/>
    <xf numFmtId="166" fontId="27" fillId="4" borderId="0" pivotButton="0" quotePrefix="0" xfId="30"/>
    <xf numFmtId="166" fontId="27" fillId="4" borderId="21" pivotButton="0" quotePrefix="0" xfId="30"/>
    <xf numFmtId="166" fontId="27" fillId="4" borderId="0" pivotButton="0" quotePrefix="0" xfId="30"/>
    <xf numFmtId="166" fontId="29" fillId="5" borderId="13" pivotButton="0" quotePrefix="0" xfId="30"/>
    <xf numFmtId="166" fontId="29" fillId="3" borderId="13" pivotButton="0" quotePrefix="0" xfId="30"/>
    <xf numFmtId="166" fontId="29" fillId="5" borderId="22" pivotButton="0" quotePrefix="0" xfId="30"/>
    <xf numFmtId="0" fontId="15" fillId="3" borderId="0" applyAlignment="1" pivotButton="0" quotePrefix="0" xfId="28">
      <alignment horizontal="left" wrapText="1" indent="1"/>
    </xf>
    <xf numFmtId="171" fontId="25" fillId="3" borderId="0" applyAlignment="1" pivotButton="0" quotePrefix="0" xfId="30">
      <alignment horizontal="left"/>
    </xf>
    <xf numFmtId="17" fontId="56" fillId="5" borderId="0" applyAlignment="1" pivotButton="0" quotePrefix="0" xfId="0">
      <alignment horizontal="center"/>
    </xf>
    <xf numFmtId="17" fontId="57" fillId="5" borderId="0" applyAlignment="1" pivotButton="0" quotePrefix="0" xfId="0">
      <alignment horizontal="center"/>
    </xf>
    <xf numFmtId="17" fontId="57" fillId="3" borderId="0" applyAlignment="1" pivotButton="0" quotePrefix="0" xfId="0">
      <alignment horizontal="center"/>
    </xf>
    <xf numFmtId="17" fontId="57" fillId="5" borderId="21" applyAlignment="1" pivotButton="0" quotePrefix="0" xfId="0">
      <alignment horizontal="center"/>
    </xf>
    <xf numFmtId="0" fontId="54" fillId="5" borderId="0" applyAlignment="1" pivotButton="0" quotePrefix="0" xfId="0">
      <alignment horizontal="center"/>
    </xf>
    <xf numFmtId="0" fontId="32" fillId="5" borderId="21" applyAlignment="1" pivotButton="0" quotePrefix="0" xfId="0">
      <alignment horizontal="center"/>
    </xf>
    <xf numFmtId="165" fontId="55" fillId="3" borderId="0" applyAlignment="1" pivotButton="0" quotePrefix="0" xfId="0">
      <alignment horizontal="right"/>
    </xf>
    <xf numFmtId="165" fontId="55" fillId="5" borderId="0" applyAlignment="1" pivotButton="0" quotePrefix="0" xfId="0">
      <alignment horizontal="right"/>
    </xf>
    <xf numFmtId="165" fontId="55" fillId="5" borderId="7" applyAlignment="1" pivotButton="0" quotePrefix="0" xfId="0">
      <alignment horizontal="right"/>
    </xf>
    <xf numFmtId="165" fontId="55" fillId="3" borderId="7" applyAlignment="1" pivotButton="0" quotePrefix="0" xfId="0">
      <alignment horizontal="right"/>
    </xf>
    <xf numFmtId="165" fontId="55" fillId="5" borderId="28" applyAlignment="1" pivotButton="0" quotePrefix="0" xfId="0">
      <alignment horizontal="right"/>
    </xf>
    <xf numFmtId="165" fontId="55" fillId="5" borderId="21" applyAlignment="1" pivotButton="0" quotePrefix="0" xfId="0">
      <alignment horizontal="right"/>
    </xf>
    <xf numFmtId="165" fontId="55" fillId="3" borderId="0" applyAlignment="1" pivotButton="0" quotePrefix="0" xfId="0">
      <alignment horizontal="right"/>
    </xf>
    <xf numFmtId="165" fontId="55" fillId="5" borderId="0" applyAlignment="1" pivotButton="0" quotePrefix="0" xfId="0">
      <alignment horizontal="right"/>
    </xf>
    <xf numFmtId="165" fontId="55" fillId="5" borderId="2" applyAlignment="1" pivotButton="0" quotePrefix="0" xfId="0">
      <alignment horizontal="right"/>
    </xf>
    <xf numFmtId="165" fontId="55" fillId="3" borderId="2" applyAlignment="1" pivotButton="0" quotePrefix="0" xfId="0">
      <alignment horizontal="right"/>
    </xf>
    <xf numFmtId="165" fontId="55" fillId="5" borderId="26" applyAlignment="1" pivotButton="0" quotePrefix="0" xfId="0">
      <alignment horizontal="right"/>
    </xf>
    <xf numFmtId="165" fontId="54" fillId="5" borderId="7" applyAlignment="1" pivotButton="0" quotePrefix="0" xfId="0">
      <alignment horizontal="right"/>
    </xf>
    <xf numFmtId="167" fontId="56" fillId="3" borderId="0" applyAlignment="1" pivotButton="0" quotePrefix="0" xfId="0">
      <alignment horizontal="right"/>
    </xf>
    <xf numFmtId="167" fontId="56" fillId="3" borderId="0" applyAlignment="1" pivotButton="0" quotePrefix="0" xfId="0">
      <alignment horizontal="right"/>
    </xf>
    <xf numFmtId="167" fontId="56" fillId="5" borderId="0" applyAlignment="1" pivotButton="0" quotePrefix="0" xfId="0">
      <alignment horizontal="right"/>
    </xf>
    <xf numFmtId="167" fontId="56" fillId="5" borderId="0" applyAlignment="1" pivotButton="0" quotePrefix="0" xfId="0">
      <alignment horizontal="right"/>
    </xf>
    <xf numFmtId="166" fontId="55" fillId="5" borderId="0" applyAlignment="1" pivotButton="0" quotePrefix="0" xfId="0">
      <alignment horizontal="right"/>
    </xf>
    <xf numFmtId="167" fontId="56" fillId="3" borderId="2" pivotButton="0" quotePrefix="0" xfId="0"/>
    <xf numFmtId="167" fontId="56" fillId="5" borderId="2" pivotButton="0" quotePrefix="0" xfId="0"/>
    <xf numFmtId="190" fontId="55" fillId="3" borderId="0" applyAlignment="1" pivotButton="0" quotePrefix="0" xfId="0">
      <alignment horizontal="right"/>
    </xf>
    <xf numFmtId="190" fontId="55" fillId="3" borderId="2" applyAlignment="1" pivotButton="0" quotePrefix="0" xfId="0">
      <alignment horizontal="right"/>
    </xf>
    <xf numFmtId="165" fontId="55" fillId="3" borderId="0" pivotButton="0" quotePrefix="0" xfId="0"/>
    <xf numFmtId="165" fontId="55" fillId="5" borderId="0" pivotButton="0" quotePrefix="0" xfId="0"/>
    <xf numFmtId="166" fontId="55" fillId="3" borderId="0" applyAlignment="1" pivotButton="0" quotePrefix="0" xfId="0">
      <alignment horizontal="right"/>
    </xf>
    <xf numFmtId="166" fontId="55" fillId="3" borderId="0" applyAlignment="1" pivotButton="0" quotePrefix="0" xfId="0">
      <alignment horizontal="right"/>
    </xf>
    <xf numFmtId="166" fontId="55" fillId="5" borderId="0" applyAlignment="1" pivotButton="0" quotePrefix="0" xfId="0">
      <alignment horizontal="right"/>
    </xf>
    <xf numFmtId="166" fontId="55" fillId="5" borderId="0" pivotButton="0" quotePrefix="0" xfId="0"/>
    <xf numFmtId="166" fontId="55" fillId="5" borderId="2" pivotButton="0" quotePrefix="0" xfId="0"/>
    <xf numFmtId="166" fontId="55" fillId="3" borderId="0" pivotButton="0" quotePrefix="0" xfId="0"/>
    <xf numFmtId="166" fontId="55" fillId="3" borderId="2" pivotButton="0" quotePrefix="0" xfId="0"/>
    <xf numFmtId="190" fontId="55" fillId="3" borderId="0" pivotButton="0" quotePrefix="0" xfId="0"/>
    <xf numFmtId="190" fontId="55" fillId="5" borderId="0" pivotButton="0" quotePrefix="0" xfId="0"/>
    <xf numFmtId="190" fontId="55" fillId="5" borderId="21" pivotButton="0" quotePrefix="0" xfId="0"/>
    <xf numFmtId="165" fontId="54" fillId="3" borderId="7" applyAlignment="1" pivotButton="0" quotePrefix="0" xfId="0">
      <alignment horizontal="right"/>
    </xf>
    <xf numFmtId="166" fontId="55" fillId="5" borderId="2" applyAlignment="1" pivotButton="0" quotePrefix="0" xfId="0">
      <alignment horizontal="right"/>
    </xf>
    <xf numFmtId="165" fontId="54" fillId="5" borderId="0" applyAlignment="1" pivotButton="0" quotePrefix="0" xfId="0">
      <alignment horizontal="right"/>
    </xf>
    <xf numFmtId="165" fontId="54" fillId="3" borderId="0" applyAlignment="1" pivotButton="0" quotePrefix="0" xfId="0">
      <alignment horizontal="right"/>
    </xf>
    <xf numFmtId="165" fontId="54" fillId="5" borderId="21" applyAlignment="1" pivotButton="0" quotePrefix="0" xfId="0">
      <alignment horizontal="right"/>
    </xf>
    <xf numFmtId="167" fontId="55" fillId="3" borderId="0" applyAlignment="1" pivotButton="0" quotePrefix="0" xfId="0">
      <alignment horizontal="right"/>
    </xf>
    <xf numFmtId="167" fontId="55" fillId="3" borderId="2" applyAlignment="1" pivotButton="0" quotePrefix="0" xfId="0">
      <alignment horizontal="right"/>
    </xf>
    <xf numFmtId="165" fontId="55" fillId="5" borderId="0" applyAlignment="1" pivotButton="0" quotePrefix="0" xfId="0">
      <alignment horizontal="left"/>
    </xf>
    <xf numFmtId="165" fontId="55" fillId="3" borderId="0" applyAlignment="1" pivotButton="0" quotePrefix="0" xfId="0">
      <alignment horizontal="left"/>
    </xf>
    <xf numFmtId="167" fontId="55" fillId="5" borderId="0" applyAlignment="1" pivotButton="0" quotePrefix="0" xfId="0">
      <alignment horizontal="right"/>
    </xf>
    <xf numFmtId="166" fontId="55" fillId="5" borderId="0" pivotButton="0" quotePrefix="0" xfId="30"/>
    <xf numFmtId="166" fontId="55" fillId="5" borderId="21" pivotButton="0" quotePrefix="0" xfId="0"/>
    <xf numFmtId="166" fontId="55" fillId="5" borderId="2" pivotButton="0" quotePrefix="0" xfId="30"/>
    <xf numFmtId="166" fontId="55" fillId="5" borderId="26" pivotButton="0" quotePrefix="0" xfId="0"/>
    <xf numFmtId="166" fontId="54" fillId="3" borderId="7" pivotButton="0" quotePrefix="0" xfId="0"/>
    <xf numFmtId="166" fontId="54" fillId="5" borderId="7" pivotButton="0" quotePrefix="0" xfId="0"/>
    <xf numFmtId="166" fontId="54" fillId="5" borderId="28" pivotButton="0" quotePrefix="0" xfId="0"/>
    <xf numFmtId="166" fontId="55" fillId="3" borderId="0" pivotButton="0" quotePrefix="0" xfId="0"/>
    <xf numFmtId="166" fontId="55" fillId="5" borderId="0" pivotButton="0" quotePrefix="0" xfId="0"/>
    <xf numFmtId="167" fontId="54" fillId="3" borderId="0" pivotButton="0" quotePrefix="0" xfId="0"/>
    <xf numFmtId="167" fontId="54" fillId="3" borderId="0" pivotButton="0" quotePrefix="0" xfId="0"/>
    <xf numFmtId="167" fontId="54" fillId="5" borderId="0" pivotButton="0" quotePrefix="0" xfId="0"/>
    <xf numFmtId="167" fontId="54" fillId="5" borderId="0" pivotButton="0" quotePrefix="0" xfId="0"/>
    <xf numFmtId="166" fontId="55" fillId="3" borderId="0" pivotButton="0" quotePrefix="0" xfId="30"/>
    <xf numFmtId="167" fontId="56" fillId="3" borderId="0" pivotButton="0" quotePrefix="0" xfId="0"/>
    <xf numFmtId="167" fontId="56" fillId="3" borderId="0" pivotButton="0" quotePrefix="0" xfId="0"/>
    <xf numFmtId="167" fontId="56" fillId="5" borderId="0" pivotButton="0" quotePrefix="0" xfId="0"/>
    <xf numFmtId="167" fontId="56" fillId="5" borderId="0" pivotButton="0" quotePrefix="0" xfId="0"/>
    <xf numFmtId="196" fontId="56" fillId="3" borderId="0" pivotButton="0" quotePrefix="0" xfId="0"/>
    <xf numFmtId="196" fontId="56" fillId="3" borderId="0" pivotButton="0" quotePrefix="0" xfId="0"/>
    <xf numFmtId="196" fontId="56" fillId="5" borderId="0" pivotButton="0" quotePrefix="0" xfId="0"/>
    <xf numFmtId="196" fontId="56" fillId="5" borderId="0" pivotButton="0" quotePrefix="0" xfId="0"/>
    <xf numFmtId="166" fontId="54" fillId="3" borderId="0" pivotButton="0" quotePrefix="0" xfId="0"/>
    <xf numFmtId="166" fontId="54" fillId="3" borderId="0" pivotButton="0" quotePrefix="0" xfId="0"/>
    <xf numFmtId="166" fontId="54" fillId="5" borderId="0" pivotButton="0" quotePrefix="0" xfId="0"/>
    <xf numFmtId="166" fontId="54" fillId="5" borderId="0" pivotButton="0" quotePrefix="0" xfId="0"/>
    <xf numFmtId="171" fontId="55" fillId="5" borderId="0" pivotButton="0" quotePrefix="0" xfId="0"/>
    <xf numFmtId="171" fontId="55" fillId="3" borderId="0" pivotButton="0" quotePrefix="0" xfId="0"/>
    <xf numFmtId="171" fontId="55" fillId="3" borderId="0" pivotButton="0" quotePrefix="0" xfId="0"/>
    <xf numFmtId="171" fontId="55" fillId="5" borderId="0" pivotButton="0" quotePrefix="0" xfId="0"/>
    <xf numFmtId="171" fontId="54" fillId="3" borderId="0" pivotButton="0" quotePrefix="0" xfId="0"/>
    <xf numFmtId="171" fontId="54" fillId="3" borderId="0" pivotButton="0" quotePrefix="0" xfId="0"/>
    <xf numFmtId="171" fontId="54" fillId="5" borderId="0" pivotButton="0" quotePrefix="0" xfId="0"/>
    <xf numFmtId="171" fontId="54" fillId="5" borderId="0" pivotButton="0" quotePrefix="0" xfId="0"/>
    <xf numFmtId="167" fontId="54" fillId="3" borderId="0" applyAlignment="1" pivotButton="0" quotePrefix="0" xfId="0">
      <alignment horizontal="right"/>
    </xf>
    <xf numFmtId="167" fontId="54" fillId="3" borderId="0" applyAlignment="1" pivotButton="0" quotePrefix="0" xfId="0">
      <alignment horizontal="right"/>
    </xf>
    <xf numFmtId="167" fontId="54" fillId="5" borderId="0" applyAlignment="1" pivotButton="0" quotePrefix="0" xfId="0">
      <alignment horizontal="right"/>
    </xf>
    <xf numFmtId="167" fontId="54" fillId="5" borderId="0" applyAlignment="1" pivotButton="0" quotePrefix="0" xfId="0">
      <alignment horizontal="right"/>
    </xf>
    <xf numFmtId="171" fontId="54" fillId="3" borderId="0" applyAlignment="1" pivotButton="0" quotePrefix="0" xfId="0">
      <alignment horizontal="left"/>
    </xf>
    <xf numFmtId="166" fontId="55" fillId="3" borderId="9" pivotButton="0" quotePrefix="0" xfId="30"/>
    <xf numFmtId="166" fontId="55" fillId="3" borderId="9" pivotButton="0" quotePrefix="0" xfId="0"/>
    <xf numFmtId="166" fontId="55" fillId="5" borderId="9" pivotButton="0" quotePrefix="0" xfId="30"/>
    <xf numFmtId="166" fontId="55" fillId="5" borderId="37" pivotButton="0" quotePrefix="0" xfId="30"/>
    <xf numFmtId="166" fontId="55" fillId="3" borderId="2" pivotButton="0" quotePrefix="0" xfId="30"/>
    <xf numFmtId="167" fontId="54" fillId="5" borderId="21" pivotButton="0" quotePrefix="0" xfId="0"/>
    <xf numFmtId="167" fontId="53" fillId="3" borderId="0" pivotButton="0" quotePrefix="0" xfId="0"/>
    <xf numFmtId="167" fontId="53" fillId="3" borderId="0" pivotButton="0" quotePrefix="0" xfId="0"/>
    <xf numFmtId="167" fontId="53" fillId="5" borderId="0" pivotButton="0" quotePrefix="0" xfId="0"/>
    <xf numFmtId="167" fontId="53" fillId="5" borderId="0" pivotButton="0" quotePrefix="0" xfId="0"/>
    <xf numFmtId="165" fontId="58" fillId="3" borderId="4" pivotButton="0" quotePrefix="0" xfId="26"/>
    <xf numFmtId="165" fontId="58" fillId="3" borderId="1" pivotButton="0" quotePrefix="0" xfId="26"/>
    <xf numFmtId="191" fontId="54" fillId="3" borderId="0" applyAlignment="1" pivotButton="0" quotePrefix="0" xfId="0">
      <alignment horizontal="right"/>
    </xf>
    <xf numFmtId="191" fontId="54" fillId="3" borderId="21" applyAlignment="1" pivotButton="0" quotePrefix="0" xfId="0">
      <alignment horizontal="right"/>
    </xf>
    <xf numFmtId="181" fontId="58" fillId="3" borderId="0" pivotButton="0" quotePrefix="0" xfId="26"/>
    <xf numFmtId="181" fontId="55" fillId="3" borderId="0" pivotButton="0" quotePrefix="0" xfId="0"/>
    <xf numFmtId="181" fontId="55" fillId="3" borderId="21" pivotButton="0" quotePrefix="0" xfId="0"/>
    <xf numFmtId="175" fontId="58" fillId="3" borderId="0" pivotButton="0" quotePrefix="0" xfId="26"/>
    <xf numFmtId="175" fontId="55" fillId="3" borderId="0" pivotButton="0" quotePrefix="0" xfId="0"/>
    <xf numFmtId="175" fontId="55" fillId="3" borderId="21" pivotButton="0" quotePrefix="0" xfId="0"/>
    <xf numFmtId="174" fontId="55" fillId="3" borderId="0" pivotButton="0" quotePrefix="0" xfId="0"/>
    <xf numFmtId="175" fontId="55" fillId="3" borderId="0" pivotButton="0" quotePrefix="0" xfId="0"/>
    <xf numFmtId="165" fontId="55" fillId="3" borderId="0" pivotButton="0" quotePrefix="0" xfId="0"/>
    <xf numFmtId="1" fontId="7" fillId="6" borderId="0" applyAlignment="1" pivotButton="0" quotePrefix="0" xfId="0">
      <alignment horizontal="center"/>
    </xf>
    <xf numFmtId="1" fontId="7" fillId="6" borderId="21" applyAlignment="1" pivotButton="0" quotePrefix="0" xfId="0">
      <alignment horizontal="center"/>
    </xf>
    <xf numFmtId="1" fontId="25" fillId="6" borderId="0" applyAlignment="1" pivotButton="0" quotePrefix="0" xfId="0">
      <alignment horizontal="center"/>
    </xf>
    <xf numFmtId="1" fontId="25" fillId="6" borderId="0" applyAlignment="1" pivotButton="0" quotePrefix="0" xfId="0">
      <alignment horizontal="center"/>
    </xf>
    <xf numFmtId="17" fontId="56" fillId="6" borderId="0" applyAlignment="1" pivotButton="0" quotePrefix="0" xfId="0">
      <alignment horizontal="center"/>
    </xf>
    <xf numFmtId="17" fontId="57" fillId="6" borderId="0" applyAlignment="1" pivotButton="0" quotePrefix="0" xfId="0">
      <alignment horizontal="center"/>
    </xf>
    <xf numFmtId="17" fontId="57" fillId="6" borderId="21" applyAlignment="1" pivotButton="0" quotePrefix="0" xfId="0">
      <alignment horizontal="center"/>
    </xf>
    <xf numFmtId="17" fontId="23" fillId="6" borderId="0" applyAlignment="1" pivotButton="0" quotePrefix="0" xfId="0">
      <alignment horizontal="center"/>
    </xf>
    <xf numFmtId="17" fontId="23" fillId="6" borderId="0" applyAlignment="1" pivotButton="0" quotePrefix="0" xfId="0">
      <alignment horizontal="center"/>
    </xf>
    <xf numFmtId="0" fontId="54" fillId="6" borderId="0" applyAlignment="1" pivotButton="0" quotePrefix="0" xfId="0">
      <alignment horizontal="center"/>
    </xf>
    <xf numFmtId="0" fontId="32" fillId="6" borderId="0" applyAlignment="1" pivotButton="0" quotePrefix="0" xfId="0">
      <alignment horizontal="center"/>
    </xf>
    <xf numFmtId="0" fontId="32" fillId="6" borderId="21" applyAlignment="1" pivotButton="0" quotePrefix="0" xfId="0">
      <alignment horizontal="center"/>
    </xf>
    <xf numFmtId="0" fontId="32" fillId="6" borderId="0" applyAlignment="1" pivotButton="0" quotePrefix="0" xfId="0">
      <alignment horizontal="center"/>
    </xf>
    <xf numFmtId="165" fontId="29" fillId="6" borderId="0" applyAlignment="1" pivotButton="0" quotePrefix="0" xfId="0">
      <alignment horizontal="right"/>
    </xf>
    <xf numFmtId="165" fontId="55" fillId="6" borderId="0" applyAlignment="1" pivotButton="0" quotePrefix="0" xfId="0">
      <alignment horizontal="right"/>
    </xf>
    <xf numFmtId="165" fontId="29" fillId="6" borderId="21" applyAlignment="1" pivotButton="0" quotePrefix="0" xfId="0">
      <alignment horizontal="right"/>
    </xf>
    <xf numFmtId="165" fontId="29" fillId="6" borderId="0" applyAlignment="1" pivotButton="0" quotePrefix="0" xfId="0">
      <alignment horizontal="right"/>
    </xf>
    <xf numFmtId="165" fontId="29" fillId="6" borderId="7" applyAlignment="1" pivotButton="0" quotePrefix="0" xfId="0">
      <alignment horizontal="right"/>
    </xf>
    <xf numFmtId="165" fontId="55" fillId="6" borderId="7" applyAlignment="1" pivotButton="0" quotePrefix="0" xfId="0">
      <alignment horizontal="right"/>
    </xf>
    <xf numFmtId="165" fontId="55" fillId="6" borderId="28" applyAlignment="1" pivotButton="0" quotePrefix="0" xfId="0">
      <alignment horizontal="right"/>
    </xf>
    <xf numFmtId="165" fontId="55" fillId="6" borderId="21" applyAlignment="1" pivotButton="0" quotePrefix="0" xfId="0">
      <alignment horizontal="right"/>
    </xf>
    <xf numFmtId="165" fontId="55" fillId="6" borderId="0" applyAlignment="1" pivotButton="0" quotePrefix="0" xfId="0">
      <alignment horizontal="right"/>
    </xf>
    <xf numFmtId="165" fontId="29" fillId="6" borderId="2" applyAlignment="1" pivotButton="0" quotePrefix="0" xfId="0">
      <alignment horizontal="right"/>
    </xf>
    <xf numFmtId="165" fontId="55" fillId="6" borderId="2" applyAlignment="1" pivotButton="0" quotePrefix="0" xfId="0">
      <alignment horizontal="right"/>
    </xf>
    <xf numFmtId="165" fontId="55" fillId="6" borderId="26" applyAlignment="1" pivotButton="0" quotePrefix="0" xfId="0">
      <alignment horizontal="right"/>
    </xf>
    <xf numFmtId="165" fontId="54" fillId="6" borderId="7" applyAlignment="1" pivotButton="0" quotePrefix="0" xfId="0">
      <alignment horizontal="right"/>
    </xf>
    <xf numFmtId="165" fontId="25" fillId="6" borderId="0" applyAlignment="1" pivotButton="0" quotePrefix="0" xfId="0">
      <alignment horizontal="right"/>
    </xf>
    <xf numFmtId="165" fontId="25" fillId="6" borderId="21" applyAlignment="1" pivotButton="0" quotePrefix="0" xfId="0">
      <alignment horizontal="right"/>
    </xf>
    <xf numFmtId="165" fontId="25" fillId="6" borderId="0" applyAlignment="1" pivotButton="0" quotePrefix="0" xfId="0">
      <alignment horizontal="right"/>
    </xf>
    <xf numFmtId="165" fontId="25" fillId="6" borderId="7" applyAlignment="1" pivotButton="0" quotePrefix="0" xfId="0">
      <alignment horizontal="right"/>
    </xf>
    <xf numFmtId="165" fontId="25" fillId="6" borderId="28" applyAlignment="1" pivotButton="0" quotePrefix="0" xfId="0">
      <alignment horizontal="right"/>
    </xf>
    <xf numFmtId="189" fontId="29" fillId="6" borderId="0" applyAlignment="1" pivotButton="0" quotePrefix="0" xfId="0">
      <alignment horizontal="right"/>
    </xf>
    <xf numFmtId="189" fontId="29" fillId="6" borderId="21" applyAlignment="1" pivotButton="0" quotePrefix="0" xfId="0">
      <alignment horizontal="right"/>
    </xf>
    <xf numFmtId="189" fontId="29" fillId="6" borderId="0" applyAlignment="1" pivotButton="0" quotePrefix="0" xfId="0">
      <alignment horizontal="right"/>
    </xf>
    <xf numFmtId="167" fontId="24" fillId="6" borderId="0" applyAlignment="1" pivotButton="0" quotePrefix="0" xfId="0">
      <alignment horizontal="right"/>
    </xf>
    <xf numFmtId="167" fontId="24" fillId="6" borderId="21" applyAlignment="1" pivotButton="0" quotePrefix="0" xfId="0">
      <alignment horizontal="right"/>
    </xf>
    <xf numFmtId="167" fontId="24" fillId="6" borderId="0" applyAlignment="1" pivotButton="0" quotePrefix="0" xfId="0">
      <alignment horizontal="right"/>
    </xf>
    <xf numFmtId="167" fontId="56" fillId="6" borderId="0" applyAlignment="1" pivotButton="0" quotePrefix="0" xfId="0">
      <alignment horizontal="right"/>
    </xf>
    <xf numFmtId="167" fontId="56" fillId="6" borderId="0" applyAlignment="1" pivotButton="0" quotePrefix="0" xfId="0">
      <alignment horizontal="right"/>
    </xf>
    <xf numFmtId="167" fontId="25" fillId="6" borderId="0" applyAlignment="1" pivotButton="0" quotePrefix="0" xfId="0">
      <alignment horizontal="right"/>
    </xf>
    <xf numFmtId="167" fontId="25" fillId="6" borderId="21" applyAlignment="1" pivotButton="0" quotePrefix="0" xfId="0">
      <alignment horizontal="right"/>
    </xf>
    <xf numFmtId="167" fontId="25" fillId="6" borderId="0" applyAlignment="1" pivotButton="0" quotePrefix="0" xfId="0">
      <alignment horizontal="right"/>
    </xf>
    <xf numFmtId="166" fontId="29" fillId="6" borderId="0" applyAlignment="1" pivotButton="0" quotePrefix="0" xfId="0">
      <alignment horizontal="right"/>
    </xf>
    <xf numFmtId="166" fontId="55" fillId="6" borderId="0" applyAlignment="1" pivotButton="0" quotePrefix="0" xfId="0">
      <alignment horizontal="right"/>
    </xf>
    <xf numFmtId="166" fontId="29" fillId="6" borderId="21" applyAlignment="1" pivotButton="0" quotePrefix="0" xfId="0">
      <alignment horizontal="right"/>
    </xf>
    <xf numFmtId="166" fontId="29" fillId="6" borderId="0" applyAlignment="1" pivotButton="0" quotePrefix="0" xfId="0">
      <alignment horizontal="right"/>
    </xf>
    <xf numFmtId="166" fontId="25" fillId="6" borderId="7" applyAlignment="1" pivotButton="0" quotePrefix="0" xfId="0">
      <alignment horizontal="right"/>
    </xf>
    <xf numFmtId="166" fontId="25" fillId="6" borderId="28" applyAlignment="1" pivotButton="0" quotePrefix="0" xfId="0">
      <alignment horizontal="right"/>
    </xf>
    <xf numFmtId="166" fontId="29" fillId="6" borderId="0" pivotButton="0" quotePrefix="0" xfId="0"/>
    <xf numFmtId="166" fontId="29" fillId="6" borderId="21" pivotButton="0" quotePrefix="0" xfId="0"/>
    <xf numFmtId="166" fontId="25" fillId="6" borderId="7" pivotButton="0" quotePrefix="0" xfId="0"/>
    <xf numFmtId="166" fontId="25" fillId="6" borderId="28" pivotButton="0" quotePrefix="0" xfId="0"/>
    <xf numFmtId="167" fontId="24" fillId="6" borderId="0" pivotButton="0" quotePrefix="0" xfId="0"/>
    <xf numFmtId="167" fontId="24" fillId="6" borderId="21" pivotButton="0" quotePrefix="0" xfId="0"/>
    <xf numFmtId="167" fontId="24" fillId="6" borderId="0" pivotButton="0" quotePrefix="0" xfId="0"/>
    <xf numFmtId="167" fontId="24" fillId="6" borderId="2" pivotButton="0" quotePrefix="0" xfId="0"/>
    <xf numFmtId="167" fontId="24" fillId="6" borderId="26" pivotButton="0" quotePrefix="0" xfId="0"/>
    <xf numFmtId="167" fontId="30" fillId="6" borderId="0" pivotButton="0" quotePrefix="0" xfId="0"/>
    <xf numFmtId="167" fontId="30" fillId="6" borderId="21" pivotButton="0" quotePrefix="0" xfId="0"/>
    <xf numFmtId="167" fontId="30" fillId="6" borderId="0" pivotButton="0" quotePrefix="0" xfId="0"/>
    <xf numFmtId="167" fontId="56" fillId="6" borderId="2" pivotButton="0" quotePrefix="0" xfId="0"/>
    <xf numFmtId="190" fontId="29" fillId="6" borderId="0" applyAlignment="1" pivotButton="0" quotePrefix="0" xfId="0">
      <alignment horizontal="right"/>
    </xf>
    <xf numFmtId="190" fontId="0" fillId="6" borderId="0" applyAlignment="1" pivotButton="0" quotePrefix="0" xfId="0">
      <alignment horizontal="right"/>
    </xf>
    <xf numFmtId="190" fontId="0" fillId="6" borderId="21" applyAlignment="1" pivotButton="0" quotePrefix="0" xfId="0">
      <alignment horizontal="right"/>
    </xf>
    <xf numFmtId="190" fontId="29" fillId="6" borderId="0" applyAlignment="1" pivotButton="0" quotePrefix="0" xfId="0">
      <alignment horizontal="right"/>
    </xf>
    <xf numFmtId="190" fontId="29" fillId="6" borderId="2" applyAlignment="1" pivotButton="0" quotePrefix="0" xfId="0">
      <alignment horizontal="right"/>
    </xf>
    <xf numFmtId="190" fontId="0" fillId="6" borderId="2" applyAlignment="1" pivotButton="0" quotePrefix="0" xfId="0">
      <alignment horizontal="right"/>
    </xf>
    <xf numFmtId="190" fontId="0" fillId="6" borderId="26" applyAlignment="1" pivotButton="0" quotePrefix="0" xfId="0">
      <alignment horizontal="right"/>
    </xf>
    <xf numFmtId="190" fontId="25" fillId="6" borderId="7" applyAlignment="1" pivotButton="0" quotePrefix="0" xfId="0">
      <alignment horizontal="right"/>
    </xf>
    <xf numFmtId="190" fontId="7" fillId="6" borderId="7" applyAlignment="1" pivotButton="0" quotePrefix="0" xfId="0">
      <alignment horizontal="right"/>
    </xf>
    <xf numFmtId="190" fontId="7" fillId="6" borderId="28" applyAlignment="1" pivotButton="0" quotePrefix="0" xfId="0">
      <alignment horizontal="right"/>
    </xf>
    <xf numFmtId="165" fontId="29" fillId="6" borderId="0" pivotButton="0" quotePrefix="0" xfId="0"/>
    <xf numFmtId="165" fontId="55" fillId="6" borderId="0" pivotButton="0" quotePrefix="0" xfId="0"/>
    <xf numFmtId="165" fontId="29" fillId="6" borderId="21" pivotButton="0" quotePrefix="0" xfId="0"/>
    <xf numFmtId="166" fontId="25" fillId="6" borderId="0" applyAlignment="1" pivotButton="0" quotePrefix="0" xfId="0">
      <alignment horizontal="right"/>
    </xf>
    <xf numFmtId="166" fontId="25" fillId="6" borderId="21" applyAlignment="1" pivotButton="0" quotePrefix="0" xfId="0">
      <alignment horizontal="right"/>
    </xf>
    <xf numFmtId="166" fontId="25" fillId="6" borderId="0" applyAlignment="1" pivotButton="0" quotePrefix="0" xfId="0">
      <alignment horizontal="right"/>
    </xf>
    <xf numFmtId="166" fontId="29" fillId="6" borderId="2" applyAlignment="1" pivotButton="0" quotePrefix="0" xfId="0">
      <alignment horizontal="right"/>
    </xf>
    <xf numFmtId="166" fontId="29" fillId="6" borderId="26" applyAlignment="1" pivotButton="0" quotePrefix="0" xfId="0">
      <alignment horizontal="right"/>
    </xf>
    <xf numFmtId="167" fontId="29" fillId="6" borderId="0" applyAlignment="1" pivotButton="0" quotePrefix="0" xfId="0">
      <alignment horizontal="right"/>
    </xf>
    <xf numFmtId="167" fontId="29" fillId="6" borderId="21" applyAlignment="1" pivotButton="0" quotePrefix="0" xfId="0">
      <alignment horizontal="right"/>
    </xf>
    <xf numFmtId="167" fontId="29" fillId="6" borderId="0" applyAlignment="1" pivotButton="0" quotePrefix="0" xfId="0">
      <alignment horizontal="right"/>
    </xf>
    <xf numFmtId="166" fontId="55" fillId="6" borderId="0" applyAlignment="1" pivotButton="0" quotePrefix="0" xfId="0">
      <alignment horizontal="right"/>
    </xf>
    <xf numFmtId="166" fontId="24" fillId="6" borderId="0" applyAlignment="1" pivotButton="0" quotePrefix="0" xfId="0">
      <alignment horizontal="right"/>
    </xf>
    <xf numFmtId="166" fontId="24" fillId="6" borderId="21" applyAlignment="1" pivotButton="0" quotePrefix="0" xfId="0">
      <alignment horizontal="right"/>
    </xf>
    <xf numFmtId="166" fontId="24" fillId="6" borderId="0" applyAlignment="1" pivotButton="0" quotePrefix="0" xfId="0">
      <alignment horizontal="right"/>
    </xf>
    <xf numFmtId="166" fontId="55" fillId="6" borderId="0" pivotButton="0" quotePrefix="0" xfId="0"/>
    <xf numFmtId="166" fontId="55" fillId="6" borderId="2" pivotButton="0" quotePrefix="0" xfId="0"/>
    <xf numFmtId="166" fontId="29" fillId="6" borderId="26" pivotButton="0" quotePrefix="0" xfId="0"/>
    <xf numFmtId="166" fontId="29" fillId="6" borderId="2" pivotButton="0" quotePrefix="0" xfId="0"/>
    <xf numFmtId="166" fontId="0" fillId="6" borderId="0" pivotButton="0" quotePrefix="0" xfId="0"/>
    <xf numFmtId="166" fontId="0" fillId="6" borderId="21" pivotButton="0" quotePrefix="0" xfId="0"/>
    <xf numFmtId="166" fontId="25" fillId="6" borderId="0" pivotButton="0" quotePrefix="0" xfId="0"/>
    <xf numFmtId="166" fontId="25" fillId="6" borderId="21" pivotButton="0" quotePrefix="0" xfId="0"/>
    <xf numFmtId="166" fontId="25" fillId="6" borderId="0" pivotButton="0" quotePrefix="0" xfId="0"/>
    <xf numFmtId="166" fontId="0" fillId="6" borderId="21" applyAlignment="1" pivotButton="0" quotePrefix="0" xfId="0">
      <alignment horizontal="right"/>
    </xf>
    <xf numFmtId="166" fontId="7" fillId="6" borderId="7" applyAlignment="1" pivotButton="0" quotePrefix="0" xfId="0">
      <alignment horizontal="right"/>
    </xf>
    <xf numFmtId="166" fontId="7" fillId="6" borderId="28" applyAlignment="1" pivotButton="0" quotePrefix="0" xfId="0">
      <alignment horizontal="right"/>
    </xf>
    <xf numFmtId="190" fontId="29" fillId="6" borderId="21" applyAlignment="1" pivotButton="0" quotePrefix="0" xfId="0">
      <alignment horizontal="right"/>
    </xf>
    <xf numFmtId="190" fontId="29" fillId="6" borderId="26" applyAlignment="1" pivotButton="0" quotePrefix="0" xfId="0">
      <alignment horizontal="right"/>
    </xf>
    <xf numFmtId="190" fontId="25" fillId="6" borderId="0" applyAlignment="1" pivotButton="0" quotePrefix="0" xfId="0">
      <alignment horizontal="right"/>
    </xf>
    <xf numFmtId="190" fontId="25" fillId="6" borderId="21" applyAlignment="1" pivotButton="0" quotePrefix="0" xfId="0">
      <alignment horizontal="right"/>
    </xf>
    <xf numFmtId="190" fontId="25" fillId="6" borderId="0" applyAlignment="1" pivotButton="0" quotePrefix="0" xfId="0">
      <alignment horizontal="right"/>
    </xf>
    <xf numFmtId="190" fontId="29" fillId="6" borderId="0" pivotButton="0" quotePrefix="0" xfId="0"/>
    <xf numFmtId="190" fontId="55" fillId="6" borderId="0" pivotButton="0" quotePrefix="0" xfId="0"/>
    <xf numFmtId="190" fontId="55" fillId="6" borderId="21" pivotButton="0" quotePrefix="0" xfId="0"/>
    <xf numFmtId="190" fontId="29" fillId="6" borderId="0" pivotButton="0" quotePrefix="0" xfId="0"/>
    <xf numFmtId="190" fontId="29" fillId="6" borderId="21" pivotButton="0" quotePrefix="0" xfId="0"/>
    <xf numFmtId="190" fontId="25" fillId="6" borderId="7" pivotButton="0" quotePrefix="0" xfId="0"/>
    <xf numFmtId="190" fontId="7" fillId="6" borderId="7" pivotButton="0" quotePrefix="0" xfId="0"/>
    <xf numFmtId="190" fontId="7" fillId="6" borderId="28" pivotButton="0" quotePrefix="0" xfId="0"/>
    <xf numFmtId="165" fontId="0" fillId="6" borderId="0" applyAlignment="1" pivotButton="0" quotePrefix="0" xfId="0">
      <alignment horizontal="right"/>
    </xf>
    <xf numFmtId="165" fontId="0" fillId="6" borderId="2" applyAlignment="1" pivotButton="0" quotePrefix="0" xfId="0">
      <alignment horizontal="right"/>
    </xf>
    <xf numFmtId="165" fontId="29" fillId="6" borderId="26" applyAlignment="1" pivotButton="0" quotePrefix="0" xfId="0">
      <alignment horizontal="right"/>
    </xf>
    <xf numFmtId="165" fontId="0" fillId="6" borderId="7" applyAlignment="1" pivotButton="0" quotePrefix="0" xfId="0">
      <alignment horizontal="right"/>
    </xf>
    <xf numFmtId="165" fontId="7" fillId="6" borderId="7" applyAlignment="1" pivotButton="0" quotePrefix="0" xfId="0">
      <alignment horizontal="right"/>
    </xf>
    <xf numFmtId="165" fontId="7" fillId="6" borderId="28" applyAlignment="1" pivotButton="0" quotePrefix="0" xfId="0">
      <alignment horizontal="right"/>
    </xf>
    <xf numFmtId="165" fontId="0" fillId="6" borderId="21" applyAlignment="1" pivotButton="0" quotePrefix="0" xfId="0">
      <alignment horizontal="right"/>
    </xf>
    <xf numFmtId="165" fontId="0" fillId="6" borderId="28" applyAlignment="1" pivotButton="0" quotePrefix="0" xfId="0">
      <alignment horizontal="right"/>
    </xf>
    <xf numFmtId="165" fontId="0" fillId="6" borderId="26" applyAlignment="1" pivotButton="0" quotePrefix="0" xfId="0">
      <alignment horizontal="right"/>
    </xf>
    <xf numFmtId="167" fontId="0" fillId="6" borderId="0" applyAlignment="1" pivotButton="0" quotePrefix="0" xfId="0">
      <alignment horizontal="right"/>
    </xf>
    <xf numFmtId="167" fontId="29" fillId="6" borderId="2" applyAlignment="1" pivotButton="0" quotePrefix="0" xfId="0">
      <alignment horizontal="right"/>
    </xf>
    <xf numFmtId="167" fontId="0" fillId="6" borderId="2" applyAlignment="1" pivotButton="0" quotePrefix="0" xfId="0">
      <alignment horizontal="right"/>
    </xf>
    <xf numFmtId="167" fontId="29" fillId="6" borderId="26" applyAlignment="1" pivotButton="0" quotePrefix="0" xfId="0">
      <alignment horizontal="right"/>
    </xf>
    <xf numFmtId="167" fontId="29" fillId="6" borderId="7" applyAlignment="1" pivotButton="0" quotePrefix="0" xfId="0">
      <alignment horizontal="right"/>
    </xf>
    <xf numFmtId="167" fontId="0" fillId="6" borderId="7" applyAlignment="1" pivotButton="0" quotePrefix="0" xfId="0">
      <alignment horizontal="right"/>
    </xf>
    <xf numFmtId="167" fontId="0" fillId="6" borderId="28" applyAlignment="1" pivotButton="0" quotePrefix="0" xfId="0">
      <alignment horizontal="right"/>
    </xf>
    <xf numFmtId="167" fontId="0" fillId="6" borderId="21" applyAlignment="1" pivotButton="0" quotePrefix="0" xfId="0">
      <alignment horizontal="right"/>
    </xf>
    <xf numFmtId="166" fontId="55" fillId="6" borderId="2" applyAlignment="1" pivotButton="0" quotePrefix="0" xfId="0">
      <alignment horizontal="right"/>
    </xf>
    <xf numFmtId="167" fontId="19" fillId="6" borderId="0" applyAlignment="1" pivotButton="0" quotePrefix="0" xfId="0">
      <alignment horizontal="right"/>
    </xf>
    <xf numFmtId="165" fontId="7" fillId="6" borderId="0" applyAlignment="1" pivotButton="0" quotePrefix="0" xfId="0">
      <alignment horizontal="right"/>
    </xf>
    <xf numFmtId="165" fontId="54" fillId="6" borderId="0" applyAlignment="1" pivotButton="0" quotePrefix="0" xfId="0">
      <alignment horizontal="right"/>
    </xf>
    <xf numFmtId="165" fontId="54" fillId="6" borderId="21" applyAlignment="1" pivotButton="0" quotePrefix="0" xfId="0">
      <alignment horizontal="right"/>
    </xf>
    <xf numFmtId="167" fontId="0" fillId="6" borderId="26" applyAlignment="1" pivotButton="0" quotePrefix="0" xfId="0">
      <alignment horizontal="right"/>
    </xf>
    <xf numFmtId="167" fontId="25" fillId="6" borderId="7" applyAlignment="1" pivotButton="0" quotePrefix="0" xfId="0">
      <alignment horizontal="right"/>
    </xf>
    <xf numFmtId="167" fontId="7" fillId="6" borderId="7" applyAlignment="1" pivotButton="0" quotePrefix="0" xfId="0">
      <alignment horizontal="right"/>
    </xf>
    <xf numFmtId="167" fontId="7" fillId="6" borderId="28" applyAlignment="1" pivotButton="0" quotePrefix="0" xfId="0">
      <alignment horizontal="right"/>
    </xf>
    <xf numFmtId="166" fontId="7" fillId="6" borderId="7" pivotButton="0" quotePrefix="0" xfId="0"/>
    <xf numFmtId="167" fontId="0" fillId="6" borderId="0" pivotButton="0" quotePrefix="0" xfId="0"/>
    <xf numFmtId="167" fontId="29" fillId="6" borderId="0" pivotButton="0" quotePrefix="0" xfId="0"/>
    <xf numFmtId="167" fontId="0" fillId="6" borderId="2" pivotButton="0" quotePrefix="0" xfId="0"/>
    <xf numFmtId="167" fontId="7" fillId="6" borderId="7" pivotButton="0" quotePrefix="0" xfId="0"/>
    <xf numFmtId="167" fontId="25" fillId="6" borderId="28" applyAlignment="1" pivotButton="0" quotePrefix="0" xfId="0">
      <alignment horizontal="right"/>
    </xf>
    <xf numFmtId="165" fontId="55" fillId="6" borderId="0" applyAlignment="1" pivotButton="0" quotePrefix="0" xfId="0">
      <alignment horizontal="left"/>
    </xf>
    <xf numFmtId="165" fontId="0" fillId="6" borderId="0" applyAlignment="1" pivotButton="0" quotePrefix="0" xfId="0">
      <alignment horizontal="left"/>
    </xf>
    <xf numFmtId="165" fontId="0" fillId="6" borderId="21" applyAlignment="1" pivotButton="0" quotePrefix="0" xfId="0">
      <alignment horizontal="left"/>
    </xf>
    <xf numFmtId="165" fontId="29" fillId="6" borderId="0" applyAlignment="1" pivotButton="0" quotePrefix="0" xfId="0">
      <alignment horizontal="left"/>
    </xf>
    <xf numFmtId="165" fontId="29" fillId="6" borderId="0" applyAlignment="1" pivotButton="0" quotePrefix="0" xfId="0">
      <alignment horizontal="left"/>
    </xf>
    <xf numFmtId="167" fontId="55" fillId="6" borderId="0" applyAlignment="1" pivotButton="0" quotePrefix="0" xfId="0">
      <alignment horizontal="right"/>
    </xf>
    <xf numFmtId="167" fontId="29" fillId="6" borderId="28" applyAlignment="1" pivotButton="0" quotePrefix="0" xfId="0">
      <alignment horizontal="right"/>
    </xf>
    <xf numFmtId="167" fontId="25" fillId="6" borderId="2" applyAlignment="1" pivotButton="0" quotePrefix="0" xfId="0">
      <alignment horizontal="right"/>
    </xf>
    <xf numFmtId="167" fontId="25" fillId="6" borderId="26" applyAlignment="1" pivotButton="0" quotePrefix="0" xfId="0">
      <alignment horizontal="right"/>
    </xf>
    <xf numFmtId="167" fontId="7" fillId="6" borderId="0" applyAlignment="1" pivotButton="0" quotePrefix="0" xfId="0">
      <alignment horizontal="right"/>
    </xf>
    <xf numFmtId="167" fontId="7" fillId="6" borderId="21" applyAlignment="1" pivotButton="0" quotePrefix="0" xfId="0">
      <alignment horizontal="right"/>
    </xf>
    <xf numFmtId="167" fontId="24" fillId="6" borderId="0" applyAlignment="1" pivotButton="0" quotePrefix="0" xfId="0">
      <alignment horizontal="center"/>
    </xf>
    <xf numFmtId="167" fontId="24" fillId="6" borderId="0" applyAlignment="1" pivotButton="0" quotePrefix="0" xfId="0">
      <alignment horizontal="center"/>
    </xf>
    <xf numFmtId="166" fontId="55" fillId="6" borderId="0" pivotButton="0" quotePrefix="0" xfId="30"/>
    <xf numFmtId="166" fontId="55" fillId="6" borderId="21" pivotButton="0" quotePrefix="0" xfId="0"/>
    <xf numFmtId="166" fontId="55" fillId="6" borderId="2" pivotButton="0" quotePrefix="0" xfId="30"/>
    <xf numFmtId="166" fontId="55" fillId="6" borderId="26" pivotButton="0" quotePrefix="0" xfId="0"/>
    <xf numFmtId="166" fontId="7" fillId="6" borderId="7" pivotButton="0" quotePrefix="0" xfId="30"/>
    <xf numFmtId="166" fontId="7" fillId="6" borderId="28" pivotButton="0" quotePrefix="0" xfId="0"/>
    <xf numFmtId="166" fontId="54" fillId="6" borderId="7" pivotButton="0" quotePrefix="0" xfId="0"/>
    <xf numFmtId="166" fontId="54" fillId="6" borderId="28" pivotButton="0" quotePrefix="0" xfId="0"/>
    <xf numFmtId="166" fontId="7" fillId="6" borderId="0" pivotButton="0" quotePrefix="0" xfId="30"/>
    <xf numFmtId="166" fontId="7" fillId="6" borderId="0" pivotButton="0" quotePrefix="0" xfId="0"/>
    <xf numFmtId="166" fontId="7" fillId="6" borderId="21" pivotButton="0" quotePrefix="0" xfId="0"/>
    <xf numFmtId="166" fontId="29" fillId="6" borderId="0" pivotButton="0" quotePrefix="0" xfId="30"/>
    <xf numFmtId="166" fontId="0" fillId="6" borderId="2" pivotButton="0" quotePrefix="0" xfId="30"/>
    <xf numFmtId="166" fontId="0" fillId="6" borderId="2" pivotButton="0" quotePrefix="0" xfId="0"/>
    <xf numFmtId="166" fontId="0" fillId="6" borderId="26" pivotButton="0" quotePrefix="0" xfId="0"/>
    <xf numFmtId="166" fontId="29" fillId="6" borderId="2" pivotButton="0" quotePrefix="0" xfId="30"/>
    <xf numFmtId="166" fontId="7" fillId="6" borderId="9" pivotButton="0" quotePrefix="0" xfId="30"/>
    <xf numFmtId="166" fontId="7" fillId="6" borderId="9" pivotButton="0" quotePrefix="0" xfId="0"/>
    <xf numFmtId="166" fontId="7" fillId="6" borderId="37" pivotButton="0" quotePrefix="0" xfId="0"/>
    <xf numFmtId="166" fontId="25" fillId="6" borderId="9" pivotButton="0" quotePrefix="0" xfId="0"/>
    <xf numFmtId="166" fontId="29" fillId="6" borderId="7" pivotButton="0" quotePrefix="0" xfId="0"/>
    <xf numFmtId="166" fontId="29" fillId="6" borderId="28" pivotButton="0" quotePrefix="0" xfId="0"/>
    <xf numFmtId="166" fontId="24" fillId="6" borderId="0" pivotButton="0" quotePrefix="0" xfId="0"/>
    <xf numFmtId="166" fontId="24" fillId="6" borderId="21" pivotButton="0" quotePrefix="0" xfId="0"/>
    <xf numFmtId="166" fontId="23" fillId="6" borderId="0" pivotButton="0" quotePrefix="0" xfId="0"/>
    <xf numFmtId="166" fontId="23" fillId="6" borderId="0" pivotButton="0" quotePrefix="0" xfId="0"/>
    <xf numFmtId="166" fontId="55" fillId="6" borderId="0" pivotButton="0" quotePrefix="0" xfId="0"/>
    <xf numFmtId="166" fontId="29" fillId="6" borderId="9" pivotButton="0" quotePrefix="0" xfId="0"/>
    <xf numFmtId="166" fontId="29" fillId="6" borderId="37" pivotButton="0" quotePrefix="0" xfId="0"/>
    <xf numFmtId="167" fontId="25" fillId="6" borderId="0" pivotButton="0" quotePrefix="0" xfId="0"/>
    <xf numFmtId="167" fontId="25" fillId="6" borderId="21" pivotButton="0" quotePrefix="0" xfId="0"/>
    <xf numFmtId="167" fontId="25" fillId="6" borderId="0" pivotButton="0" quotePrefix="0" xfId="0"/>
    <xf numFmtId="167" fontId="54" fillId="6" borderId="0" pivotButton="0" quotePrefix="0" xfId="0"/>
    <xf numFmtId="167" fontId="54" fillId="6" borderId="0" pivotButton="0" quotePrefix="0" xfId="0"/>
    <xf numFmtId="171" fontId="7" fillId="6" borderId="0" pivotButton="0" quotePrefix="0" xfId="0"/>
    <xf numFmtId="171" fontId="7" fillId="6" borderId="21" pivotButton="0" quotePrefix="0" xfId="0"/>
    <xf numFmtId="171" fontId="25" fillId="6" borderId="0" pivotButton="0" quotePrefix="0" xfId="0"/>
    <xf numFmtId="171" fontId="25" fillId="6" borderId="0" pivotButton="0" quotePrefix="0" xfId="0"/>
    <xf numFmtId="171" fontId="24" fillId="6" borderId="0" pivotButton="0" quotePrefix="0" xfId="0"/>
    <xf numFmtId="171" fontId="24" fillId="6" borderId="21" pivotButton="0" quotePrefix="0" xfId="0"/>
    <xf numFmtId="171" fontId="24" fillId="6" borderId="0" applyAlignment="1" pivotButton="0" quotePrefix="0" xfId="0">
      <alignment horizontal="right"/>
    </xf>
    <xf numFmtId="171" fontId="24" fillId="6" borderId="0" applyAlignment="1" pivotButton="0" quotePrefix="0" xfId="0">
      <alignment horizontal="right"/>
    </xf>
    <xf numFmtId="166" fontId="0" fillId="6" borderId="0" pivotButton="0" quotePrefix="0" xfId="30"/>
    <xf numFmtId="167" fontId="56" fillId="6" borderId="0" pivotButton="0" quotePrefix="0" xfId="0"/>
    <xf numFmtId="167" fontId="56" fillId="6" borderId="0" pivotButton="0" quotePrefix="0" xfId="0"/>
    <xf numFmtId="167" fontId="19" fillId="6" borderId="0" pivotButton="0" quotePrefix="0" xfId="0"/>
    <xf numFmtId="167" fontId="19" fillId="6" borderId="21" pivotButton="0" quotePrefix="0" xfId="0"/>
    <xf numFmtId="187" fontId="29" fillId="6" borderId="0" pivotButton="0" quotePrefix="0" xfId="0"/>
    <xf numFmtId="187" fontId="29" fillId="6" borderId="21" pivotButton="0" quotePrefix="0" xfId="0"/>
    <xf numFmtId="187" fontId="29" fillId="6" borderId="0" pivotButton="0" quotePrefix="0" xfId="0"/>
    <xf numFmtId="196" fontId="24" fillId="6" borderId="0" pivotButton="0" quotePrefix="0" xfId="0"/>
    <xf numFmtId="196" fontId="24" fillId="6" borderId="21" pivotButton="0" quotePrefix="0" xfId="0"/>
    <xf numFmtId="196" fontId="24" fillId="6" borderId="0" pivotButton="0" quotePrefix="0" xfId="0"/>
    <xf numFmtId="196" fontId="56" fillId="6" borderId="0" pivotButton="0" quotePrefix="0" xfId="0"/>
    <xf numFmtId="196" fontId="56" fillId="6" borderId="0" pivotButton="0" quotePrefix="0" xfId="0"/>
    <xf numFmtId="166" fontId="29" fillId="6" borderId="13" pivotButton="0" quotePrefix="0" xfId="0"/>
    <xf numFmtId="166" fontId="29" fillId="6" borderId="22" pivotButton="0" quotePrefix="0" xfId="0"/>
    <xf numFmtId="166" fontId="25" fillId="6" borderId="12" pivotButton="0" quotePrefix="0" xfId="0"/>
    <xf numFmtId="166" fontId="25" fillId="6" borderId="24" pivotButton="0" quotePrefix="0" xfId="0"/>
    <xf numFmtId="171" fontId="25" fillId="6" borderId="0" applyAlignment="1" pivotButton="0" quotePrefix="0" xfId="16">
      <alignment horizontal="right" indent="1"/>
    </xf>
    <xf numFmtId="171" fontId="25" fillId="6" borderId="0" pivotButton="0" quotePrefix="0" xfId="16"/>
    <xf numFmtId="171" fontId="25" fillId="6" borderId="21" pivotButton="0" quotePrefix="0" xfId="16"/>
    <xf numFmtId="171" fontId="25" fillId="6" borderId="0" pivotButton="0" quotePrefix="0" xfId="16"/>
    <xf numFmtId="166" fontId="54" fillId="6" borderId="0" pivotButton="0" quotePrefix="0" xfId="0"/>
    <xf numFmtId="166" fontId="54" fillId="6" borderId="0" pivotButton="0" quotePrefix="0" xfId="0"/>
    <xf numFmtId="171" fontId="55" fillId="6" borderId="0" pivotButton="0" quotePrefix="0" xfId="0"/>
    <xf numFmtId="171" fontId="0" fillId="6" borderId="0" pivotButton="0" quotePrefix="0" xfId="0"/>
    <xf numFmtId="171" fontId="0" fillId="6" borderId="21" pivotButton="0" quotePrefix="0" xfId="0"/>
    <xf numFmtId="171" fontId="29" fillId="6" borderId="0" pivotButton="0" quotePrefix="0" xfId="0"/>
    <xf numFmtId="171" fontId="55" fillId="6" borderId="0" pivotButton="0" quotePrefix="0" xfId="0"/>
    <xf numFmtId="171" fontId="29" fillId="6" borderId="0" pivotButton="0" quotePrefix="0" xfId="0"/>
    <xf numFmtId="171" fontId="29" fillId="6" borderId="21" pivotButton="0" quotePrefix="0" xfId="0"/>
    <xf numFmtId="171" fontId="25" fillId="6" borderId="21" pivotButton="0" quotePrefix="0" xfId="0"/>
    <xf numFmtId="171" fontId="54" fillId="6" borderId="0" pivotButton="0" quotePrefix="0" xfId="0"/>
    <xf numFmtId="171" fontId="54" fillId="6" borderId="0" pivotButton="0" quotePrefix="0" xfId="0"/>
    <xf numFmtId="166" fontId="0" fillId="6" borderId="13" pivotButton="0" quotePrefix="0" xfId="0"/>
    <xf numFmtId="166" fontId="0" fillId="6" borderId="22" pivotButton="0" quotePrefix="0" xfId="0"/>
    <xf numFmtId="167" fontId="54" fillId="6" borderId="0" applyAlignment="1" pivotButton="0" quotePrefix="0" xfId="0">
      <alignment horizontal="right"/>
    </xf>
    <xf numFmtId="167" fontId="54" fillId="6" borderId="0" applyAlignment="1" pivotButton="0" quotePrefix="0" xfId="0">
      <alignment horizontal="right"/>
    </xf>
    <xf numFmtId="168" fontId="25" fillId="6" borderId="0" applyAlignment="1" pivotButton="0" quotePrefix="0" xfId="0">
      <alignment horizontal="right"/>
    </xf>
    <xf numFmtId="168" fontId="25" fillId="6" borderId="21" applyAlignment="1" pivotButton="0" quotePrefix="0" xfId="0">
      <alignment horizontal="right"/>
    </xf>
    <xf numFmtId="168" fontId="25" fillId="6" borderId="0" applyAlignment="1" pivotButton="0" quotePrefix="0" xfId="0">
      <alignment horizontal="right"/>
    </xf>
    <xf numFmtId="168" fontId="7" fillId="6" borderId="0" applyAlignment="1" pivotButton="0" quotePrefix="0" xfId="0">
      <alignment horizontal="right"/>
    </xf>
    <xf numFmtId="168" fontId="7" fillId="6" borderId="21" applyAlignment="1" pivotButton="0" quotePrefix="0" xfId="0">
      <alignment horizontal="right"/>
    </xf>
    <xf numFmtId="171" fontId="7" fillId="6" borderId="0" applyAlignment="1" pivotButton="0" quotePrefix="0" xfId="0">
      <alignment horizontal="right"/>
    </xf>
    <xf numFmtId="171" fontId="7" fillId="6" borderId="21" applyAlignment="1" pivotButton="0" quotePrefix="0" xfId="0">
      <alignment horizontal="right"/>
    </xf>
    <xf numFmtId="168" fontId="29" fillId="6" borderId="0" applyAlignment="1" pivotButton="0" quotePrefix="0" xfId="0">
      <alignment horizontal="right"/>
    </xf>
    <xf numFmtId="168" fontId="29" fillId="6" borderId="21" applyAlignment="1" pivotButton="0" quotePrefix="0" xfId="0">
      <alignment horizontal="right"/>
    </xf>
    <xf numFmtId="168" fontId="29" fillId="6" borderId="0" applyAlignment="1" pivotButton="0" quotePrefix="0" xfId="0">
      <alignment horizontal="right"/>
    </xf>
    <xf numFmtId="168" fontId="0" fillId="6" borderId="0" applyAlignment="1" pivotButton="0" quotePrefix="0" xfId="0">
      <alignment horizontal="right"/>
    </xf>
    <xf numFmtId="168" fontId="0" fillId="6" borderId="21" applyAlignment="1" pivotButton="0" quotePrefix="0" xfId="0">
      <alignment horizontal="right"/>
    </xf>
    <xf numFmtId="181" fontId="0" fillId="6" borderId="0" applyAlignment="1" pivotButton="0" quotePrefix="0" xfId="0">
      <alignment horizontal="right"/>
    </xf>
    <xf numFmtId="181" fontId="0" fillId="6" borderId="21" applyAlignment="1" pivotButton="0" quotePrefix="0" xfId="0">
      <alignment horizontal="right"/>
    </xf>
    <xf numFmtId="181" fontId="29" fillId="6" borderId="0" applyAlignment="1" pivotButton="0" quotePrefix="0" xfId="0">
      <alignment horizontal="right"/>
    </xf>
    <xf numFmtId="181" fontId="29" fillId="6" borderId="0" applyAlignment="1" pivotButton="0" quotePrefix="0" xfId="0">
      <alignment horizontal="right"/>
    </xf>
    <xf numFmtId="175" fontId="0" fillId="6" borderId="0" applyAlignment="1" pivotButton="0" quotePrefix="0" xfId="0">
      <alignment horizontal="right"/>
    </xf>
    <xf numFmtId="175" fontId="0" fillId="6" borderId="21" applyAlignment="1" pivotButton="0" quotePrefix="0" xfId="0">
      <alignment horizontal="right"/>
    </xf>
    <xf numFmtId="175" fontId="29" fillId="6" borderId="0" applyAlignment="1" pivotButton="0" quotePrefix="0" xfId="0">
      <alignment horizontal="right"/>
    </xf>
    <xf numFmtId="175" fontId="29" fillId="6" borderId="0" applyAlignment="1" pivotButton="0" quotePrefix="0" xfId="0">
      <alignment horizontal="right"/>
    </xf>
    <xf numFmtId="165" fontId="0" fillId="6" borderId="0" pivotButton="0" quotePrefix="0" xfId="0"/>
    <xf numFmtId="165" fontId="0" fillId="6" borderId="21" pivotButton="0" quotePrefix="0" xfId="0"/>
    <xf numFmtId="166" fontId="0" fillId="6" borderId="9" pivotButton="0" quotePrefix="0" xfId="30"/>
    <xf numFmtId="166" fontId="55" fillId="6" borderId="9" pivotButton="0" quotePrefix="0" xfId="30"/>
    <xf numFmtId="166" fontId="29" fillId="6" borderId="9" pivotButton="0" quotePrefix="0" xfId="30"/>
    <xf numFmtId="166" fontId="55" fillId="6" borderId="37" pivotButton="0" quotePrefix="0" xfId="30"/>
    <xf numFmtId="165" fontId="25" fillId="6" borderId="0" pivotButton="0" quotePrefix="0" xfId="0"/>
    <xf numFmtId="165" fontId="25" fillId="6" borderId="21" pivotButton="0" quotePrefix="0" xfId="0"/>
    <xf numFmtId="165" fontId="25" fillId="6" borderId="0" pivotButton="0" quotePrefix="0" xfId="0"/>
    <xf numFmtId="166" fontId="0" fillId="6" borderId="9" pivotButton="0" quotePrefix="0" xfId="0"/>
    <xf numFmtId="166" fontId="0" fillId="6" borderId="37" pivotButton="0" quotePrefix="0" xfId="0"/>
    <xf numFmtId="166" fontId="25" fillId="6" borderId="12" applyAlignment="1" pivotButton="0" quotePrefix="0" xfId="0">
      <alignment horizontal="right"/>
    </xf>
    <xf numFmtId="166" fontId="25" fillId="6" borderId="24" applyAlignment="1" pivotButton="0" quotePrefix="0" xfId="0">
      <alignment horizontal="right"/>
    </xf>
    <xf numFmtId="167" fontId="7" fillId="6" borderId="0" pivotButton="0" quotePrefix="0" xfId="0"/>
    <xf numFmtId="167" fontId="7" fillId="6" borderId="21" pivotButton="0" quotePrefix="0" xfId="0"/>
    <xf numFmtId="167" fontId="54" fillId="6" borderId="21" pivotButton="0" quotePrefix="0" xfId="0"/>
    <xf numFmtId="185" fontId="25" fillId="6" borderId="0" pivotButton="0" quotePrefix="0" xfId="0"/>
    <xf numFmtId="185" fontId="25" fillId="6" borderId="21" pivotButton="0" quotePrefix="0" xfId="0"/>
    <xf numFmtId="185" fontId="25" fillId="6" borderId="0" pivotButton="0" quotePrefix="0" xfId="0"/>
    <xf numFmtId="167" fontId="42" fillId="6" borderId="0" pivotButton="0" quotePrefix="0" xfId="0"/>
    <xf numFmtId="167" fontId="42" fillId="6" borderId="21" pivotButton="0" quotePrefix="0" xfId="0"/>
    <xf numFmtId="167" fontId="53" fillId="6" borderId="0" pivotButton="0" quotePrefix="0" xfId="0"/>
    <xf numFmtId="167" fontId="53" fillId="6" borderId="0" pivotButton="0" quotePrefix="0" xfId="0"/>
    <xf numFmtId="166" fontId="0" fillId="6" borderId="7" pivotButton="0" quotePrefix="0" xfId="30"/>
    <xf numFmtId="166" fontId="0" fillId="6" borderId="7" pivotButton="0" quotePrefix="0" xfId="0"/>
    <xf numFmtId="166" fontId="0" fillId="6" borderId="28" pivotButton="0" quotePrefix="0" xfId="0"/>
    <xf numFmtId="17" fontId="30" fillId="6" borderId="0" applyAlignment="1" pivotButton="0" quotePrefix="0" xfId="30">
      <alignment horizontal="center"/>
    </xf>
    <xf numFmtId="17" fontId="31" fillId="6" borderId="0" applyAlignment="1" pivotButton="0" quotePrefix="0" xfId="30">
      <alignment horizontal="center"/>
    </xf>
    <xf numFmtId="17" fontId="31" fillId="6" borderId="21" applyAlignment="1" pivotButton="0" quotePrefix="0" xfId="30">
      <alignment horizontal="center"/>
    </xf>
    <xf numFmtId="17" fontId="31" fillId="6" borderId="0" applyAlignment="1" pivotButton="0" quotePrefix="0" xfId="30">
      <alignment horizontal="center"/>
    </xf>
    <xf numFmtId="166" fontId="25" fillId="6" borderId="0" applyAlignment="1" pivotButton="0" quotePrefix="0" xfId="30">
      <alignment horizontal="center"/>
    </xf>
    <xf numFmtId="166" fontId="32" fillId="6" borderId="0" applyAlignment="1" pivotButton="0" quotePrefix="0" xfId="30">
      <alignment horizontal="center"/>
    </xf>
    <xf numFmtId="166" fontId="32" fillId="6" borderId="21" applyAlignment="1" pivotButton="0" quotePrefix="0" xfId="30">
      <alignment horizontal="center"/>
    </xf>
    <xf numFmtId="166" fontId="32" fillId="6" borderId="0" applyAlignment="1" pivotButton="0" quotePrefix="0" xfId="30">
      <alignment horizontal="center"/>
    </xf>
    <xf numFmtId="171" fontId="25" fillId="6" borderId="0" applyAlignment="1" pivotButton="0" quotePrefix="0" xfId="0">
      <alignment horizontal="right"/>
    </xf>
    <xf numFmtId="171" fontId="25" fillId="6" borderId="21" applyAlignment="1" pivotButton="0" quotePrefix="0" xfId="0">
      <alignment horizontal="right"/>
    </xf>
    <xf numFmtId="171" fontId="25" fillId="6" borderId="0" applyAlignment="1" pivotButton="0" quotePrefix="0" xfId="0">
      <alignment horizontal="right"/>
    </xf>
    <xf numFmtId="166" fontId="25" fillId="6" borderId="7" pivotButton="0" quotePrefix="0" xfId="30"/>
    <xf numFmtId="166" fontId="25" fillId="6" borderId="28" pivotButton="0" quotePrefix="0" xfId="30"/>
    <xf numFmtId="166" fontId="29" fillId="6" borderId="21" pivotButton="0" quotePrefix="0" xfId="30"/>
    <xf numFmtId="166" fontId="29" fillId="6" borderId="0" pivotButton="0" quotePrefix="0" xfId="30"/>
    <xf numFmtId="166" fontId="29" fillId="6" borderId="26" pivotButton="0" quotePrefix="0" xfId="30"/>
    <xf numFmtId="166" fontId="25" fillId="6" borderId="0" pivotButton="0" quotePrefix="0" xfId="30"/>
    <xf numFmtId="166" fontId="25" fillId="6" borderId="21" pivotButton="0" quotePrefix="0" xfId="30"/>
    <xf numFmtId="166" fontId="25" fillId="6" borderId="0" pivotButton="0" quotePrefix="0" xfId="30"/>
    <xf numFmtId="167" fontId="29" fillId="6" borderId="0" applyAlignment="1" pivotButton="0" quotePrefix="0" xfId="30">
      <alignment horizontal="right"/>
    </xf>
    <xf numFmtId="167" fontId="29" fillId="6" borderId="21" applyAlignment="1" pivotButton="0" quotePrefix="0" xfId="30">
      <alignment horizontal="right"/>
    </xf>
    <xf numFmtId="167" fontId="29" fillId="6" borderId="0" applyAlignment="1" pivotButton="0" quotePrefix="0" xfId="30">
      <alignment horizontal="right"/>
    </xf>
    <xf numFmtId="167" fontId="29" fillId="6" borderId="2" applyAlignment="1" pivotButton="0" quotePrefix="0" xfId="30">
      <alignment horizontal="right"/>
    </xf>
    <xf numFmtId="167" fontId="29" fillId="6" borderId="26" applyAlignment="1" pivotButton="0" quotePrefix="0" xfId="30">
      <alignment horizontal="right"/>
    </xf>
    <xf numFmtId="167" fontId="25" fillId="6" borderId="0" applyAlignment="1" pivotButton="0" quotePrefix="0" xfId="30">
      <alignment horizontal="right"/>
    </xf>
    <xf numFmtId="167" fontId="25" fillId="6" borderId="21" applyAlignment="1" pivotButton="0" quotePrefix="0" xfId="30">
      <alignment horizontal="right"/>
    </xf>
    <xf numFmtId="167" fontId="25" fillId="6" borderId="0" applyAlignment="1" pivotButton="0" quotePrefix="0" xfId="30">
      <alignment horizontal="right"/>
    </xf>
    <xf numFmtId="167" fontId="25" fillId="6" borderId="0" applyAlignment="1" pivotButton="0" quotePrefix="0" xfId="30">
      <alignment horizontal="center"/>
    </xf>
    <xf numFmtId="167" fontId="29" fillId="6" borderId="0" pivotButton="0" quotePrefix="0" xfId="30"/>
    <xf numFmtId="167" fontId="29" fillId="6" borderId="21" pivotButton="0" quotePrefix="0" xfId="30"/>
    <xf numFmtId="167" fontId="29" fillId="6" borderId="0" pivotButton="0" quotePrefix="0" xfId="30"/>
    <xf numFmtId="167" fontId="29" fillId="6" borderId="2" pivotButton="0" quotePrefix="0" xfId="30"/>
    <xf numFmtId="166" fontId="29" fillId="6" borderId="13" pivotButton="0" quotePrefix="0" xfId="30"/>
    <xf numFmtId="166" fontId="29" fillId="6" borderId="22" pivotButton="0" quotePrefix="0" xfId="30"/>
    <xf numFmtId="170" fontId="25" fillId="6" borderId="0" applyAlignment="1" pivotButton="0" quotePrefix="0" xfId="30">
      <alignment horizontal="right"/>
    </xf>
    <xf numFmtId="170" fontId="25" fillId="6" borderId="21" applyAlignment="1" pivotButton="0" quotePrefix="0" xfId="30">
      <alignment horizontal="right"/>
    </xf>
    <xf numFmtId="170" fontId="25" fillId="6" borderId="0" applyAlignment="1" pivotButton="0" quotePrefix="0" xfId="30">
      <alignment horizontal="right"/>
    </xf>
    <xf numFmtId="169" fontId="25" fillId="6" borderId="0" pivotButton="0" quotePrefix="0" xfId="30"/>
    <xf numFmtId="169" fontId="25" fillId="6" borderId="21" pivotButton="0" quotePrefix="0" xfId="30"/>
    <xf numFmtId="169" fontId="25" fillId="6" borderId="0" pivotButton="0" quotePrefix="0" xfId="30"/>
    <xf numFmtId="168" fontId="25" fillId="6" borderId="0" applyAlignment="1" pivotButton="0" quotePrefix="0" xfId="30">
      <alignment horizontal="right"/>
    </xf>
    <xf numFmtId="168" fontId="25" fillId="6" borderId="21" applyAlignment="1" pivotButton="0" quotePrefix="0" xfId="30">
      <alignment horizontal="right"/>
    </xf>
    <xf numFmtId="168" fontId="25" fillId="6" borderId="0" applyAlignment="1" pivotButton="0" quotePrefix="0" xfId="30">
      <alignment horizontal="right"/>
    </xf>
    <xf numFmtId="173" fontId="25" fillId="6" borderId="0" applyAlignment="1" pivotButton="0" quotePrefix="0" xfId="30">
      <alignment horizontal="right"/>
    </xf>
    <xf numFmtId="173" fontId="25" fillId="6" borderId="21" applyAlignment="1" pivotButton="0" quotePrefix="0" xfId="30">
      <alignment horizontal="right"/>
    </xf>
    <xf numFmtId="173" fontId="25" fillId="6" borderId="0" applyAlignment="1" pivotButton="0" quotePrefix="0" xfId="30">
      <alignment horizontal="right"/>
    </xf>
    <xf numFmtId="165" fontId="29" fillId="6" borderId="0" pivotButton="0" quotePrefix="0" xfId="30"/>
    <xf numFmtId="165" fontId="29" fillId="6" borderId="21" pivotButton="0" quotePrefix="0" xfId="30"/>
    <xf numFmtId="165" fontId="29" fillId="6" borderId="0" pivotButton="0" quotePrefix="0" xfId="30"/>
    <xf numFmtId="168" fontId="29" fillId="6" borderId="0" applyAlignment="1" pivotButton="0" quotePrefix="0" xfId="30">
      <alignment horizontal="right"/>
    </xf>
    <xf numFmtId="168" fontId="29" fillId="6" borderId="21" applyAlignment="1" pivotButton="0" quotePrefix="0" xfId="30">
      <alignment horizontal="right"/>
    </xf>
    <xf numFmtId="168" fontId="29" fillId="6" borderId="0" applyAlignment="1" pivotButton="0" quotePrefix="0" xfId="30">
      <alignment horizontal="right"/>
    </xf>
    <xf numFmtId="186" fontId="15" fillId="3" borderId="0" pivotButton="0" quotePrefix="0" xfId="28"/>
    <xf numFmtId="181" fontId="49" fillId="8" borderId="0" applyAlignment="1" pivotButton="0" quotePrefix="0" xfId="16">
      <alignment horizontal="center" vertical="center"/>
    </xf>
    <xf numFmtId="0" fontId="46" fillId="3" borderId="29" applyAlignment="1" pivotButton="0" quotePrefix="0" xfId="28">
      <alignment vertical="top" wrapText="1"/>
    </xf>
    <xf numFmtId="0" fontId="0" fillId="0" borderId="38" pivotButton="0" quotePrefix="0" xfId="0"/>
    <xf numFmtId="0" fontId="0" fillId="0" borderId="40" pivotButton="0" quotePrefix="0" xfId="0"/>
    <xf numFmtId="0" fontId="0" fillId="0" borderId="39" pivotButton="0" quotePrefix="0" xfId="0"/>
    <xf numFmtId="0" fontId="0" fillId="0" borderId="41" pivotButton="0" quotePrefix="0" xfId="0"/>
    <xf numFmtId="0" fontId="0" fillId="0" borderId="42" pivotButton="0" quotePrefix="0" xfId="0"/>
    <xf numFmtId="0" fontId="0" fillId="0" borderId="43" pivotButton="0" quotePrefix="0" xfId="0"/>
    <xf numFmtId="0" fontId="0" fillId="0" borderId="44" pivotButton="0" quotePrefix="0" xfId="0"/>
    <xf numFmtId="0" fontId="59" fillId="0" borderId="0" pivotButton="0" quotePrefix="0" xfId="0"/>
    <xf numFmtId="0" fontId="60" fillId="0" borderId="0" pivotButton="0" quotePrefix="0" xfId="0"/>
    <xf numFmtId="0" fontId="61" fillId="0" borderId="0" pivotButton="0" quotePrefix="0" xfId="0"/>
    <xf numFmtId="0" fontId="62" fillId="0" borderId="0" pivotButton="0" quotePrefix="0" xfId="0"/>
    <xf numFmtId="185" fontId="0" fillId="0" borderId="0" pivotButton="0" quotePrefix="0" xfId="0"/>
    <xf numFmtId="166" fontId="0" fillId="0" borderId="0" pivotButton="0" quotePrefix="0" xfId="0"/>
    <xf numFmtId="166" fontId="29" fillId="3" borderId="0" pivotButton="0" quotePrefix="0" xfId="0"/>
    <xf numFmtId="166" fontId="29" fillId="3" borderId="21" pivotButton="0" quotePrefix="0" xfId="0"/>
    <xf numFmtId="166" fontId="0" fillId="3" borderId="0" pivotButton="0" quotePrefix="0" xfId="0"/>
    <xf numFmtId="182" fontId="2" fillId="3" borderId="0" applyAlignment="1" pivotButton="0" quotePrefix="0" xfId="0">
      <alignment horizontal="left"/>
    </xf>
    <xf numFmtId="172" fontId="21" fillId="3" borderId="0" applyAlignment="1" pivotButton="0" quotePrefix="0" xfId="0">
      <alignment horizontal="center"/>
    </xf>
    <xf numFmtId="197" fontId="0" fillId="3" borderId="0" pivotButton="0" quotePrefix="0" xfId="0"/>
    <xf numFmtId="166" fontId="7" fillId="0" borderId="0" applyAlignment="1" pivotButton="0" quotePrefix="0" xfId="0">
      <alignment horizontal="center"/>
    </xf>
    <xf numFmtId="183" fontId="3" fillId="3" borderId="0" applyAlignment="1" pivotButton="0" quotePrefix="0" xfId="0">
      <alignment horizontal="left"/>
    </xf>
    <xf numFmtId="181" fontId="6" fillId="3" borderId="0" applyAlignment="1" pivotButton="0" quotePrefix="0" xfId="16">
      <alignment horizontal="center"/>
    </xf>
    <xf numFmtId="166" fontId="7" fillId="3" borderId="0" applyAlignment="1" pivotButton="0" quotePrefix="0" xfId="0">
      <alignment horizontal="center"/>
    </xf>
    <xf numFmtId="184" fontId="3" fillId="3" borderId="0" pivotButton="0" quotePrefix="0" xfId="0"/>
    <xf numFmtId="164" fontId="3" fillId="3" borderId="0" pivotButton="0" quotePrefix="0" xfId="0"/>
    <xf numFmtId="165" fontId="0" fillId="0" borderId="0" pivotButton="0" quotePrefix="0" xfId="0"/>
    <xf numFmtId="165" fontId="29" fillId="3" borderId="0" applyAlignment="1" pivotButton="0" quotePrefix="0" xfId="0">
      <alignment horizontal="left" indent="3"/>
    </xf>
    <xf numFmtId="165" fontId="21" fillId="3" borderId="0" pivotButton="0" quotePrefix="0" xfId="16"/>
    <xf numFmtId="165" fontId="29" fillId="6" borderId="0" applyAlignment="1" pivotButton="0" quotePrefix="0" xfId="0">
      <alignment horizontal="right"/>
    </xf>
    <xf numFmtId="165" fontId="29" fillId="3" borderId="0" applyAlignment="1" pivotButton="0" quotePrefix="0" xfId="0">
      <alignment horizontal="right"/>
    </xf>
    <xf numFmtId="165" fontId="55" fillId="3" borderId="0" applyAlignment="1" pivotButton="0" quotePrefix="0" xfId="0">
      <alignment horizontal="right"/>
    </xf>
    <xf numFmtId="165" fontId="55" fillId="6" borderId="0" applyAlignment="1" pivotButton="0" quotePrefix="0" xfId="0">
      <alignment horizontal="right"/>
    </xf>
    <xf numFmtId="165" fontId="29" fillId="6" borderId="21" applyAlignment="1" pivotButton="0" quotePrefix="0" xfId="0">
      <alignment horizontal="right"/>
    </xf>
    <xf numFmtId="165" fontId="0" fillId="3" borderId="0" pivotButton="0" quotePrefix="0" xfId="0"/>
    <xf numFmtId="165" fontId="29" fillId="3" borderId="7" applyAlignment="1" pivotButton="0" quotePrefix="0" xfId="0">
      <alignment horizontal="left" indent="2"/>
    </xf>
    <xf numFmtId="165" fontId="21" fillId="3" borderId="7" pivotButton="0" quotePrefix="0" xfId="16"/>
    <xf numFmtId="165" fontId="29" fillId="6" borderId="7" applyAlignment="1" pivotButton="0" quotePrefix="0" xfId="0">
      <alignment horizontal="right"/>
    </xf>
    <xf numFmtId="165" fontId="55" fillId="6" borderId="7" applyAlignment="1" pivotButton="0" quotePrefix="0" xfId="0">
      <alignment horizontal="right"/>
    </xf>
    <xf numFmtId="165" fontId="55" fillId="3" borderId="7" applyAlignment="1" pivotButton="0" quotePrefix="0" xfId="0">
      <alignment horizontal="right"/>
    </xf>
    <xf numFmtId="165" fontId="29" fillId="3" borderId="7" applyAlignment="1" pivotButton="0" quotePrefix="0" xfId="0">
      <alignment horizontal="right"/>
    </xf>
    <xf numFmtId="165" fontId="55" fillId="6" borderId="28" applyAlignment="1" pivotButton="0" quotePrefix="0" xfId="0">
      <alignment horizontal="right"/>
    </xf>
    <xf numFmtId="165" fontId="29" fillId="3" borderId="0" applyAlignment="1" pivotButton="0" quotePrefix="0" xfId="0">
      <alignment horizontal="left" indent="2"/>
    </xf>
    <xf numFmtId="165" fontId="55" fillId="6" borderId="21" applyAlignment="1" pivotButton="0" quotePrefix="0" xfId="0">
      <alignment horizontal="right"/>
    </xf>
    <xf numFmtId="165" fontId="29" fillId="3" borderId="2" applyAlignment="1" pivotButton="0" quotePrefix="0" xfId="0">
      <alignment horizontal="left" indent="2"/>
    </xf>
    <xf numFmtId="165" fontId="21" fillId="3" borderId="2" pivotButton="0" quotePrefix="0" xfId="16"/>
    <xf numFmtId="165" fontId="29" fillId="6" borderId="2" applyAlignment="1" pivotButton="0" quotePrefix="0" xfId="0">
      <alignment horizontal="right"/>
    </xf>
    <xf numFmtId="165" fontId="55" fillId="6" borderId="2" applyAlignment="1" pivotButton="0" quotePrefix="0" xfId="0">
      <alignment horizontal="right"/>
    </xf>
    <xf numFmtId="165" fontId="55" fillId="3" borderId="2" applyAlignment="1" pivotButton="0" quotePrefix="0" xfId="0">
      <alignment horizontal="right"/>
    </xf>
    <xf numFmtId="165" fontId="55" fillId="6" borderId="26" applyAlignment="1" pivotButton="0" quotePrefix="0" xfId="0">
      <alignment horizontal="right"/>
    </xf>
    <xf numFmtId="165" fontId="7" fillId="0" borderId="0" pivotButton="0" quotePrefix="0" xfId="0"/>
    <xf numFmtId="165" fontId="25" fillId="3" borderId="0" applyAlignment="1" pivotButton="0" quotePrefix="0" xfId="0">
      <alignment horizontal="left" indent="1"/>
    </xf>
    <xf numFmtId="165" fontId="32" fillId="3" borderId="0" pivotButton="0" quotePrefix="0" xfId="16"/>
    <xf numFmtId="165" fontId="54" fillId="6" borderId="7" applyAlignment="1" pivotButton="0" quotePrefix="0" xfId="0">
      <alignment horizontal="right"/>
    </xf>
    <xf numFmtId="165" fontId="25" fillId="6" borderId="0" applyAlignment="1" pivotButton="0" quotePrefix="0" xfId="0">
      <alignment horizontal="right"/>
    </xf>
    <xf numFmtId="165" fontId="25" fillId="3" borderId="0" applyAlignment="1" pivotButton="0" quotePrefix="0" xfId="0">
      <alignment horizontal="right"/>
    </xf>
    <xf numFmtId="165" fontId="25" fillId="6" borderId="21" applyAlignment="1" pivotButton="0" quotePrefix="0" xfId="0">
      <alignment horizontal="right"/>
    </xf>
    <xf numFmtId="165" fontId="7" fillId="3" borderId="0" pivotButton="0" quotePrefix="0" xfId="0"/>
    <xf numFmtId="165" fontId="29" fillId="3" borderId="2" applyAlignment="1" pivotButton="0" quotePrefix="0" xfId="0">
      <alignment horizontal="left" indent="1"/>
    </xf>
    <xf numFmtId="165" fontId="29" fillId="3" borderId="2" applyAlignment="1" pivotButton="0" quotePrefix="0" xfId="0">
      <alignment horizontal="right"/>
    </xf>
    <xf numFmtId="165" fontId="25" fillId="3" borderId="7" applyAlignment="1" pivotButton="0" quotePrefix="0" xfId="0">
      <alignment horizontal="left"/>
    </xf>
    <xf numFmtId="165" fontId="32" fillId="3" borderId="7" pivotButton="0" quotePrefix="0" xfId="16"/>
    <xf numFmtId="165" fontId="25" fillId="6" borderId="7" applyAlignment="1" pivotButton="0" quotePrefix="0" xfId="0">
      <alignment horizontal="right"/>
    </xf>
    <xf numFmtId="165" fontId="25" fillId="3" borderId="7" applyAlignment="1" pivotButton="0" quotePrefix="0" xfId="0">
      <alignment horizontal="right"/>
    </xf>
    <xf numFmtId="165" fontId="25" fillId="6" borderId="28" applyAlignment="1" pivotButton="0" quotePrefix="0" xfId="0">
      <alignment horizontal="right"/>
    </xf>
    <xf numFmtId="165" fontId="25" fillId="3" borderId="0" applyAlignment="1" pivotButton="0" quotePrefix="0" xfId="0">
      <alignment horizontal="left"/>
    </xf>
    <xf numFmtId="189" fontId="0" fillId="0" borderId="0" pivotButton="0" quotePrefix="0" xfId="0"/>
    <xf numFmtId="189" fontId="29" fillId="3" borderId="0" applyAlignment="1" pivotButton="0" quotePrefix="0" xfId="0">
      <alignment horizontal="left"/>
    </xf>
    <xf numFmtId="189" fontId="29" fillId="3" borderId="0" pivotButton="0" quotePrefix="0" xfId="16"/>
    <xf numFmtId="189" fontId="29" fillId="6" borderId="0" applyAlignment="1" pivotButton="0" quotePrefix="0" xfId="0">
      <alignment horizontal="right"/>
    </xf>
    <xf numFmtId="189" fontId="29" fillId="3" borderId="0" applyAlignment="1" pivotButton="0" quotePrefix="0" xfId="0">
      <alignment horizontal="right"/>
    </xf>
    <xf numFmtId="189" fontId="29" fillId="6" borderId="21" applyAlignment="1" pivotButton="0" quotePrefix="0" xfId="0">
      <alignment horizontal="right"/>
    </xf>
    <xf numFmtId="189" fontId="0" fillId="3" borderId="0" pivotButton="0" quotePrefix="0" xfId="0"/>
    <xf numFmtId="189" fontId="21" fillId="3" borderId="0" pivotButton="0" quotePrefix="0" xfId="16"/>
    <xf numFmtId="166" fontId="29" fillId="3" borderId="0" applyAlignment="1" pivotButton="0" quotePrefix="0" xfId="0">
      <alignment horizontal="left" indent="1"/>
    </xf>
    <xf numFmtId="166" fontId="21" fillId="3" borderId="0" pivotButton="0" quotePrefix="0" xfId="16"/>
    <xf numFmtId="166" fontId="29" fillId="6" borderId="0" applyAlignment="1" pivotButton="0" quotePrefix="0" xfId="0">
      <alignment horizontal="right"/>
    </xf>
    <xf numFmtId="166" fontId="55" fillId="6" borderId="0" applyAlignment="1" pivotButton="0" quotePrefix="0" xfId="0">
      <alignment horizontal="right"/>
    </xf>
    <xf numFmtId="166" fontId="29" fillId="3" borderId="0" applyAlignment="1" pivotButton="0" quotePrefix="0" xfId="0">
      <alignment horizontal="right"/>
    </xf>
    <xf numFmtId="166" fontId="29" fillId="6" borderId="21" applyAlignment="1" pivotButton="0" quotePrefix="0" xfId="0">
      <alignment horizontal="right"/>
    </xf>
    <xf numFmtId="166" fontId="7" fillId="0" borderId="0" pivotButton="0" quotePrefix="0" xfId="0"/>
    <xf numFmtId="166" fontId="25" fillId="3" borderId="7" applyAlignment="1" pivotButton="0" quotePrefix="0" xfId="0">
      <alignment horizontal="left"/>
    </xf>
    <xf numFmtId="166" fontId="32" fillId="3" borderId="7" pivotButton="0" quotePrefix="0" xfId="16"/>
    <xf numFmtId="166" fontId="25" fillId="6" borderId="7" applyAlignment="1" pivotButton="0" quotePrefix="0" xfId="0">
      <alignment horizontal="right"/>
    </xf>
    <xf numFmtId="166" fontId="25" fillId="3" borderId="7" applyAlignment="1" pivotButton="0" quotePrefix="0" xfId="0">
      <alignment horizontal="right"/>
    </xf>
    <xf numFmtId="166" fontId="25" fillId="6" borderId="28" applyAlignment="1" pivotButton="0" quotePrefix="0" xfId="0">
      <alignment horizontal="right"/>
    </xf>
    <xf numFmtId="166" fontId="7" fillId="3" borderId="0" pivotButton="0" quotePrefix="0" xfId="0"/>
    <xf numFmtId="166" fontId="29" fillId="3" borderId="0" applyAlignment="1" pivotButton="0" quotePrefix="0" xfId="30">
      <alignment horizontal="left" indent="1"/>
    </xf>
    <xf numFmtId="166" fontId="29" fillId="3" borderId="0" applyAlignment="1" pivotButton="0" quotePrefix="0" xfId="0">
      <alignment horizontal="left" indent="4"/>
    </xf>
    <xf numFmtId="166" fontId="29" fillId="6" borderId="0" pivotButton="0" quotePrefix="0" xfId="0"/>
    <xf numFmtId="166" fontId="29" fillId="6" borderId="21" pivotButton="0" quotePrefix="0" xfId="0"/>
    <xf numFmtId="166" fontId="25" fillId="3" borderId="7" applyAlignment="1" pivotButton="0" quotePrefix="0" xfId="30">
      <alignment horizontal="left"/>
    </xf>
    <xf numFmtId="166" fontId="25" fillId="3" borderId="7" applyAlignment="1" pivotButton="0" quotePrefix="0" xfId="0">
      <alignment horizontal="left" indent="4"/>
    </xf>
    <xf numFmtId="166" fontId="25" fillId="6" borderId="7" pivotButton="0" quotePrefix="0" xfId="0"/>
    <xf numFmtId="166" fontId="25" fillId="3" borderId="7" pivotButton="0" quotePrefix="0" xfId="0"/>
    <xf numFmtId="166" fontId="25" fillId="6" borderId="28" pivotButton="0" quotePrefix="0" xfId="0"/>
    <xf numFmtId="190" fontId="0" fillId="0" borderId="0" pivotButton="0" quotePrefix="0" xfId="0"/>
    <xf numFmtId="190" fontId="0" fillId="3" borderId="0" applyAlignment="1" pivotButton="0" quotePrefix="0" xfId="0">
      <alignment horizontal="left" indent="1"/>
    </xf>
    <xf numFmtId="190" fontId="21" fillId="3" borderId="0" pivotButton="0" quotePrefix="0" xfId="16"/>
    <xf numFmtId="190" fontId="29" fillId="6" borderId="0" applyAlignment="1" pivotButton="0" quotePrefix="0" xfId="0">
      <alignment horizontal="right"/>
    </xf>
    <xf numFmtId="190" fontId="0" fillId="6" borderId="0" applyAlignment="1" pivotButton="0" quotePrefix="0" xfId="0">
      <alignment horizontal="right"/>
    </xf>
    <xf numFmtId="190" fontId="55" fillId="3" borderId="0" applyAlignment="1" pivotButton="0" quotePrefix="0" xfId="0">
      <alignment horizontal="right"/>
    </xf>
    <xf numFmtId="190" fontId="0" fillId="6" borderId="21" applyAlignment="1" pivotButton="0" quotePrefix="0" xfId="0">
      <alignment horizontal="right"/>
    </xf>
    <xf numFmtId="190" fontId="29" fillId="3" borderId="0" applyAlignment="1" pivotButton="0" quotePrefix="0" xfId="0">
      <alignment horizontal="right"/>
    </xf>
    <xf numFmtId="190" fontId="0" fillId="3" borderId="0" pivotButton="0" quotePrefix="0" xfId="0"/>
    <xf numFmtId="190" fontId="0" fillId="3" borderId="2" applyAlignment="1" pivotButton="0" quotePrefix="0" xfId="0">
      <alignment horizontal="left" indent="1"/>
    </xf>
    <xf numFmtId="190" fontId="21" fillId="3" borderId="2" pivotButton="0" quotePrefix="0" xfId="16"/>
    <xf numFmtId="190" fontId="29" fillId="6" borderId="2" applyAlignment="1" pivotButton="0" quotePrefix="0" xfId="0">
      <alignment horizontal="right"/>
    </xf>
    <xf numFmtId="190" fontId="0" fillId="6" borderId="2" applyAlignment="1" pivotButton="0" quotePrefix="0" xfId="0">
      <alignment horizontal="right"/>
    </xf>
    <xf numFmtId="190" fontId="55" fillId="3" borderId="2" applyAlignment="1" pivotButton="0" quotePrefix="0" xfId="0">
      <alignment horizontal="right"/>
    </xf>
    <xf numFmtId="190" fontId="0" fillId="6" borderId="26" applyAlignment="1" pivotButton="0" quotePrefix="0" xfId="0">
      <alignment horizontal="right"/>
    </xf>
    <xf numFmtId="190" fontId="29" fillId="3" borderId="2" applyAlignment="1" pivotButton="0" quotePrefix="0" xfId="0">
      <alignment horizontal="right"/>
    </xf>
    <xf numFmtId="190" fontId="7" fillId="0" borderId="0" pivotButton="0" quotePrefix="0" xfId="0"/>
    <xf numFmtId="190" fontId="7" fillId="3" borderId="7" applyAlignment="1" pivotButton="0" quotePrefix="0" xfId="0">
      <alignment horizontal="left"/>
    </xf>
    <xf numFmtId="190" fontId="32" fillId="3" borderId="7" pivotButton="0" quotePrefix="0" xfId="16"/>
    <xf numFmtId="190" fontId="25" fillId="6" borderId="7" applyAlignment="1" pivotButton="0" quotePrefix="0" xfId="0">
      <alignment horizontal="right"/>
    </xf>
    <xf numFmtId="190" fontId="7" fillId="6" borderId="7" applyAlignment="1" pivotButton="0" quotePrefix="0" xfId="0">
      <alignment horizontal="right"/>
    </xf>
    <xf numFmtId="190" fontId="7" fillId="3" borderId="7" applyAlignment="1" pivotButton="0" quotePrefix="0" xfId="0">
      <alignment horizontal="right"/>
    </xf>
    <xf numFmtId="190" fontId="7" fillId="6" borderId="28" applyAlignment="1" pivotButton="0" quotePrefix="0" xfId="0">
      <alignment horizontal="right"/>
    </xf>
    <xf numFmtId="190" fontId="25" fillId="3" borderId="7" applyAlignment="1" pivotButton="0" quotePrefix="0" xfId="0">
      <alignment horizontal="right"/>
    </xf>
    <xf numFmtId="190" fontId="7" fillId="3" borderId="0" pivotButton="0" quotePrefix="0" xfId="0"/>
    <xf numFmtId="166" fontId="29" fillId="3" borderId="0" applyAlignment="1" pivotButton="0" quotePrefix="0" xfId="0">
      <alignment horizontal="left"/>
    </xf>
    <xf numFmtId="166" fontId="24" fillId="3" borderId="0" applyAlignment="1" pivotButton="0" quotePrefix="0" xfId="0">
      <alignment horizontal="left" indent="1"/>
    </xf>
    <xf numFmtId="166" fontId="23" fillId="3" borderId="0" pivotButton="0" quotePrefix="0" xfId="16"/>
    <xf numFmtId="165" fontId="29" fillId="3" borderId="0" applyAlignment="1" pivotButton="0" quotePrefix="0" xfId="0">
      <alignment horizontal="left"/>
    </xf>
    <xf numFmtId="165" fontId="29" fillId="3" borderId="0" applyAlignment="1" pivotButton="0" quotePrefix="0" xfId="0">
      <alignment horizontal="left" indent="4"/>
    </xf>
    <xf numFmtId="165" fontId="29" fillId="6" borderId="0" pivotButton="0" quotePrefix="0" xfId="0"/>
    <xf numFmtId="165" fontId="29" fillId="3" borderId="0" pivotButton="0" quotePrefix="0" xfId="0"/>
    <xf numFmtId="165" fontId="55" fillId="3" borderId="0" pivotButton="0" quotePrefix="0" xfId="0"/>
    <xf numFmtId="165" fontId="55" fillId="6" borderId="0" pivotButton="0" quotePrefix="0" xfId="0"/>
    <xf numFmtId="165" fontId="29" fillId="6" borderId="21" pivotButton="0" quotePrefix="0" xfId="0"/>
    <xf numFmtId="166" fontId="26" fillId="4" borderId="0" pivotButton="0" quotePrefix="0" xfId="30"/>
    <xf numFmtId="166" fontId="26" fillId="4" borderId="21" pivotButton="0" quotePrefix="0" xfId="30"/>
    <xf numFmtId="166" fontId="7" fillId="3" borderId="0" applyAlignment="1" pivotButton="0" quotePrefix="0" xfId="0">
      <alignment horizontal="left"/>
    </xf>
    <xf numFmtId="166" fontId="32" fillId="3" borderId="0" pivotButton="0" quotePrefix="0" xfId="16"/>
    <xf numFmtId="166" fontId="25" fillId="6" borderId="0" applyAlignment="1" pivotButton="0" quotePrefix="0" xfId="0">
      <alignment horizontal="right"/>
    </xf>
    <xf numFmtId="166" fontId="25" fillId="3" borderId="0" applyAlignment="1" pivotButton="0" quotePrefix="0" xfId="0">
      <alignment horizontal="right"/>
    </xf>
    <xf numFmtId="166" fontId="25" fillId="6" borderId="21" applyAlignment="1" pivotButton="0" quotePrefix="0" xfId="0">
      <alignment horizontal="right"/>
    </xf>
    <xf numFmtId="166" fontId="0" fillId="3" borderId="2" applyAlignment="1" pivotButton="0" quotePrefix="0" xfId="0">
      <alignment horizontal="left" indent="1"/>
    </xf>
    <xf numFmtId="166" fontId="21" fillId="3" borderId="2" pivotButton="0" quotePrefix="0" xfId="16"/>
    <xf numFmtId="166" fontId="29" fillId="6" borderId="2" applyAlignment="1" pivotButton="0" quotePrefix="0" xfId="0">
      <alignment horizontal="right"/>
    </xf>
    <xf numFmtId="166" fontId="29" fillId="3" borderId="2" applyAlignment="1" pivotButton="0" quotePrefix="0" xfId="0">
      <alignment horizontal="right"/>
    </xf>
    <xf numFmtId="166" fontId="29" fillId="6" borderId="26" applyAlignment="1" pivotButton="0" quotePrefix="0" xfId="0">
      <alignment horizontal="right"/>
    </xf>
    <xf numFmtId="165" fontId="29" fillId="3" borderId="0" applyAlignment="1" pivotButton="0" quotePrefix="0" xfId="0">
      <alignment horizontal="left" indent="1"/>
    </xf>
    <xf numFmtId="166" fontId="0" fillId="3" borderId="0" applyAlignment="1" pivotButton="0" quotePrefix="0" xfId="0">
      <alignment horizontal="left"/>
    </xf>
    <xf numFmtId="165" fontId="0" fillId="3" borderId="0" applyAlignment="1" pivotButton="0" quotePrefix="0" xfId="0">
      <alignment horizontal="left" indent="1"/>
    </xf>
    <xf numFmtId="166" fontId="55" fillId="3" borderId="0" applyAlignment="1" pivotButton="0" quotePrefix="0" xfId="0">
      <alignment horizontal="right"/>
    </xf>
    <xf numFmtId="166" fontId="7" fillId="3" borderId="7" applyAlignment="1" pivotButton="0" quotePrefix="0" xfId="0">
      <alignment horizontal="left"/>
    </xf>
    <xf numFmtId="166" fontId="19" fillId="0" borderId="0" pivotButton="0" quotePrefix="0" xfId="0"/>
    <xf numFmtId="166" fontId="19" fillId="3" borderId="0" applyAlignment="1" pivotButton="0" quotePrefix="0" xfId="0">
      <alignment horizontal="left" indent="1"/>
    </xf>
    <xf numFmtId="166" fontId="24" fillId="6" borderId="0" applyAlignment="1" pivotButton="0" quotePrefix="0" xfId="0">
      <alignment horizontal="right"/>
    </xf>
    <xf numFmtId="166" fontId="24" fillId="3" borderId="0" applyAlignment="1" pivotButton="0" quotePrefix="0" xfId="0">
      <alignment horizontal="right"/>
    </xf>
    <xf numFmtId="166" fontId="24" fillId="6" borderId="21" applyAlignment="1" pivotButton="0" quotePrefix="0" xfId="0">
      <alignment horizontal="right"/>
    </xf>
    <xf numFmtId="166" fontId="19" fillId="3" borderId="0" pivotButton="0" quotePrefix="0" xfId="0"/>
    <xf numFmtId="166" fontId="29" fillId="3" borderId="2" applyAlignment="1" pivotButton="0" quotePrefix="0" xfId="0">
      <alignment horizontal="left" indent="1"/>
    </xf>
    <xf numFmtId="166" fontId="25" fillId="3" borderId="0" applyAlignment="1" pivotButton="0" quotePrefix="0" xfId="0">
      <alignment horizontal="left"/>
    </xf>
    <xf numFmtId="166" fontId="29" fillId="3" borderId="0" applyAlignment="1" pivotButton="0" quotePrefix="0" xfId="0">
      <alignment horizontal="left" indent="2"/>
    </xf>
    <xf numFmtId="166" fontId="29" fillId="3" borderId="0" applyAlignment="1" pivotButton="0" quotePrefix="0" xfId="0">
      <alignment horizontal="left" indent="3"/>
    </xf>
    <xf numFmtId="166" fontId="55" fillId="6" borderId="0" pivotButton="0" quotePrefix="0" xfId="0"/>
    <xf numFmtId="166" fontId="29" fillId="3" borderId="2" applyAlignment="1" pivotButton="0" quotePrefix="0" xfId="0">
      <alignment horizontal="left" indent="2"/>
    </xf>
    <xf numFmtId="166" fontId="29" fillId="3" borderId="2" applyAlignment="1" pivotButton="0" quotePrefix="0" xfId="0">
      <alignment horizontal="left" indent="3"/>
    </xf>
    <xf numFmtId="166" fontId="55" fillId="6" borderId="2" pivotButton="0" quotePrefix="0" xfId="0"/>
    <xf numFmtId="166" fontId="29" fillId="3" borderId="2" pivotButton="0" quotePrefix="0" xfId="0"/>
    <xf numFmtId="166" fontId="29" fillId="6" borderId="26" pivotButton="0" quotePrefix="0" xfId="0"/>
    <xf numFmtId="166" fontId="29" fillId="6" borderId="2" pivotButton="0" quotePrefix="0" xfId="0"/>
    <xf numFmtId="166" fontId="0" fillId="6" borderId="0" pivotButton="0" quotePrefix="0" xfId="0"/>
    <xf numFmtId="166" fontId="55" fillId="3" borderId="0" pivotButton="0" quotePrefix="0" xfId="0"/>
    <xf numFmtId="166" fontId="0" fillId="6" borderId="21" pivotButton="0" quotePrefix="0" xfId="0"/>
    <xf numFmtId="166" fontId="55" fillId="3" borderId="2" pivotButton="0" quotePrefix="0" xfId="0"/>
    <xf numFmtId="166" fontId="25" fillId="3" borderId="0" applyAlignment="1" pivotButton="0" quotePrefix="0" xfId="0">
      <alignment horizontal="left" indent="3"/>
    </xf>
    <xf numFmtId="166" fontId="25" fillId="6" borderId="0" pivotButton="0" quotePrefix="0" xfId="0"/>
    <xf numFmtId="166" fontId="25" fillId="3" borderId="0" pivotButton="0" quotePrefix="0" xfId="0"/>
    <xf numFmtId="166" fontId="25" fillId="6" borderId="21" pivotButton="0" quotePrefix="0" xfId="0"/>
    <xf numFmtId="166" fontId="0" fillId="3" borderId="0" applyAlignment="1" pivotButton="0" quotePrefix="0" xfId="0">
      <alignment horizontal="left" indent="1"/>
    </xf>
    <xf numFmtId="166" fontId="0" fillId="6" borderId="21" applyAlignment="1" pivotButton="0" quotePrefix="0" xfId="0">
      <alignment horizontal="right"/>
    </xf>
    <xf numFmtId="166" fontId="7" fillId="6" borderId="7" applyAlignment="1" pivotButton="0" quotePrefix="0" xfId="0">
      <alignment horizontal="right"/>
    </xf>
    <xf numFmtId="166" fontId="7" fillId="6" borderId="28" applyAlignment="1" pivotButton="0" quotePrefix="0" xfId="0">
      <alignment horizontal="right"/>
    </xf>
    <xf numFmtId="190" fontId="29" fillId="3" borderId="0" applyAlignment="1" pivotButton="0" quotePrefix="0" xfId="0">
      <alignment horizontal="left" indent="1"/>
    </xf>
    <xf numFmtId="190" fontId="29" fillId="6" borderId="21" applyAlignment="1" pivotButton="0" quotePrefix="0" xfId="0">
      <alignment horizontal="right"/>
    </xf>
    <xf numFmtId="190" fontId="29" fillId="3" borderId="2" applyAlignment="1" pivotButton="0" quotePrefix="0" xfId="0">
      <alignment horizontal="left" indent="1"/>
    </xf>
    <xf numFmtId="190" fontId="29" fillId="6" borderId="26" applyAlignment="1" pivotButton="0" quotePrefix="0" xfId="0">
      <alignment horizontal="right"/>
    </xf>
    <xf numFmtId="190" fontId="25" fillId="3" borderId="0" applyAlignment="1" pivotButton="0" quotePrefix="0" xfId="0">
      <alignment horizontal="left"/>
    </xf>
    <xf numFmtId="190" fontId="32" fillId="3" borderId="0" pivotButton="0" quotePrefix="0" xfId="16"/>
    <xf numFmtId="190" fontId="25" fillId="6" borderId="0" applyAlignment="1" pivotButton="0" quotePrefix="0" xfId="0">
      <alignment horizontal="right"/>
    </xf>
    <xf numFmtId="190" fontId="25" fillId="3" borderId="0" applyAlignment="1" pivotButton="0" quotePrefix="0" xfId="0">
      <alignment horizontal="right"/>
    </xf>
    <xf numFmtId="190" fontId="25" fillId="6" borderId="21" applyAlignment="1" pivotButton="0" quotePrefix="0" xfId="0">
      <alignment horizontal="right"/>
    </xf>
    <xf numFmtId="166" fontId="0" fillId="3" borderId="0" applyAlignment="1" pivotButton="0" quotePrefix="0" xfId="30">
      <alignment horizontal="left" indent="1"/>
    </xf>
    <xf numFmtId="190" fontId="0" fillId="3" borderId="0" applyAlignment="1" pivotButton="0" quotePrefix="0" xfId="30">
      <alignment horizontal="left" indent="1"/>
    </xf>
    <xf numFmtId="190" fontId="29" fillId="3" borderId="0" applyAlignment="1" pivotButton="0" quotePrefix="0" xfId="0">
      <alignment horizontal="left" indent="4"/>
    </xf>
    <xf numFmtId="190" fontId="29" fillId="6" borderId="0" pivotButton="0" quotePrefix="0" xfId="0"/>
    <xf numFmtId="190" fontId="55" fillId="3" borderId="0" pivotButton="0" quotePrefix="0" xfId="0"/>
    <xf numFmtId="190" fontId="55" fillId="6" borderId="0" pivotButton="0" quotePrefix="0" xfId="0"/>
    <xf numFmtId="190" fontId="55" fillId="6" borderId="21" pivotButton="0" quotePrefix="0" xfId="0"/>
    <xf numFmtId="190" fontId="29" fillId="3" borderId="0" pivotButton="0" quotePrefix="0" xfId="0"/>
    <xf numFmtId="190" fontId="29" fillId="6" borderId="21" pivotButton="0" quotePrefix="0" xfId="0"/>
    <xf numFmtId="190" fontId="7" fillId="3" borderId="7" applyAlignment="1" pivotButton="0" quotePrefix="0" xfId="30">
      <alignment horizontal="left"/>
    </xf>
    <xf numFmtId="190" fontId="25" fillId="3" borderId="7" applyAlignment="1" pivotButton="0" quotePrefix="0" xfId="0">
      <alignment horizontal="left" indent="4"/>
    </xf>
    <xf numFmtId="190" fontId="25" fillId="6" borderId="7" pivotButton="0" quotePrefix="0" xfId="0"/>
    <xf numFmtId="190" fontId="7" fillId="3" borderId="7" pivotButton="0" quotePrefix="0" xfId="0"/>
    <xf numFmtId="190" fontId="7" fillId="6" borderId="7" pivotButton="0" quotePrefix="0" xfId="0"/>
    <xf numFmtId="190" fontId="7" fillId="6" borderId="28" pivotButton="0" quotePrefix="0" xfId="0"/>
    <xf numFmtId="190" fontId="25" fillId="3" borderId="7" pivotButton="0" quotePrefix="0" xfId="0"/>
    <xf numFmtId="165" fontId="0" fillId="6" borderId="0" applyAlignment="1" pivotButton="0" quotePrefix="0" xfId="0">
      <alignment horizontal="right"/>
    </xf>
    <xf numFmtId="165" fontId="0" fillId="3" borderId="0" applyAlignment="1" pivotButton="0" quotePrefix="0" xfId="0">
      <alignment horizontal="right"/>
    </xf>
    <xf numFmtId="165" fontId="0" fillId="3" borderId="0" applyAlignment="1" pivotButton="0" quotePrefix="0" xfId="0">
      <alignment horizontal="left" indent="2"/>
    </xf>
    <xf numFmtId="165" fontId="0" fillId="3" borderId="2" applyAlignment="1" pivotButton="0" quotePrefix="0" xfId="0">
      <alignment horizontal="left" indent="2"/>
    </xf>
    <xf numFmtId="165" fontId="0" fillId="6" borderId="2" applyAlignment="1" pivotButton="0" quotePrefix="0" xfId="0">
      <alignment horizontal="right"/>
    </xf>
    <xf numFmtId="165" fontId="29" fillId="6" borderId="26" applyAlignment="1" pivotButton="0" quotePrefix="0" xfId="0">
      <alignment horizontal="right"/>
    </xf>
    <xf numFmtId="165" fontId="0" fillId="3" borderId="7" applyAlignment="1" pivotButton="0" quotePrefix="0" xfId="0">
      <alignment horizontal="left" indent="1"/>
    </xf>
    <xf numFmtId="165" fontId="0" fillId="6" borderId="7" applyAlignment="1" pivotButton="0" quotePrefix="0" xfId="0">
      <alignment horizontal="right"/>
    </xf>
    <xf numFmtId="165" fontId="0" fillId="3" borderId="7" applyAlignment="1" pivotButton="0" quotePrefix="0" xfId="0">
      <alignment horizontal="right"/>
    </xf>
    <xf numFmtId="165" fontId="0" fillId="3" borderId="2" applyAlignment="1" pivotButton="0" quotePrefix="0" xfId="0">
      <alignment horizontal="left" indent="1"/>
    </xf>
    <xf numFmtId="165" fontId="0" fillId="3" borderId="2" applyAlignment="1" pivotButton="0" quotePrefix="0" xfId="0">
      <alignment horizontal="right"/>
    </xf>
    <xf numFmtId="165" fontId="7" fillId="3" borderId="7" applyAlignment="1" pivotButton="0" quotePrefix="0" xfId="0">
      <alignment horizontal="left"/>
    </xf>
    <xf numFmtId="165" fontId="7" fillId="6" borderId="7" applyAlignment="1" pivotButton="0" quotePrefix="0" xfId="0">
      <alignment horizontal="right"/>
    </xf>
    <xf numFmtId="165" fontId="7" fillId="3" borderId="7" applyAlignment="1" pivotButton="0" quotePrefix="0" xfId="0">
      <alignment horizontal="right"/>
    </xf>
    <xf numFmtId="165" fontId="54" fillId="3" borderId="7" applyAlignment="1" pivotButton="0" quotePrefix="0" xfId="0">
      <alignment horizontal="right"/>
    </xf>
    <xf numFmtId="165" fontId="7" fillId="6" borderId="28" applyAlignment="1" pivotButton="0" quotePrefix="0" xfId="0">
      <alignment horizontal="right"/>
    </xf>
    <xf numFmtId="165" fontId="0" fillId="6" borderId="21" applyAlignment="1" pivotButton="0" quotePrefix="0" xfId="0">
      <alignment horizontal="right"/>
    </xf>
    <xf numFmtId="165" fontId="0" fillId="6" borderId="28" applyAlignment="1" pivotButton="0" quotePrefix="0" xfId="0">
      <alignment horizontal="right"/>
    </xf>
    <xf numFmtId="165" fontId="0" fillId="6" borderId="26" applyAlignment="1" pivotButton="0" quotePrefix="0" xfId="0">
      <alignment horizontal="right"/>
    </xf>
    <xf numFmtId="166" fontId="55" fillId="6" borderId="2" applyAlignment="1" pivotButton="0" quotePrefix="0" xfId="0">
      <alignment horizontal="right"/>
    </xf>
    <xf numFmtId="165" fontId="19" fillId="3" borderId="0" applyAlignment="1" pivotButton="0" quotePrefix="0" xfId="0">
      <alignment horizontal="left" indent="1"/>
    </xf>
    <xf numFmtId="165" fontId="7" fillId="3" borderId="0" applyAlignment="1" pivotButton="0" quotePrefix="0" xfId="0">
      <alignment horizontal="left"/>
    </xf>
    <xf numFmtId="165" fontId="7" fillId="6" borderId="0" applyAlignment="1" pivotButton="0" quotePrefix="0" xfId="0">
      <alignment horizontal="right"/>
    </xf>
    <xf numFmtId="165" fontId="7" fillId="3" borderId="0" applyAlignment="1" pivotButton="0" quotePrefix="0" xfId="0">
      <alignment horizontal="right"/>
    </xf>
    <xf numFmtId="165" fontId="54" fillId="6" borderId="0" applyAlignment="1" pivotButton="0" quotePrefix="0" xfId="0">
      <alignment horizontal="right"/>
    </xf>
    <xf numFmtId="165" fontId="54" fillId="3" borderId="0" applyAlignment="1" pivotButton="0" quotePrefix="0" xfId="0">
      <alignment horizontal="right"/>
    </xf>
    <xf numFmtId="165" fontId="54" fillId="6" borderId="21" applyAlignment="1" pivotButton="0" quotePrefix="0" xfId="0">
      <alignment horizontal="right"/>
    </xf>
    <xf numFmtId="165" fontId="0" fillId="3" borderId="0" applyAlignment="1" pivotButton="0" quotePrefix="0" xfId="0">
      <alignment horizontal="left"/>
    </xf>
    <xf numFmtId="166" fontId="7" fillId="3" borderId="7" applyAlignment="1" pivotButton="0" quotePrefix="0" xfId="30">
      <alignment horizontal="left"/>
    </xf>
    <xf numFmtId="166" fontId="7" fillId="6" borderId="7" pivotButton="0" quotePrefix="0" xfId="0"/>
    <xf numFmtId="166" fontId="25" fillId="3" borderId="0" applyAlignment="1" pivotButton="0" quotePrefix="0" xfId="30">
      <alignment horizontal="left"/>
    </xf>
    <xf numFmtId="165" fontId="55" fillId="6" borderId="0" applyAlignment="1" pivotButton="0" quotePrefix="0" xfId="0">
      <alignment horizontal="left"/>
    </xf>
    <xf numFmtId="165" fontId="55" fillId="3" borderId="0" applyAlignment="1" pivotButton="0" quotePrefix="0" xfId="0">
      <alignment horizontal="left"/>
    </xf>
    <xf numFmtId="165" fontId="0" fillId="6" borderId="0" applyAlignment="1" pivotButton="0" quotePrefix="0" xfId="0">
      <alignment horizontal="left"/>
    </xf>
    <xf numFmtId="165" fontId="0" fillId="6" borderId="21" applyAlignment="1" pivotButton="0" quotePrefix="0" xfId="0">
      <alignment horizontal="left"/>
    </xf>
    <xf numFmtId="165" fontId="29" fillId="6" borderId="0" applyAlignment="1" pivotButton="0" quotePrefix="0" xfId="0">
      <alignment horizontal="left"/>
    </xf>
    <xf numFmtId="166" fontId="26" fillId="4" borderId="0" pivotButton="0" quotePrefix="0" xfId="0"/>
    <xf numFmtId="166" fontId="55" fillId="6" borderId="0" pivotButton="0" quotePrefix="0" xfId="30"/>
    <xf numFmtId="166" fontId="55" fillId="6" borderId="21" pivotButton="0" quotePrefix="0" xfId="0"/>
    <xf numFmtId="166" fontId="0" fillId="3" borderId="2" applyAlignment="1" pivotButton="0" quotePrefix="0" xfId="30">
      <alignment horizontal="left" indent="1"/>
    </xf>
    <xf numFmtId="166" fontId="55" fillId="6" borderId="2" pivotButton="0" quotePrefix="0" xfId="30"/>
    <xf numFmtId="166" fontId="0" fillId="3" borderId="2" pivotButton="0" quotePrefix="0" xfId="0"/>
    <xf numFmtId="166" fontId="55" fillId="6" borderId="26" pivotButton="0" quotePrefix="0" xfId="0"/>
    <xf numFmtId="166" fontId="25" fillId="3" borderId="7" applyAlignment="1" pivotButton="0" quotePrefix="0" xfId="0">
      <alignment horizontal="left" indent="3"/>
    </xf>
    <xf numFmtId="166" fontId="7" fillId="6" borderId="7" pivotButton="0" quotePrefix="0" xfId="30"/>
    <xf numFmtId="166" fontId="7" fillId="3" borderId="7" pivotButton="0" quotePrefix="0" xfId="0"/>
    <xf numFmtId="166" fontId="7" fillId="6" borderId="28" pivotButton="0" quotePrefix="0" xfId="0"/>
    <xf numFmtId="166" fontId="54" fillId="3" borderId="7" pivotButton="0" quotePrefix="0" xfId="0"/>
    <xf numFmtId="166" fontId="54" fillId="6" borderId="7" pivotButton="0" quotePrefix="0" xfId="0"/>
    <xf numFmtId="166" fontId="54" fillId="6" borderId="28" pivotButton="0" quotePrefix="0" xfId="0"/>
    <xf numFmtId="166" fontId="7" fillId="3" borderId="0" applyAlignment="1" pivotButton="0" quotePrefix="0" xfId="30">
      <alignment horizontal="left"/>
    </xf>
    <xf numFmtId="166" fontId="7" fillId="6" borderId="0" pivotButton="0" quotePrefix="0" xfId="30"/>
    <xf numFmtId="166" fontId="7" fillId="6" borderId="0" pivotButton="0" quotePrefix="0" xfId="0"/>
    <xf numFmtId="166" fontId="7" fillId="6" borderId="21" pivotButton="0" quotePrefix="0" xfId="0"/>
    <xf numFmtId="166" fontId="29" fillId="6" borderId="0" pivotButton="0" quotePrefix="0" xfId="30"/>
    <xf numFmtId="166" fontId="0" fillId="3" borderId="0" applyAlignment="1" pivotButton="0" quotePrefix="0" xfId="30">
      <alignment horizontal="left" indent="2"/>
    </xf>
    <xf numFmtId="166" fontId="0" fillId="3" borderId="2" applyAlignment="1" pivotButton="0" quotePrefix="0" xfId="30">
      <alignment horizontal="left" indent="2"/>
    </xf>
    <xf numFmtId="166" fontId="0" fillId="6" borderId="2" pivotButton="0" quotePrefix="0" xfId="30"/>
    <xf numFmtId="166" fontId="0" fillId="6" borderId="2" pivotButton="0" quotePrefix="0" xfId="0"/>
    <xf numFmtId="166" fontId="0" fillId="6" borderId="26" pivotButton="0" quotePrefix="0" xfId="0"/>
    <xf numFmtId="166" fontId="29" fillId="6" borderId="2" pivotButton="0" quotePrefix="0" xfId="30"/>
    <xf numFmtId="166" fontId="7" fillId="3" borderId="9" applyAlignment="1" pivotButton="0" quotePrefix="0" xfId="30">
      <alignment horizontal="left"/>
    </xf>
    <xf numFmtId="166" fontId="25" fillId="3" borderId="9" applyAlignment="1" pivotButton="0" quotePrefix="0" xfId="0">
      <alignment horizontal="left" indent="3"/>
    </xf>
    <xf numFmtId="166" fontId="7" fillId="6" borderId="9" pivotButton="0" quotePrefix="0" xfId="30"/>
    <xf numFmtId="166" fontId="7" fillId="6" borderId="9" pivotButton="0" quotePrefix="0" xfId="0"/>
    <xf numFmtId="166" fontId="7" fillId="3" borderId="9" pivotButton="0" quotePrefix="0" xfId="0"/>
    <xf numFmtId="166" fontId="7" fillId="6" borderId="37" pivotButton="0" quotePrefix="0" xfId="0"/>
    <xf numFmtId="166" fontId="25" fillId="3" borderId="9" pivotButton="0" quotePrefix="0" xfId="0"/>
    <xf numFmtId="166" fontId="25" fillId="6" borderId="9" pivotButton="0" quotePrefix="0" xfId="0"/>
    <xf numFmtId="166" fontId="29" fillId="3" borderId="7" applyAlignment="1" pivotButton="0" quotePrefix="0" xfId="0">
      <alignment horizontal="left" indent="1"/>
    </xf>
    <xf numFmtId="166" fontId="29" fillId="6" borderId="7" pivotButton="0" quotePrefix="0" xfId="0"/>
    <xf numFmtId="166" fontId="29" fillId="3" borderId="7" pivotButton="0" quotePrefix="0" xfId="0"/>
    <xf numFmtId="166" fontId="29" fillId="6" borderId="28" pivotButton="0" quotePrefix="0" xfId="0"/>
    <xf numFmtId="166" fontId="21" fillId="2" borderId="0" pivotButton="0" quotePrefix="0" xfId="23"/>
    <xf numFmtId="166" fontId="21" fillId="2" borderId="0" applyAlignment="1" pivotButton="0" quotePrefix="0" xfId="23">
      <alignment horizontal="right"/>
    </xf>
    <xf numFmtId="166" fontId="21" fillId="2" borderId="21" applyAlignment="1" pivotButton="0" quotePrefix="0" xfId="23">
      <alignment horizontal="right"/>
    </xf>
    <xf numFmtId="166" fontId="26" fillId="4" borderId="21" pivotButton="0" quotePrefix="0" xfId="0"/>
    <xf numFmtId="166" fontId="24" fillId="0" borderId="0" pivotButton="0" quotePrefix="0" xfId="0"/>
    <xf numFmtId="166" fontId="23" fillId="3" borderId="0" applyAlignment="1" pivotButton="0" quotePrefix="0" xfId="0">
      <alignment horizontal="left" indent="1"/>
    </xf>
    <xf numFmtId="166" fontId="24" fillId="3" borderId="0" applyAlignment="1" pivotButton="0" quotePrefix="0" xfId="0">
      <alignment horizontal="left" indent="3"/>
    </xf>
    <xf numFmtId="166" fontId="24" fillId="6" borderId="0" pivotButton="0" quotePrefix="0" xfId="0"/>
    <xf numFmtId="166" fontId="24" fillId="3" borderId="0" pivotButton="0" quotePrefix="0" xfId="0"/>
    <xf numFmtId="166" fontId="23" fillId="3" borderId="0" pivotButton="0" quotePrefix="0" xfId="0"/>
    <xf numFmtId="166" fontId="24" fillId="6" borderId="21" pivotButton="0" quotePrefix="0" xfId="0"/>
    <xf numFmtId="166" fontId="23" fillId="6" borderId="0" pivotButton="0" quotePrefix="0" xfId="0"/>
    <xf numFmtId="166" fontId="31" fillId="3" borderId="0" applyAlignment="1" pivotButton="0" quotePrefix="0" xfId="0">
      <alignment horizontal="left" indent="1"/>
    </xf>
    <xf numFmtId="166" fontId="29" fillId="3" borderId="9" applyAlignment="1" pivotButton="0" quotePrefix="0" xfId="0">
      <alignment horizontal="left" indent="1"/>
    </xf>
    <xf numFmtId="166" fontId="29" fillId="3" borderId="9" applyAlignment="1" pivotButton="0" quotePrefix="0" xfId="0">
      <alignment horizontal="left" indent="3"/>
    </xf>
    <xf numFmtId="166" fontId="29" fillId="6" borderId="9" pivotButton="0" quotePrefix="0" xfId="0"/>
    <xf numFmtId="166" fontId="29" fillId="3" borderId="9" pivotButton="0" quotePrefix="0" xfId="0"/>
    <xf numFmtId="166" fontId="29" fillId="6" borderId="37" pivotButton="0" quotePrefix="0" xfId="0"/>
    <xf numFmtId="166" fontId="0" fillId="3" borderId="7" applyAlignment="1" pivotButton="0" quotePrefix="0" xfId="0">
      <alignment horizontal="left" indent="1"/>
    </xf>
    <xf numFmtId="166" fontId="29" fillId="3" borderId="7" applyAlignment="1" pivotButton="0" quotePrefix="0" xfId="0">
      <alignment horizontal="left" indent="3"/>
    </xf>
    <xf numFmtId="166" fontId="31" fillId="3" borderId="7" applyAlignment="1" pivotButton="0" quotePrefix="0" xfId="0">
      <alignment horizontal="left" indent="1"/>
    </xf>
    <xf numFmtId="171" fontId="7" fillId="0" borderId="0" pivotButton="0" quotePrefix="0" xfId="0"/>
    <xf numFmtId="171" fontId="3" fillId="3" borderId="0" pivotButton="0" quotePrefix="0" xfId="16"/>
    <xf numFmtId="171" fontId="25" fillId="3" borderId="0" applyAlignment="1" pivotButton="0" quotePrefix="0" xfId="0">
      <alignment horizontal="left" indent="3"/>
    </xf>
    <xf numFmtId="171" fontId="7" fillId="6" borderId="0" pivotButton="0" quotePrefix="0" xfId="0"/>
    <xf numFmtId="171" fontId="7" fillId="3" borderId="0" pivotButton="0" quotePrefix="0" xfId="0"/>
    <xf numFmtId="171" fontId="7" fillId="6" borderId="21" pivotButton="0" quotePrefix="0" xfId="0"/>
    <xf numFmtId="171" fontId="25" fillId="3" borderId="0" pivotButton="0" quotePrefix="0" xfId="0"/>
    <xf numFmtId="171" fontId="25" fillId="6" borderId="0" pivotButton="0" quotePrefix="0" xfId="0"/>
    <xf numFmtId="171" fontId="24" fillId="0" borderId="0" pivotButton="0" quotePrefix="0" xfId="0"/>
    <xf numFmtId="171" fontId="23" fillId="3" borderId="0" applyAlignment="1" pivotButton="0" quotePrefix="0" xfId="0">
      <alignment horizontal="left" indent="1"/>
    </xf>
    <xf numFmtId="171" fontId="24" fillId="3" borderId="0" applyAlignment="1" pivotButton="0" quotePrefix="0" xfId="0">
      <alignment horizontal="left" indent="3"/>
    </xf>
    <xf numFmtId="171" fontId="24" fillId="6" borderId="0" pivotButton="0" quotePrefix="0" xfId="0"/>
    <xf numFmtId="171" fontId="24" fillId="3" borderId="0" pivotButton="0" quotePrefix="0" xfId="0"/>
    <xf numFmtId="171" fontId="23" fillId="3" borderId="0" pivotButton="0" quotePrefix="0" xfId="0"/>
    <xf numFmtId="171" fontId="24" fillId="6" borderId="21" pivotButton="0" quotePrefix="0" xfId="0"/>
    <xf numFmtId="171" fontId="24" fillId="3" borderId="0" applyAlignment="1" pivotButton="0" quotePrefix="0" xfId="0">
      <alignment horizontal="right"/>
    </xf>
    <xf numFmtId="171" fontId="24" fillId="6" borderId="0" applyAlignment="1" pivotButton="0" quotePrefix="0" xfId="0">
      <alignment horizontal="right"/>
    </xf>
    <xf numFmtId="166" fontId="55" fillId="3" borderId="0" pivotButton="0" quotePrefix="0" xfId="30"/>
    <xf numFmtId="166" fontId="0" fillId="6" borderId="0" pivotButton="0" quotePrefix="0" xfId="30"/>
    <xf numFmtId="166" fontId="0" fillId="3" borderId="0" pivotButton="0" quotePrefix="0" xfId="30"/>
    <xf numFmtId="166" fontId="19" fillId="3" borderId="2" applyAlignment="1" pivotButton="0" quotePrefix="0" xfId="0">
      <alignment horizontal="left" indent="1"/>
    </xf>
    <xf numFmtId="166" fontId="24" fillId="3" borderId="2" applyAlignment="1" pivotButton="0" quotePrefix="0" xfId="0">
      <alignment horizontal="left" indent="3"/>
    </xf>
    <xf numFmtId="187" fontId="0" fillId="0" borderId="0" pivotButton="0" quotePrefix="0" xfId="0"/>
    <xf numFmtId="187" fontId="29" fillId="3" borderId="0" applyAlignment="1" pivotButton="0" quotePrefix="0" xfId="0">
      <alignment horizontal="left" indent="3"/>
    </xf>
    <xf numFmtId="187" fontId="29" fillId="6" borderId="0" pivotButton="0" quotePrefix="0" xfId="0"/>
    <xf numFmtId="187" fontId="29" fillId="3" borderId="0" pivotButton="0" quotePrefix="0" xfId="0"/>
    <xf numFmtId="187" fontId="29" fillId="6" borderId="21" pivotButton="0" quotePrefix="0" xfId="0"/>
    <xf numFmtId="187" fontId="0" fillId="3" borderId="0" pivotButton="0" quotePrefix="0" xfId="0"/>
    <xf numFmtId="196" fontId="0" fillId="0" borderId="0" pivotButton="0" quotePrefix="0" xfId="0"/>
    <xf numFmtId="196" fontId="19" fillId="3" borderId="0" applyAlignment="1" pivotButton="0" quotePrefix="0" xfId="0">
      <alignment horizontal="left" indent="1"/>
    </xf>
    <xf numFmtId="196" fontId="24" fillId="3" borderId="0" applyAlignment="1" pivotButton="0" quotePrefix="0" xfId="0">
      <alignment horizontal="left" indent="3"/>
    </xf>
    <xf numFmtId="196" fontId="24" fillId="6" borderId="0" pivotButton="0" quotePrefix="0" xfId="0"/>
    <xf numFmtId="196" fontId="24" fillId="3" borderId="0" pivotButton="0" quotePrefix="0" xfId="0"/>
    <xf numFmtId="196" fontId="24" fillId="6" borderId="21" pivotButton="0" quotePrefix="0" xfId="0"/>
    <xf numFmtId="196" fontId="56" fillId="3" borderId="0" pivotButton="0" quotePrefix="0" xfId="0"/>
    <xf numFmtId="196" fontId="56" fillId="6" borderId="0" pivotButton="0" quotePrefix="0" xfId="0"/>
    <xf numFmtId="196" fontId="0" fillId="3" borderId="0" pivotButton="0" quotePrefix="0" xfId="0"/>
    <xf numFmtId="166" fontId="29" fillId="3" borderId="13" applyAlignment="1" pivotButton="0" quotePrefix="0" xfId="0">
      <alignment horizontal="left" indent="1"/>
    </xf>
    <xf numFmtId="166" fontId="29" fillId="3" borderId="13" applyAlignment="1" pivotButton="0" quotePrefix="0" xfId="0">
      <alignment horizontal="left" indent="3"/>
    </xf>
    <xf numFmtId="166" fontId="29" fillId="6" borderId="13" pivotButton="0" quotePrefix="0" xfId="0"/>
    <xf numFmtId="166" fontId="29" fillId="3" borderId="13" pivotButton="0" quotePrefix="0" xfId="0"/>
    <xf numFmtId="166" fontId="29" fillId="6" borderId="22" pivotButton="0" quotePrefix="0" xfId="0"/>
    <xf numFmtId="166" fontId="25" fillId="3" borderId="12" pivotButton="0" quotePrefix="0" xfId="0"/>
    <xf numFmtId="166" fontId="25" fillId="3" borderId="12" applyAlignment="1" pivotButton="0" quotePrefix="0" xfId="0">
      <alignment horizontal="left" indent="3"/>
    </xf>
    <xf numFmtId="166" fontId="25" fillId="6" borderId="12" pivotButton="0" quotePrefix="0" xfId="0"/>
    <xf numFmtId="166" fontId="25" fillId="6" borderId="24" pivotButton="0" quotePrefix="0" xfId="0"/>
    <xf numFmtId="171" fontId="32" fillId="3" borderId="0" applyAlignment="1" pivotButton="0" quotePrefix="0" xfId="0">
      <alignment horizontal="left"/>
    </xf>
    <xf numFmtId="171" fontId="25" fillId="6" borderId="0" applyAlignment="1" pivotButton="0" quotePrefix="0" xfId="16">
      <alignment horizontal="right" indent="1"/>
    </xf>
    <xf numFmtId="171" fontId="25" fillId="6" borderId="0" pivotButton="0" quotePrefix="0" xfId="16"/>
    <xf numFmtId="171" fontId="25" fillId="3" borderId="0" pivotButton="0" quotePrefix="0" xfId="16"/>
    <xf numFmtId="171" fontId="25" fillId="6" borderId="21" pivotButton="0" quotePrefix="0" xfId="16"/>
    <xf numFmtId="171" fontId="23" fillId="3" borderId="0" pivotButton="0" quotePrefix="0" xfId="16"/>
    <xf numFmtId="166" fontId="32" fillId="3" borderId="0" pivotButton="0" quotePrefix="0" xfId="0"/>
    <xf numFmtId="166" fontId="54" fillId="3" borderId="0" pivotButton="0" quotePrefix="0" xfId="0"/>
    <xf numFmtId="166" fontId="54" fillId="6" borderId="0" pivotButton="0" quotePrefix="0" xfId="0"/>
    <xf numFmtId="171" fontId="0" fillId="0" borderId="0" pivotButton="0" quotePrefix="0" xfId="0"/>
    <xf numFmtId="171" fontId="2" fillId="3" borderId="0" pivotButton="0" quotePrefix="0" xfId="16"/>
    <xf numFmtId="171" fontId="29" fillId="3" borderId="0" applyAlignment="1" pivotButton="0" quotePrefix="0" xfId="0">
      <alignment horizontal="left" indent="3"/>
    </xf>
    <xf numFmtId="171" fontId="55" fillId="6" borderId="0" pivotButton="0" quotePrefix="0" xfId="0"/>
    <xf numFmtId="171" fontId="55" fillId="3" borderId="0" pivotButton="0" quotePrefix="0" xfId="0"/>
    <xf numFmtId="171" fontId="0" fillId="6" borderId="0" pivotButton="0" quotePrefix="0" xfId="0"/>
    <xf numFmtId="171" fontId="0" fillId="6" borderId="21" pivotButton="0" quotePrefix="0" xfId="0"/>
    <xf numFmtId="171" fontId="29" fillId="6" borderId="0" pivotButton="0" quotePrefix="0" xfId="0"/>
    <xf numFmtId="171" fontId="0" fillId="3" borderId="0" pivotButton="0" quotePrefix="0" xfId="0"/>
    <xf numFmtId="171" fontId="21" fillId="3" borderId="0" pivotButton="0" quotePrefix="0" xfId="16"/>
    <xf numFmtId="171" fontId="29" fillId="3" borderId="0" pivotButton="0" quotePrefix="0" xfId="0"/>
    <xf numFmtId="171" fontId="29" fillId="6" borderId="21" pivotButton="0" quotePrefix="0" xfId="0"/>
    <xf numFmtId="171" fontId="25" fillId="6" borderId="21" pivotButton="0" quotePrefix="0" xfId="0"/>
    <xf numFmtId="171" fontId="54" fillId="3" borderId="0" pivotButton="0" quotePrefix="0" xfId="0"/>
    <xf numFmtId="171" fontId="54" fillId="6" borderId="0" pivotButton="0" quotePrefix="0" xfId="0"/>
    <xf numFmtId="166" fontId="0" fillId="3" borderId="13" applyAlignment="1" pivotButton="0" quotePrefix="0" xfId="0">
      <alignment horizontal="left" indent="1"/>
    </xf>
    <xf numFmtId="166" fontId="0" fillId="6" borderId="13" pivotButton="0" quotePrefix="0" xfId="0"/>
    <xf numFmtId="166" fontId="0" fillId="3" borderId="13" pivotButton="0" quotePrefix="0" xfId="0"/>
    <xf numFmtId="166" fontId="0" fillId="6" borderId="22" pivotButton="0" quotePrefix="0" xfId="0"/>
    <xf numFmtId="168" fontId="25" fillId="6" borderId="0" applyAlignment="1" pivotButton="0" quotePrefix="0" xfId="0">
      <alignment horizontal="right"/>
    </xf>
    <xf numFmtId="168" fontId="25" fillId="3" borderId="0" applyAlignment="1" pivotButton="0" quotePrefix="0" xfId="0">
      <alignment horizontal="right"/>
    </xf>
    <xf numFmtId="168" fontId="25" fillId="6" borderId="21" applyAlignment="1" pivotButton="0" quotePrefix="0" xfId="0">
      <alignment horizontal="right"/>
    </xf>
    <xf numFmtId="168" fontId="7" fillId="0" borderId="0" pivotButton="0" quotePrefix="0" xfId="0"/>
    <xf numFmtId="168" fontId="3" fillId="3" borderId="0" pivotButton="0" quotePrefix="0" xfId="0"/>
    <xf numFmtId="168" fontId="25" fillId="3" borderId="0" applyAlignment="1" pivotButton="0" quotePrefix="0" xfId="0">
      <alignment horizontal="left" indent="3"/>
    </xf>
    <xf numFmtId="168" fontId="7" fillId="6" borderId="0" applyAlignment="1" pivotButton="0" quotePrefix="0" xfId="0">
      <alignment horizontal="right"/>
    </xf>
    <xf numFmtId="168" fontId="25" fillId="3" borderId="0" pivotButton="0" quotePrefix="0" xfId="0"/>
    <xf numFmtId="168" fontId="7" fillId="6" borderId="21" applyAlignment="1" pivotButton="0" quotePrefix="0" xfId="0">
      <alignment horizontal="right"/>
    </xf>
    <xf numFmtId="168" fontId="7" fillId="3" borderId="0" pivotButton="0" quotePrefix="0" xfId="0"/>
    <xf numFmtId="188" fontId="7" fillId="3" borderId="0" applyAlignment="1" pivotButton="0" quotePrefix="0" xfId="0">
      <alignment horizontal="left"/>
    </xf>
    <xf numFmtId="171" fontId="54" fillId="3" borderId="0" applyAlignment="1" pivotButton="0" quotePrefix="0" xfId="0">
      <alignment horizontal="left"/>
    </xf>
    <xf numFmtId="171" fontId="7" fillId="6" borderId="0" applyAlignment="1" pivotButton="0" quotePrefix="0" xfId="0">
      <alignment horizontal="right"/>
    </xf>
    <xf numFmtId="171" fontId="7" fillId="3" borderId="0" applyAlignment="1" pivotButton="0" quotePrefix="0" xfId="0">
      <alignment horizontal="right"/>
    </xf>
    <xf numFmtId="171" fontId="7" fillId="6" borderId="21" applyAlignment="1" pivotButton="0" quotePrefix="0" xfId="0">
      <alignment horizontal="right"/>
    </xf>
    <xf numFmtId="171" fontId="25" fillId="3" borderId="0" applyAlignment="1" pivotButton="0" quotePrefix="0" xfId="0">
      <alignment horizontal="right"/>
    </xf>
    <xf numFmtId="168" fontId="0" fillId="0" borderId="0" pivotButton="0" quotePrefix="0" xfId="0"/>
    <xf numFmtId="168" fontId="21" fillId="3" borderId="0" pivotButton="0" quotePrefix="0" xfId="0"/>
    <xf numFmtId="168" fontId="29" fillId="3" borderId="0" applyAlignment="1" pivotButton="0" quotePrefix="0" xfId="0">
      <alignment horizontal="left" indent="3"/>
    </xf>
    <xf numFmtId="168" fontId="29" fillId="6" borderId="0" applyAlignment="1" pivotButton="0" quotePrefix="0" xfId="0">
      <alignment horizontal="right"/>
    </xf>
    <xf numFmtId="168" fontId="29" fillId="3" borderId="0" applyAlignment="1" pivotButton="0" quotePrefix="0" xfId="0">
      <alignment horizontal="right"/>
    </xf>
    <xf numFmtId="168" fontId="29" fillId="3" borderId="0" pivotButton="0" quotePrefix="0" xfId="0"/>
    <xf numFmtId="168" fontId="29" fillId="6" borderId="21" applyAlignment="1" pivotButton="0" quotePrefix="0" xfId="0">
      <alignment horizontal="right"/>
    </xf>
    <xf numFmtId="168" fontId="0" fillId="3" borderId="0" pivotButton="0" quotePrefix="0" xfId="0"/>
    <xf numFmtId="168" fontId="2" fillId="3" borderId="0" pivotButton="0" quotePrefix="0" xfId="0"/>
    <xf numFmtId="168" fontId="0" fillId="6" borderId="0" applyAlignment="1" pivotButton="0" quotePrefix="0" xfId="0">
      <alignment horizontal="right"/>
    </xf>
    <xf numFmtId="168" fontId="0" fillId="6" borderId="21" applyAlignment="1" pivotButton="0" quotePrefix="0" xfId="0">
      <alignment horizontal="right"/>
    </xf>
    <xf numFmtId="181" fontId="0" fillId="0" borderId="0" pivotButton="0" quotePrefix="0" xfId="0"/>
    <xf numFmtId="181" fontId="0" fillId="3" borderId="0" applyAlignment="1" pivotButton="0" quotePrefix="0" xfId="0">
      <alignment horizontal="left" indent="1"/>
    </xf>
    <xf numFmtId="181" fontId="21" fillId="3" borderId="0" pivotButton="0" quotePrefix="0" xfId="16"/>
    <xf numFmtId="181" fontId="0" fillId="6" borderId="0" applyAlignment="1" pivotButton="0" quotePrefix="0" xfId="0">
      <alignment horizontal="right"/>
    </xf>
    <xf numFmtId="181" fontId="0" fillId="3" borderId="0" applyAlignment="1" pivotButton="0" quotePrefix="0" xfId="0">
      <alignment horizontal="right"/>
    </xf>
    <xf numFmtId="181" fontId="0" fillId="6" borderId="21" applyAlignment="1" pivotButton="0" quotePrefix="0" xfId="0">
      <alignment horizontal="right"/>
    </xf>
    <xf numFmtId="181" fontId="29" fillId="3" borderId="0" applyAlignment="1" pivotButton="0" quotePrefix="0" xfId="0">
      <alignment horizontal="right"/>
    </xf>
    <xf numFmtId="181" fontId="29" fillId="6" borderId="0" applyAlignment="1" pivotButton="0" quotePrefix="0" xfId="0">
      <alignment horizontal="right"/>
    </xf>
    <xf numFmtId="181" fontId="0" fillId="3" borderId="0" pivotButton="0" quotePrefix="0" xfId="0"/>
    <xf numFmtId="175" fontId="0" fillId="0" borderId="0" pivotButton="0" quotePrefix="0" xfId="0"/>
    <xf numFmtId="175" fontId="0" fillId="3" borderId="0" applyAlignment="1" pivotButton="0" quotePrefix="0" xfId="0">
      <alignment horizontal="left" indent="1"/>
    </xf>
    <xf numFmtId="175" fontId="21" fillId="3" borderId="0" pivotButton="0" quotePrefix="0" xfId="16"/>
    <xf numFmtId="175" fontId="0" fillId="6" borderId="0" applyAlignment="1" pivotButton="0" quotePrefix="0" xfId="0">
      <alignment horizontal="right"/>
    </xf>
    <xf numFmtId="175" fontId="0" fillId="3" borderId="0" applyAlignment="1" pivotButton="0" quotePrefix="0" xfId="0">
      <alignment horizontal="right"/>
    </xf>
    <xf numFmtId="175" fontId="0" fillId="6" borderId="21" applyAlignment="1" pivotButton="0" quotePrefix="0" xfId="0">
      <alignment horizontal="right"/>
    </xf>
    <xf numFmtId="175" fontId="29" fillId="3" borderId="0" applyAlignment="1" pivotButton="0" quotePrefix="0" xfId="0">
      <alignment horizontal="right"/>
    </xf>
    <xf numFmtId="175" fontId="29" fillId="6" borderId="0" applyAlignment="1" pivotButton="0" quotePrefix="0" xfId="0">
      <alignment horizontal="right"/>
    </xf>
    <xf numFmtId="175" fontId="0" fillId="3" borderId="0" pivotButton="0" quotePrefix="0" xfId="0"/>
    <xf numFmtId="174" fontId="7" fillId="0" borderId="0" pivotButton="0" quotePrefix="0" xfId="0"/>
    <xf numFmtId="174" fontId="0" fillId="3" borderId="0" applyAlignment="1" pivotButton="0" quotePrefix="0" xfId="0">
      <alignment horizontal="left" indent="1"/>
    </xf>
    <xf numFmtId="174" fontId="21" fillId="3" borderId="0" pivotButton="0" quotePrefix="0" xfId="16"/>
    <xf numFmtId="174" fontId="0" fillId="3" borderId="0" pivotButton="0" quotePrefix="0" xfId="0"/>
    <xf numFmtId="166" fontId="7" fillId="3" borderId="0" applyAlignment="1" pivotButton="0" quotePrefix="0" xfId="0">
      <alignment horizontal="left" indent="1"/>
    </xf>
    <xf numFmtId="165" fontId="0" fillId="6" borderId="0" pivotButton="0" quotePrefix="0" xfId="0"/>
    <xf numFmtId="165" fontId="0" fillId="6" borderId="21" pivotButton="0" quotePrefix="0" xfId="0"/>
    <xf numFmtId="166" fontId="29" fillId="3" borderId="0" pivotButton="0" quotePrefix="0" xfId="30"/>
    <xf numFmtId="166" fontId="29" fillId="3" borderId="2" pivotButton="0" quotePrefix="0" xfId="30"/>
    <xf numFmtId="166" fontId="0" fillId="3" borderId="2" pivotButton="0" quotePrefix="0" xfId="30"/>
    <xf numFmtId="166" fontId="0" fillId="3" borderId="9" applyAlignment="1" pivotButton="0" quotePrefix="0" xfId="0">
      <alignment horizontal="left" indent="1"/>
    </xf>
    <xf numFmtId="166" fontId="0" fillId="6" borderId="9" pivotButton="0" quotePrefix="0" xfId="30"/>
    <xf numFmtId="166" fontId="55" fillId="3" borderId="9" pivotButton="0" quotePrefix="0" xfId="30"/>
    <xf numFmtId="166" fontId="0" fillId="3" borderId="9" pivotButton="0" quotePrefix="0" xfId="30"/>
    <xf numFmtId="166" fontId="55" fillId="3" borderId="9" pivotButton="0" quotePrefix="0" xfId="0"/>
    <xf numFmtId="166" fontId="0" fillId="3" borderId="9" pivotButton="0" quotePrefix="0" xfId="0"/>
    <xf numFmtId="166" fontId="55" fillId="6" borderId="9" pivotButton="0" quotePrefix="0" xfId="30"/>
    <xf numFmtId="166" fontId="29" fillId="6" borderId="9" pivotButton="0" quotePrefix="0" xfId="30"/>
    <xf numFmtId="166" fontId="55" fillId="6" borderId="37" pivotButton="0" quotePrefix="0" xfId="30"/>
    <xf numFmtId="166" fontId="55" fillId="3" borderId="2" pivotButton="0" quotePrefix="0" xfId="30"/>
    <xf numFmtId="165" fontId="25" fillId="3" borderId="0" applyAlignment="1" pivotButton="0" quotePrefix="0" xfId="0">
      <alignment horizontal="left" indent="3"/>
    </xf>
    <xf numFmtId="165" fontId="25" fillId="6" borderId="0" pivotButton="0" quotePrefix="0" xfId="0"/>
    <xf numFmtId="165" fontId="25" fillId="3" borderId="0" pivotButton="0" quotePrefix="0" xfId="0"/>
    <xf numFmtId="165" fontId="25" fillId="6" borderId="21" pivotButton="0" quotePrefix="0" xfId="0"/>
    <xf numFmtId="166" fontId="0" fillId="6" borderId="9" pivotButton="0" quotePrefix="0" xfId="0"/>
    <xf numFmtId="166" fontId="0" fillId="6" borderId="37" pivotButton="0" quotePrefix="0" xfId="0"/>
    <xf numFmtId="166" fontId="26" fillId="4" borderId="0" applyAlignment="1" pivotButton="0" quotePrefix="0" xfId="0">
      <alignment horizontal="left"/>
    </xf>
    <xf numFmtId="166" fontId="26" fillId="4" borderId="0" applyAlignment="1" pivotButton="0" quotePrefix="0" xfId="0">
      <alignment horizontal="left" indent="3"/>
    </xf>
    <xf numFmtId="166" fontId="26" fillId="4" borderId="0" applyAlignment="1" pivotButton="0" quotePrefix="0" xfId="0">
      <alignment horizontal="right"/>
    </xf>
    <xf numFmtId="166" fontId="26" fillId="4" borderId="21" applyAlignment="1" pivotButton="0" quotePrefix="0" xfId="0">
      <alignment horizontal="right"/>
    </xf>
    <xf numFmtId="166" fontId="25" fillId="3" borderId="12" applyAlignment="1" pivotButton="0" quotePrefix="0" xfId="0">
      <alignment horizontal="left"/>
    </xf>
    <xf numFmtId="166" fontId="25" fillId="6" borderId="12" applyAlignment="1" pivotButton="0" quotePrefix="0" xfId="0">
      <alignment horizontal="right"/>
    </xf>
    <xf numFmtId="166" fontId="25" fillId="3" borderId="12" applyAlignment="1" pivotButton="0" quotePrefix="0" xfId="0">
      <alignment horizontal="right"/>
    </xf>
    <xf numFmtId="166" fontId="25" fillId="6" borderId="24" applyAlignment="1" pivotButton="0" quotePrefix="0" xfId="0">
      <alignment horizontal="right"/>
    </xf>
    <xf numFmtId="166" fontId="24" fillId="3" borderId="0" applyAlignment="1" pivotButton="0" quotePrefix="0" xfId="0">
      <alignment horizontal="left"/>
    </xf>
    <xf numFmtId="166" fontId="0" fillId="3" borderId="0" applyAlignment="1" pivotButton="0" quotePrefix="0" xfId="0">
      <alignment horizontal="left" indent="2"/>
    </xf>
    <xf numFmtId="166" fontId="0" fillId="6" borderId="7" pivotButton="0" quotePrefix="0" xfId="30"/>
    <xf numFmtId="166" fontId="0" fillId="6" borderId="7" pivotButton="0" quotePrefix="0" xfId="0"/>
    <xf numFmtId="166" fontId="0" fillId="3" borderId="7" pivotButton="0" quotePrefix="0" xfId="0"/>
    <xf numFmtId="166" fontId="0" fillId="6" borderId="28" pivotButton="0" quotePrefix="0" xfId="0"/>
    <xf numFmtId="166" fontId="3" fillId="3" borderId="0" pivotButton="0" quotePrefix="0" xfId="0"/>
    <xf numFmtId="166" fontId="0" fillId="3" borderId="2" applyAlignment="1" pivotButton="0" quotePrefix="0" xfId="0">
      <alignment horizontal="left" indent="2"/>
    </xf>
    <xf numFmtId="166" fontId="28" fillId="4" borderId="0" pivotButton="0" quotePrefix="0" xfId="0"/>
    <xf numFmtId="166" fontId="28" fillId="4" borderId="21" pivotButton="0" quotePrefix="0" xfId="0"/>
    <xf numFmtId="166" fontId="29" fillId="3" borderId="21" applyAlignment="1" pivotButton="0" quotePrefix="0" xfId="0">
      <alignment horizontal="right"/>
    </xf>
    <xf numFmtId="166" fontId="21" fillId="3" borderId="13" applyAlignment="1" pivotButton="0" quotePrefix="0" xfId="26">
      <alignment horizontal="left" indent="1"/>
    </xf>
    <xf numFmtId="166" fontId="21" fillId="3" borderId="0" pivotButton="0" quotePrefix="0" xfId="26"/>
    <xf numFmtId="166" fontId="32" fillId="3" borderId="17" pivotButton="0" quotePrefix="0" xfId="26"/>
    <xf numFmtId="165" fontId="29" fillId="3" borderId="11" pivotButton="0" quotePrefix="0" xfId="0"/>
    <xf numFmtId="165" fontId="21" fillId="3" borderId="0" pivotButton="0" quotePrefix="0" xfId="26"/>
    <xf numFmtId="165" fontId="29" fillId="3" borderId="21" pivotButton="0" quotePrefix="0" xfId="0"/>
    <xf numFmtId="195" fontId="21" fillId="3" borderId="18" applyAlignment="1" pivotButton="0" quotePrefix="0" xfId="26">
      <alignment horizontal="left" indent="1"/>
    </xf>
    <xf numFmtId="177" fontId="21" fillId="3" borderId="18" applyAlignment="1" pivotButton="0" quotePrefix="0" xfId="26">
      <alignment horizontal="left" indent="1"/>
    </xf>
    <xf numFmtId="178" fontId="21" fillId="3" borderId="18" applyAlignment="1" pivotButton="0" quotePrefix="0" xfId="26">
      <alignment horizontal="left" indent="1"/>
    </xf>
    <xf numFmtId="179" fontId="21" fillId="3" borderId="18" applyAlignment="1" pivotButton="0" quotePrefix="0" xfId="26">
      <alignment horizontal="left" indent="1"/>
    </xf>
    <xf numFmtId="180" fontId="21" fillId="3" borderId="20" applyAlignment="1" pivotButton="0" quotePrefix="0" xfId="26">
      <alignment horizontal="left" indent="1"/>
    </xf>
    <xf numFmtId="166" fontId="21" fillId="3" borderId="16" applyAlignment="1" pivotButton="0" quotePrefix="0" xfId="26">
      <alignment horizontal="left" indent="1"/>
    </xf>
    <xf numFmtId="165" fontId="29" fillId="3" borderId="13" pivotButton="0" quotePrefix="0" xfId="0"/>
    <xf numFmtId="166" fontId="32" fillId="3" borderId="8" pivotButton="0" quotePrefix="0" xfId="26"/>
    <xf numFmtId="166" fontId="21" fillId="3" borderId="5" applyAlignment="1" pivotButton="0" quotePrefix="0" xfId="26">
      <alignment horizontal="left" indent="1"/>
    </xf>
    <xf numFmtId="165" fontId="58" fillId="3" borderId="4" pivotButton="0" quotePrefix="0" xfId="26"/>
    <xf numFmtId="166" fontId="21" fillId="3" borderId="3" applyAlignment="1" pivotButton="0" quotePrefix="0" xfId="26">
      <alignment horizontal="left" indent="1"/>
    </xf>
    <xf numFmtId="165" fontId="58" fillId="3" borderId="1" pivotButton="0" quotePrefix="0" xfId="26"/>
    <xf numFmtId="166" fontId="21" fillId="3" borderId="12" applyAlignment="1" pivotButton="0" quotePrefix="0" xfId="26">
      <alignment horizontal="left" indent="1"/>
    </xf>
    <xf numFmtId="165" fontId="29" fillId="3" borderId="12" pivotButton="0" quotePrefix="0" xfId="0"/>
    <xf numFmtId="166" fontId="3" fillId="3" borderId="6" applyAlignment="1" pivotButton="0" quotePrefix="0" xfId="26">
      <alignment horizontal="left"/>
    </xf>
    <xf numFmtId="166" fontId="2" fillId="3" borderId="4" applyAlignment="1" pivotButton="0" quotePrefix="0" xfId="26">
      <alignment horizontal="left" indent="1"/>
    </xf>
    <xf numFmtId="166" fontId="21" fillId="3" borderId="1" applyAlignment="1" pivotButton="0" quotePrefix="0" xfId="26">
      <alignment horizontal="left" indent="1"/>
    </xf>
    <xf numFmtId="166" fontId="21" fillId="3" borderId="0" applyAlignment="1" pivotButton="0" quotePrefix="0" xfId="26">
      <alignment horizontal="left" indent="1"/>
    </xf>
    <xf numFmtId="166" fontId="32" fillId="3" borderId="6" applyAlignment="1" pivotButton="0" quotePrefix="0" xfId="26">
      <alignment horizontal="left"/>
    </xf>
    <xf numFmtId="166" fontId="21" fillId="3" borderId="4" applyAlignment="1" pivotButton="0" quotePrefix="0" xfId="26">
      <alignment horizontal="left" indent="1"/>
    </xf>
    <xf numFmtId="165" fontId="21" fillId="3" borderId="13" pivotButton="0" quotePrefix="0" xfId="26"/>
    <xf numFmtId="165" fontId="29" fillId="3" borderId="22" pivotButton="0" quotePrefix="0" xfId="0"/>
    <xf numFmtId="166" fontId="32" fillId="3" borderId="7" applyAlignment="1" pivotButton="0" quotePrefix="0" xfId="26">
      <alignment horizontal="left"/>
    </xf>
    <xf numFmtId="165" fontId="29" fillId="3" borderId="7" pivotButton="0" quotePrefix="0" xfId="0"/>
    <xf numFmtId="165" fontId="21" fillId="3" borderId="7" pivotButton="0" quotePrefix="0" xfId="26"/>
    <xf numFmtId="165" fontId="29" fillId="3" borderId="28" pivotButton="0" quotePrefix="0" xfId="0"/>
    <xf numFmtId="165" fontId="29" fillId="3" borderId="6" pivotButton="0" quotePrefix="0" xfId="0"/>
    <xf numFmtId="166" fontId="32" fillId="3" borderId="0" applyAlignment="1" pivotButton="0" quotePrefix="0" xfId="26">
      <alignment horizontal="left"/>
    </xf>
    <xf numFmtId="191" fontId="32" fillId="3" borderId="0" applyAlignment="1" pivotButton="0" quotePrefix="0" xfId="26">
      <alignment horizontal="right"/>
    </xf>
    <xf numFmtId="191" fontId="25" fillId="3" borderId="0" applyAlignment="1" pivotButton="0" quotePrefix="0" xfId="0">
      <alignment horizontal="right"/>
    </xf>
    <xf numFmtId="191" fontId="54" fillId="3" borderId="0" applyAlignment="1" pivotButton="0" quotePrefix="0" xfId="0">
      <alignment horizontal="right"/>
    </xf>
    <xf numFmtId="191" fontId="54" fillId="3" borderId="21" applyAlignment="1" pivotButton="0" quotePrefix="0" xfId="0">
      <alignment horizontal="right"/>
    </xf>
    <xf numFmtId="191" fontId="25" fillId="3" borderId="4" applyAlignment="1" pivotButton="0" quotePrefix="0" xfId="0">
      <alignment horizontal="right"/>
    </xf>
    <xf numFmtId="166" fontId="32" fillId="3" borderId="2" applyAlignment="1" pivotButton="0" quotePrefix="0" xfId="26">
      <alignment horizontal="left"/>
    </xf>
    <xf numFmtId="165" fontId="29" fillId="3" borderId="2" pivotButton="0" quotePrefix="0" xfId="0"/>
    <xf numFmtId="165" fontId="21" fillId="3" borderId="2" pivotButton="0" quotePrefix="0" xfId="26"/>
    <xf numFmtId="165" fontId="29" fillId="3" borderId="26" pivotButton="0" quotePrefix="0" xfId="0"/>
    <xf numFmtId="165" fontId="29" fillId="3" borderId="1" pivotButton="0" quotePrefix="0" xfId="0"/>
    <xf numFmtId="191" fontId="25" fillId="3" borderId="21" applyAlignment="1" pivotButton="0" quotePrefix="0" xfId="0">
      <alignment horizontal="right"/>
    </xf>
    <xf numFmtId="166" fontId="25" fillId="3" borderId="8" pivotButton="0" quotePrefix="0" xfId="0"/>
    <xf numFmtId="166" fontId="25" fillId="3" borderId="28" pivotButton="0" quotePrefix="0" xfId="0"/>
    <xf numFmtId="166" fontId="25" fillId="3" borderId="6" pivotButton="0" quotePrefix="0" xfId="0"/>
    <xf numFmtId="166" fontId="0" fillId="3" borderId="11" pivotButton="0" quotePrefix="0" xfId="0"/>
    <xf numFmtId="166" fontId="25" fillId="3" borderId="5" pivotButton="0" quotePrefix="0" xfId="0"/>
    <xf numFmtId="166" fontId="25" fillId="3" borderId="21" pivotButton="0" quotePrefix="0" xfId="0"/>
    <xf numFmtId="166" fontId="25" fillId="3" borderId="4" pivotButton="0" quotePrefix="0" xfId="0"/>
    <xf numFmtId="166" fontId="29" fillId="3" borderId="4" pivotButton="0" quotePrefix="0" xfId="0"/>
    <xf numFmtId="166" fontId="21" fillId="3" borderId="2" pivotButton="0" quotePrefix="0" xfId="26"/>
    <xf numFmtId="166" fontId="29" fillId="3" borderId="26" pivotButton="0" quotePrefix="0" xfId="0"/>
    <xf numFmtId="166" fontId="29" fillId="3" borderId="1" pivotButton="0" quotePrefix="0" xfId="0"/>
    <xf numFmtId="166" fontId="29" fillId="3" borderId="16" pivotButton="0" quotePrefix="0" xfId="0"/>
    <xf numFmtId="166" fontId="21" fillId="3" borderId="16" pivotButton="0" quotePrefix="0" xfId="26"/>
    <xf numFmtId="166" fontId="29" fillId="3" borderId="23" pivotButton="0" quotePrefix="0" xfId="0"/>
    <xf numFmtId="176" fontId="32" fillId="3" borderId="15" applyAlignment="1" pivotButton="0" quotePrefix="0" xfId="26">
      <alignment horizontal="left"/>
    </xf>
    <xf numFmtId="166" fontId="29" fillId="3" borderId="12" pivotButton="0" quotePrefix="0" xfId="0"/>
    <xf numFmtId="166" fontId="21" fillId="3" borderId="12" pivotButton="0" quotePrefix="0" xfId="26"/>
    <xf numFmtId="166" fontId="29" fillId="3" borderId="24" pivotButton="0" quotePrefix="0" xfId="0"/>
    <xf numFmtId="166" fontId="29" fillId="3" borderId="14" pivotButton="0" quotePrefix="0" xfId="0"/>
    <xf numFmtId="176" fontId="21" fillId="3" borderId="11" applyAlignment="1" pivotButton="0" quotePrefix="0" xfId="26">
      <alignment horizontal="left"/>
    </xf>
    <xf numFmtId="181" fontId="21" fillId="3" borderId="11" applyAlignment="1" pivotButton="0" quotePrefix="0" xfId="26">
      <alignment horizontal="left" indent="1"/>
    </xf>
    <xf numFmtId="181" fontId="29" fillId="3" borderId="0" pivotButton="0" quotePrefix="0" xfId="0"/>
    <xf numFmtId="181" fontId="21" fillId="3" borderId="0" pivotButton="0" quotePrefix="0" xfId="26"/>
    <xf numFmtId="181" fontId="29" fillId="3" borderId="21" pivotButton="0" quotePrefix="0" xfId="0"/>
    <xf numFmtId="181" fontId="29" fillId="3" borderId="10" pivotButton="0" quotePrefix="0" xfId="0"/>
    <xf numFmtId="181" fontId="0" fillId="3" borderId="11" pivotButton="0" quotePrefix="0" xfId="0"/>
    <xf numFmtId="181" fontId="21" fillId="3" borderId="11" applyAlignment="1" pivotButton="0" quotePrefix="0" xfId="26">
      <alignment horizontal="left" indent="2"/>
    </xf>
    <xf numFmtId="181" fontId="58" fillId="3" borderId="0" pivotButton="0" quotePrefix="0" xfId="26"/>
    <xf numFmtId="181" fontId="55" fillId="3" borderId="0" pivotButton="0" quotePrefix="0" xfId="0"/>
    <xf numFmtId="181" fontId="55" fillId="3" borderId="21" pivotButton="0" quotePrefix="0" xfId="0"/>
    <xf numFmtId="166" fontId="21" fillId="3" borderId="11" applyAlignment="1" pivotButton="0" quotePrefix="0" xfId="26">
      <alignment horizontal="left" indent="1"/>
    </xf>
    <xf numFmtId="166" fontId="29" fillId="3" borderId="10" pivotButton="0" quotePrefix="0" xfId="0"/>
    <xf numFmtId="175" fontId="21" fillId="3" borderId="11" applyAlignment="1" pivotButton="0" quotePrefix="0" xfId="26">
      <alignment horizontal="left" indent="1"/>
    </xf>
    <xf numFmtId="175" fontId="29" fillId="3" borderId="0" pivotButton="0" quotePrefix="0" xfId="0"/>
    <xf numFmtId="175" fontId="21" fillId="3" borderId="0" pivotButton="0" quotePrefix="0" xfId="26"/>
    <xf numFmtId="175" fontId="29" fillId="3" borderId="21" pivotButton="0" quotePrefix="0" xfId="0"/>
    <xf numFmtId="175" fontId="29" fillId="3" borderId="10" pivotButton="0" quotePrefix="0" xfId="0"/>
    <xf numFmtId="175" fontId="0" fillId="3" borderId="11" pivotButton="0" quotePrefix="0" xfId="0"/>
    <xf numFmtId="175" fontId="21" fillId="3" borderId="11" applyAlignment="1" pivotButton="0" quotePrefix="0" xfId="26">
      <alignment horizontal="left" indent="2"/>
    </xf>
    <xf numFmtId="175" fontId="58" fillId="3" borderId="0" pivotButton="0" quotePrefix="0" xfId="26"/>
    <xf numFmtId="175" fontId="55" fillId="3" borderId="0" pivotButton="0" quotePrefix="0" xfId="0"/>
    <xf numFmtId="175" fontId="55" fillId="3" borderId="21" pivotButton="0" quotePrefix="0" xfId="0"/>
    <xf numFmtId="166" fontId="21" fillId="3" borderId="25" applyAlignment="1" pivotButton="0" quotePrefix="0" xfId="26">
      <alignment horizontal="left" indent="1"/>
    </xf>
    <xf numFmtId="175" fontId="21" fillId="3" borderId="2" pivotButton="0" quotePrefix="0" xfId="26"/>
    <xf numFmtId="175" fontId="29" fillId="3" borderId="2" pivotButton="0" quotePrefix="0" xfId="0"/>
    <xf numFmtId="175" fontId="29" fillId="3" borderId="26" pivotButton="0" quotePrefix="0" xfId="0"/>
    <xf numFmtId="175" fontId="29" fillId="3" borderId="27" pivotButton="0" quotePrefix="0" xfId="0"/>
    <xf numFmtId="166" fontId="7" fillId="3" borderId="12" pivotButton="0" quotePrefix="0" xfId="0"/>
    <xf numFmtId="174" fontId="0" fillId="0" borderId="0" pivotButton="0" quotePrefix="0" xfId="0"/>
    <xf numFmtId="174" fontId="29" fillId="3" borderId="0" pivotButton="0" quotePrefix="0" xfId="0"/>
    <xf numFmtId="174" fontId="29" fillId="3" borderId="21" pivotButton="0" quotePrefix="0" xfId="0"/>
    <xf numFmtId="186" fontId="29" fillId="3" borderId="0" pivotButton="0" quotePrefix="0" xfId="0"/>
    <xf numFmtId="174" fontId="55" fillId="3" borderId="0" pivotButton="0" quotePrefix="0" xfId="0"/>
    <xf numFmtId="165" fontId="0" fillId="3" borderId="13" applyAlignment="1" pivotButton="0" quotePrefix="0" xfId="0">
      <alignment horizontal="left" indent="1"/>
    </xf>
    <xf numFmtId="165" fontId="0" fillId="3" borderId="13" pivotButton="0" quotePrefix="0" xfId="0"/>
    <xf numFmtId="165" fontId="26" fillId="4" borderId="0" pivotButton="0" quotePrefix="0" xfId="0"/>
    <xf numFmtId="172" fontId="37" fillId="3" borderId="0" applyAlignment="1" pivotButton="0" quotePrefix="0" xfId="24">
      <alignment horizontal="left"/>
    </xf>
    <xf numFmtId="166" fontId="25" fillId="6" borderId="0" applyAlignment="1" pivotButton="0" quotePrefix="0" xfId="0">
      <alignment horizontal="center"/>
    </xf>
    <xf numFmtId="166" fontId="25" fillId="3" borderId="0" applyAlignment="1" pivotButton="0" quotePrefix="0" xfId="0">
      <alignment horizontal="center"/>
    </xf>
    <xf numFmtId="165" fontId="25" fillId="6" borderId="0" applyAlignment="1" pivotButton="0" quotePrefix="0" xfId="0">
      <alignment horizontal="center"/>
    </xf>
    <xf numFmtId="166" fontId="29" fillId="3" borderId="0" applyAlignment="1" pivotButton="0" quotePrefix="0" xfId="0">
      <alignment horizontal="center"/>
    </xf>
    <xf numFmtId="166" fontId="0" fillId="0" borderId="0" pivotButton="0" quotePrefix="0" xfId="30"/>
    <xf numFmtId="166" fontId="32" fillId="3" borderId="0" applyAlignment="1" pivotButton="0" quotePrefix="0" xfId="30">
      <alignment horizontal="left"/>
    </xf>
    <xf numFmtId="166" fontId="31" fillId="3" borderId="0" applyAlignment="1" pivotButton="0" quotePrefix="0" xfId="30">
      <alignment horizontal="center"/>
    </xf>
    <xf numFmtId="166" fontId="25" fillId="6" borderId="0" applyAlignment="1" pivotButton="0" quotePrefix="0" xfId="30">
      <alignment horizontal="center"/>
    </xf>
    <xf numFmtId="166" fontId="32" fillId="6" borderId="0" applyAlignment="1" pivotButton="0" quotePrefix="0" xfId="30">
      <alignment horizontal="center"/>
    </xf>
    <xf numFmtId="166" fontId="32" fillId="3" borderId="0" applyAlignment="1" pivotButton="0" quotePrefix="0" xfId="30">
      <alignment horizontal="center"/>
    </xf>
    <xf numFmtId="166" fontId="32" fillId="6" borderId="21" applyAlignment="1" pivotButton="0" quotePrefix="0" xfId="30">
      <alignment horizontal="center"/>
    </xf>
    <xf numFmtId="166" fontId="28" fillId="4" borderId="0" pivotButton="0" quotePrefix="0" xfId="30"/>
    <xf numFmtId="166" fontId="28" fillId="4" borderId="21" pivotButton="0" quotePrefix="0" xfId="30"/>
    <xf numFmtId="171" fontId="7" fillId="0" borderId="0" pivotButton="0" quotePrefix="0" xfId="30"/>
    <xf numFmtId="171" fontId="25" fillId="3" borderId="0" applyAlignment="1" pivotButton="0" quotePrefix="0" xfId="30">
      <alignment horizontal="left" indent="1"/>
    </xf>
    <xf numFmtId="171" fontId="25" fillId="3" borderId="0" applyAlignment="1" pivotButton="0" quotePrefix="0" xfId="30">
      <alignment horizontal="left"/>
    </xf>
    <xf numFmtId="171" fontId="25" fillId="6" borderId="0" applyAlignment="1" pivotButton="0" quotePrefix="0" xfId="0">
      <alignment horizontal="right"/>
    </xf>
    <xf numFmtId="171" fontId="25" fillId="6" borderId="21" applyAlignment="1" pivotButton="0" quotePrefix="0" xfId="0">
      <alignment horizontal="right"/>
    </xf>
    <xf numFmtId="171" fontId="25" fillId="3" borderId="0" pivotButton="0" quotePrefix="0" xfId="30"/>
    <xf numFmtId="166" fontId="29" fillId="3" borderId="2" applyAlignment="1" pivotButton="0" quotePrefix="0" xfId="30">
      <alignment horizontal="left" indent="1"/>
    </xf>
    <xf numFmtId="171" fontId="29" fillId="3" borderId="2" applyAlignment="1" pivotButton="0" quotePrefix="0" xfId="30">
      <alignment horizontal="left"/>
    </xf>
    <xf numFmtId="166" fontId="7" fillId="0" borderId="0" pivotButton="0" quotePrefix="0" xfId="30"/>
    <xf numFmtId="166" fontId="25" fillId="3" borderId="7" applyAlignment="1" pivotButton="0" quotePrefix="0" xfId="30">
      <alignment horizontal="left" indent="3"/>
    </xf>
    <xf numFmtId="166" fontId="25" fillId="6" borderId="7" pivotButton="0" quotePrefix="0" xfId="30"/>
    <xf numFmtId="166" fontId="25" fillId="3" borderId="7" pivotButton="0" quotePrefix="0" xfId="30"/>
    <xf numFmtId="166" fontId="25" fillId="6" borderId="28" pivotButton="0" quotePrefix="0" xfId="30"/>
    <xf numFmtId="166" fontId="25" fillId="3" borderId="0" pivotButton="0" quotePrefix="0" xfId="30"/>
    <xf numFmtId="166" fontId="29" fillId="3" borderId="0" applyAlignment="1" pivotButton="0" quotePrefix="0" xfId="30">
      <alignment horizontal="left" indent="3"/>
    </xf>
    <xf numFmtId="166" fontId="29" fillId="6" borderId="21" pivotButton="0" quotePrefix="0" xfId="30"/>
    <xf numFmtId="166" fontId="29" fillId="3" borderId="2" applyAlignment="1" pivotButton="0" quotePrefix="0" xfId="30">
      <alignment horizontal="left" indent="3"/>
    </xf>
    <xf numFmtId="166" fontId="29" fillId="6" borderId="26" pivotButton="0" quotePrefix="0" xfId="30"/>
    <xf numFmtId="166" fontId="25" fillId="3" borderId="0" applyAlignment="1" pivotButton="0" quotePrefix="0" xfId="30">
      <alignment horizontal="left" indent="3"/>
    </xf>
    <xf numFmtId="166" fontId="25" fillId="6" borderId="0" pivotButton="0" quotePrefix="0" xfId="30"/>
    <xf numFmtId="166" fontId="25" fillId="6" borderId="21" pivotButton="0" quotePrefix="0" xfId="30"/>
    <xf numFmtId="166" fontId="27" fillId="4" borderId="0" pivotButton="0" quotePrefix="0" xfId="30"/>
    <xf numFmtId="166" fontId="27" fillId="4" borderId="21" pivotButton="0" quotePrefix="0" xfId="30"/>
    <xf numFmtId="171" fontId="32" fillId="3" borderId="0" pivotButton="0" quotePrefix="0" xfId="21"/>
    <xf numFmtId="171" fontId="25" fillId="3" borderId="0" applyAlignment="1" pivotButton="0" quotePrefix="0" xfId="30">
      <alignment horizontal="left" indent="3"/>
    </xf>
    <xf numFmtId="166" fontId="29" fillId="3" borderId="0" applyAlignment="1" pivotButton="0" quotePrefix="0" xfId="30">
      <alignment horizontal="left"/>
    </xf>
    <xf numFmtId="166" fontId="29" fillId="3" borderId="13" applyAlignment="1" pivotButton="0" quotePrefix="0" xfId="30">
      <alignment horizontal="left" indent="1"/>
    </xf>
    <xf numFmtId="166" fontId="29" fillId="3" borderId="13" applyAlignment="1" pivotButton="0" quotePrefix="0" xfId="30">
      <alignment horizontal="left" indent="3"/>
    </xf>
    <xf numFmtId="166" fontId="29" fillId="6" borderId="13" pivotButton="0" quotePrefix="0" xfId="30"/>
    <xf numFmtId="166" fontId="29" fillId="3" borderId="13" pivotButton="0" quotePrefix="0" xfId="30"/>
    <xf numFmtId="166" fontId="29" fillId="6" borderId="22" pivotButton="0" quotePrefix="0" xfId="30"/>
    <xf numFmtId="170" fontId="7" fillId="0" borderId="0" pivotButton="0" quotePrefix="0" xfId="30"/>
    <xf numFmtId="170" fontId="25" fillId="3" borderId="0" applyAlignment="1" pivotButton="0" quotePrefix="0" xfId="30">
      <alignment horizontal="left"/>
    </xf>
    <xf numFmtId="170" fontId="32" fillId="3" borderId="0" pivotButton="0" quotePrefix="0" xfId="21"/>
    <xf numFmtId="170" fontId="25" fillId="6" borderId="0" applyAlignment="1" pivotButton="0" quotePrefix="0" xfId="30">
      <alignment horizontal="right"/>
    </xf>
    <xf numFmtId="170" fontId="25" fillId="3" borderId="0" applyAlignment="1" pivotButton="0" quotePrefix="0" xfId="30">
      <alignment horizontal="right"/>
    </xf>
    <xf numFmtId="170" fontId="25" fillId="6" borderId="21" applyAlignment="1" pivotButton="0" quotePrefix="0" xfId="30">
      <alignment horizontal="right"/>
    </xf>
    <xf numFmtId="170" fontId="25" fillId="3" borderId="0" pivotButton="0" quotePrefix="0" xfId="30"/>
    <xf numFmtId="168" fontId="7" fillId="0" borderId="0" pivotButton="0" quotePrefix="0" xfId="30"/>
    <xf numFmtId="168" fontId="32" fillId="3" borderId="0" pivotButton="0" quotePrefix="0" xfId="30"/>
    <xf numFmtId="168" fontId="25" fillId="3" borderId="0" applyAlignment="1" pivotButton="0" quotePrefix="0" xfId="30">
      <alignment horizontal="left" indent="3"/>
    </xf>
    <xf numFmtId="168" fontId="25" fillId="6" borderId="0" applyAlignment="1" pivotButton="0" quotePrefix="0" xfId="30">
      <alignment horizontal="right"/>
    </xf>
    <xf numFmtId="168" fontId="25" fillId="3" borderId="0" applyAlignment="1" pivotButton="0" quotePrefix="0" xfId="30">
      <alignment horizontal="right"/>
    </xf>
    <xf numFmtId="168" fontId="25" fillId="3" borderId="0" pivotButton="0" quotePrefix="0" xfId="30"/>
    <xf numFmtId="168" fontId="25" fillId="6" borderId="21" applyAlignment="1" pivotButton="0" quotePrefix="0" xfId="30">
      <alignment horizontal="right"/>
    </xf>
    <xf numFmtId="173" fontId="7" fillId="0" borderId="0" pivotButton="0" quotePrefix="0" xfId="30"/>
    <xf numFmtId="173" fontId="25" fillId="3" borderId="0" applyAlignment="1" pivotButton="0" quotePrefix="0" xfId="30">
      <alignment horizontal="left"/>
    </xf>
    <xf numFmtId="173" fontId="32" fillId="3" borderId="0" pivotButton="0" quotePrefix="0" xfId="21"/>
    <xf numFmtId="173" fontId="25" fillId="6" borderId="0" applyAlignment="1" pivotButton="0" quotePrefix="0" xfId="30">
      <alignment horizontal="right"/>
    </xf>
    <xf numFmtId="173" fontId="25" fillId="3" borderId="0" applyAlignment="1" pivotButton="0" quotePrefix="0" xfId="30">
      <alignment horizontal="right"/>
    </xf>
    <xf numFmtId="173" fontId="25" fillId="6" borderId="21" applyAlignment="1" pivotButton="0" quotePrefix="0" xfId="30">
      <alignment horizontal="right"/>
    </xf>
    <xf numFmtId="173" fontId="25" fillId="3" borderId="0" pivotButton="0" quotePrefix="0" xfId="30"/>
    <xf numFmtId="165" fontId="29" fillId="6" borderId="0" pivotButton="0" quotePrefix="0" xfId="30"/>
    <xf numFmtId="165" fontId="29" fillId="3" borderId="0" pivotButton="0" quotePrefix="0" xfId="30"/>
    <xf numFmtId="165" fontId="29" fillId="6" borderId="21" pivotButton="0" quotePrefix="0" xfId="30"/>
    <xf numFmtId="168" fontId="0" fillId="0" borderId="0" pivotButton="0" quotePrefix="0" xfId="30"/>
    <xf numFmtId="168" fontId="21" fillId="3" borderId="0" pivotButton="0" quotePrefix="0" xfId="30"/>
    <xf numFmtId="168" fontId="29" fillId="3" borderId="0" applyAlignment="1" pivotButton="0" quotePrefix="0" xfId="30">
      <alignment horizontal="left" indent="3"/>
    </xf>
    <xf numFmtId="168" fontId="29" fillId="6" borderId="0" applyAlignment="1" pivotButton="0" quotePrefix="0" xfId="30">
      <alignment horizontal="right"/>
    </xf>
    <xf numFmtId="168" fontId="29" fillId="3" borderId="0" applyAlignment="1" pivotButton="0" quotePrefix="0" xfId="30">
      <alignment horizontal="right"/>
    </xf>
    <xf numFmtId="168" fontId="29" fillId="3" borderId="0" pivotButton="0" quotePrefix="0" xfId="30"/>
    <xf numFmtId="168" fontId="29" fillId="6" borderId="21" applyAlignment="1" pivotButton="0" quotePrefix="0" xfId="30">
      <alignment horizontal="right"/>
    </xf>
    <xf numFmtId="165" fontId="26" fillId="4" borderId="0" pivotButton="0" quotePrefix="0" xfId="30"/>
    <xf numFmtId="165" fontId="25" fillId="3" borderId="0" pivotButton="0" quotePrefix="0" xfId="30"/>
    <xf numFmtId="192" fontId="17" fillId="3" borderId="0" applyAlignment="1" pivotButton="0" quotePrefix="0" xfId="28">
      <alignment horizontal="center" vertical="center"/>
    </xf>
    <xf numFmtId="193" fontId="3" fillId="3" borderId="0" applyAlignment="1" pivotButton="0" quotePrefix="0" xfId="28">
      <alignment horizontal="right"/>
    </xf>
    <xf numFmtId="194" fontId="3" fillId="3" borderId="0" applyAlignment="1" pivotButton="0" quotePrefix="0" xfId="28">
      <alignment horizontal="right"/>
    </xf>
    <xf numFmtId="0" fontId="63" fillId="0" borderId="0" pivotButton="0" quotePrefix="0" xfId="0"/>
    <xf numFmtId="0" fontId="64" fillId="0" borderId="0" pivotButton="0" quotePrefix="0" xfId="0"/>
    <xf numFmtId="0" fontId="0" fillId="9" borderId="0" pivotButton="0" quotePrefix="0" xfId="0"/>
    <xf numFmtId="10" fontId="0" fillId="9" borderId="0" pivotButton="0" quotePrefix="0" xfId="0"/>
    <xf numFmtId="198" fontId="64" fillId="0" borderId="0" pivotButton="0" quotePrefix="0" xfId="0"/>
    <xf numFmtId="198" fontId="0" fillId="9" borderId="0" pivotButton="0" quotePrefix="0" xfId="0"/>
    <xf numFmtId="199" fontId="64" fillId="0" borderId="0" pivotButton="0" quotePrefix="0" xfId="0"/>
  </cellXfs>
  <cellStyles count="19">
    <cellStyle name="Normal" xfId="0" builtinId="0"/>
    <cellStyle name="Percent" xfId="1"/>
    <cellStyle name="Currency" xfId="2"/>
    <cellStyle name="Currency [0]" xfId="3"/>
    <cellStyle name="Comma" xfId="4"/>
    <cellStyle name="Comma [0]" xfId="5"/>
    <cellStyle name="Currency 2" xfId="6"/>
    <cellStyle name="Currency 2 2" xfId="7"/>
    <cellStyle name="Currency 2 3" xfId="8"/>
    <cellStyle name="Good" xfId="9"/>
    <cellStyle name="Hyperlink" xfId="10"/>
    <cellStyle name="Hyperlink 2" xfId="11"/>
    <cellStyle name="Normal 2" xfId="12"/>
    <cellStyle name="Normal 2 2" xfId="13"/>
    <cellStyle name="Normal 3" xfId="14"/>
    <cellStyle name="Normal 3 2" xfId="15"/>
    <cellStyle name="Normal 4" xfId="16"/>
    <cellStyle name="Percent 2" xfId="17"/>
    <cellStyle name="Percent 2 2" xfId="18"/>
  </cellStyles>
  <dxfs count="11">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C6EFCE"/>
        </patternFill>
      </fill>
    </dxf>
    <dxf>
      <font>
        <color rgb="FFF2F2F2"/>
      </font>
      <fill>
        <patternFill>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Tegus (ALT)</author>
    <author>Menno Burnet</author>
    <author>Tegus (AN)</author>
    <author>Tegus (TP)</author>
    <author>Tegus (BL)</author>
    <author>Tegus(AR)</author>
    <author>Tegus (VA)</author>
    <author>Tegus (AW)</author>
    <author>Tegus (AA)</author>
  </authors>
  <commentList>
    <comment ref="BN2" authorId="0" shapeId="0">
      <text>
        <t>Tegus: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text>
    </comment>
    <comment ref="BO2" authorId="0" shapeId="0">
      <text>
        <t>Tegus: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text>
    </comment>
    <comment ref="BN6" authorId="0" shapeId="0">
      <text>
        <t>Tegus:
To be updated on full disclosure</t>
      </text>
    </comment>
    <comment ref="BO6" authorId="0" shapeId="0">
      <text>
        <t>Tegus:
To be updated on full disclosure</t>
      </text>
    </comment>
    <comment ref="A7" authorId="1" shapeId="0">
      <text>
        <t>Tegus (LZ):
Provides high productivity, delivering higher ASPs and improved gross margins</t>
      </text>
    </comment>
    <comment ref="AI8" authorId="1" shapeId="0">
      <text>
        <t>Tegus (AP):
Backed out</t>
      </text>
    </comment>
    <comment ref="AJ8" authorId="1" shapeId="0">
      <text>
        <t>Tegus (AP):
Backed out based on provided 3400C shipments</t>
      </text>
    </comment>
    <comment ref="AK8" authorId="1" shapeId="0">
      <text>
        <t>Tegus (AP):
Backed out based on provided 3400C shipments</t>
      </text>
    </comment>
    <comment ref="BI9" authorId="2" shapeId="0">
      <text>
        <t>Tegus (AN):
Sourced from PR: recognition of the first two High NA systems upon customer acceptance</t>
      </text>
    </comment>
    <comment ref="BK9" authorId="2" shapeId="0">
      <text>
        <t>Tegus (AN):
"In the first quarter, we shipped our fifth High NA system, and we now have these systems at three customers"</t>
      </text>
    </comment>
    <comment ref="BL9" authorId="3" shapeId="0">
      <text>
        <t>Tegus (TP):
Not reported. 
"This quarter, we shipped the first TWINSCAN EXE:5200B system."</t>
      </text>
    </comment>
    <comment ref="BM9" authorId="4" shapeId="0">
      <text>
        <t>Tegus (BL):
Not reported.
"On the technology side, we see litho intensity continue to develop positively as EUV adoption gains momentum,
including progress on High NA EUV. In line with our plans to support our customers in the 3D integration space, we
shipped ASML’s first product serving Advanced Packaging, the TWINSCAN XT:260, an i-line scanner offering up to 4x productivity compared to existing solutions."</t>
      </text>
    </comment>
    <comment ref="BN9" authorId="0" shapeId="0">
      <text>
        <t>Tegus (ALT):
we reported record total net sales of €9.7 billion, including the revenue recognized
for two High NA systems.</t>
      </text>
    </comment>
    <comment ref="BO9" authorId="0" shapeId="0">
      <text>
        <t>Tegus:
To be updated on full disclosure</t>
      </text>
    </comment>
    <comment ref="BL10" authorId="3" shapeId="0">
      <text>
        <t>Tegus (TP):
Not reported</t>
      </text>
    </comment>
    <comment ref="AJ11" authorId="1" shapeId="0">
      <text>
        <t xml:space="preserve">Tegus (AP):
6 shipments of NXE:3400C </t>
      </text>
    </comment>
    <comment ref="AK11" authorId="1" shapeId="0">
      <text>
        <t xml:space="preserve">Tegus (AP):
9 shipments of NXE:3400C </t>
      </text>
    </comment>
    <comment ref="AL11" authorId="1" shapeId="0">
      <text>
        <t>Tegus (HS):
Breakdown not reported</t>
      </text>
    </comment>
    <comment ref="A13" authorId="1" shapeId="0">
      <text>
        <t>Tegus (HS):
Reported as Arfdry in IP</t>
      </text>
    </comment>
    <comment ref="V17" authorId="1" shapeId="0">
      <text>
        <t>Tegus (VT):
As per January 1, 2017, ASML presents net sales with respect to metrology and inspection systems as part of net system sales instead of net service and field option sales.</t>
      </text>
    </comment>
    <comment ref="BA17" authorId="1" shapeId="0">
      <text>
        <t>Tegus (CZ):
estimated</t>
      </text>
    </comment>
    <comment ref="BB17" authorId="1" shapeId="0">
      <text>
        <t>Tegus (CZ):
estimated</t>
      </text>
    </comment>
    <comment ref="BC17" authorId="1" shapeId="0">
      <text>
        <t>Tegus (CZ):
estimated</t>
      </text>
    </comment>
    <comment ref="BD17" authorId="1" shapeId="0">
      <text>
        <t>Tegus (CZ):
estimated</t>
      </text>
    </comment>
    <comment ref="BF17" authorId="1" shapeId="0">
      <text>
        <t>Tegus (AN):
estimated</t>
      </text>
    </comment>
    <comment ref="BG17" authorId="1" shapeId="0">
      <text>
        <t>Tegus (AN):
estimated</t>
      </text>
    </comment>
    <comment ref="BH17" authorId="1" shapeId="0">
      <text>
        <t>Tegus (AN):
estimated</t>
      </text>
    </comment>
    <comment ref="BI17" authorId="1" shapeId="0">
      <text>
        <t>Tegus (AN):
estimated</t>
      </text>
    </comment>
    <comment ref="BK17" authorId="2" shapeId="0">
      <text>
        <t>Tegus (AN):
Estimated</t>
      </text>
    </comment>
    <comment ref="BL17" authorId="2" shapeId="0">
      <text>
        <t>Tegus (AN):
Estimated</t>
      </text>
    </comment>
    <comment ref="BM17" authorId="4" shapeId="0">
      <text>
        <t>Tegus:
Estimated</t>
      </text>
    </comment>
    <comment ref="BN17" authorId="0" shapeId="0">
      <text>
        <t>Tegus (ALT):
estimated</t>
      </text>
    </comment>
    <comment ref="BO17" authorId="0" shapeId="0">
      <text>
        <t>Tegus:
To be updated on full disclosure</t>
      </text>
    </comment>
    <comment ref="M20" authorId="1" shapeId="0">
      <text>
        <t>Tegus (SH):
No EUVs sold for this period</t>
      </text>
    </comment>
    <comment ref="O20" authorId="1" shapeId="0">
      <text>
        <t>Tegus (SH):
No EUVs sold for this period</t>
      </text>
    </comment>
    <comment ref="P20" authorId="1" shapeId="0">
      <text>
        <t>Tegus (SH):
No EUVs sold for this period</t>
      </text>
    </comment>
    <comment ref="R20" authorId="1" shapeId="0">
      <text>
        <t>Tegus (SH):
No EUVs sold for this period</t>
      </text>
    </comment>
    <comment ref="W20" authorId="1" shapeId="0">
      <text>
        <t>Tegus (SH):
No EUVs sold for this period</t>
      </text>
    </comment>
    <comment ref="T21" authorId="1" shapeId="0">
      <text>
        <t>Tegus (SH):
No base period</t>
      </text>
    </comment>
    <comment ref="U21" authorId="1" shapeId="0">
      <text>
        <t>Tegus (SH):
No base period</t>
      </text>
    </comment>
    <comment ref="AB21" authorId="1" shapeId="0">
      <text>
        <t>Tegus (SH):
No base period</t>
      </text>
    </comment>
    <comment ref="BA30" authorId="1" shapeId="0">
      <text>
        <t>Tegus (CZ):
backed out</t>
      </text>
    </comment>
    <comment ref="BB30" authorId="1" shapeId="0">
      <text>
        <t>Tegus (TP):
Backed out</t>
      </text>
    </comment>
    <comment ref="BC30" authorId="1" shapeId="0">
      <text>
        <t>Tegus (TP):
Backed out</t>
      </text>
    </comment>
    <comment ref="BD30" authorId="1" shapeId="0">
      <text>
        <t>Tegus (TP):
Backed out</t>
      </text>
    </comment>
    <comment ref="BF30" authorId="1" shapeId="0">
      <text>
        <t>Tegus (AN):
backed out based on estimate</t>
      </text>
    </comment>
    <comment ref="BG30" authorId="1" shapeId="0">
      <text>
        <t>Tegus (AN):
backed out based on estimate</t>
      </text>
    </comment>
    <comment ref="BH30" authorId="1" shapeId="0">
      <text>
        <t>Tegus (AN):
backed out based on estimate</t>
      </text>
    </comment>
    <comment ref="BJ33" authorId="5" shapeId="0">
      <text>
        <t>Tegus (AR):
EXE: 465mm
NXE: 7856.4mm</t>
      </text>
    </comment>
    <comment ref="BO33" authorId="0" shapeId="0">
      <text>
        <t>Tegus (ALT):
To be updated with annual report</t>
      </text>
    </comment>
    <comment ref="BO34" authorId="0" shapeId="0">
      <text>
        <t>Tegus (ALT):
To be updated with annual report</t>
      </text>
    </comment>
    <comment ref="BO35" authorId="0" shapeId="0">
      <text>
        <t>Tegus (ALT):
To be updated with annual report</t>
      </text>
    </comment>
    <comment ref="BO36" authorId="0" shapeId="0">
      <text>
        <t>Tegus (ALT):
To be updated with annual report</t>
      </text>
    </comment>
    <comment ref="BO37" authorId="0" shapeId="0">
      <text>
        <t>Tegus (ALT):
To be updated with annual report</t>
      </text>
    </comment>
    <comment ref="U38" authorId="1" shapeId="0">
      <text>
        <t>Tegus (VT):
As per January 1, 2017, ASML presents net sales with respect to metrology and inspection systems as part of net system sales instead of net service and field option sales.</t>
      </text>
    </comment>
    <comment ref="V38" authorId="1" shapeId="0">
      <text>
        <t>Tegus (VT):
As per January 1, 2017, ASML presents net sales with respect to metrology and inspection systems as part of net system sales instead of net service and field option sales.</t>
      </text>
    </comment>
    <comment ref="BO38" authorId="0" shapeId="0">
      <text>
        <t>Tegus (ALT):
To be updated with annual report</t>
      </text>
    </comment>
    <comment ref="A39" authorId="1" shapeId="0">
      <text>
        <t>Tegus (AlyD):
Quarterly data approximated using total system sales and percentage breakdown.</t>
      </text>
    </comment>
    <comment ref="M43" authorId="1" shapeId="0">
      <text>
        <t>Tegus (VT):
No EUVs sold for this period</t>
      </text>
    </comment>
    <comment ref="O43" authorId="1" shapeId="0">
      <text>
        <t>Tegus (VT):
No EUVs sold for this period</t>
      </text>
    </comment>
    <comment ref="P43" authorId="1" shapeId="0">
      <text>
        <t>Tegus (VT):
No EUVs sold for this period</t>
      </text>
    </comment>
    <comment ref="Z48" authorId="1" shapeId="0">
      <text>
        <t>Tegus (VT):
As per January 1, 2017, ASML presents net sales with respect to metrology and inspection systems as part of net system sales instead of net service and field option sales.</t>
      </text>
    </comment>
    <comment ref="Z50" authorId="1" shapeId="0">
      <text>
        <t>Tegus (VT):
As per January 1, 2017, ASML presents net sales with respect to metrology and inspection systems as part of net system sales instead of net service and field option sales.</t>
      </text>
    </comment>
    <comment ref="A54" authorId="1" shapeId="0">
      <text>
        <t>Tegus (WC):
Immersion</t>
      </text>
    </comment>
    <comment ref="A55" authorId="1" shapeId="0">
      <text>
        <t>Tegus (WC):
Dry</t>
      </text>
    </comment>
    <comment ref="A66" authorId="1" shapeId="0">
      <text>
        <t xml:space="preserve">Tegus (SH):
Fast Shipment: A fast shipment process skips some of the testing in our factory. This leads to a deferral of revenue recognition for those shipments until formal customer acceptance but does provide our customers with earlier access to wafer output capacity. </t>
      </text>
    </comment>
    <comment ref="AV66" authorId="1" shapeId="0">
      <text>
        <t>Tegus (SH):
Reported in Q3 2022 IP</t>
      </text>
    </comment>
    <comment ref="AW66" authorId="1" shapeId="0">
      <text>
        <t>Tegus (SH):
Reported in Q3 2022 IP</t>
      </text>
    </comment>
    <comment ref="BA66" authorId="1" shapeId="0">
      <text>
        <t>Tegus (CZ):
Not reported</t>
      </text>
    </comment>
    <comment ref="A67" authorId="1" shapeId="0">
      <text>
        <t>Tegus (SH):
Normalized Revenue, which is a non-GAAP measure, is defined as Total Net Sales plus Net Deferred Revenue from Fast Shipments.</t>
      </text>
    </comment>
    <comment ref="AV67" authorId="1" shapeId="0">
      <text>
        <t>Tegus (SH):
Reported in Q3 2022 IP</t>
      </text>
    </comment>
    <comment ref="AW67" authorId="1" shapeId="0">
      <text>
        <t>Tegus (SH):
Reported in Q3 2022 IP</t>
      </text>
    </comment>
    <comment ref="BA67" authorId="1" shapeId="0">
      <text>
        <t>Tegus (CZ):
Not reported</t>
      </text>
    </comment>
    <comment ref="BO103" authorId="0" shapeId="0">
      <text>
        <t>Tegus:
To be updated on full disclosure</t>
      </text>
    </comment>
    <comment ref="H111" authorId="1" shapeId="0">
      <text>
        <t>Tegus (HS):
Estimated</t>
      </text>
    </comment>
    <comment ref="I111" authorId="1" shapeId="0">
      <text>
        <t>Tegus (HS):
Estimated</t>
      </text>
    </comment>
    <comment ref="J111" authorId="1" shapeId="0">
      <text>
        <t>Tegus (HS):
Estimated</t>
      </text>
    </comment>
    <comment ref="K111" authorId="1" shapeId="0">
      <text>
        <t>Tegus (HS):
Estimated</t>
      </text>
    </comment>
    <comment ref="M111" authorId="1" shapeId="0">
      <text>
        <t>Tegus (HS):
Estimated</t>
      </text>
    </comment>
    <comment ref="N111" authorId="1" shapeId="0">
      <text>
        <t>Tegus (HS):
Estimated</t>
      </text>
    </comment>
    <comment ref="O111" authorId="1" shapeId="0">
      <text>
        <t>Tegus (HS):
Estimated</t>
      </text>
    </comment>
    <comment ref="P111" authorId="1" shapeId="0">
      <text>
        <t>Tegus (HS):
Estimated</t>
      </text>
    </comment>
    <comment ref="R111" authorId="1" shapeId="0">
      <text>
        <t>Tegus (HS):
Estimated</t>
      </text>
    </comment>
    <comment ref="S111" authorId="1" shapeId="0">
      <text>
        <t>Tegus (HS):
Estimated</t>
      </text>
    </comment>
    <comment ref="T111" authorId="1" shapeId="0">
      <text>
        <t>Tegus (HS):
Estimated</t>
      </text>
    </comment>
    <comment ref="U111" authorId="1" shapeId="0">
      <text>
        <t>Tegus (HS):
Estimated</t>
      </text>
    </comment>
    <comment ref="W111" authorId="1" shapeId="0">
      <text>
        <t>Tegus (HS):
Estimated</t>
      </text>
    </comment>
    <comment ref="X111" authorId="1" shapeId="0">
      <text>
        <t>Tegus (HS):
Estimated</t>
      </text>
    </comment>
    <comment ref="Y111" authorId="1" shapeId="0">
      <text>
        <t>Tegus (HS):
Estimated</t>
      </text>
    </comment>
    <comment ref="Z111" authorId="1" shapeId="0">
      <text>
        <t>Tegus (HS):
Estimated</t>
      </text>
    </comment>
    <comment ref="AB111" authorId="1" shapeId="0">
      <text>
        <t>Tegus (HS):
Estimated</t>
      </text>
    </comment>
    <comment ref="AC111" authorId="1" shapeId="0">
      <text>
        <t>Tegus (HS):
Estimated</t>
      </text>
    </comment>
    <comment ref="AD111" authorId="1" shapeId="0">
      <text>
        <t>Tegus (HS):
Estimated</t>
      </text>
    </comment>
    <comment ref="AE111" authorId="1" shapeId="0">
      <text>
        <t>Tegus (HS):
Estimated</t>
      </text>
    </comment>
    <comment ref="AG111" authorId="1" shapeId="0">
      <text>
        <t>Tegus (HS):
Estimated</t>
      </text>
    </comment>
    <comment ref="AH111" authorId="1" shapeId="0">
      <text>
        <t>Tegus (HS):
Estimated</t>
      </text>
    </comment>
    <comment ref="AI111" authorId="1" shapeId="0">
      <text>
        <t>Tegus (HS):
Estimated</t>
      </text>
    </comment>
    <comment ref="AJ111" authorId="1" shapeId="0">
      <text>
        <t>Tegus (HS):
Estimated</t>
      </text>
    </comment>
    <comment ref="AL111" authorId="1" shapeId="0">
      <text>
        <t>Tegus (HS):
Estimated</t>
      </text>
    </comment>
    <comment ref="AM111" authorId="1" shapeId="0">
      <text>
        <t>Tegus (HS):
Estimated</t>
      </text>
    </comment>
    <comment ref="AN111" authorId="1" shapeId="0">
      <text>
        <t>Tegus (HS):
Estimated</t>
      </text>
    </comment>
    <comment ref="AO111" authorId="1" shapeId="0">
      <text>
        <t>Tegus (HS):
Estimated</t>
      </text>
    </comment>
    <comment ref="AQ111" authorId="1" shapeId="0">
      <text>
        <t>Tegus (HS):
Estimated</t>
      </text>
    </comment>
    <comment ref="AR111" authorId="1" shapeId="0">
      <text>
        <t>Tegus (HS):
Estimated</t>
      </text>
    </comment>
    <comment ref="AS111" authorId="1" shapeId="0">
      <text>
        <t>Tegus (HS):
Estimated</t>
      </text>
    </comment>
    <comment ref="AT111" authorId="1" shapeId="0">
      <text>
        <t>Tegus (HS):
Estimated</t>
      </text>
    </comment>
    <comment ref="AV111" authorId="1" shapeId="0">
      <text>
        <t>Tegus (HS):
Estimated</t>
      </text>
    </comment>
    <comment ref="AW111" authorId="1" shapeId="0">
      <text>
        <t>Tegus (HS):
Estimated</t>
      </text>
    </comment>
    <comment ref="AX111" authorId="1" shapeId="0">
      <text>
        <t>Tegus (HS):
Estimated</t>
      </text>
    </comment>
    <comment ref="AY111" authorId="1" shapeId="0">
      <text>
        <t>Tegus (HS):
Estimated</t>
      </text>
    </comment>
    <comment ref="BA111" authorId="1" shapeId="0">
      <text>
        <t>Tegus (CZ):
estimated</t>
      </text>
    </comment>
    <comment ref="BB111" authorId="1" shapeId="0">
      <text>
        <t>Tegus (CZ):
estimated</t>
      </text>
    </comment>
    <comment ref="BC111" authorId="1" shapeId="0">
      <text>
        <t>Tegus (TP):
Estimated</t>
      </text>
    </comment>
    <comment ref="BD111" authorId="1" shapeId="0">
      <text>
        <t>Tegus (TP):
Estimated</t>
      </text>
    </comment>
    <comment ref="BF111" authorId="1" shapeId="0">
      <text>
        <t>Tegus (AN):
estimated</t>
      </text>
    </comment>
    <comment ref="BG111" authorId="1" shapeId="0">
      <text>
        <t>Tegus (TP):
estimated</t>
      </text>
    </comment>
    <comment ref="BH111" authorId="1" shapeId="0">
      <text>
        <t>Tegus (TP):
estimated</t>
      </text>
    </comment>
    <comment ref="BI111" authorId="4" shapeId="0">
      <text>
        <t>Tegus (BL):
Estimated</t>
      </text>
    </comment>
    <comment ref="BK111" authorId="2" shapeId="0">
      <text>
        <t>Tegus (AN):
Estimated</t>
      </text>
    </comment>
    <comment ref="BL111" authorId="2" shapeId="0">
      <text>
        <t>Tegus (AN):
Estimated</t>
      </text>
    </comment>
    <comment ref="BM111" authorId="4" shapeId="0">
      <text>
        <t>Tegus:
Estimated</t>
      </text>
    </comment>
    <comment ref="BN111" authorId="0" shapeId="0">
      <text>
        <t>Tegus (ALT):
Estimated</t>
      </text>
    </comment>
    <comment ref="H112" authorId="1" shapeId="0">
      <text>
        <t>Tegus (HS):
Estimated</t>
      </text>
    </comment>
    <comment ref="I112" authorId="1" shapeId="0">
      <text>
        <t>Tegus (HS):
Estimated</t>
      </text>
    </comment>
    <comment ref="J112" authorId="1" shapeId="0">
      <text>
        <t>Tegus (HS):
Estimated</t>
      </text>
    </comment>
    <comment ref="K112" authorId="1" shapeId="0">
      <text>
        <t>Tegus (HS):
Estimated</t>
      </text>
    </comment>
    <comment ref="M112" authorId="1" shapeId="0">
      <text>
        <t>Tegus (HS):
Estimated</t>
      </text>
    </comment>
    <comment ref="N112" authorId="1" shapeId="0">
      <text>
        <t>Tegus (HS):
Estimated</t>
      </text>
    </comment>
    <comment ref="O112" authorId="1" shapeId="0">
      <text>
        <t>Tegus (HS):
Estimated</t>
      </text>
    </comment>
    <comment ref="P112" authorId="1" shapeId="0">
      <text>
        <t>Tegus (HS):
Estimated</t>
      </text>
    </comment>
    <comment ref="R112" authorId="1" shapeId="0">
      <text>
        <t>Tegus (HS):
Estimated</t>
      </text>
    </comment>
    <comment ref="S112" authorId="1" shapeId="0">
      <text>
        <t>Tegus (HS):
Estimated</t>
      </text>
    </comment>
    <comment ref="T112" authorId="1" shapeId="0">
      <text>
        <t>Tegus (HS):
Estimated</t>
      </text>
    </comment>
    <comment ref="U112" authorId="1" shapeId="0">
      <text>
        <t>Tegus (HS):
Estimated</t>
      </text>
    </comment>
    <comment ref="W112" authorId="1" shapeId="0">
      <text>
        <t>Tegus (HS):
Estimated</t>
      </text>
    </comment>
    <comment ref="X112" authorId="1" shapeId="0">
      <text>
        <t>Tegus (HS):
Estimated</t>
      </text>
    </comment>
    <comment ref="Y112" authorId="1" shapeId="0">
      <text>
        <t>Tegus (HS):
Estimated</t>
      </text>
    </comment>
    <comment ref="Z112" authorId="1" shapeId="0">
      <text>
        <t>Tegus (HS):
Estimated</t>
      </text>
    </comment>
    <comment ref="AB112" authorId="1" shapeId="0">
      <text>
        <t>Tegus (HS):
Estimated</t>
      </text>
    </comment>
    <comment ref="AC112" authorId="1" shapeId="0">
      <text>
        <t>Tegus (HS):
Estimated</t>
      </text>
    </comment>
    <comment ref="AD112" authorId="1" shapeId="0">
      <text>
        <t>Tegus (HS):
Estimated</t>
      </text>
    </comment>
    <comment ref="AE112" authorId="1" shapeId="0">
      <text>
        <t>Tegus (HS):
Estimated</t>
      </text>
    </comment>
    <comment ref="AG112" authorId="1" shapeId="0">
      <text>
        <t>Tegus (HS):
Estimated</t>
      </text>
    </comment>
    <comment ref="AH112" authorId="1" shapeId="0">
      <text>
        <t>Tegus (HS):
Estimated</t>
      </text>
    </comment>
    <comment ref="AI112" authorId="1" shapeId="0">
      <text>
        <t>Tegus (HS):
Estimated</t>
      </text>
    </comment>
    <comment ref="AJ112" authorId="1" shapeId="0">
      <text>
        <t>Tegus (HS):
Estimated</t>
      </text>
    </comment>
    <comment ref="AL112" authorId="1" shapeId="0">
      <text>
        <t>Tegus (HS):
Estimated</t>
      </text>
    </comment>
    <comment ref="AM112" authorId="1" shapeId="0">
      <text>
        <t>Tegus (HS):
Estimated</t>
      </text>
    </comment>
    <comment ref="AN112" authorId="1" shapeId="0">
      <text>
        <t>Tegus (HS):
Estimated</t>
      </text>
    </comment>
    <comment ref="AO112" authorId="1" shapeId="0">
      <text>
        <t>Tegus (HS):
Estimated</t>
      </text>
    </comment>
    <comment ref="AQ112" authorId="1" shapeId="0">
      <text>
        <t>Tegus (HS):
Estimated</t>
      </text>
    </comment>
    <comment ref="AR112" authorId="1" shapeId="0">
      <text>
        <t>Tegus (HS):
Estimated</t>
      </text>
    </comment>
    <comment ref="AS112" authorId="1" shapeId="0">
      <text>
        <t>Tegus (HS):
Estimated</t>
      </text>
    </comment>
    <comment ref="AT112" authorId="1" shapeId="0">
      <text>
        <t>Tegus (HS):
Estimated</t>
      </text>
    </comment>
    <comment ref="AV112" authorId="1" shapeId="0">
      <text>
        <t>Tegus (HS):
Estimated</t>
      </text>
    </comment>
    <comment ref="AW112" authorId="1" shapeId="0">
      <text>
        <t>Tegus (HS):
Estimated</t>
      </text>
    </comment>
    <comment ref="AX112" authorId="1" shapeId="0">
      <text>
        <t>Tegus (HS):
Estimated</t>
      </text>
    </comment>
    <comment ref="AY112" authorId="1" shapeId="0">
      <text>
        <t>Tegus (HS):
Estimated</t>
      </text>
    </comment>
    <comment ref="BA112" authorId="1" shapeId="0">
      <text>
        <t>Tegus (CZ):
estimated</t>
      </text>
    </comment>
    <comment ref="BB112" authorId="1" shapeId="0">
      <text>
        <t>Tegus (CZ):
estimated</t>
      </text>
    </comment>
    <comment ref="BC112" authorId="1" shapeId="0">
      <text>
        <t>Tegus (TP):
Estimated</t>
      </text>
    </comment>
    <comment ref="BD112" authorId="1" shapeId="0">
      <text>
        <t>Tegus (TP):
Estimate, to be updated</t>
      </text>
    </comment>
    <comment ref="BF112" authorId="1" shapeId="0">
      <text>
        <t>Tegus (AN):
estimated</t>
      </text>
    </comment>
    <comment ref="BG112" authorId="1" shapeId="0">
      <text>
        <t>Tegus (TP):
estimated</t>
      </text>
    </comment>
    <comment ref="BH112" authorId="1" shapeId="0">
      <text>
        <t>Tegus (TP):
estimated</t>
      </text>
    </comment>
    <comment ref="BI112" authorId="4" shapeId="0">
      <text>
        <t>Tegus (BL):
Estimate, to be updated</t>
      </text>
    </comment>
    <comment ref="BK112" authorId="2" shapeId="0">
      <text>
        <t>Tegus (AN):
Estimated</t>
      </text>
    </comment>
    <comment ref="BL112" authorId="2" shapeId="0">
      <text>
        <t>Tegus (AN):
Estimated</t>
      </text>
    </comment>
    <comment ref="BM112" authorId="4" shapeId="0">
      <text>
        <t>Tegus:
Estimated</t>
      </text>
    </comment>
    <comment ref="BN112" authorId="0" shapeId="0">
      <text>
        <t>Tegus (ALT):
Estimate, to be updated</t>
      </text>
    </comment>
    <comment ref="BO116" authorId="0" shapeId="0">
      <text>
        <t>Tegus:
To be updated on full disclosure</t>
      </text>
    </comment>
    <comment ref="BO117" authorId="0" shapeId="0">
      <text>
        <t>Tegus:
To be updated on full disclosure</t>
      </text>
    </comment>
    <comment ref="BO118" authorId="0" shapeId="0">
      <text>
        <t>Tegus:
To be updated on full disclosure</t>
      </text>
    </comment>
    <comment ref="AB119" authorId="1" shapeId="0">
      <text>
        <t>Tegus (SH):
Comparable breakdown is not available prior to this period.</t>
      </text>
    </comment>
    <comment ref="AQ128" authorId="1" shapeId="0">
      <text>
        <t>Tegus (AW):
Company bought back two unused systems previously sold to a customer, which was counted for as a revenue reversal in Q1 2021.</t>
      </text>
    </comment>
    <comment ref="AQ139" authorId="1" shapeId="0">
      <text>
        <t>Tegus (AW):
Company bought back two unused systems previously sold to a customer, which was counted for as a revenue reversal in Q1 2021.</t>
      </text>
    </comment>
    <comment ref="A147" authorId="1" shapeId="0">
      <text>
        <t>Tegus (VT):
Installed Base Management equals service and field option sales.</t>
      </text>
    </comment>
    <comment ref="AW152" authorId="1" shapeId="0">
      <text>
        <t>Tegus (AK):
hardcoded as reported</t>
      </text>
    </comment>
    <comment ref="A154" authorId="1" shapeId="0">
      <text>
        <t>Tegus (VT):
Installed Base Management equals service and field option sales.</t>
      </text>
    </comment>
    <comment ref="AB157" authorId="1" shapeId="0">
      <text>
        <t>Tegus (VT):
Breakdown not reported.</t>
      </text>
    </comment>
    <comment ref="H163" authorId="1" shapeId="0">
      <text>
        <t>Tegus (AlyD):
Not including EUV</t>
      </text>
    </comment>
    <comment ref="I163" authorId="1" shapeId="0">
      <text>
        <t>Tegus (AlyD):
Not including EUV</t>
      </text>
    </comment>
    <comment ref="J163" authorId="1" shapeId="0">
      <text>
        <t>Tegus (AlyD):
Not including EUV</t>
      </text>
    </comment>
    <comment ref="K163" authorId="1" shapeId="0">
      <text>
        <t>Tegus (AlyD):
Including EUV</t>
      </text>
    </comment>
    <comment ref="AB163" authorId="1" shapeId="0">
      <text>
        <t>Tegus (VT):
Breakdown not reported.</t>
      </text>
    </comment>
    <comment ref="BO168" authorId="0" shapeId="0">
      <text>
        <t>Tegus:
To be updated on full disclosure</t>
      </text>
    </comment>
    <comment ref="BO170" authorId="0" shapeId="0">
      <text>
        <t>Tegus:
To be updated on full disclosure</t>
      </text>
    </comment>
    <comment ref="AA177" authorId="1" shapeId="0">
      <text>
        <t>Tegus (SH):
Reported in FY2018</t>
      </text>
    </comment>
    <comment ref="BO177" authorId="0" shapeId="0">
      <text>
        <t>Tegus:
To be updated on full disclosure</t>
      </text>
    </comment>
    <comment ref="H180" authorId="1" shapeId="0">
      <text>
        <t>Tegus (AlyD):
Not including EUV</t>
      </text>
    </comment>
    <comment ref="I180" authorId="1" shapeId="0">
      <text>
        <t>Tegus (AlyD):
Not including EUV</t>
      </text>
    </comment>
    <comment ref="J180" authorId="1" shapeId="0">
      <text>
        <t>Tegus (AlyD):
Not including EUV</t>
      </text>
    </comment>
    <comment ref="K180" authorId="1" shapeId="0">
      <text>
        <t>Tegus (AlyD):
Including EUV</t>
      </text>
    </comment>
    <comment ref="AY182" authorId="1" shapeId="0">
      <text>
        <t>Tegus (DY):
Breakdown not reported</t>
      </text>
    </comment>
    <comment ref="AZ182" authorId="1" shapeId="0">
      <text>
        <t>Tegus (DY):
Breakdown not reported</t>
      </text>
    </comment>
    <comment ref="BA182" authorId="1" shapeId="0">
      <text>
        <t>Tegus (CZ):
Not reported</t>
      </text>
    </comment>
    <comment ref="BB182" authorId="1" shapeId="0">
      <text>
        <t>Tegus (TP):
Not reported</t>
      </text>
    </comment>
    <comment ref="BC182" authorId="1" shapeId="0">
      <text>
        <t>Tegus (TP):
Not reported</t>
      </text>
    </comment>
    <comment ref="L187" authorId="1" shapeId="0">
      <text>
        <t>Tegus (VT):
Calculated since not reported.</t>
      </text>
    </comment>
    <comment ref="Q187" authorId="1" shapeId="0">
      <text>
        <t>Tegus (VT):
Calculated since not reported.</t>
      </text>
    </comment>
    <comment ref="V187" authorId="1" shapeId="0">
      <text>
        <t>Tegus (VT):
Calculated since not reported.</t>
      </text>
    </comment>
    <comment ref="W187" authorId="1" shapeId="0">
      <text>
        <t>Tegus (VT):
No longer reported</t>
      </text>
    </comment>
    <comment ref="L188" authorId="1" shapeId="0">
      <text>
        <t>Tegus (VT):
Calculated since not reported.</t>
      </text>
    </comment>
    <comment ref="Q188" authorId="1" shapeId="0">
      <text>
        <t>Tegus (VT):
Calculated since not reported.</t>
      </text>
    </comment>
    <comment ref="V188" authorId="1" shapeId="0">
      <text>
        <t>Tegus (VT):
Calculated since not reported.</t>
      </text>
    </comment>
    <comment ref="W188" authorId="1" shapeId="0">
      <text>
        <t>Tegus (VT):
No longer reported</t>
      </text>
    </comment>
    <comment ref="AK193" authorId="1" shapeId="0">
      <text>
        <t>Tegus (TP):
Excludes bookings from 0.55 NA (High-NA) EUV systems</t>
      </text>
    </comment>
    <comment ref="AL193" authorId="1" shapeId="0">
      <text>
        <t>Tegus (TP):
Excludes bookings from 0.55 NA (High-NA) EUV systems</t>
      </text>
    </comment>
    <comment ref="AM193" authorId="1" shapeId="0">
      <text>
        <t>Tegus (TP):
Excludes bookings from 0.55 NA (High-NA) EUV systems</t>
      </text>
    </comment>
    <comment ref="AN193" authorId="1" shapeId="0">
      <text>
        <t>Tegus (TP):
Excludes bookings from 0.55 NA (High-NA) EUV systems</t>
      </text>
    </comment>
    <comment ref="AO193" authorId="1" shapeId="0">
      <text>
        <t>Tegus (TP):
Excludes bookings from 0.55 NA (High-NA) EUV systems</t>
      </text>
    </comment>
    <comment ref="AQ193" authorId="1" shapeId="0">
      <text>
        <t>Tegus (TP):
Excludes bookings from 0.55 NA (High-NA) EUV systems</t>
      </text>
    </comment>
    <comment ref="AR193" authorId="1" shapeId="0">
      <text>
        <t>Tegus (TP):
Excludes bookings from 0.55 NA (High-NA) EUV systems</t>
      </text>
    </comment>
    <comment ref="AS193" authorId="1" shapeId="0">
      <text>
        <t>Tegus (TP):
Excludes bookings from 0.55 NA (High-NA) EUV systems</t>
      </text>
    </comment>
    <comment ref="A196" authorId="1" shapeId="0">
      <text>
        <t>Tegus (AlyD):
FY data calculated as a sum of quarters</t>
      </text>
    </comment>
    <comment ref="H196" authorId="1" shapeId="0">
      <text>
        <t>Tegus (AlyD):
Not including EUV</t>
      </text>
    </comment>
    <comment ref="I196" authorId="1" shapeId="0">
      <text>
        <t>Tegus (AlyD):
Not including EUV</t>
      </text>
    </comment>
    <comment ref="J196" authorId="1" shapeId="0">
      <text>
        <t>Tegus (AlyD):
Not including EUV</t>
      </text>
    </comment>
    <comment ref="K196" authorId="1" shapeId="0">
      <text>
        <t>Tegus (AlyD):
Including EUV</t>
      </text>
    </comment>
    <comment ref="A197" authorId="1" shapeId="0">
      <text>
        <t>Tegus (AlyD):
FY data calculated as a sum of quarters</t>
      </text>
    </comment>
    <comment ref="AB198" authorId="1" shapeId="0">
      <text>
        <t>Tegus (VT):
Breakdown not reported.</t>
      </text>
    </comment>
    <comment ref="A199" authorId="1" shapeId="0">
      <text>
        <t>Tegus (AlyD):
FY data calculated as a sum of quarters</t>
      </text>
    </comment>
    <comment ref="A202" authorId="1" shapeId="0">
      <text>
        <t>Tegus (AlyD):
FY data calculated using bookings in $</t>
      </text>
    </comment>
    <comment ref="H202" authorId="1" shapeId="0">
      <text>
        <t>Tegus (AlyD):
Not including EUV</t>
      </text>
    </comment>
    <comment ref="I202" authorId="1" shapeId="0">
      <text>
        <t>Tegus (AlyD):
Not including EUV</t>
      </text>
    </comment>
    <comment ref="J202" authorId="1" shapeId="0">
      <text>
        <t>Tegus (AlyD):
Not including EUV</t>
      </text>
    </comment>
    <comment ref="K202" authorId="1" shapeId="0">
      <text>
        <t>Tegus (AlyD):
Including EUV</t>
      </text>
    </comment>
    <comment ref="A203" authorId="1" shapeId="0">
      <text>
        <t>Tegus (AlyD):
FY data calculated using bookings in $</t>
      </text>
    </comment>
    <comment ref="A204" authorId="1" shapeId="0">
      <text>
        <t>Tegus (AlyD):
FY data calculated using bookings in $</t>
      </text>
    </comment>
    <comment ref="A205" authorId="1" shapeId="0">
      <text>
        <t>Tegus (AlyD):
FY data calculated using bookings in $</t>
      </text>
    </comment>
    <comment ref="A208" authorId="1" shapeId="0">
      <text>
        <t>Tegus (CZ):
Some results come from transcript</t>
      </text>
    </comment>
    <comment ref="AB208" authorId="1" shapeId="0">
      <text>
        <t>Tegus (VT):
Not reported</t>
      </text>
    </comment>
    <comment ref="AN208" authorId="1" shapeId="0">
      <text>
        <t>Tegus (CZ):
Not reported. EUV system backlog 6.2 bn</t>
      </text>
    </comment>
    <comment ref="AQ208" authorId="1" shapeId="0">
      <text>
        <t>Tegus (CZ):
Not reported. EUV backlog is 7.4 bn</t>
      </text>
    </comment>
    <comment ref="AV208" authorId="1" shapeId="0">
      <text>
        <t>Tegus (CZ):
Around 29 bn. Result comes from cc</t>
      </text>
    </comment>
    <comment ref="AW208" authorId="1" shapeId="0">
      <text>
        <t>Tegus (CZ):
Over 33 bn</t>
      </text>
    </comment>
    <comment ref="AX208" authorId="1" shapeId="0">
      <text>
        <t>Tegus (CZ):
Over 38 bn. Result comes from cc</t>
      </text>
    </comment>
    <comment ref="BB208" authorId="1" shapeId="0">
      <text>
        <t>Tegus (TP):
Around 38 Billion</t>
      </text>
    </comment>
    <comment ref="BC208" authorId="1" shapeId="0">
      <text>
        <t>Tegus (MB):
Calculated.</t>
      </text>
    </comment>
    <comment ref="BD208" authorId="1" shapeId="0">
      <text>
        <t>Tegus (MB):
Calculated.</t>
      </text>
    </comment>
    <comment ref="BF208" authorId="1" shapeId="0">
      <text>
        <t>Tegus (MB):
Calculated.</t>
      </text>
    </comment>
    <comment ref="BG208" authorId="1" shapeId="0">
      <text>
        <t>Tegus (MB):
Calculated.</t>
      </text>
    </comment>
    <comment ref="BH208" authorId="4" shapeId="0">
      <text>
        <t>Tegus (BL):
Calculated.</t>
      </text>
    </comment>
    <comment ref="BO208" authorId="0" shapeId="0">
      <text>
        <t>Tegus:
To be updated on full disclosure</t>
      </text>
    </comment>
    <comment ref="BO209" authorId="0" shapeId="0">
      <text>
        <t>Tegus:
To be updated on full disclosure</t>
      </text>
    </comment>
    <comment ref="BO211" authorId="0" shapeId="0">
      <text>
        <t>Tegus:
To be updated on full disclosure</t>
      </text>
    </comment>
    <comment ref="C219" authorId="1" shapeId="0">
      <text>
        <t>Tegus (AlyD):
Europe revenue</t>
      </text>
    </comment>
    <comment ref="D219" authorId="1" shapeId="0">
      <text>
        <t>Tegus (AB):
Europe revenues</t>
      </text>
    </comment>
    <comment ref="E219" authorId="1" shapeId="0">
      <text>
        <t>Tegus (AB):
Europe revenues</t>
      </text>
    </comment>
    <comment ref="F219" authorId="1" shapeId="0">
      <text>
        <t>Tegus (AB):
Rest of Europe revenues</t>
      </text>
    </comment>
    <comment ref="G219" authorId="1" shapeId="0">
      <text>
        <t>Tegus (AB):
Rest of Europe revenues</t>
      </text>
    </comment>
    <comment ref="L219" authorId="1" shapeId="0">
      <text>
        <t>Tegus (AB):
Rest of Europe revenues</t>
      </text>
    </comment>
    <comment ref="G243" authorId="1" shapeId="0">
      <text>
        <t>Tegus (AHA):
Rest of Europe</t>
      </text>
    </comment>
    <comment ref="L243" authorId="1" shapeId="0">
      <text>
        <t>Tegus (AHA):
Rest of Europe</t>
      </text>
    </comment>
    <comment ref="BO247" authorId="0" shapeId="0">
      <text>
        <t>Tegus:
To be updated on full disclosure</t>
      </text>
    </comment>
    <comment ref="C259" authorId="1" shapeId="0">
      <text>
        <t>Tegus (AHA):
Includes 367 related to sourcing</t>
      </text>
    </comment>
    <comment ref="AA259" authorId="1" shapeId="0">
      <text>
        <t>Tegus (AHA):
Reported as manufacturing and logistics before FY2018</t>
      </text>
    </comment>
    <comment ref="AA261" authorId="1" shapeId="0">
      <text>
        <t>Tegus (AHA):
Reported as SG&amp;A prior to FY2018</t>
      </text>
    </comment>
    <comment ref="C263" authorId="1" shapeId="0">
      <text>
        <t>Tegus (AHA):
Includes 277 related to industrial engineering</t>
      </text>
    </comment>
    <comment ref="D263" authorId="1" shapeId="0">
      <text>
        <t>Tegus (AHA):
Includes 398 related to industrial engineering</t>
      </text>
    </comment>
    <comment ref="E263" authorId="1" shapeId="0">
      <text>
        <t>Tegus (AHA):
Includes 420 related to industrial engineering</t>
      </text>
    </comment>
    <comment ref="F263" authorId="1" shapeId="0">
      <text>
        <t>Tegus (AHA):
Includes 637 related to industrial engineering</t>
      </text>
    </comment>
    <comment ref="G263" authorId="1" shapeId="0">
      <text>
        <t>Tegus (AHA):
Includes 785 related to industrial engineering</t>
      </text>
    </comment>
    <comment ref="BO264" authorId="0" shapeId="0">
      <text>
        <t>Tegus:
To be updated on full disclosure</t>
      </text>
    </comment>
    <comment ref="BO266" authorId="0" shapeId="0">
      <text>
        <t>Tegus (ALT):
Hardcode as reported from quarterly result.</t>
      </text>
    </comment>
    <comment ref="BO271" authorId="0" shapeId="0">
      <text>
        <t>Tegus:
To be updated on full disclosure</t>
      </text>
    </comment>
    <comment ref="BO297" authorId="0" shapeId="0">
      <text>
        <t>Tegus:
To be updated on full disclosure</t>
      </text>
    </comment>
    <comment ref="AJ300" authorId="1" shapeId="0">
      <text>
        <t>Tegus (JK):
Reported as 4,036.4 - rounding error</t>
      </text>
    </comment>
    <comment ref="BO309" authorId="0" shapeId="0">
      <text>
        <t>Tegus:
To be updated on full disclosure</t>
      </text>
    </comment>
    <comment ref="AA315" authorId="1" shapeId="0">
      <text>
        <t>Tegus (AHA):
Backfilled from T period as FY2017 was restated but the company does not provide quarterly financial statements for 2018 to check to see if 2017 quarters are restated</t>
      </text>
    </comment>
    <comment ref="K320" authorId="1" shapeId="0">
      <text>
        <t>Tegus (AB):
Rounding error.</t>
      </text>
    </comment>
    <comment ref="P320" authorId="1" shapeId="0">
      <text>
        <t>Tegus (AB):
Rounding error.</t>
      </text>
    </comment>
    <comment ref="AJ329" authorId="1" shapeId="0">
      <text>
        <t>Tegus (JK):
Reported as 4,036.4 - rounding error</t>
      </text>
    </comment>
    <comment ref="AP370" authorId="1" shapeId="0">
      <text>
        <t>Tegus (AP):
Reported as 8.49</t>
      </text>
    </comment>
    <comment ref="BN379" authorId="0" shapeId="0">
      <text>
        <t>Tegus (ALT):
To be updated with annual report</t>
      </text>
    </comment>
    <comment ref="BO379" authorId="0" shapeId="0">
      <text>
        <t>Tegus (ALT):
To be updated with annual report</t>
      </text>
    </comment>
    <comment ref="A380" authorId="1" shapeId="0">
      <text>
        <t>Tegus (KeL):
Red quarterly values are estimated</t>
      </text>
    </comment>
    <comment ref="H380" authorId="0" shapeId="0">
      <text>
        <t>Canalyst:
Assumption by Canalyst</t>
      </text>
    </comment>
    <comment ref="I380" authorId="0" shapeId="0">
      <text>
        <t>Canalyst:
Assumption by Canalyst</t>
      </text>
    </comment>
    <comment ref="J380" authorId="0" shapeId="0">
      <text>
        <t>Canalyst:
Assumption by Canalyst</t>
      </text>
    </comment>
    <comment ref="M380" authorId="0" shapeId="0">
      <text>
        <t>Canalyst:
Assumption by Canalyst</t>
      </text>
    </comment>
    <comment ref="N380" authorId="0" shapeId="0">
      <text>
        <t>Canalyst:
Assumption by Canalyst</t>
      </text>
    </comment>
    <comment ref="O380" authorId="0" shapeId="0">
      <text>
        <t>Canalyst:
Assumption by Canalyst</t>
      </text>
    </comment>
    <comment ref="R380" authorId="0" shapeId="0">
      <text>
        <t>Canalyst:
Assumption by Canalyst</t>
      </text>
    </comment>
    <comment ref="S380" authorId="0" shapeId="0">
      <text>
        <t>Canalyst:
Assumption by Canalyst</t>
      </text>
    </comment>
    <comment ref="T380" authorId="0" shapeId="0">
      <text>
        <t>Canalyst:
Assumption by Canalyst</t>
      </text>
    </comment>
    <comment ref="W380" authorId="0" shapeId="0">
      <text>
        <t>Canalyst:
Assumption by Canalyst</t>
      </text>
    </comment>
    <comment ref="X380" authorId="0" shapeId="0">
      <text>
        <t>Canalyst:
Assumption by Canalyst</t>
      </text>
    </comment>
    <comment ref="Y380" authorId="0" shapeId="0">
      <text>
        <t>Canalyst:
Assumption by Canalyst</t>
      </text>
    </comment>
    <comment ref="AB380" authorId="0" shapeId="0">
      <text>
        <t>Canalyst:
Assumption by Canalyst</t>
      </text>
    </comment>
    <comment ref="AC380" authorId="0" shapeId="0">
      <text>
        <t>Canalyst:
Assumption by Canalyst</t>
      </text>
    </comment>
    <comment ref="AD380" authorId="0" shapeId="0">
      <text>
        <t>Canalyst:
Assumption by Canalyst</t>
      </text>
    </comment>
    <comment ref="AG380" authorId="0" shapeId="0">
      <text>
        <t>Canalyst:
Assumption by Canalyst</t>
      </text>
    </comment>
    <comment ref="AH380" authorId="0" shapeId="0">
      <text>
        <t>Canalyst:
Assumption by Canalyst</t>
      </text>
    </comment>
    <comment ref="AI380" authorId="0" shapeId="0">
      <text>
        <t>Canalyst:
Assumption by Canalyst</t>
      </text>
    </comment>
    <comment ref="AL380" authorId="0" shapeId="0">
      <text>
        <t>Canalyst:
Assumption by Canalyst</t>
      </text>
    </comment>
    <comment ref="AM380" authorId="0" shapeId="0">
      <text>
        <t>Canalyst:
Assumption by Canalyst</t>
      </text>
    </comment>
    <comment ref="AN380" authorId="0" shapeId="0">
      <text>
        <t>Canalyst:
Assumption by Canalyst</t>
      </text>
    </comment>
    <comment ref="AQ380" authorId="0" shapeId="0">
      <text>
        <t>Canalyst:
Assumption by Canalyst</t>
      </text>
    </comment>
    <comment ref="AR380" authorId="0" shapeId="0">
      <text>
        <t>Canalyst:
Assumption by Canalyst</t>
      </text>
    </comment>
    <comment ref="AS380" authorId="0" shapeId="0">
      <text>
        <t>Canalyst:
Assumption by Canalyst</t>
      </text>
    </comment>
    <comment ref="AV380" authorId="0" shapeId="0">
      <text>
        <t>Canalyst:
Assumption by Canalyst</t>
      </text>
    </comment>
    <comment ref="AW380" authorId="0" shapeId="0">
      <text>
        <t>Canalyst:
Assumption by Canalyst</t>
      </text>
    </comment>
    <comment ref="AX380" authorId="0" shapeId="0">
      <text>
        <t>Canalyst:
Assumption by Canalyst</t>
      </text>
    </comment>
    <comment ref="BA380" authorId="0" shapeId="0">
      <text>
        <t>Canalyst:
Assumption by Canalyst</t>
      </text>
    </comment>
    <comment ref="BB380" authorId="0" shapeId="0">
      <text>
        <t>Canalyst:
Assumption by Canalyst</t>
      </text>
    </comment>
    <comment ref="BC380" authorId="0" shapeId="0">
      <text>
        <t>Canalyst:
Assumption by Canalyst</t>
      </text>
    </comment>
    <comment ref="BF380" authorId="0" shapeId="0">
      <text>
        <t>Canalyst:
Assumption by Canalyst</t>
      </text>
    </comment>
    <comment ref="BG380" authorId="0" shapeId="0">
      <text>
        <t>Canalyst:
Assumption by Canalyst</t>
      </text>
    </comment>
    <comment ref="BH380" authorId="0" shapeId="0">
      <text>
        <t>Canalyst:
Assumption by Canalyst</t>
      </text>
    </comment>
    <comment ref="BI380" authorId="0" shapeId="0">
      <text>
        <t>Canalyst:
Assumption by Canalyst</t>
      </text>
    </comment>
    <comment ref="BK380" authorId="0" shapeId="0">
      <text>
        <t>Canalyst:
Assumption by Canalyst</t>
      </text>
    </comment>
    <comment ref="BL380" authorId="0" shapeId="0">
      <text>
        <t>Canalyst:
Assumption by Canalyst</t>
      </text>
    </comment>
    <comment ref="BM380" authorId="0" shapeId="0">
      <text>
        <t>Canalyst:
Assumption by Canalyst</t>
      </text>
    </comment>
    <comment ref="BN380" authorId="0" shapeId="0">
      <text>
        <t>Canalyst:
Assumption by Canalyst</t>
      </text>
    </comment>
    <comment ref="BO380" authorId="0" shapeId="0">
      <text>
        <t>Tegus (ALT):
Estimated</t>
      </text>
    </comment>
    <comment ref="A388" authorId="6" shapeId="0">
      <text>
        <t>Tegus (VA):
Red data is estimated.</t>
      </text>
    </comment>
    <comment ref="C388" authorId="0" shapeId="0">
      <text>
        <t>Canalyst:
Assumption by Canalyst</t>
      </text>
    </comment>
    <comment ref="D388" authorId="0" shapeId="0">
      <text>
        <t>Canalyst:
Assumption by Canalyst</t>
      </text>
    </comment>
    <comment ref="E388" authorId="0" shapeId="0">
      <text>
        <t>Canalyst:
Assumption by Canalyst</t>
      </text>
    </comment>
    <comment ref="F388" authorId="0" shapeId="0">
      <text>
        <t>Canalyst:
Assumption by Canalyst</t>
      </text>
    </comment>
    <comment ref="G388" authorId="0" shapeId="0">
      <text>
        <t>Canalyst:
Assumption by Canalyst</t>
      </text>
    </comment>
    <comment ref="H388" authorId="0" shapeId="0">
      <text>
        <t>Canalyst:
Assumption by Canalyst</t>
      </text>
    </comment>
    <comment ref="I388" authorId="0" shapeId="0">
      <text>
        <t>Canalyst:
Assumption by Canalyst</t>
      </text>
    </comment>
    <comment ref="J388" authorId="0" shapeId="0">
      <text>
        <t>Canalyst:
Assumption by Canalyst</t>
      </text>
    </comment>
    <comment ref="K388" authorId="0" shapeId="0">
      <text>
        <t>Canalyst:
Assumption by Canalyst</t>
      </text>
    </comment>
    <comment ref="L388" authorId="0" shapeId="0">
      <text>
        <t>Canalyst:
Assumption by Canalyst</t>
      </text>
    </comment>
    <comment ref="M388" authorId="0" shapeId="0">
      <text>
        <t>Canalyst:
Assumption by Canalyst</t>
      </text>
    </comment>
    <comment ref="N388" authorId="0" shapeId="0">
      <text>
        <t>Canalyst:
Assumption by Canalyst</t>
      </text>
    </comment>
    <comment ref="O388" authorId="0" shapeId="0">
      <text>
        <t>Canalyst:
Assumption by Canalyst</t>
      </text>
    </comment>
    <comment ref="P388" authorId="0" shapeId="0">
      <text>
        <t>Canalyst:
Assumption by Canalyst</t>
      </text>
    </comment>
    <comment ref="Q388" authorId="0" shapeId="0">
      <text>
        <t>Canalyst:
Assumption by Canalyst</t>
      </text>
    </comment>
    <comment ref="R388" authorId="0" shapeId="0">
      <text>
        <t>Canalyst:
Assumption by Canalyst</t>
      </text>
    </comment>
    <comment ref="S388" authorId="0" shapeId="0">
      <text>
        <t>Canalyst:
Assumption by Canalyst</t>
      </text>
    </comment>
    <comment ref="T388" authorId="0" shapeId="0">
      <text>
        <t>Canalyst:
Assumption by Canalyst</t>
      </text>
    </comment>
    <comment ref="U388" authorId="0" shapeId="0">
      <text>
        <t>Canalyst:
Assumption by Canalyst</t>
      </text>
    </comment>
    <comment ref="V388" authorId="0" shapeId="0">
      <text>
        <t>Canalyst:
Assumption by Canalyst</t>
      </text>
    </comment>
    <comment ref="W388" authorId="0" shapeId="0">
      <text>
        <t>Canalyst:
Assumption by Canalyst</t>
      </text>
    </comment>
    <comment ref="X388" authorId="0" shapeId="0">
      <text>
        <t>Canalyst:
Assumption by Canalyst</t>
      </text>
    </comment>
    <comment ref="Y388" authorId="0" shapeId="0">
      <text>
        <t>Canalyst:
Assumption by Canalyst</t>
      </text>
    </comment>
    <comment ref="Z388" authorId="0" shapeId="0">
      <text>
        <t>Canalyst:
Assumption by Canalyst</t>
      </text>
    </comment>
    <comment ref="AA388" authorId="0" shapeId="0">
      <text>
        <t>Canalyst:
Assumption by Canalyst</t>
      </text>
    </comment>
    <comment ref="AB388" authorId="0" shapeId="0">
      <text>
        <t>Canalyst:
Assumption by Canalyst</t>
      </text>
    </comment>
    <comment ref="AC388" authorId="0" shapeId="0">
      <text>
        <t>Canalyst:
Assumption by Canalyst</t>
      </text>
    </comment>
    <comment ref="AD388" authorId="0" shapeId="0">
      <text>
        <t>Canalyst:
Assumption by Canalyst</t>
      </text>
    </comment>
    <comment ref="AE388" authorId="0" shapeId="0">
      <text>
        <t>Canalyst:
Assumption by Canalyst</t>
      </text>
    </comment>
    <comment ref="AF388" authorId="0" shapeId="0">
      <text>
        <t>Canalyst:
Assumption by Canalyst</t>
      </text>
    </comment>
    <comment ref="AG388" authorId="0" shapeId="0">
      <text>
        <t>Canalyst:
Assumption by Canalyst</t>
      </text>
    </comment>
    <comment ref="AH388" authorId="0" shapeId="0">
      <text>
        <t>Canalyst:
Assumption by Canalyst</t>
      </text>
    </comment>
    <comment ref="AI388" authorId="0" shapeId="0">
      <text>
        <t>Canalyst:
Assumption by Canalyst</t>
      </text>
    </comment>
    <comment ref="AJ388" authorId="0" shapeId="0">
      <text>
        <t>Canalyst:
Assumption by Canalyst</t>
      </text>
    </comment>
    <comment ref="AK388" authorId="0" shapeId="0">
      <text>
        <t>Canalyst:
Assumption by Canalyst</t>
      </text>
    </comment>
    <comment ref="AL388" authorId="0" shapeId="0">
      <text>
        <t>Canalyst:
Assumption by Canalyst</t>
      </text>
    </comment>
    <comment ref="AM388" authorId="0" shapeId="0">
      <text>
        <t>Canalyst:
Assumption by Canalyst</t>
      </text>
    </comment>
    <comment ref="AN388" authorId="0" shapeId="0">
      <text>
        <t>Canalyst:
Assumption by Canalyst</t>
      </text>
    </comment>
    <comment ref="AO388" authorId="0" shapeId="0">
      <text>
        <t>Canalyst:
Assumption by Canalyst</t>
      </text>
    </comment>
    <comment ref="AP388" authorId="0" shapeId="0">
      <text>
        <t>Canalyst:
Assumption by Canalyst</t>
      </text>
    </comment>
    <comment ref="AQ388" authorId="0" shapeId="0">
      <text>
        <t>Canalyst:
Assumption by Canalyst</t>
      </text>
    </comment>
    <comment ref="AR388" authorId="0" shapeId="0">
      <text>
        <t>Canalyst:
Assumption by Canalyst</t>
      </text>
    </comment>
    <comment ref="AS388" authorId="0" shapeId="0">
      <text>
        <t>Canalyst:
Assumption by Canalyst</t>
      </text>
    </comment>
    <comment ref="AT388" authorId="0" shapeId="0">
      <text>
        <t>Canalyst:
Assumption by Canalyst</t>
      </text>
    </comment>
    <comment ref="AU388" authorId="0" shapeId="0">
      <text>
        <t>Canalyst:
Assumption by Canalyst</t>
      </text>
    </comment>
    <comment ref="AV388" authorId="0" shapeId="0">
      <text>
        <t>Canalyst:
Assumption by Canalyst</t>
      </text>
    </comment>
    <comment ref="AW388" authorId="0" shapeId="0">
      <text>
        <t>Canalyst:
Assumption by Canalyst</t>
      </text>
    </comment>
    <comment ref="AX388" authorId="0" shapeId="0">
      <text>
        <t>Canalyst:
Assumption by Canalyst</t>
      </text>
    </comment>
    <comment ref="AY388" authorId="0" shapeId="0">
      <text>
        <t>Canalyst:
Assumption by Canalyst</t>
      </text>
    </comment>
    <comment ref="AZ388" authorId="0" shapeId="0">
      <text>
        <t>Canalyst:
Assumption by Canalyst</t>
      </text>
    </comment>
    <comment ref="BA388" authorId="0" shapeId="0">
      <text>
        <t>Canalyst:
Assumption by Canalyst</t>
      </text>
    </comment>
    <comment ref="BB388" authorId="0" shapeId="0">
      <text>
        <t>Canalyst:
Assumption by Canalyst</t>
      </text>
    </comment>
    <comment ref="BC388" authorId="0" shapeId="0">
      <text>
        <t>Canalyst:
Assumption by Canalyst</t>
      </text>
    </comment>
    <comment ref="BD388" authorId="0" shapeId="0">
      <text>
        <t>Canalyst:
Assumption by Canalyst</t>
      </text>
    </comment>
    <comment ref="BE388" authorId="0" shapeId="0">
      <text>
        <t>Canalyst:
Assumption by Canalyst</t>
      </text>
    </comment>
    <comment ref="BF388" authorId="0" shapeId="0">
      <text>
        <t>Canalyst:
Assumption by Canalyst</t>
      </text>
    </comment>
    <comment ref="BG388" authorId="0" shapeId="0">
      <text>
        <t>Canalyst:
Assumption by Canalyst</t>
      </text>
    </comment>
    <comment ref="BH388" authorId="0" shapeId="0">
      <text>
        <t>Canalyst:
Assumption by Canalyst</t>
      </text>
    </comment>
    <comment ref="BI388" authorId="0" shapeId="0">
      <text>
        <t>Canalyst:
Assumption by Canalyst</t>
      </text>
    </comment>
    <comment ref="BJ388" authorId="0" shapeId="0">
      <text>
        <t>Canalyst:
Assumption by Canalyst</t>
      </text>
    </comment>
    <comment ref="BK388" authorId="0" shapeId="0">
      <text>
        <t>Canalyst:
Assumption by Canalyst</t>
      </text>
    </comment>
    <comment ref="BL388" authorId="0" shapeId="0">
      <text>
        <t>Canalyst:
Assumption by Canalyst</t>
      </text>
    </comment>
    <comment ref="BM388" authorId="0" shapeId="0">
      <text>
        <t>Canalyst:
Assumption by Canalyst</t>
      </text>
    </comment>
    <comment ref="BN388" authorId="0" shapeId="0">
      <text>
        <t>Tegus (ALT):
Estimated</t>
      </text>
    </comment>
    <comment ref="BO388" authorId="0" shapeId="0">
      <text>
        <t>Tegus (ALT):
Estimated</t>
      </text>
    </comment>
    <comment ref="A391" authorId="6" shapeId="0">
      <text>
        <t>Tegus:
In periods where EPS is negative, this amount is calculated using the closest prior period where EPS was positive.</t>
      </text>
    </comment>
    <comment ref="G405" authorId="1" shapeId="0">
      <text>
        <t>Tegus (AB):
Acquisition of Cyner.</t>
      </text>
    </comment>
    <comment ref="U405" authorId="1" shapeId="0">
      <text>
        <t>Tegus (AB):
Acquisition of HMI.</t>
      </text>
    </comment>
    <comment ref="AO405" authorId="1" shapeId="0">
      <text>
        <t>Tegus (AP):
Acquisition of Berliner Glas Group closed November 2nd, 2020</t>
      </text>
    </comment>
    <comment ref="AP405" authorId="1" shapeId="0">
      <text>
        <t>Tegus (AP):
Acquisition of Berliner Glas Group closed November 2nd, 2020</t>
      </text>
    </comment>
    <comment ref="AR406" authorId="1" shapeId="0">
      <text>
        <t>Tegus (HS):
Proceeds from sale of subsidiaries</t>
      </text>
    </comment>
    <comment ref="AK408" authorId="1" shapeId="0">
      <text>
        <t>Tegus (AK):
ASML will submit a proposal at the 2020 Annual General Meeting of Shareholders (AGM) to declare a total dividend for 2019 of €2.40 per ordinary share. Recognizing the interim dividend of €1.05 paid in November 2019, this leads to a final dividend of €1.35 to be paid in the second quarter. This is a 14% increase compared to the 2018 dividend.</t>
      </text>
    </comment>
    <comment ref="BB408" authorId="1" shapeId="0">
      <text>
        <t>Tegus (DY):
ASML intends to declare a total dividend for the year 2022 of 5.80 euro per ordinary share. Recognizing the three interim dividends of EURO 1.37 per ordinary share each paid in 2022 and 2023, this leads to a final dividend proposal to the Annual General Meeting of EURO 1.69 per ordinary share.</t>
      </text>
    </comment>
    <comment ref="BC408" authorId="1" shapeId="0">
      <text>
        <t>Tegus (TP):
The first quarterly interim dividend over 2023 will be 1.45 EUR per ordinary share and will be made payable on August 10, 2023</t>
      </text>
    </comment>
    <comment ref="BD408" authorId="1" shapeId="0">
      <text>
        <t>Tegus (TP):
ASML intends to declare a total dividend for the year 2022 of 5.80 euro per ordinary share. An interim dividend of 1.37 euro per ordinary share will be made payable on February 15, 2023</t>
      </text>
    </comment>
    <comment ref="BF408" authorId="1" shapeId="0">
      <text>
        <t>Tegus (TP):
An interim dividend of €1.45 per ordinary share will be made payable on February 14, 2024. Recognizing this interim dividend and the two interim dividends of €1.45 per ordinary share paid in 2023, this leads to a final dividend proposal to the General Meeting of €1.75 per ordinary share.</t>
      </text>
    </comment>
    <comment ref="BG408" authorId="1" shapeId="0">
      <text>
        <t>Tegus (TP):
An interim dividend of €1.45 per ordinary share will be made payable on February 14, 2024. Recognizing this interim dividend and the two interim dividends of €1.45 per ordinary share paid in 2023, this leads to a final dividend proposal to the General Meeting of €1.75 per ordinary share.</t>
      </text>
    </comment>
    <comment ref="BH408" authorId="7" shapeId="0">
      <text>
        <t>Tegus (AW):
On July 17, 2024 ASML announced that an interim dividend of €1.52 per ordinary share will be made payable on August 7, 2024.</t>
      </text>
    </comment>
    <comment ref="BI408" authorId="4" shapeId="0">
      <text>
        <t>Tegus (BL):
An interim dividend of €1.52 per ordinary share will be made payable on November 7, 2024.</t>
      </text>
    </comment>
    <comment ref="BK408" authorId="2" shapeId="0">
      <text>
        <t>Tegus (AN):
Recognizing the three interim dividends of €1.52 per ordinary share paid in 2024 and 2025</t>
      </text>
    </comment>
    <comment ref="BL408" authorId="8" shapeId="0">
      <text>
        <t>Tegus (AA):
final dividend proposal to the General Meeting of €1.84 per ordinary shar</t>
      </text>
    </comment>
    <comment ref="BM408" authorId="3" shapeId="0">
      <text>
        <t>Tegus (TP):
The first quarterly interim dividend over 2025 will be €1.60 per ordinary share and will be made
payable on August 6, 2025</t>
      </text>
    </comment>
    <comment ref="BN468" authorId="0" shapeId="0">
      <text>
        <t>Tegus (ALT):
To be updated with annual report</t>
      </text>
    </comment>
    <comment ref="BO468" authorId="0" shapeId="0">
      <text>
        <t>Tegus (ALT):
To be updated with annual report</t>
      </text>
    </comment>
    <comment ref="BO489" authorId="0" shapeId="0">
      <text>
        <t>Tegus (ALT):
Hardcode as reported, to be updated with annual report</t>
      </text>
    </comment>
    <comment ref="AR502" authorId="1" shapeId="0">
      <text>
        <t>Tegus (HS):
Proceeds from sale of subsidiaries</t>
      </text>
    </comment>
    <comment ref="H521" authorId="1" shapeId="0">
      <text>
        <t>Tegus (AB):
Adjusted formula to reflect change in reporting to 3 decimal places to 1 decimal place.</t>
      </text>
    </comment>
    <comment ref="K521" authorId="1" shapeId="0">
      <text>
        <t>Tegus (AB):
Adjusted formula to reflect change in reporting from 1 decimal place to 3 decimal places.</t>
      </text>
    </comment>
    <comment ref="M521" authorId="1" shapeId="0">
      <text>
        <t>Tegus (AB):
Adjusted formula to reflect change in reporting to 3 decimal places to 1 decimal place.</t>
      </text>
    </comment>
    <comment ref="P521" authorId="1" shapeId="0">
      <text>
        <t>Tegus (AB):
Adjusted formula to reflect change in reporting from 1 decimal place to 3 decimal places.</t>
      </text>
    </comment>
    <comment ref="R521" authorId="1" shapeId="0">
      <text>
        <t>Tegus (AB):
Adjusted formula to reflect change in reporting to 3 decimal places to 1 decimal place.</t>
      </text>
    </comment>
    <comment ref="BO537" authorId="0" shapeId="0">
      <text>
        <t>Tegus (ALT):
Estimated</t>
      </text>
    </comment>
    <comment ref="BO538" authorId="0" shapeId="0">
      <text>
        <t>Tegus (ALT):
Estimated</t>
      </text>
    </comment>
    <comment ref="BO539" authorId="0" shapeId="0">
      <text>
        <t>Tegus (ALT):
Estimated</t>
      </text>
    </comment>
    <comment ref="BO540" authorId="0" shapeId="0">
      <text>
        <t>Tegus (ALT):
Estimated</t>
      </text>
    </comment>
    <comment ref="BO541" authorId="0" shapeId="0">
      <text>
        <t>Tegus (ALT):
Estimated</t>
      </text>
    </comment>
    <comment ref="BO542" authorId="0" shapeId="0">
      <text>
        <t>Tegus (ALT):
Estimated</t>
      </text>
    </comment>
    <comment ref="BO543" authorId="0" shapeId="0">
      <text>
        <t>Tegus (ALT):
Estimated</t>
      </text>
    </comment>
    <comment ref="BO544" authorId="0" shapeId="0">
      <text>
        <t>Tegus (ALT):
Backout to reconcile subtotal.</t>
      </text>
    </comment>
    <comment ref="X556" authorId="1" shapeId="0">
      <text>
        <t>Tegus (AB):
Acquisition of 24.9% interest in Carl Zeiss SMT Holding.</t>
      </text>
    </comment>
    <comment ref="AR558" authorId="1" shapeId="0">
      <text>
        <t>Tegus (HS):
Proceeds from sale of subsidiaries</t>
      </text>
    </comment>
    <comment ref="H577" authorId="1" shapeId="0">
      <text>
        <t>Tegus (AB):
Adjusted formula to reflect change in reporting to 3 decimal places to 1 decimal place.</t>
      </text>
    </comment>
    <comment ref="K577" authorId="1" shapeId="0">
      <text>
        <t>Tegus (AB):
Adjusted formula to reflect change in reporting from 1 decimal place to 3 decimal places.</t>
      </text>
    </comment>
    <comment ref="M577" authorId="1" shapeId="0">
      <text>
        <t>Tegus (AB):
Adjusted formula to reflect change in reporting to 3 decimal places to 1 decimal place.</t>
      </text>
    </comment>
    <comment ref="P577" authorId="1" shapeId="0">
      <text>
        <t>Tegus (AB):
Adjusted formula to reflect change in reporting from 1 decimal place to 3 decimal places.</t>
      </text>
    </comment>
    <comment ref="R577" authorId="1" shapeId="0">
      <text>
        <t>Tegus (AB):
Adjusted formula to reflect change in reporting to 3 decimal places to 1 decimal place.</t>
      </text>
    </comment>
    <comment ref="V577" authorId="1" shapeId="0">
      <text>
        <t>Tegus (AB):
Adjusted formula to reflect change in reporting to 3 decimal places to 1 decimal place.</t>
      </text>
    </comment>
    <comment ref="W577" authorId="1" shapeId="0">
      <text>
        <t>Tegus (AB):
Adjusted formula to reflect change in reporting to 3 decimal places to 1 decimal place.</t>
      </text>
    </comment>
    <comment ref="BN604" authorId="0" shapeId="0">
      <text>
        <t>Tegus (ALT):
To be updated with annual report</t>
      </text>
    </comment>
    <comment ref="BO604" authorId="0" shapeId="0">
      <text>
        <t>Tegus (ALT):
To be updated with annual report</t>
      </text>
    </comment>
    <comment ref="BO609" authorId="0" shapeId="0">
      <text>
        <t>Tegus (ALT):
To be updated with annual report</t>
      </text>
    </comment>
    <comment ref="BO610" authorId="0" shapeId="0">
      <text>
        <t>Tegus (ALT):
To be updated with annual report</t>
      </text>
    </comment>
    <comment ref="BO611" authorId="0" shapeId="0">
      <text>
        <t>Tegus (ALT):
To be updated with annual report</t>
      </text>
    </comment>
    <comment ref="BO612" authorId="0" shapeId="0">
      <text>
        <t>Tegus (ALT):
To be updated with annual report</t>
      </text>
    </comment>
    <comment ref="BN623" authorId="0" shapeId="0">
      <text>
        <t>Tegus (ALT):
To be updated with annual report</t>
      </text>
    </comment>
    <comment ref="BO623" authorId="0" shapeId="0">
      <text>
        <t>Tegus (ALT):
To be updated with annual report</t>
      </text>
    </comment>
    <comment ref="AY649" authorId="1" shapeId="0">
      <text>
        <t>Tegus (AK):
breakout no longer reports</t>
      </text>
    </comment>
    <comment ref="AZ649" authorId="1" shapeId="0">
      <text>
        <t>Tegus (AK):
breakout no longer reports</t>
      </text>
    </comment>
    <comment ref="AY650" authorId="1" shapeId="0">
      <text>
        <t>Tegus (AK):
breakout no longer reports</t>
      </text>
    </comment>
    <comment ref="AZ650" authorId="1" shapeId="0">
      <text>
        <t>Tegus (AK):
breakout no longer reports</t>
      </text>
    </comment>
    <comment ref="BO656" authorId="0" shapeId="0">
      <text>
        <t>Tegus (ALT):
Based on estimate, will be updated with annual report</t>
      </text>
    </comment>
    <comment ref="BO657" authorId="0" shapeId="0">
      <text>
        <t>Tegus (ALT):
Based on estimate, will be updated with annual report</t>
      </text>
    </comment>
    <comment ref="BO658" authorId="0" shapeId="0">
      <text>
        <t>Tegus (ALT):
Based on estimate, will be updated with annual report</t>
      </text>
    </comment>
    <comment ref="H659" authorId="1" shapeId="0">
      <text>
        <t>Tegus (TZ):
Assumed, not reported</t>
      </text>
    </comment>
    <comment ref="I659" authorId="1" shapeId="0">
      <text>
        <t>Tegus (TZ):
Assumed, not reported</t>
      </text>
    </comment>
    <comment ref="J659" authorId="1" shapeId="0">
      <text>
        <t>Tegus (TZ):
Assumed, not reported</t>
      </text>
    </comment>
    <comment ref="M659" authorId="1" shapeId="0">
      <text>
        <t>Tegus (TZ):
Assumed, not reported</t>
      </text>
    </comment>
    <comment ref="N659" authorId="1" shapeId="0">
      <text>
        <t>Tegus (TZ):
Assumed, not reported</t>
      </text>
    </comment>
    <comment ref="O659" authorId="1" shapeId="0">
      <text>
        <t>Tegus (TZ):
Assumed, not reported</t>
      </text>
    </comment>
    <comment ref="R659" authorId="1" shapeId="0">
      <text>
        <t>Tegus (TZ):
Assumed, not reported</t>
      </text>
    </comment>
    <comment ref="S659" authorId="1" shapeId="0">
      <text>
        <t>Tegus (TZ):
Assumed, not reported</t>
      </text>
    </comment>
    <comment ref="T659" authorId="1" shapeId="0">
      <text>
        <t>Tegus (TZ):
Assumed, not reported</t>
      </text>
    </comment>
    <comment ref="W659" authorId="1" shapeId="0">
      <text>
        <t>Tegus (TZ):
Assumed, not reported</t>
      </text>
    </comment>
    <comment ref="X659" authorId="1" shapeId="0">
      <text>
        <t>Tegus (TZ):
Assumed, not reported</t>
      </text>
    </comment>
    <comment ref="Y659" authorId="1" shapeId="0">
      <text>
        <t>Tegus (TZ):
Assumed, not reported</t>
      </text>
    </comment>
    <comment ref="AB659" authorId="1" shapeId="0">
      <text>
        <t>Tegus (TZ):
Assumed, not reported</t>
      </text>
    </comment>
    <comment ref="AC659" authorId="1" shapeId="0">
      <text>
        <t>Tegus (TZ):
Assumed, not reported</t>
      </text>
    </comment>
    <comment ref="AD659" authorId="1" shapeId="0">
      <text>
        <t>Tegus (TZ):
Assumed, not reported</t>
      </text>
    </comment>
    <comment ref="AL659" authorId="1" shapeId="0">
      <text>
        <t>Tegus (TZ):
Assumed, not reported</t>
      </text>
    </comment>
    <comment ref="AM659" authorId="1" shapeId="0">
      <text>
        <t>Tegus (TZ):
Assumed, not reported</t>
      </text>
    </comment>
    <comment ref="AN659" authorId="1" shapeId="0">
      <text>
        <t>Tegus (TZ):
Assumed, not reported</t>
      </text>
    </comment>
    <comment ref="AQ659" authorId="1" shapeId="0">
      <text>
        <t>Tegus (TZ):
Assumed, not reported</t>
      </text>
    </comment>
    <comment ref="AR659" authorId="1" shapeId="0">
      <text>
        <t>Tegus (TZ):
Assumed, not reported</t>
      </text>
    </comment>
    <comment ref="AS659" authorId="1" shapeId="0">
      <text>
        <t>Tegus (TZ):
Assumed, not reported</t>
      </text>
    </comment>
    <comment ref="AV659" authorId="1" shapeId="0">
      <text>
        <t>Tegus (TZ):
Assumed, not reported</t>
      </text>
    </comment>
    <comment ref="AW659" authorId="1" shapeId="0">
      <text>
        <t>Tegus (TZ):
Assumed, not reported</t>
      </text>
    </comment>
    <comment ref="AX659" authorId="1" shapeId="0">
      <text>
        <t>Tegus (TZ):
Assumed, not reported</t>
      </text>
    </comment>
    <comment ref="BA659" authorId="1" shapeId="0">
      <text>
        <t>Tegus (CZ):
Assumed, not reported</t>
      </text>
    </comment>
    <comment ref="BB659" authorId="1" shapeId="0">
      <text>
        <t>Tegus (CZ):
Assumed, not reported</t>
      </text>
    </comment>
    <comment ref="BC659" authorId="1" shapeId="0">
      <text>
        <t>Tegus (CZ):
Assumed, not reported</t>
      </text>
    </comment>
    <comment ref="BF659" authorId="1" shapeId="0">
      <text>
        <t>Tegus (AN):
Assumed</t>
      </text>
    </comment>
    <comment ref="BG659" authorId="1" shapeId="0">
      <text>
        <t>Tegus (AN):
Assumed</t>
      </text>
    </comment>
    <comment ref="BH659" authorId="1" shapeId="0">
      <text>
        <t>Tegus (AN):
Assumed</t>
      </text>
    </comment>
    <comment ref="BK659" authorId="1" shapeId="0">
      <text>
        <t>Tegus (AN):
Assumed</t>
      </text>
    </comment>
    <comment ref="BL659" authorId="1" shapeId="0">
      <text>
        <t>Tegus (AN):
Assumed</t>
      </text>
    </comment>
    <comment ref="BM659" authorId="1" shapeId="0">
      <text>
        <t>Tegus (AN):
Assumed</t>
      </text>
    </comment>
    <comment ref="BO659" authorId="0" shapeId="0">
      <text>
        <t>Tegus (ALT):
Backed out</t>
      </text>
    </comment>
    <comment ref="BF660" authorId="1" shapeId="0">
      <text>
        <t>Tegus (AN):
Backed out as a plug-in</t>
      </text>
    </comment>
    <comment ref="BG660" authorId="1" shapeId="0">
      <text>
        <t>Tegus (AN):
Backed out as a plug-in</t>
      </text>
    </comment>
    <comment ref="BH660" authorId="1" shapeId="0">
      <text>
        <t>Tegus (AN):
Backed out as a plug-in</t>
      </text>
    </comment>
    <comment ref="BK660" authorId="1" shapeId="0">
      <text>
        <t>Tegus (AN):
Backed out as a plug-in</t>
      </text>
    </comment>
    <comment ref="BL660" authorId="1" shapeId="0">
      <text>
        <t>Tegus (AN):
Backed out as a plug-in</t>
      </text>
    </comment>
    <comment ref="BM660" authorId="1" shapeId="0">
      <text>
        <t>Tegus (AN):
Backed out as a plug-in</t>
      </text>
    </comment>
    <comment ref="BO660" authorId="0" shapeId="0">
      <text>
        <t>Tegus (ALT):
Based on estimate, will be updated with annual report</t>
      </text>
    </comment>
    <comment ref="AQ664" authorId="1" shapeId="0">
      <text>
        <t>Tegus (AW):
Includes 47.2mm of held for sale liabilities</t>
      </text>
    </comment>
    <comment ref="AR664" authorId="1" shapeId="0">
      <text>
        <t>Tegus (HS):
46.6mm hold for sales liabilities</t>
      </text>
    </comment>
    <comment ref="AS664" authorId="1" shapeId="0">
      <text>
        <t>Tegus (HS):
47.9 Hold for sale liabilities</t>
      </text>
    </comment>
    <comment ref="BO664" authorId="0" shapeId="0">
      <text>
        <t>Tegus (ALT):
Hardcode as reported, to be updated with annual report</t>
      </text>
    </comment>
    <comment ref="BO681" authorId="0" shapeId="0">
      <text>
        <t>Tegus (ALT):
Hardcode as reported, to be updated with annual report</t>
      </text>
    </comment>
    <comment ref="K688" authorId="1" shapeId="0">
      <text>
        <t>Tegus (AB):
Rounding error - company reports to 3 decimal places in 20F and only 1 decimal place in PR.</t>
      </text>
    </comment>
    <comment ref="P688" authorId="1" shapeId="0">
      <text>
        <t>Tegus (AB):
Rounding error - company reports to 3 decimal places in 20F and only 1 decimal place in PR.</t>
      </text>
    </comment>
    <comment ref="K701" authorId="1" shapeId="0">
      <text>
        <t>Tegus (AB):
As reported.</t>
      </text>
    </comment>
    <comment ref="L702" authorId="1" shapeId="0">
      <text>
        <t>Tegus (AB):
Rounding error.</t>
      </text>
    </comment>
    <comment ref="Q702" authorId="1" shapeId="0">
      <text>
        <t>Tegus (AB):
Rounding error.</t>
      </text>
    </comment>
    <comment ref="L703" authorId="1" shapeId="0">
      <text>
        <t>Tegus (AB):
Rounding error.</t>
      </text>
    </comment>
    <comment ref="Q703" authorId="1" shapeId="0">
      <text>
        <t>Tegus (AB):
Rounding error.</t>
      </text>
    </comment>
  </commentList>
</comments>
</file>

<file path=xl/comments/comment2.xml><?xml version="1.0" encoding="utf-8"?>
<comments xmlns="http://schemas.openxmlformats.org/spreadsheetml/2006/main">
  <authors>
    <author>Menno Burnet</author>
    <author>Tegus (BL)</author>
    <author>Tegus (TP)</author>
  </authors>
  <commentList>
    <comment ref="A4" authorId="0" shapeId="0">
      <text>
        <t>Tegus:
Sort Largest to Smallest to return to default.</t>
      </text>
    </comment>
    <comment ref="K11" authorId="1" shapeId="0">
      <text>
        <t>Tegus (BL):
Around.</t>
      </text>
    </comment>
    <comment ref="K13" authorId="1" shapeId="0">
      <text>
        <t>Tegus (BL):
Around.</t>
      </text>
    </comment>
    <comment ref="K14" authorId="1" shapeId="0">
      <text>
        <t>Tegus (BL):
Around.</t>
      </text>
    </comment>
    <comment ref="K16" authorId="2" shapeId="0">
      <text>
        <t>Tegus (TP):
around 15% total net sales growth</t>
      </text>
    </comment>
    <comment ref="K21" authorId="1" shapeId="0">
      <text>
        <t>Tegus (BL):
Around.</t>
      </text>
    </comment>
    <comment ref="K23" authorId="1" shapeId="0">
      <text>
        <t>Tegus (BL):
Around.</t>
      </text>
    </comment>
    <comment ref="K24" authorId="1" shapeId="0">
      <text>
        <t>Tegus (BL):
Around.</t>
      </text>
    </comment>
    <comment ref="K26" authorId="2" shapeId="0">
      <text>
        <t>Tegus (TP):
around 15% total net sales growth</t>
      </text>
    </comment>
    <comment ref="K66" authorId="0" shapeId="0">
      <text>
        <t>Tegus (TP):
Similar net sales with a slightly lower gross margin, relative to 2023</t>
      </text>
    </comment>
    <comment ref="K75" authorId="0" shapeId="0">
      <text>
        <t>Tegus (AN):
Similar net sales with a slightly lower gross margin, relative to 2023</t>
      </text>
    </comment>
    <comment ref="K84" authorId="0" shapeId="0">
      <text>
        <t>Tegus (TP):
Similar net sales with a slightly lower gross margin, relative to 2023</t>
      </text>
    </comment>
    <comment ref="K89" authorId="0" shapeId="0">
      <text>
        <t>Tegus (TP):
Around 50%</t>
      </text>
    </comment>
    <comment ref="K93" authorId="0" shapeId="0">
      <text>
        <t>Tegus (TP):
Net sales growth expectation towards 30% with a slight improvement in gross margin, relative to 2022, confirmed</t>
      </text>
    </comment>
    <comment ref="K98" authorId="0" shapeId="0">
      <text>
        <t>Tegus (TP):
Around 50%</t>
      </text>
    </comment>
    <comment ref="K102" authorId="0" shapeId="0">
      <text>
        <t>Tegus (TP):
Expected net sales growth towards 30% with a slight improvement in gross margin, relative to 2022</t>
      </text>
    </comment>
    <comment ref="K107" authorId="0" shapeId="0">
      <text>
        <t>Tegus (TP):
Around 50%</t>
      </text>
    </comment>
    <comment ref="K111" authorId="0" shapeId="0">
      <text>
        <t>Tegus (CZ):
Over</t>
      </text>
    </comment>
    <comment ref="K120" authorId="0" shapeId="0">
      <text>
        <t>Tegus (DY):
Over</t>
      </text>
    </comment>
    <comment ref="K133" authorId="0" shapeId="0">
      <text>
        <t>Tegus (AK):
Net delayed revenue recognition of around €1.1 billion into subsequent quarters due to fast shipments</t>
      </text>
    </comment>
    <comment ref="K143" authorId="0" shapeId="0">
      <text>
        <t>Tegus (AK):
Net delayed revenue recognition of around €1.1 billion into subsequent quarters due to fast shipments</t>
      </text>
    </comment>
    <comment ref="K152" authorId="0" shapeId="0">
      <text>
        <t>Tegus (AK):
excluding, net revenue shift of around €800 million due to fast shipments to subsequent quarters</t>
      </text>
    </comment>
    <comment ref="K161" authorId="0" shapeId="0">
      <text>
        <t xml:space="preserve">Tegus (AW):
excluding, revenue shift of approximately €2 billion due to fast shipments to subsequent quarters </t>
      </text>
    </comment>
    <comment ref="N221" authorId="0" shapeId="0">
      <text>
        <t>Tegus (AP):
"Due to concerns around the continued ability to ship systems in the current circumstances, some customers have asked us to expedite the delivery of EUV systems by shipping the systems before the normal Factory Acceptance Tests (FAT). The implication of this is a delay in our revenue recognition as final acceptance will now take place after successful installation at the customer site." -"We expect the revenue that we were not able to recognize for Q1 as a result of the issues listed above, to shift to Q2 and Q3 of this year."</t>
      </text>
    </comment>
    <comment ref="N222" authorId="0" shapeId="0">
      <text>
        <t>Tegus (AP):
"Due to concerns around the continued ability to ship systems in the current circumstances, some customers have asked us to expedite the delivery of EUV systems by shipping the systems before the normal Factory Acceptance Tests (FAT). The implication of this is a delay in our revenue recognition as final acceptance will now take place after successful installation at the customer site." -"We expect the revenue that we were not able to recognize for Q1 as a result of the issues listed above, to shift to Q2 and Q3 of this year."</t>
      </text>
    </comment>
    <comment ref="I224" authorId="0" shapeId="0">
      <text>
        <t>Tegus (AK):
based on capacity cycle-time</t>
      </text>
    </comment>
    <comment ref="J224" authorId="0" shapeId="0">
      <text>
        <t>Tegus (AK):
based on capacity cycle-time</t>
      </text>
    </comment>
    <comment ref="D232" authorId="0" shapeId="0">
      <text>
        <t>Tegus (HS):
Installed Base Management equals service and field upgrades sales as reported in IP</t>
      </text>
    </comment>
    <comment ref="D242" authorId="0" shapeId="0">
      <text>
        <t>Tegus (HS):
Installed Base Management equals service and field upgrades sales as reported in IP</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2</col>
      <colOff>0</colOff>
      <row>1</row>
      <rowOff>0</rowOff>
    </from>
    <to>
      <col>5</col>
      <colOff>180975</colOff>
      <row>6</row>
      <rowOff>19050</rowOff>
    </to>
    <pic>
      <nvPicPr>
        <cNvPr id="9" name="CanalystByASLogo"/>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895350" y="190500"/>
          <a:ext cx="2143125" cy="1019175"/>
        </a:xfrm>
        <a:prstGeom xmlns:a="http://schemas.openxmlformats.org/drawingml/2006/main" prst="rect"/>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0</colOff>
      <row>1</row>
      <rowOff>0</rowOff>
    </from>
    <to>
      <col>3</col>
      <colOff>1257300</colOff>
      <row>6</row>
      <rowOff>142875</rowOff>
    </to>
    <pic>
      <nvPicPr>
        <cNvPr id="9" name="CanalystByASLogo"/>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42975" y="190500"/>
          <a:ext cx="2305050" cy="1095375"/>
        </a:xfrm>
        <a:prstGeom xmlns:a="http://schemas.openxmlformats.org/drawingml/2006/main" prst="rect"/>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support@canalyst.com?subject=Canalyst%20Support:%20ASML%20Holdings%20N.V.%20ASML%20US&amp;body=Model%20Version:%20Q2-2019.20" TargetMode="External" Id="rId1"/><Relationship Type="http://schemas.openxmlformats.org/officeDocument/2006/relationships/hyperlink" Target="mailto:support@canalyst.com?subject=Canalyst%20Support:%20ASML%20Holdings%20N.V.%20ASML%20US&amp;body=Model%20Version:%20Q2-2019.20" TargetMode="External" Id="rId2"/><Relationship Type="http://schemas.openxmlformats.org/officeDocument/2006/relationships/hyperlink" Target="mailto:support@canalyst.com?subject=Canalyst%20Support:%20ASML%20Holdings%20N.V.%20ASML%20US&amp;body=Model%20Version:%20Q2-2019.20" TargetMode="External" Id="rId3"/><Relationship Type="http://schemas.openxmlformats.org/officeDocument/2006/relationships/drawing" Target="/xl/drawings/drawing1.xml" Id="rId4"/></Relationships>
</file>

<file path=xl/worksheets/_rels/sheet3.xml.rels><Relationships xmlns="http://schemas.openxmlformats.org/package/2006/relationships"><Relationship Type="http://schemas.openxmlformats.org/officeDocument/2006/relationships/hyperlink" Target="https://www.asml.com/en/investors"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ourbrand.asml.com/m/3136300aa4999bc1/original/2026_01_28_Presentation-Investor-Relations-Q4-2025.pdf" TargetMode="External" Id="rId1"/><Relationship Type="http://schemas.openxmlformats.org/officeDocument/2006/relationships/hyperlink" Target="https://ourbrand.asml.com/m/3136300aa4999bc1/original/2026_01_28_Presentation-Investor-Relations-Q4-2025.pdf" TargetMode="External" Id="rId2"/><Relationship Type="http://schemas.openxmlformats.org/officeDocument/2006/relationships/hyperlink" Target="https://ourbrand.asml.com/m/3136300aa4999bc1/original/2026_01_28_Presentation-Investor-Relations-Q4-2025.pdf" TargetMode="External" Id="rId3"/><Relationship Type="http://schemas.openxmlformats.org/officeDocument/2006/relationships/hyperlink" Target="https://ourbrand.asml.com/m/3136300aa4999bc1/original/2026_01_28_Presentation-Investor-Relations-Q4-2025.pdf" TargetMode="External" Id="rId4"/><Relationship Type="http://schemas.openxmlformats.org/officeDocument/2006/relationships/hyperlink" Target="https://ourbrand.asml.com/m/3136300aa4999bc1/original/2026_01_28_Presentation-Investor-Relations-Q4-2025.pdf" TargetMode="External" Id="rId5"/><Relationship Type="http://schemas.openxmlformats.org/officeDocument/2006/relationships/hyperlink" Target="https://ourbrand.asml.com/m/3136300aa4999bc1/original/2026_01_28_Presentation-Investor-Relations-Q4-2025.pdf" TargetMode="External" Id="rId6"/><Relationship Type="http://schemas.openxmlformats.org/officeDocument/2006/relationships/hyperlink" Target="https://ourbrand.asml.com/m/3136300aa4999bc1/original/2026_01_28_Presentation-Investor-Relations-Q4-2025.pdf" TargetMode="External" Id="rId7"/><Relationship Type="http://schemas.openxmlformats.org/officeDocument/2006/relationships/hyperlink" Target="https://ourbrand.asml.com/m/3136300aa4999bc1/original/2026_01_28_Presentation-Investor-Relations-Q4-2025.pdf" TargetMode="External" Id="rId8"/><Relationship Type="http://schemas.openxmlformats.org/officeDocument/2006/relationships/hyperlink" Target="https://ourbrand.asml.com/m/4beae8fbfeefabee/original/2025_10_15_Presentation-Investor-Relations-Q3-2025.pdf" TargetMode="External" Id="rId9"/><Relationship Type="http://schemas.openxmlformats.org/officeDocument/2006/relationships/hyperlink" Target="https://ourbrand.asml.com/m/4beae8fbfeefabee/original/2025_10_15_Presentation-Investor-Relations-Q3-2025.pdf" TargetMode="External" Id="rId10"/><Relationship Type="http://schemas.openxmlformats.org/officeDocument/2006/relationships/hyperlink" Target="https://ourbrand.asml.com/m/4beae8fbfeefabee/original/2025_10_15_Presentation-Investor-Relations-Q3-2025.pdf" TargetMode="External" Id="rId11"/><Relationship Type="http://schemas.openxmlformats.org/officeDocument/2006/relationships/hyperlink" Target="https://ourbrand.asml.com/m/4beae8fbfeefabee/original/2025_10_15_Presentation-Investor-Relations-Q3-2025.pdf" TargetMode="External" Id="rId12"/><Relationship Type="http://schemas.openxmlformats.org/officeDocument/2006/relationships/hyperlink" Target="https://ourbrand.asml.com/m/4beae8fbfeefabee/original/2025_10_15_Presentation-Investor-Relations-Q3-2025.pdf" TargetMode="External" Id="rId13"/><Relationship Type="http://schemas.openxmlformats.org/officeDocument/2006/relationships/hyperlink" Target="https://ourbrand.asml.com/m/4beae8fbfeefabee/original/2025_10_15_Presentation-Investor-Relations-Q3-2025.pdf" TargetMode="External" Id="rId14"/><Relationship Type="http://schemas.openxmlformats.org/officeDocument/2006/relationships/hyperlink" Target="https://ourbrand.asml.com/m/4beae8fbfeefabee/original/2025_10_15_Presentation-Investor-Relations-Q3-2025.pdf" TargetMode="External" Id="rId15"/><Relationship Type="http://schemas.openxmlformats.org/officeDocument/2006/relationships/hyperlink" Target="https://ourbrand.asml.com/m/4beae8fbfeefabee/original/2025_10_15_Presentation-Investor-Relations-Q3-2025.pdf" TargetMode="External" Id="rId16"/><Relationship Type="http://schemas.openxmlformats.org/officeDocument/2006/relationships/hyperlink" Target="https://ourbrand.asml.com/m/39670b708ea03976/original/2025_07_16_Presentation-Investor-Relations-Q2-2025.pdf" TargetMode="External" Id="rId17"/><Relationship Type="http://schemas.openxmlformats.org/officeDocument/2006/relationships/hyperlink" Target="https://ourbrand.asml.com/m/39670b708ea03976/original/2025_07_16_Presentation-Investor-Relations-Q2-2025.pdf" TargetMode="External" Id="rId18"/><Relationship Type="http://schemas.openxmlformats.org/officeDocument/2006/relationships/hyperlink" Target="https://ourbrand.asml.com/m/39670b708ea03976/original/2025_07_16_Presentation-Investor-Relations-Q2-2025.pdf" TargetMode="External" Id="rId19"/><Relationship Type="http://schemas.openxmlformats.org/officeDocument/2006/relationships/hyperlink" Target="https://ourbrand.asml.com/m/39670b708ea03976/original/2025_07_16_Presentation-Investor-Relations-Q2-2025.pdf" TargetMode="External" Id="rId20"/><Relationship Type="http://schemas.openxmlformats.org/officeDocument/2006/relationships/hyperlink" Target="https://ourbrand.asml.com/m/39670b708ea03976/original/2025_07_16_Presentation-Investor-Relations-Q2-2025.pdf" TargetMode="External" Id="rId21"/><Relationship Type="http://schemas.openxmlformats.org/officeDocument/2006/relationships/hyperlink" Target="https://ourbrand.asml.com/m/39670b708ea03976/original/2025_07_16_Presentation-Investor-Relations-Q2-2025.pdf" TargetMode="External" Id="rId22"/><Relationship Type="http://schemas.openxmlformats.org/officeDocument/2006/relationships/hyperlink" Target="https://ourbrand.asml.com/m/39670b708ea03976/original/2025_07_16_Presentation-Investor-Relations-Q2-2025.pdf" TargetMode="External" Id="rId23"/><Relationship Type="http://schemas.openxmlformats.org/officeDocument/2006/relationships/hyperlink" Target="https://ourbrand.asml.com/m/39670b708ea03976/original/2025_07_16_Presentation-Investor-Relations-Q2-2025.pdf" TargetMode="External" Id="rId24"/><Relationship Type="http://schemas.openxmlformats.org/officeDocument/2006/relationships/hyperlink" Target="https://ourbrand.asml.com/m/4911d1a455422b3f/original/Presentation-Investor-Relations-Q1-2025.pdf" TargetMode="External" Id="rId25"/><Relationship Type="http://schemas.openxmlformats.org/officeDocument/2006/relationships/hyperlink" Target="https://ourbrand.asml.com/m/4911d1a455422b3f/original/Presentation-Investor-Relations-Q1-2025.pdf" TargetMode="External" Id="rId26"/><Relationship Type="http://schemas.openxmlformats.org/officeDocument/2006/relationships/hyperlink" Target="https://ourbrand.asml.com/m/4911d1a455422b3f/original/Presentation-Investor-Relations-Q1-2025.pdf" TargetMode="External" Id="rId27"/><Relationship Type="http://schemas.openxmlformats.org/officeDocument/2006/relationships/hyperlink" Target="https://ourbrand.asml.com/m/4911d1a455422b3f/original/Presentation-Investor-Relations-Q1-2025.pdf" TargetMode="External" Id="rId28"/><Relationship Type="http://schemas.openxmlformats.org/officeDocument/2006/relationships/hyperlink" Target="https://ourbrand.asml.com/m/4911d1a455422b3f/original/Presentation-Investor-Relations-Q1-2025.pdf" TargetMode="External" Id="rId29"/><Relationship Type="http://schemas.openxmlformats.org/officeDocument/2006/relationships/hyperlink" Target="https://ourbrand.asml.com/m/4911d1a455422b3f/original/Presentation-Investor-Relations-Q1-2025.pdf" TargetMode="External" Id="rId30"/><Relationship Type="http://schemas.openxmlformats.org/officeDocument/2006/relationships/hyperlink" Target="https://ourbrand.asml.com/m/4911d1a455422b3f/original/Presentation-Investor-Relations-Q1-2025.pdf" TargetMode="External" Id="rId31"/><Relationship Type="http://schemas.openxmlformats.org/officeDocument/2006/relationships/hyperlink" Target="https://ourbrand.asml.com/m/4911d1a455422b3f/original/Presentation-Investor-Relations-Q1-2025.pdf" TargetMode="External" Id="rId32"/><Relationship Type="http://schemas.openxmlformats.org/officeDocument/2006/relationships/hyperlink" Target="https://ourbrand.asml.com/m/62a213cac2117ee6/original/2025_01_29-Presentation-Investor-Relations-Q4-FY-2024.pdf" TargetMode="External" Id="rId33"/><Relationship Type="http://schemas.openxmlformats.org/officeDocument/2006/relationships/hyperlink" Target="https://ourbrand.asml.com/m/62a213cac2117ee6/original/2025_01_29-Presentation-Investor-Relations-Q4-FY-2024.pdf" TargetMode="External" Id="rId34"/><Relationship Type="http://schemas.openxmlformats.org/officeDocument/2006/relationships/hyperlink" Target="https://ourbrand.asml.com/m/62a213cac2117ee6/original/2025_01_29-Presentation-Investor-Relations-Q4-FY-2024.pdf" TargetMode="External" Id="rId35"/><Relationship Type="http://schemas.openxmlformats.org/officeDocument/2006/relationships/hyperlink" Target="https://ourbrand.asml.com/m/47f7fb0b4fabfc6d/original/Presentation-Investor-Relations-Q2-2024.pdf" TargetMode="External" Id="rId36"/><Relationship Type="http://schemas.openxmlformats.org/officeDocument/2006/relationships/hyperlink" Target="https://ourbrand.asml.com/m/47f7fb0b4fabfc6d/original/Presentation-Investor-Relations-Q2-2024.pdf" TargetMode="External" Id="rId37"/><Relationship Type="http://schemas.openxmlformats.org/officeDocument/2006/relationships/hyperlink" Target="https://ourbrand.asml.com/m/47f7fb0b4fabfc6d/original/Presentation-Investor-Relations-Q2-2024.pdf" TargetMode="External" Id="rId38"/><Relationship Type="http://schemas.openxmlformats.org/officeDocument/2006/relationships/hyperlink" Target="https://ourbrand.asml.com/m/47f7fb0b4fabfc6d/original/Presentation-Investor-Relations-Q2-2024.pdf" TargetMode="External" Id="rId39"/><Relationship Type="http://schemas.openxmlformats.org/officeDocument/2006/relationships/hyperlink" Target="https://ourbrand.asml.com/m/47f7fb0b4fabfc6d/original/Presentation-Investor-Relations-Q2-2024.pdf" TargetMode="External" Id="rId40"/><Relationship Type="http://schemas.openxmlformats.org/officeDocument/2006/relationships/hyperlink" Target="https://ourbrand.asml.com/m/47f7fb0b4fabfc6d/original/Presentation-Investor-Relations-Q2-2024.pdf" TargetMode="External" Id="rId41"/><Relationship Type="http://schemas.openxmlformats.org/officeDocument/2006/relationships/hyperlink" Target="https://ourbrand.asml.com/m/47f7fb0b4fabfc6d/original/Presentation-Investor-Relations-Q2-2024.pdf" TargetMode="External" Id="rId42"/><Relationship Type="http://schemas.openxmlformats.org/officeDocument/2006/relationships/hyperlink" Target="https://ourbrand.asml.com/m/47f7fb0b4fabfc6d/original/Presentation-Investor-Relations-Q2-2024.pdf" TargetMode="External" Id="rId43"/><Relationship Type="http://schemas.openxmlformats.org/officeDocument/2006/relationships/hyperlink" Target="https://ourbrand.asml.com/m/47f7fb0b4fabfc6d/original/Presentation-Investor-Relations-Q2-2024.pdf" TargetMode="External" Id="rId44"/><Relationship Type="http://schemas.openxmlformats.org/officeDocument/2006/relationships/hyperlink" Target="https://ourbrand.asml.com/m/47f7fb0b4fabfc6d/original/Presentation-Investor-Relations-Q2-2024.pdf" TargetMode="External" Id="rId45"/><Relationship Type="http://schemas.openxmlformats.org/officeDocument/2006/relationships/hyperlink" Target="https://ourbrand.asml.com/m/47f7fb0b4fabfc6d/original/Presentation-Investor-Relations-Q2-2024.pdf" TargetMode="External" Id="rId46"/><Relationship Type="http://schemas.openxmlformats.org/officeDocument/2006/relationships/hyperlink" Target="https://ourbrand.asml.com/m/47f7fb0b4fabfc6d/original/Presentation-Investor-Relations-Q2-2024.pdf" TargetMode="External" Id="rId47"/><Relationship Type="http://schemas.openxmlformats.org/officeDocument/2006/relationships/hyperlink" Target="https://ourbrand.asml.com/m/47f7fb0b4fabfc6d/original/Presentation-Investor-Relations-Q2-2024.pdf" TargetMode="External" Id="rId48"/><Relationship Type="http://schemas.openxmlformats.org/officeDocument/2006/relationships/hyperlink" Target="https://ourbrand.asml.com/m/47f7fb0b4fabfc6d/original/Presentation-Investor-Relations-Q2-2024.pdf" TargetMode="External" Id="rId49"/><Relationship Type="http://schemas.openxmlformats.org/officeDocument/2006/relationships/hyperlink" Target="https://ourbrand.asml.com/m/47f7fb0b4fabfc6d/original/Presentation-Investor-Relations-Q2-2024.pdf" TargetMode="External" Id="rId50"/><Relationship Type="http://schemas.openxmlformats.org/officeDocument/2006/relationships/hyperlink" Target="https://ourbrand.asml.com/m/47f7fb0b4fabfc6d/original/Presentation-Investor-Relations-Q2-2024.pdf" TargetMode="External" Id="rId51"/><Relationship Type="http://schemas.openxmlformats.org/officeDocument/2006/relationships/hyperlink" Target="https://ourbrand.asml.com/m/47f7fb0b4fabfc6d/original/Presentation-Investor-Relations-Q2-2024.pdf" TargetMode="External" Id="rId52"/><Relationship Type="http://schemas.openxmlformats.org/officeDocument/2006/relationships/hyperlink" Target="https://ourbrand.asml.com/m/47f7fb0b4fabfc6d/original/Presentation-Investor-Relations-Q2-2024.pdf" TargetMode="External" Id="rId53"/><Relationship Type="http://schemas.openxmlformats.org/officeDocument/2006/relationships/hyperlink" Target="https://ourbrand.asml.com/m/47f7fb0b4fabfc6d/original/Presentation-Investor-Relations-Q2-2024.pdf" TargetMode="External" Id="rId54"/><Relationship Type="http://schemas.openxmlformats.org/officeDocument/2006/relationships/hyperlink" Target="https://ourbrand.asml.com/m/47f7fb0b4fabfc6d/original/Presentation-Investor-Relations-Q2-2024.pdf" TargetMode="External" Id="rId55"/><Relationship Type="http://schemas.openxmlformats.org/officeDocument/2006/relationships/hyperlink" Target="https://www.asml.com/-/media/asml/files/investors/financial-results/q-results/2024/q1/presentation-investor-relations-q1-2024-r3t11w.pdf?rev=22b67381b6af4a71be23673a9719f9d3" TargetMode="External" Id="rId56"/><Relationship Type="http://schemas.openxmlformats.org/officeDocument/2006/relationships/hyperlink" Target="https://www.asml.com/-/media/asml/files/investors/financial-results/q-results/2024/q1/presentation-investor-relations-q1-2024-r3t11w.pdf?rev=22b67381b6af4a71be23673a9719f9d3" TargetMode="External" Id="rId57"/><Relationship Type="http://schemas.openxmlformats.org/officeDocument/2006/relationships/hyperlink" Target="https://www.asml.com/-/media/asml/files/investors/financial-results/q-results/2024/q1/presentation-investor-relations-q1-2024-r3t11w.pdf?rev=22b67381b6af4a71be23673a9719f9d3" TargetMode="External" Id="rId58"/><Relationship Type="http://schemas.openxmlformats.org/officeDocument/2006/relationships/hyperlink" Target="https://www.asml.com/-/media/asml/files/investors/financial-results/q-results/2024/q1/presentation-investor-relations-q1-2024-r3t11w.pdf?rev=22b67381b6af4a71be23673a9719f9d3" TargetMode="External" Id="rId59"/><Relationship Type="http://schemas.openxmlformats.org/officeDocument/2006/relationships/hyperlink" Target="https://www.asml.com/-/media/asml/files/investors/financial-results/q-results/2024/q1/presentation-investor-relations-q1-2024-r3t11w.pdf?rev=22b67381b6af4a71be23673a9719f9d3" TargetMode="External" Id="rId60"/><Relationship Type="http://schemas.openxmlformats.org/officeDocument/2006/relationships/hyperlink" Target="https://www.asml.com/-/media/asml/files/investors/financial-results/q-results/2024/q1/presentation-investor-relations-q1-2024-r3t11w.pdf?rev=22b67381b6af4a71be23673a9719f9d3" TargetMode="External" Id="rId61"/><Relationship Type="http://schemas.openxmlformats.org/officeDocument/2006/relationships/hyperlink" Target="https://www.asml.com/-/media/asml/files/investors/financial-results/q-results/2024/q1/presentation-investor-relations-q1-2024-r3t11w.pdf?rev=22b67381b6af4a71be23673a9719f9d3" TargetMode="External" Id="rId62"/><Relationship Type="http://schemas.openxmlformats.org/officeDocument/2006/relationships/hyperlink" Target="https://www.asml.com/-/media/asml/files/investors/financial-results/q-results/2023/q4/presentation-investor-relations-q4-2023-m1ttie.pdf?rev=d95dae6ecb0f4abdaf87785af87eaa54" TargetMode="External" Id="rId63"/><Relationship Type="http://schemas.openxmlformats.org/officeDocument/2006/relationships/hyperlink" Target="https://www.asml.com/-/media/asml/files/investors/financial-results/q-results/2023/q4/presentation-investor-relations-q4-2023-m1ttie.pdf?rev=d95dae6ecb0f4abdaf87785af87eaa54" TargetMode="External" Id="rId64"/><Relationship Type="http://schemas.openxmlformats.org/officeDocument/2006/relationships/hyperlink" Target="https://www.asml.com/-/media/asml/files/investors/financial-results/q-results/2023/q4/presentation-investor-relations-q4-2023-m1ttie.pdf?rev=d95dae6ecb0f4abdaf87785af87eaa54" TargetMode="External" Id="rId65"/><Relationship Type="http://schemas.openxmlformats.org/officeDocument/2006/relationships/hyperlink" Target="https://www.asml.com/-/media/asml/files/investors/financial-results/q-results/2023/q4/presentation-investor-relations-q4-2023-m1ttie.pdf?rev=d95dae6ecb0f4abdaf87785af87eaa54" TargetMode="External" Id="rId66"/><Relationship Type="http://schemas.openxmlformats.org/officeDocument/2006/relationships/hyperlink" Target="https://www.asml.com/-/media/asml/files/investors/financial-results/q-results/2023/q4/presentation-investor-relations-q4-2023-m1ttie.pdf?rev=d95dae6ecb0f4abdaf87785af87eaa54" TargetMode="External" Id="rId67"/><Relationship Type="http://schemas.openxmlformats.org/officeDocument/2006/relationships/hyperlink" Target="https://www.asml.com/-/media/asml/files/investors/financial-results/q-results/2023/q4/presentation-investor-relations-q4-2023-m1ttie.pdf?rev=d95dae6ecb0f4abdaf87785af87eaa54" TargetMode="External" Id="rId68"/><Relationship Type="http://schemas.openxmlformats.org/officeDocument/2006/relationships/hyperlink" Target="https://www.asml.com/-/media/asml/files/investors/financial-results/q-results/2023/q4/presentation-investor-relations-q4-2023-m1ttie.pdf?rev=d95dae6ecb0f4abdaf87785af87eaa54" TargetMode="External" Id="rId69"/><Relationship Type="http://schemas.openxmlformats.org/officeDocument/2006/relationships/hyperlink" Target="https://www.asml.com/-/media/asml/files/investors/financial-results/q-results/2023/q3/presentation-investor-relations-q3-2023-il1kie.pdf?rev=ac1b3cad68c24da6be4397be61f59028" TargetMode="External" Id="rId70"/><Relationship Type="http://schemas.openxmlformats.org/officeDocument/2006/relationships/hyperlink" Target="https://www.asml.com/-/media/asml/files/investors/financial-results/q-results/2023/q3/presentation-investor-relations-q3-2023-il1kie.pdf?rev=ac1b3cad68c24da6be4397be61f59028" TargetMode="External" Id="rId71"/><Relationship Type="http://schemas.openxmlformats.org/officeDocument/2006/relationships/hyperlink" Target="https://www.asml.com/-/media/asml/files/investors/financial-results/q-results/2023/q3/presentation-investor-relations-q3-2023-il1kie.pdf?rev=ac1b3cad68c24da6be4397be61f59028" TargetMode="External" Id="rId72"/><Relationship Type="http://schemas.openxmlformats.org/officeDocument/2006/relationships/hyperlink" Target="https://www.asml.com/-/media/asml/files/investors/financial-results/q-results/2023/q3/presentation-investor-relations-q3-2023-il1kie.pdf?rev=ac1b3cad68c24da6be4397be61f59028" TargetMode="External" Id="rId73"/><Relationship Type="http://schemas.openxmlformats.org/officeDocument/2006/relationships/hyperlink" Target="https://www.asml.com/-/media/asml/files/investors/financial-results/q-results/2023/q3/presentation-investor-relations-q3-2023-il1kie.pdf?rev=ac1b3cad68c24da6be4397be61f59028" TargetMode="External" Id="rId74"/><Relationship Type="http://schemas.openxmlformats.org/officeDocument/2006/relationships/hyperlink" Target="https://www.asml.com/-/media/asml/files/investors/financial-results/q-results/2023/q3/presentation-investor-relations-q3-2023-il1kie.pdf?rev=ac1b3cad68c24da6be4397be61f59028" TargetMode="External" Id="rId75"/><Relationship Type="http://schemas.openxmlformats.org/officeDocument/2006/relationships/hyperlink" Target="https://www.asml.com/-/media/asml/files/investors/financial-results/q-results/2023/q3/presentation-investor-relations-q3-2023-il1kie.pdf?rev=ac1b3cad68c24da6be4397be61f59028" TargetMode="External" Id="rId76"/><Relationship Type="http://schemas.openxmlformats.org/officeDocument/2006/relationships/hyperlink" Target="https://www.asml.com/-/media/asml/files/investors/financial-results/q-results/2023/q2/presentation-investor-relations-q2-2023-t3eel1.pdf?rev=085bcf476d61462e9f3b42101dab7b07" TargetMode="External" Id="rId77"/><Relationship Type="http://schemas.openxmlformats.org/officeDocument/2006/relationships/hyperlink" Target="https://www.asml.com/-/media/asml/files/investors/financial-results/q-results/2023/q2/presentation-investor-relations-q2-2023-t3eel1.pdf?rev=085bcf476d61462e9f3b42101dab7b07" TargetMode="External" Id="rId78"/><Relationship Type="http://schemas.openxmlformats.org/officeDocument/2006/relationships/hyperlink" Target="https://www.asml.com/-/media/asml/files/investors/financial-results/q-results/2023/q2/presentation-investor-relations-q2-2023-t3eel1.pdf?rev=085bcf476d61462e9f3b42101dab7b07" TargetMode="External" Id="rId79"/><Relationship Type="http://schemas.openxmlformats.org/officeDocument/2006/relationships/hyperlink" Target="https://www.asml.com/-/media/asml/files/investors/financial-results/q-results/2023/q2/presentation-investor-relations-q2-2023-t3eel1.pdf?rev=085bcf476d61462e9f3b42101dab7b07" TargetMode="External" Id="rId80"/><Relationship Type="http://schemas.openxmlformats.org/officeDocument/2006/relationships/hyperlink" Target="https://www.asml.com/-/media/asml/files/investors/financial-results/q-results/2023/q2/presentation-investor-relations-q2-2023-t3eel1.pdf?rev=085bcf476d61462e9f3b42101dab7b07" TargetMode="External" Id="rId81"/><Relationship Type="http://schemas.openxmlformats.org/officeDocument/2006/relationships/hyperlink" Target="https://www.asml.com/-/media/asml/files/investors/financial-results/q-results/2023/q2/presentation-investor-relations-q2-2023-t3eel1.pdf?rev=085bcf476d61462e9f3b42101dab7b07" TargetMode="External" Id="rId82"/><Relationship Type="http://schemas.openxmlformats.org/officeDocument/2006/relationships/hyperlink" Target="https://www.asml.com/-/media/asml/files/investors/financial-results/q-results/2023/q2/presentation-investor-relations-q2-2023-t3eel1.pdf?rev=085bcf476d61462e9f3b42101dab7b07" TargetMode="External" Id="rId83"/><Relationship Type="http://schemas.openxmlformats.org/officeDocument/2006/relationships/hyperlink" Target="https://www.asml.com/-/media/asml/files/investors/financial-results/q-results/2023/q1/presentation-investor-relations-q1-2023-mnft67.pdf?rev=1bb9b6e0db1d48f6814977c927d07ff0" TargetMode="External" Id="rId84"/><Relationship Type="http://schemas.openxmlformats.org/officeDocument/2006/relationships/hyperlink" Target="https://www.asml.com/-/media/asml/files/investors/financial-results/q-results/2023/q1/presentation-investor-relations-q1-2023-mnft67.pdf?rev=1bb9b6e0db1d48f6814977c927d07ff0" TargetMode="External" Id="rId85"/><Relationship Type="http://schemas.openxmlformats.org/officeDocument/2006/relationships/hyperlink" Target="https://www.asml.com/-/media/asml/files/investors/financial-results/q-results/2023/q1/presentation-investor-relations-q1-2023-mnft67.pdf?rev=1bb9b6e0db1d48f6814977c927d07ff0" TargetMode="External" Id="rId86"/><Relationship Type="http://schemas.openxmlformats.org/officeDocument/2006/relationships/hyperlink" Target="https://www.asml.com/-/media/asml/files/investors/financial-results/q-results/2023/q1/presentation-investor-relations-q1-2023-mnft67.pdf?rev=1bb9b6e0db1d48f6814977c927d07ff0" TargetMode="External" Id="rId87"/><Relationship Type="http://schemas.openxmlformats.org/officeDocument/2006/relationships/hyperlink" Target="https://www.asml.com/-/media/asml/files/investors/financial-results/q-results/2023/q1/presentation-investor-relations-q1-2023-mnft67.pdf?rev=1bb9b6e0db1d48f6814977c927d07ff0" TargetMode="External" Id="rId88"/><Relationship Type="http://schemas.openxmlformats.org/officeDocument/2006/relationships/hyperlink" Target="https://www.asml.com/-/media/asml/files/investors/financial-results/q-results/2023/q1/presentation-investor-relations-q1-2023-mnft67.pdf?rev=1bb9b6e0db1d48f6814977c927d07ff0" TargetMode="External" Id="rId89"/><Relationship Type="http://schemas.openxmlformats.org/officeDocument/2006/relationships/hyperlink" Target="https://www.asml.com/-/media/asml/files/investors/financial-results/q-results/2023/q1/presentation-investor-relations-q1-2023-mnft67.pdf?rev=1bb9b6e0db1d48f6814977c927d07ff0" TargetMode="External" Id="rId90"/><Relationship Type="http://schemas.openxmlformats.org/officeDocument/2006/relationships/hyperlink" Target="https://www.asml.com/-/media/asml/files/investors/financial-results/q-results/2022/q4/presentation-investor-relations-q4-2022-gt4d78.pdf?rev=c39850f27c3148b78e5c80f0f30a8925" TargetMode="External" Id="rId91"/><Relationship Type="http://schemas.openxmlformats.org/officeDocument/2006/relationships/hyperlink" Target="https://www.asml.com/-/media/asml/files/investors/financial-results/q-results/2022/q4/presentation-investor-relations-q4-2022-gt4d78.pdf?rev=c39850f27c3148b78e5c80f0f30a8925" TargetMode="External" Id="rId92"/><Relationship Type="http://schemas.openxmlformats.org/officeDocument/2006/relationships/hyperlink" Target="https://www.asml.com/-/media/asml/files/investors/financial-results/q-results/2022/q4/presentation-investor-relations-q4-2022-gt4d78.pdf?rev=c39850f27c3148b78e5c80f0f30a8925" TargetMode="External" Id="rId93"/><Relationship Type="http://schemas.openxmlformats.org/officeDocument/2006/relationships/hyperlink" Target="https://www.asml.com/-/media/asml/files/investors/financial-results/q-results/2022/q4/presentation-investor-relations-q4-2022-gt4d78.pdf?rev=c39850f27c3148b78e5c80f0f30a8925" TargetMode="External" Id="rId94"/><Relationship Type="http://schemas.openxmlformats.org/officeDocument/2006/relationships/hyperlink" Target="https://www.asml.com/-/media/asml/files/investors/financial-results/q-results/2022/q4/presentation-investor-relations-q4-2022-gt4d78.pdf?rev=c39850f27c3148b78e5c80f0f30a8925" TargetMode="External" Id="rId95"/><Relationship Type="http://schemas.openxmlformats.org/officeDocument/2006/relationships/hyperlink" Target="https://www.asml.com/-/media/asml/files/investors/financial-results/q-results/2022/q4/presentation-investor-relations-q4-2022-gt4d78.pdf?rev=c39850f27c3148b78e5c80f0f30a8925" TargetMode="External" Id="rId96"/><Relationship Type="http://schemas.openxmlformats.org/officeDocument/2006/relationships/hyperlink" Target="https://www.asml.com/-/media/asml/files/investors/financial-results/q-results/2022/q4/presentation-investor-relations-q4-2022-gt4d78.pdf?rev=c39850f27c3148b78e5c80f0f30a8925" TargetMode="External" Id="rId97"/><Relationship Type="http://schemas.openxmlformats.org/officeDocument/2006/relationships/hyperlink" Target="https://www.asml.com/en/investors/financial-results/q3-2022" TargetMode="External" Id="rId98"/><Relationship Type="http://schemas.openxmlformats.org/officeDocument/2006/relationships/hyperlink" Target="https://www.asml.com/en/investors/financial-results/q3-2022" TargetMode="External" Id="rId99"/><Relationship Type="http://schemas.openxmlformats.org/officeDocument/2006/relationships/hyperlink" Target="https://www.asml.com/en/investors/financial-results/q3-2022" TargetMode="External" Id="rId100"/><Relationship Type="http://schemas.openxmlformats.org/officeDocument/2006/relationships/hyperlink" Target="https://www.asml.com/en/investors/financial-results/q3-2022" TargetMode="External" Id="rId101"/><Relationship Type="http://schemas.openxmlformats.org/officeDocument/2006/relationships/hyperlink" Target="https://www.asml.com/en/investors/financial-results/q3-2022" TargetMode="External" Id="rId102"/><Relationship Type="http://schemas.openxmlformats.org/officeDocument/2006/relationships/hyperlink" Target="https://www.asml.com/en/investors/financial-results/q3-2022" TargetMode="External" Id="rId103"/><Relationship Type="http://schemas.openxmlformats.org/officeDocument/2006/relationships/hyperlink" Target="https://www.asml.com/en/investors/financial-results/q3-2022" TargetMode="External" Id="rId104"/><Relationship Type="http://schemas.openxmlformats.org/officeDocument/2006/relationships/hyperlink" Target="https://www.asml.com/en/investors/financial-results/q3-2022" TargetMode="External" Id="rId105"/><Relationship Type="http://schemas.openxmlformats.org/officeDocument/2006/relationships/hyperlink" Target="https://www.asml.com/-/media/asml/files/investors/financial-results/q-results/2022/q2/q2-presentation-fgt6e2.pdf?rev=51fe9c6eb49b43bda69c5002f6e845df" TargetMode="External" Id="rId106"/><Relationship Type="http://schemas.openxmlformats.org/officeDocument/2006/relationships/hyperlink" Target="https://www.asml.com/-/media/asml/files/investors/financial-results/q-results/2022/q2/q2-presentation-fgt6e2.pdf?rev=51fe9c6eb49b43bda69c5002f6e845df" TargetMode="External" Id="rId107"/><Relationship Type="http://schemas.openxmlformats.org/officeDocument/2006/relationships/hyperlink" Target="https://www.asml.com/-/media/asml/files/investors/financial-results/q-results/2022/q2/q2-presentation-fgt6e2.pdf?rev=51fe9c6eb49b43bda69c5002f6e845df" TargetMode="External" Id="rId108"/><Relationship Type="http://schemas.openxmlformats.org/officeDocument/2006/relationships/hyperlink" Target="https://www.asml.com/-/media/asml/files/investors/financial-results/q-results/2022/q2/q2-presentation-fgt6e2.pdf?rev=51fe9c6eb49b43bda69c5002f6e845df" TargetMode="External" Id="rId109"/><Relationship Type="http://schemas.openxmlformats.org/officeDocument/2006/relationships/hyperlink" Target="https://www.asml.com/-/media/asml/files/investors/financial-results/q-results/2022/q2/q2-presentation-fgt6e2.pdf?rev=51fe9c6eb49b43bda69c5002f6e845df" TargetMode="External" Id="rId110"/><Relationship Type="http://schemas.openxmlformats.org/officeDocument/2006/relationships/hyperlink" Target="https://www.asml.com/-/media/asml/files/investors/financial-results/q-results/2022/q2/q2-presentation-fgt6e2.pdf?rev=51fe9c6eb49b43bda69c5002f6e845df" TargetMode="External" Id="rId111"/><Relationship Type="http://schemas.openxmlformats.org/officeDocument/2006/relationships/hyperlink" Target="https://www.asml.com/-/media/asml/files/investors/financial-results/q-results/2022/q2/q2-presentation-fgt6e2.pdf?rev=51fe9c6eb49b43bda69c5002f6e845df" TargetMode="External" Id="rId112"/><Relationship Type="http://schemas.openxmlformats.org/officeDocument/2006/relationships/hyperlink" Target="https://www.asml.com/-/media/asml/files/investors/financial-results/q-results/2022/q2/q2-presentation-fgt6e2.pdf?rev=51fe9c6eb49b43bda69c5002f6e845df" TargetMode="External" Id="rId113"/><Relationship Type="http://schemas.openxmlformats.org/officeDocument/2006/relationships/hyperlink" Target="https://www.asml.com/-/media/asml/files/investors/financial-results/q-results/2022/q1/q1-presentation-9kf4w7.pdf?rev=40f5916e006041e7a5c4ee34de82793a" TargetMode="External" Id="rId114"/><Relationship Type="http://schemas.openxmlformats.org/officeDocument/2006/relationships/hyperlink" Target="https://www.asml.com/-/media/asml/files/investors/financial-results/q-results/2022/q1/q1-presentation-9kf4w7.pdf?rev=40f5916e006041e7a5c4ee34de82793a" TargetMode="External" Id="rId115"/><Relationship Type="http://schemas.openxmlformats.org/officeDocument/2006/relationships/hyperlink" Target="https://www.asml.com/-/media/asml/files/investors/financial-results/q-results/2022/q1/q1-presentation-9kf4w7.pdf?rev=40f5916e006041e7a5c4ee34de82793a" TargetMode="External" Id="rId116"/><Relationship Type="http://schemas.openxmlformats.org/officeDocument/2006/relationships/hyperlink" Target="https://www.asml.com/-/media/asml/files/investors/financial-results/q-results/2022/q1/q1-presentation-9kf4w7.pdf?rev=40f5916e006041e7a5c4ee34de82793a" TargetMode="External" Id="rId117"/><Relationship Type="http://schemas.openxmlformats.org/officeDocument/2006/relationships/hyperlink" Target="https://www.asml.com/-/media/asml/files/investors/financial-results/q-results/2022/q1/q1-presentation-9kf4w7.pdf?rev=40f5916e006041e7a5c4ee34de82793a" TargetMode="External" Id="rId118"/><Relationship Type="http://schemas.openxmlformats.org/officeDocument/2006/relationships/hyperlink" Target="https://www.asml.com/-/media/asml/files/investors/financial-results/q-results/2022/q1/q1-presentation-9kf4w7.pdf?rev=40f5916e006041e7a5c4ee34de82793a" TargetMode="External" Id="rId119"/><Relationship Type="http://schemas.openxmlformats.org/officeDocument/2006/relationships/hyperlink" Target="https://www.asml.com/-/media/asml/files/investors/financial-results/q-results/2022/q1/q1-presentation-9kf4w7.pdf?rev=40f5916e006041e7a5c4ee34de82793a" TargetMode="External" Id="rId120"/><Relationship Type="http://schemas.openxmlformats.org/officeDocument/2006/relationships/hyperlink" Target="https://www.asml.com/en/investors/financial-results/q4-2021" TargetMode="External" Id="rId121"/><Relationship Type="http://schemas.openxmlformats.org/officeDocument/2006/relationships/hyperlink" Target="https://www.asml.com/en/investors/financial-results/q4-2021" TargetMode="External" Id="rId122"/><Relationship Type="http://schemas.openxmlformats.org/officeDocument/2006/relationships/hyperlink" Target="https://www.asml.com/en/investors/financial-results/q4-2021" TargetMode="External" Id="rId123"/><Relationship Type="http://schemas.openxmlformats.org/officeDocument/2006/relationships/hyperlink" Target="https://www.asml.com/en/investors/financial-results/q4-2021" TargetMode="External" Id="rId124"/><Relationship Type="http://schemas.openxmlformats.org/officeDocument/2006/relationships/hyperlink" Target="https://www.asml.com/en/investors/financial-results/q4-2021" TargetMode="External" Id="rId125"/><Relationship Type="http://schemas.openxmlformats.org/officeDocument/2006/relationships/hyperlink" Target="https://www.asml.com/en/investors/financial-results/q4-2021" TargetMode="External" Id="rId126"/><Relationship Type="http://schemas.openxmlformats.org/officeDocument/2006/relationships/hyperlink" Target="https://www.asml.com/en/investors/financial-results/q4-2021" TargetMode="External" Id="rId127"/><Relationship Type="http://schemas.openxmlformats.org/officeDocument/2006/relationships/hyperlink" Target="https://www.asml.com/en/investors/financial-results/q3-2021" TargetMode="External" Id="rId128"/><Relationship Type="http://schemas.openxmlformats.org/officeDocument/2006/relationships/hyperlink" Target="https://www.asml.com/en/investors/financial-results/q3-2021" TargetMode="External" Id="rId129"/><Relationship Type="http://schemas.openxmlformats.org/officeDocument/2006/relationships/hyperlink" Target="https://www.asml.com/en/investors/financial-results/q3-2021" TargetMode="External" Id="rId130"/><Relationship Type="http://schemas.openxmlformats.org/officeDocument/2006/relationships/hyperlink" Target="https://www.asml.com/en/investors/financial-results/q3-2021" TargetMode="External" Id="rId131"/><Relationship Type="http://schemas.openxmlformats.org/officeDocument/2006/relationships/hyperlink" Target="https://www.asml.com/en/investors/financial-results/q3-2021" TargetMode="External" Id="rId132"/><Relationship Type="http://schemas.openxmlformats.org/officeDocument/2006/relationships/hyperlink" Target="https://www.asml.com/en/investors/financial-results/q3-2021" TargetMode="External" Id="rId133"/><Relationship Type="http://schemas.openxmlformats.org/officeDocument/2006/relationships/hyperlink" Target="https://www.asml.com/en/investors/financial-results/q3-2021" TargetMode="External" Id="rId134"/><Relationship Type="http://schemas.openxmlformats.org/officeDocument/2006/relationships/hyperlink" Target="../../../../../../../../../../../../../../../../../../../../../../../../../../../../../../../../../../../../../../../../../../../../../../../../../../../../../../../../../../../../../../../../../../../../../../../../../../../../../../../../../../../../../../../../../../../../../../../../../../../../../../../../../../../../../../../../../../../../../../../../../../../../../../../../../../../../../../../../../../../../../../../../../../../../../../../../../../../../../../../../../../../../../../../../../../../../../../../../../../../../../../../../../../../../../../../../../../../../../../../../../../../../../../../../../../../../../../../../../../../../../../../../../../../../../../../../../../../../../../../../../../../../../../../../../../../../../../../../../../../../../../../../../../../../../../../../../../../../../../../../../../../../../../../../../../../../../../../../../../../../../../../../../../../../../../../../../../../../../../../../../../../../../../../../../../../../../../../../../../../../../../../../../../../../../../../../../../../../../../../../../../../../../../../../../../../../../../../../../../../../../../../../../../../../../../../../../../../../../../../../../../../../../../../../../../../../../../../../../../../../../../../../../../../../../../../../../../../../../../../../../../../../../../../../../../../../../../../../../../../../../../../../../../../../../../../../../../../../../../../../../../../../../../../../../../../../../../../../../../../../../../../../../../../../../../../../../../../../../../../../../../../../../../../../../../../../../../../../../../../../../../../../../../../../../../../../../../../../../../../../../../../../../../../../../../../../../../../../../../../../../../../../../../../../../../../../../../../../../../../../../../../../../../../../../../../../../../../../../../../../../../../../../../../../../../../../../../../../../../../../../../../../../../../../../../../../../../../../../../../../../../../../../../../../../../../../../../../../Desktop/Q1%202021/Q2%20presentation%20hdjyur.pdf" TargetMode="External" Id="rId135"/><Relationship Type="http://schemas.openxmlformats.org/officeDocument/2006/relationships/hyperlink" Target="../../../../../../../../../../../../../../../../../../../../../../../../../../../../../../../../../../../../../../../../../../../../../../../../../../../../../../../../../../../../../../../../../../../../../../../../../../../../../../../../../../../../../../../../../../../../../../../../../../../../../../../../../../../../../../../../../../../../../../../../../../../../../../../../../../../../../../../../../../../../../../../../../../../../../../../../../../../../../../../../../../../../../../../../../../../../../../../../../../../../../../../../../../../../../../../../../../../../../../../../../../../../../../../../../../../../../../../../../../../../../../../../../../../../../../../../../../../../../../../../../../../../../../../../../../../../../../../../../../../../../../../../../../../../../../../../../../../../../../../../../../../../../../../../../../../../../../../../../../../../../../../../../../../../../../../../../../../../../../../../../../../../../../../../../../../../../../../../../../../../../../../../../../../../../../../../../../../../../../../../../../../../../../../../../../../../../../../../../../../../../../../../../../../../../../../../../../../../../../../../../../../../../../../../../../../../../../../../../../../../../../../../../../../../../../../../../../../../../../../../../../../../../../../../../../../../../../../../../../../../../../../../../../../../../../../../../../../../../../../../../../../../../../../../../../../../../../../../../../../../../../../../../../../../../../../../../../../../../../../../../../../../../../../../../../../../../../../../../../../../../../../../../../../../../../../../../../../../../../../../../../../../../../../../../../../../../../../../../../../../../../../../../../../../../../../../../../../../../../../../../../../../../../../../../../../../../../../../../../../../../../../../../../../../../../../../../../../../../../../../../../../../../../../../../../../../../../../../../../../../../../../../../../../../../../../../../../../../Desktop/Q1%202021/Q2%20presentation%20hdjyur.pdf" TargetMode="External" Id="rId136"/><Relationship Type="http://schemas.openxmlformats.org/officeDocument/2006/relationships/hyperlink" Target="../../../../../../../../../../../../../../../../../../../../../../../../../../../../../../../../../../../../../../../../../../../../../../../../../../../../../../../../../../../../../../../../../../../../../../../../../../../../../../../../../../../../../../../../../../../../../../../../../../../../../../../../../../../../../../../../../../../../../../../../../../../../../../../../../../../../../../../../../../../../../../../../../../../../../../../../../../../../../../../../../../../../../../../../../../../../../../../../../../../../../../../../../../../../../../../../../../../../../../../../../../../../../../../../../../../../../../../../../../../../../../../../../../../../../../../../../../../../../../../../../../../../../../../../../../../../../../../../../../../../../../../../../../../../../../../../../../../../../../../../../../../../../../../../../../../../../../../../../../../../../../../../../../../../../../../../../../../../../../../../../../../../../../../../../../../../../../../../../../../../../../../../../../../../../../../../../../../../../../../../../../../../../../../../../../../../../../../../../../../../../../../../../../../../../../../../../../../../../../../../../../../../../../../../../../../../../../../../../../../../../../../../../../../../../../../../../../../../../../../../../../../../../../../../../../../../../../../../../../../../../../../../../../../../../../../../../../../../../../../../../../../../../../../../../../../../../../../../../../../../../../../../../../../../../../../../../../../../../../../../../../../../../../../../../../../../../../../../../../../../../../../../../../../../../../../../../../../../../../../../../../../../../../../../../../../../../../../../../../../../../../../../../../../../../../../../../../../../../../../../../../../../../../../../../../../../../../../../../../../../../../../../../../../../../../../../../../../../../../../../../../../../../../../../../../../../../../../../../../../../../../../../../../../../../../../../../../../../Desktop/Q1%202021/Q2%20presentation%20hdjyur.pdf" TargetMode="External" Id="rId137"/><Relationship Type="http://schemas.openxmlformats.org/officeDocument/2006/relationships/hyperlink" Target="../../../../../../../../../../../../../../../../../../../../../../../../../../../../../../../../../../../../../../../../../../../../../../../../../../../../../../../../../../../../../../../../../../../../../../../../../../../../../../../../../../../../../../../../../../../../../../../../../../../../../../../../../../../../../../../../../../../../../../../../../../../../../../../../../../../../../../../../../../../../../../../../../../../../../../../../../../../../../../../../../../../../../../../../../../../../../../../../../../../../../../../../../../../../../../../../../../../../../../../../../../../../../../../../../../../../../../../../../../../../../../../../../../../../../../../../../../../../../../../../../../../../../../../../../../../../../../../../../../../../../../../../../../../../../../../../../../../../../../../../../../../../../../../../../../../../../../../../../../../../../../../../../../../../../../../../../../../../../../../../../../../../../../../../../../../../../../../../../../../../../../../../../../../../../../../../../../../../../../../../../../../../../../../../../../../../../../../../../../../../../../../../../../../../../../../../../../../../../../../../../../../../../../../../../../../../../../../../../../../../../../../../../../../../../../../../../../../../../../../../../../../../../../../../../../../../../../../../../../../../../../../../../../../../../../../../../../../../../../../../../../../../../../../../../../../../../../../../../../../../../../../../../../../../../../../../../../../../../../../../../../../../../../../../../../../../../../../../../../../../../../../../../../../../../../../../../../../../../../../../../../../../../../../../../../../../../../../../../../../../../../../../../../../../../../../../../../../../../../../../../../../../../../../../../../../../../../../../../../../../../../../../../../../../../../../../../../../../../../../../../../../../../../../../../../../../../../../../../../../../../../../../../../../../../../../../../../../../Desktop/Q1%202021/Q2%20presentation%20hdjyur.pdf" TargetMode="External" Id="rId138"/><Relationship Type="http://schemas.openxmlformats.org/officeDocument/2006/relationships/hyperlink" Target="../../../../../../../../../../../../../../../../../../../../../../../../../../../../../../../../../../../../../../../../../../../../../../../../../../../../../../../../../../../../../../../../../../../../../../../../../../../../../../../../../../../../../../../../../../../../../../../../../../../../../../../../../../../../../../../../../../../../../../../../../../../../../../../../../../../../../../../../../../../../../../../../../../../../../../../../../../../../../../../../../../../../../../../../../../../../../../../../../../../../../../../../../../../../../../../../../../../../../../../../../../../../../../../../../../../../../../../../../../../../../../../../../../../../../../../../../../../../../../../../../../../../../../../../../../../../../../../../../../../../../../../../../../../../../../../../../../../../../../../../../../../../../../../../../../../../../../../../../../../../../../../../../../../../../../../../../../../../../../../../../../../../../../../../../../../../../../../../../../../../../../../../../../../../../../../../../../../../../../../../../../../../../../../../../../../../../../../../../../../../../../../../../../../../../../../../../../../../../../../../../../../../../../../../../../../../../../../../../../../../../../../../../../../../../../../../../../../../../../../../../../../../../../../../../../../../../../../../../../../../../../../../../../../../../../../../../../../../../../../../../../../../../../../../../../../../../../../../../../../../../../../../../../../../../../../../../../../../../../../../../../../../../../../../../../../../../../../../../../../../../../../../../../../../../../../../../../../../../../../../../../../../../../../../../../../../../../../../../../../../../../../../../../../../../../../../../../../../../../../../../../../../../../../../../../../../../../../../../../../../../../../../../../../../../../../../../../../../../../../../../../../../../../../../../../../../../../../../../../../../../../../../../../../../../../../../../../../../Desktop/Q1%202021/Q2%20presentation%20hdjyur.pdf" TargetMode="External" Id="rId139"/><Relationship Type="http://schemas.openxmlformats.org/officeDocument/2006/relationships/hyperlink" Target="../../../../../../../../../../../../../../../../../../../../../../../../../../../../../../../../../../../../../../../../../../../../../../../../../../../../../../../../../../../../../../../../../../../../../../../../../../../../../../../../../../../../../../../../../../../../../../../../../../../../../../../../../../../../../../../../../../../../../../../../../../../../../../../../../../../../../../../../../../../../../../../../../../../../../../../../../../../../../../../../../../../../../../../../../../../../../../../../../../../../../../../../../../../../../../../../../../../../../../../../../../../../../../../../../../../../../../../../../../../../../../../../../../../../../../../../../../../../../../../../../../../../../../../../../../../../../../../../../../../../../../../../../../../../../../../../../../../../../../../../../../../../../../../../../../../../../../../../../../../../../../../../../../../../../../../../../../../../../../../../../../../../../../../../../../../../../../../../../../../../../../../../../../../../../../../../../../../../../../../../../../../../../../../../../../../../../../../../../../../../../../../../../../../../../../../../../../../../../../../../../../../../../../../../../../../../../../../../../../../../../../../../../../../../../../../../../../../../../../../../../../../../../../../../../../../../../../../../../../../../../../../../../../../../../../../../../../../../../../../../../../../../../../../../../../../../../../../../../../../../../../../../../../../../../../../../../../../../../../../../../../../../../../../../../../../../../../../../../../../../../../../../../../../../../../../../../../../../../../../../../../../../../../../../../../../../../../../../../../../../../../../../../../../../../../../../../../../../../../../../../../../../../../../../../../../../../../../../../../../../../../../../../../../../../../../../../../../../../../../../../../../../../../../../../../../../../../../../../../../../../../../../../../../../../../../../../../../../Desktop/Q1%202021/Q2%20presentation%20hdjyur.pdf" TargetMode="External" Id="rId140"/><Relationship Type="http://schemas.openxmlformats.org/officeDocument/2006/relationships/hyperlink" Target="../../../../../../../../../../../../../../../../../../../../../../../../../../../../../../../../../../../../../../../../../../../../../../../../../../../../../../../../../../../../../../../../../../../../../../../../../../../../../../../../../../../../../../../../../../../../../../../../../../../../../../../../../../../../../../../../../../../../../../../../../../../../../../../../../../../../../../../../../../../../../../../../../../../../../../../../../../../../../../../../../../../../../../../../../../../../../../../../../../../../../../../../../../../../../../../../../../../../../../../../../../../../../../../../../../../../../../../../../../../../../../../../../../../../../../../../../../../../../../../../../../../../../../../../../../../../../../../../../../../../../../../../../../../../../../../../../../../../../../../../../../../../../../../../../../../../../../../../../../../../../../../../../../../../../../../../../../../../../../../../../../../../../../../../../../../../../../../../../../../../../../../../../../../../../../../../../../../../../../../../../../../../../../../../../../../../../../../../../../../../../../../../../../../../../../../../../../../../../../../../../../../../../../../../../../../../../../../../../../../../../../../../../../../../../../../../../../../../../../../../../../../../../../../../../../../../../../../../../../../../../../../../../../../../../../../../../../../../../../../../../../../../../../../../../../../../../../../../../../../../../../../../../../../../../../../../../../../../../../../../../../../../../../../../../../../../../../../../../../../../../../../../../../../../../../../../../../../../../../../../../../../../../../../../../../../../../../../../../../../../../../../../../../../../../../../../../../../../../../../../../../../../../../../../../../../../../../../../../../../../../../../../../../../../../../../../../../../../../../../../../../../../../../../../../../../../../../../../../../../../../../../../../../../../../../../../../../../../Desktop/Q1%202021/Q2%20presentation%20hdjyur.pdf" TargetMode="External" Id="rId141"/><Relationship Type="http://schemas.openxmlformats.org/officeDocument/2006/relationships/hyperlink" Target="../../../../../../../../../../../../../../../../../../../../../../../../../../../../../../../../../../../../../../../../../../../../../../../../../../../../../../../../../../../../../../../../../../../../../../../../../../../../../../../../../../../../../../../../../../../../../../../../../../../../../../../../../../../../../../../../../../../../../../../../../../../../../../../../../../../../../../../../../../../../../../../../../../../../../../../../../../../../../../../../../../../../../../../../../../../../../../../../../../../../../../../../../../../../../../../../../../../../../../../../../../../../../../../../../../../../../../../../../../../../../../../../../../../../../../../../../../../../../../../../../../../../../../../../../../../../../../../../../../../../../../../../../../../../../../../../../../../../../../../../../../../../../../../../../../../../../../../../../../../../../../../../../../../../../../../../../../../../../../../../../../../../../../../../../../../../../../../../../../../../../../../../../../../../../../../../../../../../../../../../../../../../../../../../../../../../../../../../../../../../../../../../../../../../../../../../../../../../../../../../../../../../../../../../../../../../../../../../../../../../../../../../../../../../../../../../../../../../../../../../../../../../../../../../../../../../../../../../../../../../../../../../../../../../../../../../../../../../../../../../../../../../../../../../../../../../../../../../../../../../../../../../../../../../../../../../../../../../../../../../../../../../../../../../../../../../../../../../../../../../../../../../../../../../../../../../../../../../../../../../../../../../../../../../../../../../../../../../../../../../../../../../../../../../../../../../../../../../../../../../../../../../../../../../../../../../../../../../../../../../../../../../../../../../../../../../../../../../../../../../../../../../../../../../../../../../../../../../../../../../../../../../../../../../../../../../../../../../Desktop/Q1%202021/Q2%20presentation%20hdjyur.pdf" TargetMode="External" Id="rId142"/><Relationship Type="http://schemas.openxmlformats.org/officeDocument/2006/relationships/hyperlink" Target="https://www.asml.com/en/investors/financial-results/q1-2021" TargetMode="External" Id="rId143"/><Relationship Type="http://schemas.openxmlformats.org/officeDocument/2006/relationships/hyperlink" Target="https://www.asml.com/en/investors/financial-results/q1-2021" TargetMode="External" Id="rId144"/><Relationship Type="http://schemas.openxmlformats.org/officeDocument/2006/relationships/hyperlink" Target="https://www.asml.com/en/investors/financial-results/q1-2021" TargetMode="External" Id="rId145"/><Relationship Type="http://schemas.openxmlformats.org/officeDocument/2006/relationships/hyperlink" Target="https://www.asml.com/en/investors/financial-results/q1-2021" TargetMode="External" Id="rId146"/><Relationship Type="http://schemas.openxmlformats.org/officeDocument/2006/relationships/hyperlink" Target="https://www.asml.com/en/investors/financial-results/q1-2021" TargetMode="External" Id="rId147"/><Relationship Type="http://schemas.openxmlformats.org/officeDocument/2006/relationships/hyperlink" Target="https://www.asml.com/en/investors/financial-results/q1-2021" TargetMode="External" Id="rId148"/><Relationship Type="http://schemas.openxmlformats.org/officeDocument/2006/relationships/hyperlink" Target="https://www.asml.com/en/investors/financial-results/q1-2021" TargetMode="External" Id="rId149"/><Relationship Type="http://schemas.openxmlformats.org/officeDocument/2006/relationships/hyperlink" Target="https://www.asml.com/en/investors/financial-results/q1-2021" TargetMode="External" Id="rId150"/><Relationship Type="http://schemas.openxmlformats.org/officeDocument/2006/relationships/hyperlink" Target="https://www.asml.com/en/investors/financial-results/q4-2020" TargetMode="External" Id="rId151"/><Relationship Type="http://schemas.openxmlformats.org/officeDocument/2006/relationships/hyperlink" Target="https://www.asml.com/en/investors/financial-results/q4-2020" TargetMode="External" Id="rId152"/><Relationship Type="http://schemas.openxmlformats.org/officeDocument/2006/relationships/hyperlink" Target="https://www.asml.com/en/investors/financial-results/q4-2020" TargetMode="External" Id="rId153"/><Relationship Type="http://schemas.openxmlformats.org/officeDocument/2006/relationships/hyperlink" Target="https://www.asml.com/en/investors/financial-results/q4-2020" TargetMode="External" Id="rId154"/><Relationship Type="http://schemas.openxmlformats.org/officeDocument/2006/relationships/hyperlink" Target="https://www.asml.com/en/investors/financial-results/q4-2020" TargetMode="External" Id="rId155"/><Relationship Type="http://schemas.openxmlformats.org/officeDocument/2006/relationships/hyperlink" Target="https://www.asml.com/en/investors/financial-results/q4-2020" TargetMode="External" Id="rId156"/><Relationship Type="http://schemas.openxmlformats.org/officeDocument/2006/relationships/hyperlink" Target="https://www.asml.com/en/investors/financial-results/q3-2020" TargetMode="External" Id="rId157"/><Relationship Type="http://schemas.openxmlformats.org/officeDocument/2006/relationships/hyperlink" Target="https://www.asml.com/en/investors/financial-results/q3-2020" TargetMode="External" Id="rId158"/><Relationship Type="http://schemas.openxmlformats.org/officeDocument/2006/relationships/hyperlink" Target="https://www.asml.com/en/investors/financial-results/q3-2020" TargetMode="External" Id="rId159"/><Relationship Type="http://schemas.openxmlformats.org/officeDocument/2006/relationships/hyperlink" Target="https://www.asml.com/en/investors/financial-results/q3-2020" TargetMode="External" Id="rId160"/><Relationship Type="http://schemas.openxmlformats.org/officeDocument/2006/relationships/hyperlink" Target="https://www.asml.com/en/investors/financial-results/q3-2020" TargetMode="External" Id="rId161"/><Relationship Type="http://schemas.openxmlformats.org/officeDocument/2006/relationships/hyperlink" Target="https://www.asml.com/en/investors/financial-results/q3-2020" TargetMode="External" Id="rId162"/><Relationship Type="http://schemas.openxmlformats.org/officeDocument/2006/relationships/hyperlink" Target="https://www.asml.com/en/investors/financial-results/q3-2020" TargetMode="External" Id="rId163"/><Relationship Type="http://schemas.openxmlformats.org/officeDocument/2006/relationships/hyperlink" Target="https://www.asml.com/-/media/asml/files/investors/financial-results/q-results/2020/q2/2020-07-15-q2-presentation-final.pdf" TargetMode="External" Id="rId164"/><Relationship Type="http://schemas.openxmlformats.org/officeDocument/2006/relationships/hyperlink" Target="https://www.asml.com/-/media/asml/files/investors/financial-results/q-results/2020/q2/2020-07-15-q2-presentation-final.pdf" TargetMode="External" Id="rId165"/><Relationship Type="http://schemas.openxmlformats.org/officeDocument/2006/relationships/hyperlink" Target="https://www.asml.com/-/media/asml/files/investors/financial-results/q-results/2020/q2/2020-07-15-q2-presentation-final.pdf" TargetMode="External" Id="rId166"/><Relationship Type="http://schemas.openxmlformats.org/officeDocument/2006/relationships/hyperlink" Target="https://www.asml.com/-/media/asml/files/investors/financial-results/q-results/2020/q2/2020-07-15-q2-presentation-final.pdf" TargetMode="External" Id="rId167"/><Relationship Type="http://schemas.openxmlformats.org/officeDocument/2006/relationships/hyperlink" Target="https://www.asml.com/-/media/asml/files/investors/financial-results/q-results/2020/q2/2020-07-15-q2-presentation-final.pdf" TargetMode="External" Id="rId168"/><Relationship Type="http://schemas.openxmlformats.org/officeDocument/2006/relationships/hyperlink" Target="https://www.asml.com/-/media/asml/files/investors/financial-results/q-results/2020/q2/2020-07-15-q2-presentation-final.pdf" TargetMode="External" Id="rId169"/><Relationship Type="http://schemas.openxmlformats.org/officeDocument/2006/relationships/hyperlink" Target="https://www.asml.com/en/news/press-releases/2020/asml-updates-the-market" TargetMode="External" Id="rId170"/><Relationship Type="http://schemas.openxmlformats.org/officeDocument/2006/relationships/hyperlink" Target="https://www.asml.com/en/news/press-releases/2020/asml-updates-the-market" TargetMode="External" Id="rId171"/><Relationship Type="http://schemas.openxmlformats.org/officeDocument/2006/relationships/hyperlink" Target="https://www.asml.com/en/investors/financial-results/q4-2019" TargetMode="External" Id="rId172"/><Relationship Type="http://schemas.openxmlformats.org/officeDocument/2006/relationships/hyperlink" Target="https://www.asml.com/en/investors/financial-results/q4-2019" TargetMode="External" Id="rId173"/><Relationship Type="http://schemas.openxmlformats.org/officeDocument/2006/relationships/hyperlink" Target="https://www.asml.com/en/investors/financial-results/q4-2019" TargetMode="External" Id="rId174"/><Relationship Type="http://schemas.openxmlformats.org/officeDocument/2006/relationships/hyperlink" Target="https://www.asml.com/en/investors/financial-results/q4-2019" TargetMode="External" Id="rId175"/><Relationship Type="http://schemas.openxmlformats.org/officeDocument/2006/relationships/hyperlink" Target="https://www.asml.com/-/media/asml/files/investors/financial-results/q-results/2019/q4/2020-01-22-q4-presentation.pdf" TargetMode="External" Id="rId176"/><Relationship Type="http://schemas.openxmlformats.org/officeDocument/2006/relationships/hyperlink" Target="https://www.asml.com/-/media/asml/files/investors/financial-results/q-results/2019/q4/2020-01-22-q4-presentation.pdf" TargetMode="External" Id="rId177"/><Relationship Type="http://schemas.openxmlformats.org/officeDocument/2006/relationships/hyperlink" Target="https://www.asml.com/-/media/asml/files/investors/financial-results/q-results/2019/q4/2020-01-22-q4-presentation.pdf" TargetMode="External" Id="rId178"/><Relationship Type="http://schemas.openxmlformats.org/officeDocument/2006/relationships/hyperlink" Target="https://www.asml.com/-/media/asml/files/investors/financial-results/q-results/2019/q4/2020-01-22-q4-presentation.pdf" TargetMode="External" Id="rId179"/><Relationship Type="http://schemas.openxmlformats.org/officeDocument/2006/relationships/hyperlink" Target="https://www.asml.com/-/media/asml/files/investors/financial-results/q-results/2019/q4/2020-01-22-q4-presentation.pdf" TargetMode="External" Id="rId180"/><Relationship Type="http://schemas.openxmlformats.org/officeDocument/2006/relationships/hyperlink" Target="https://www.asml.com/-/media/asml/files/investors/financial-results/q-results/2019/q4/2020-01-22-q4-presentation.pdf" TargetMode="External" Id="rId181"/><Relationship Type="http://schemas.openxmlformats.org/officeDocument/2006/relationships/hyperlink" Target="https://www.asml.com/-/media/asml/files/investors/financial-results/q-results/2019/q3/2019-10-16-q3-presentation.pdf" TargetMode="External" Id="rId182"/><Relationship Type="http://schemas.openxmlformats.org/officeDocument/2006/relationships/hyperlink" Target="https://www.asml.com/-/media/asml/files/investors/financial-results/q-results/2019/q3/2019-10-16-q3-presentation.pdf" TargetMode="External" Id="rId183"/><Relationship Type="http://schemas.openxmlformats.org/officeDocument/2006/relationships/hyperlink" Target="https://www.asml.com/-/media/asml/files/investors/financial-results/q-results/2019/q3/2019-10-16-q3-presentation.pdf" TargetMode="External" Id="rId184"/><Relationship Type="http://schemas.openxmlformats.org/officeDocument/2006/relationships/hyperlink" Target="https://www.asml.com/-/media/asml/files/investors/financial-results/q-results/2019/q2/2019-07-17-q2-presentation.pdf" TargetMode="External" Id="rId185"/><Relationship Type="http://schemas.openxmlformats.org/officeDocument/2006/relationships/hyperlink" Target="https://www.asml.com/-/media/asml/files/investors/financial-results/q-results/2019/q3/2019-10-16-q3-presentation.pdf" TargetMode="External" Id="rId186"/><Relationship Type="http://schemas.openxmlformats.org/officeDocument/2006/relationships/hyperlink" Target="https://www.asml.com/-/media/asml/files/investors/financial-results/q-results/2019/q3/2019-10-16-q3-presentation.pdf" TargetMode="External" Id="rId187"/><Relationship Type="http://schemas.openxmlformats.org/officeDocument/2006/relationships/hyperlink" Target="https://www.asml.com/-/media/asml/files/investors/financial-results/q-results/2019/q3/2019-10-16-q3-presentation.pdf" TargetMode="External" Id="rId188"/><Relationship Type="http://schemas.openxmlformats.org/officeDocument/2006/relationships/hyperlink" Target="https://www.asml.com/-/media/asml/files/investors/financial-results/q-results/2019/q3/2019-10-16-q3-presentation.pdf" TargetMode="External" Id="rId189"/><Relationship Type="http://schemas.openxmlformats.org/officeDocument/2006/relationships/hyperlink" Target="https://www.asml.com/-/media/asml/files/investors/financial-results/q-results/2019/q2/2019-07-17-q2-presentation.pdf" TargetMode="External" Id="rId190"/><Relationship Type="http://schemas.openxmlformats.org/officeDocument/2006/relationships/hyperlink" Target="https://www.asml.com/-/media/asml/files/investors/financial-results/q-results/2019/q2/2019-07-17-q2-presentation.pdf" TargetMode="External" Id="rId191"/><Relationship Type="http://schemas.openxmlformats.org/officeDocument/2006/relationships/hyperlink" Target="https://www.asml.com/-/media/asml/files/investors/financial-results/q-results/2019/q2/2019-07-17-q2-presentation.pdf" TargetMode="External" Id="rId192"/><Relationship Type="http://schemas.openxmlformats.org/officeDocument/2006/relationships/hyperlink" Target="https://www.asml.com/-/media/asml/files/investors/financial-results/q-results/2019/q2/2019-07-17-q2-presentation.pdf" TargetMode="External" Id="rId193"/><Relationship Type="http://schemas.openxmlformats.org/officeDocument/2006/relationships/hyperlink" Target="https://www.asml.com/-/media/asml/files/investors/financial-results/q-results/2019/q2/2019-07-17-q2-presentation.pdf" TargetMode="External" Id="rId194"/><Relationship Type="http://schemas.openxmlformats.org/officeDocument/2006/relationships/hyperlink" Target="https://www.asml.com/-/media/asml/files/investors/financial-results/q-results/2019/q2/2019-07-17-q2-presentation.pdf" TargetMode="External" Id="rId195"/><Relationship Type="http://schemas.openxmlformats.org/officeDocument/2006/relationships/hyperlink" Target="https://www.asml.com/-/media/asml/files/investors/financial-results/q-results/2019/q2/2019-07-17-q2-presentation.pdf" TargetMode="External" Id="rId196"/><Relationship Type="http://schemas.openxmlformats.org/officeDocument/2006/relationships/hyperlink" Target="https://www.asml.com/-/media/asml/files/investors/financial-results/q-results/2019/q2/2019-07-17-q2-presentation.pdf" TargetMode="External" Id="rId197"/><Relationship Type="http://schemas.openxmlformats.org/officeDocument/2006/relationships/hyperlink" Target="https://www.asml.com/-/media/asml/files/investors/financial-results/q-results/2019/q2/2019-07-17-q2-presentation.pdf" TargetMode="External" Id="rId198"/><Relationship Type="http://schemas.openxmlformats.org/officeDocument/2006/relationships/hyperlink" Target="https://staticwww.asml.com/doclib/investor/financial_results/2019/asml_20190417_transcript_video_2019_Q1_TyFHYPOyD0.pdf" TargetMode="External" Id="rId199"/><Relationship Type="http://schemas.openxmlformats.org/officeDocument/2006/relationships/hyperlink" Target="https://staticwww.asml.com/doclib/investor/financial_results/2019/asml_20190417_Presentation_2019_Q1_16wnKawzT2.pdf" TargetMode="External" Id="rId200"/><Relationship Type="http://schemas.openxmlformats.org/officeDocument/2006/relationships/hyperlink" Target="https://staticwww.asml.com/doclib/investor/financial_results/2019/asml_20190417_Presentation_2019_Q1_16wnKawzT2.pdf" TargetMode="External" Id="rId201"/><Relationship Type="http://schemas.openxmlformats.org/officeDocument/2006/relationships/hyperlink" Target="https://staticwww.asml.com/doclib/investor/financial_results/2019/asml_20190417_Presentation_2019_Q1_16wnKawzT2.pdf" TargetMode="External" Id="rId202"/><Relationship Type="http://schemas.openxmlformats.org/officeDocument/2006/relationships/hyperlink" Target="https://staticwww.asml.com/doclib/investor/financial_results/2019/asml_20190417_Presentation_2019_Q1_16wnKawzT2.pdf" TargetMode="External" Id="rId203"/><Relationship Type="http://schemas.openxmlformats.org/officeDocument/2006/relationships/hyperlink" Target="https://staticwww.asml.com/doclib/investor/financial_results/2019/asml_20190417_Presentation_2019_Q1_16wnKawzT2.pdf" TargetMode="External" Id="rId204"/><Relationship Type="http://schemas.openxmlformats.org/officeDocument/2006/relationships/hyperlink" Target="https://staticwww.asml.com/doclib/investor/financial_results/2019/asml_20190123_Presentation_2018_Q4_81315f89404p04.pdf" TargetMode="External" Id="rId205"/><Relationship Type="http://schemas.openxmlformats.org/officeDocument/2006/relationships/hyperlink" Target="https://www.asml.com/press/press-releases/asml-reports-eur-28-billion-sales-in-q3-expects-eur-3-billion-sales-in-q4-asml-sees-further-growth-for-2019/en/s5869?rid=57686" TargetMode="External" Id="rId206"/><Relationship Type="http://schemas.openxmlformats.org/officeDocument/2006/relationships/hyperlink" Target="https://www.asml.com/press/press-releases/asml-reports-eur-28-billion-sales-in-q3-expects-eur-3-billion-sales-in-q4-asml-sees-further-growth-for-2019/en/s5869?rid=57686" TargetMode="External" Id="rId207"/><Relationship Type="http://schemas.openxmlformats.org/officeDocument/2006/relationships/hyperlink" Target="https://staticwww.asml.com/doclib/investor/financial_results/2019/asml_20190123_Presentation_2018_Q4_81315f89404p04.pdf" TargetMode="External" Id="rId208"/><Relationship Type="http://schemas.openxmlformats.org/officeDocument/2006/relationships/hyperlink" Target="https://www.asml.com/press/press-releases/asml-reports-eur-28-billion-sales-in-q3-expects-eur-3-billion-sales-in-q4-asml-sees-further-growth-for-2019/en/s5869?rid=57686" TargetMode="External" Id="rId209"/><Relationship Type="http://schemas.openxmlformats.org/officeDocument/2006/relationships/hyperlink" Target="https://www.asml.com/press/press-releases/asml-reports-eur-28-billion-sales-in-q3-expects-eur-3-billion-sales-in-q4-asml-sees-further-growth-for-2019/en/s5869?rid=57686" TargetMode="External" Id="rId210"/><Relationship Type="http://schemas.openxmlformats.org/officeDocument/2006/relationships/hyperlink" Target="https://www.asml.com/press/press-releases/asml-reports-eur-28-billion-sales-in-q3-expects-eur-3-billion-sales-in-q4-asml-sees-further-growth-for-2019/en/s5869?rid=57686" TargetMode="External" Id="rId211"/><Relationship Type="http://schemas.openxmlformats.org/officeDocument/2006/relationships/hyperlink" Target="https://www.asml.com/press/press-releases/asml-reports-eur-28-billion-sales-in-q3-expects-eur-3-billion-sales-in-q4-asml-sees-further-growth-for-2019/en/s5869?rid=57686" TargetMode="External" Id="rId212"/><Relationship Type="http://schemas.openxmlformats.org/officeDocument/2006/relationships/hyperlink" Target="https://www.asml.com/press/press-releases/asml-reports-eur-28-billion-sales-in-q3-expects-eur-3-billion-sales-in-q4-asml-sees-further-growth-for-2019/en/s5869?rid=57686" TargetMode="External" Id="rId213"/><Relationship Type="http://schemas.openxmlformats.org/officeDocument/2006/relationships/hyperlink" Target="https://www.asml.com/press/press-releases/asml-reports-eur-28-billion-sales-in-q3-expects-eur-3-billion-sales-in-q4-asml-sees-further-growth-for-2019/en/s5869?rid=57686" TargetMode="External" Id="rId214"/><Relationship Type="http://schemas.openxmlformats.org/officeDocument/2006/relationships/hyperlink" Target="https://www.asml.com/press/press-releases/asml-reports-eur-28-billion-sales-in-q3-expects-eur-3-billion-sales-in-q4-asml-sees-further-growth-for-2019/en/s5869?rid=57686" TargetMode="External" Id="rId215"/><Relationship Type="http://schemas.openxmlformats.org/officeDocument/2006/relationships/hyperlink" Target="https://www.asml.com/press/press-releases/asml-reports-eur-28-billion-sales-in-q3-expects-eur-3-billion-sales-in-q4-asml-sees-further-growth-for-2019/en/s5869?rid=57686" TargetMode="External" Id="rId216"/><Relationship Type="http://schemas.openxmlformats.org/officeDocument/2006/relationships/hyperlink" Target="https://www.asml.com/press/press-releases/asml-reports-eur-28-billion-sales-in-q3-expects-eur-3-billion-sales-in-q4-asml-sees-further-growth-for-2019/en/s5869?rid=57686" TargetMode="External" Id="rId217"/><Relationship Type="http://schemas.openxmlformats.org/officeDocument/2006/relationships/hyperlink" Target="https://www.asml.com/press/press-releases/earnings-growth-continues-driven-by-strong-sales-across-full-product-portfolio-continued-euv-progress-enables-asml-roadmap-acceleration/en/s5869?rid=57342" TargetMode="External" Id="rId218"/><Relationship Type="http://schemas.openxmlformats.org/officeDocument/2006/relationships/hyperlink" Target="https://www.asml.com/press/press-releases/earnings-growth-continues-driven-by-strong-sales-across-full-product-portfolio-continued-euv-progress-enables-asml-roadmap-acceleration/en/s5869?rid=57342" TargetMode="External" Id="rId219"/><Relationship Type="http://schemas.openxmlformats.org/officeDocument/2006/relationships/hyperlink" Target="https://www.asml.com/press/press-releases/earnings-growth-continues-driven-by-strong-sales-across-full-product-portfolio-continued-euv-progress-enables-asml-roadmap-acceleration/en/s5869?rid=57342" TargetMode="External" Id="rId220"/><Relationship Type="http://schemas.openxmlformats.org/officeDocument/2006/relationships/hyperlink" Target="https://www.asml.com/press/press-releases/earnings-growth-continues-driven-by-strong-sales-across-full-product-portfolio-continued-euv-progress-enables-asml-roadmap-acceleration/en/s5869?rid=57342" TargetMode="External" Id="rId221"/><Relationship Type="http://schemas.openxmlformats.org/officeDocument/2006/relationships/hyperlink" Target="https://www.asml.com/press/press-releases/earnings-growth-continues-driven-by-strong-sales-across-full-product-portfolio-continued-euv-progress-enables-asml-roadmap-acceleration/en/s5869?rid=57342" TargetMode="External" Id="rId222"/><Relationship Type="http://schemas.openxmlformats.org/officeDocument/2006/relationships/hyperlink" Target="https://www.asml.com/press/press-releases/strong-duv-demand-drives-solid-q1-results-and-confirms-positive-outlook-for-2018-multiple-euv-orders-including-highna-demonstrate-further-adoption-of-euv-technology/en/s5869?rid=56995" TargetMode="External" Id="rId223"/><Relationship Type="http://schemas.openxmlformats.org/officeDocument/2006/relationships/hyperlink" Target="https://www.asml.com/press/press-releases/strong-duv-demand-drives-solid-q1-results-and-confirms-positive-outlook-for-2018-multiple-euv-orders-including-highna-demonstrate-further-adoption-of-euv-technology/en/s5869?rid=56995" TargetMode="External" Id="rId224"/><Relationship Type="http://schemas.openxmlformats.org/officeDocument/2006/relationships/hyperlink" Target="https://www.asml.com/press/press-releases/strong-duv-demand-drives-solid-q1-results-and-confirms-positive-outlook-for-2018-multiple-euv-orders-including-highna-demonstrate-further-adoption-of-euv-technology/en/s5869?rid=56995" TargetMode="External" Id="rId225"/><Relationship Type="http://schemas.openxmlformats.org/officeDocument/2006/relationships/hyperlink" Target="https://www.asml.com/press/press-releases/strong-duv-demand-drives-solid-q1-results-and-confirms-positive-outlook-for-2018-multiple-euv-orders-including-highna-demonstrate-further-adoption-of-euv-technology/en/s5869?rid=56995" TargetMode="External" Id="rId226"/><Relationship Type="http://schemas.openxmlformats.org/officeDocument/2006/relationships/hyperlink" Target="https://www.asml.com/press/press-releases/strong-duv-demand-drives-solid-q1-results-and-confirms-positive-outlook-for-2018-multiple-euv-orders-including-highna-demonstrate-further-adoption-of-euv-technology/en/s5869?rid=56995" TargetMode="External" Id="rId22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ourbrand.asml.com/m/c416bb685db46ca0/original/ASML-Press-Release-Q4-and-full-year-2025-financial-results.pdf" TargetMode="External" Id="rId1"/><Relationship Type="http://schemas.openxmlformats.org/officeDocument/2006/relationships/hyperlink" Target="https://ourbrand.asml.com/m/24dbdeb42f3d2ead/original/Financial-statements-US-GAAP-Q3-2025.pdf" TargetMode="External" Id="rId2"/><Relationship Type="http://schemas.openxmlformats.org/officeDocument/2006/relationships/hyperlink" Target="https://ourbrand.asml.com/m/5d9a736eed425266/original/Press-Release-Quarterly-Results-Q2-2025.pdf" TargetMode="External" Id="rId3"/><Relationship Type="http://schemas.openxmlformats.org/officeDocument/2006/relationships/hyperlink" Target="https://ourbrand.asml.com/m/303a5535a607f9a0/original/Press-Release-Quarterly-Results-Q1-2025.pdf" TargetMode="External" Id="rId4"/><Relationship Type="http://schemas.openxmlformats.org/officeDocument/2006/relationships/hyperlink" Target="https://www.asml.com/en/investors/financial-results/q4-2024" TargetMode="External" Id="rId5"/><Relationship Type="http://schemas.openxmlformats.org/officeDocument/2006/relationships/hyperlink" Target="https://www.asml.com/en/investors/financial-results/q4-2024" TargetMode="External" Id="rId6"/><Relationship Type="http://schemas.openxmlformats.org/officeDocument/2006/relationships/hyperlink" Target="https://www.asml.com/en/investors/financial-results/q3-2024-572fba47762609d4" TargetMode="External" Id="rId7"/><Relationship Type="http://schemas.openxmlformats.org/officeDocument/2006/relationships/hyperlink" Target="https://ourbrand.asml.com/m/21ccbe5b3a53a758/original/Press-Release-Quarterly-Results-Q2-2024.pdf" TargetMode="External" Id="rId8"/><Relationship Type="http://schemas.openxmlformats.org/officeDocument/2006/relationships/hyperlink" Target="https://www.asml.com/en/news/press-releases/2024/q1-2024-financial-results" TargetMode="External" Id="rId9"/><Relationship Type="http://schemas.openxmlformats.org/officeDocument/2006/relationships/hyperlink" Target="https://www.asml.com/-/media/asml/files/investors/financial-results/q-results/2023/q4/press-release-financial-results-q4-fy-2023-b8w26d.pdf?rev=bff1cfbc9bfe4fd8b1b56ce292998a68" TargetMode="External" Id="rId10"/><Relationship Type="http://schemas.openxmlformats.org/officeDocument/2006/relationships/hyperlink" Target="https://www.asml.com/-/media/asml/files/investors/financial-results/q-results/2023/q4/press-release-financial-results-q4-fy-2023-b8w26d.pdf?rev=bff1cfbc9bfe4fd8b1b56ce292998a68" TargetMode="External" Id="rId11"/><Relationship Type="http://schemas.openxmlformats.org/officeDocument/2006/relationships/hyperlink" Target="../../../../../../../../../../../../../../../../../../../../../../../../../../../../../../../../../../../../../../../../../../../../../../../../../../../../../../../../../../../../../../../../../../../../../../../../../../../../../../../../../../../../../../../../../../../../../../../../../../../../../../../../../../../../../../../../../../../../../../../../../../../../../../../../../../../../../../../../../../../../../../../../../../../../../../../../../../../../../../../../../../../../../../../../../../../../../../../../../../../../../../../../../../../../../../../../../../../../../../../../../../../../../../../../../../../../../../../../../../../../../../../../../../../../../../../../../../../../../../../../../../../../../../../../../../../../../../../../../../../../../../../../../../../../../../../../../../../../../../../../../../../../../../../../../../../../../../../../../../../../../../../../../../../../../../../../../../../../../../../../../../../../../../../../../../../../../../../../../../../../../../../../../../../../../../../../../../../../../../../../../../../../../../../../../../../../../../../../../../../../../../../../../../../../../../../../../../../../../../../../../../../../../../../../../../../../../../../../../../../../../../../../../../../../../../../../../../../../../../../../../../../../../../../../../../../Downloads/Press%20Release%20ASML%20Quarterly%20Results%20Q3%202023%20ap61le.pdf" TargetMode="External" Id="rId12"/><Relationship Type="http://schemas.openxmlformats.org/officeDocument/2006/relationships/hyperlink" Target="https://www.asml.com/en/news/press-releases/2023/q2-2023-financial-results" TargetMode="External" Id="rId13"/><Relationship Type="http://schemas.openxmlformats.org/officeDocument/2006/relationships/hyperlink" Target="https://www.asml.com/en/news/press-releases/2023/q1-2023-financial-results" TargetMode="External" Id="rId14"/><Relationship Type="http://schemas.openxmlformats.org/officeDocument/2006/relationships/hyperlink" Target="https://www.asml.com/en/news/press-releases/2023/q4-2022-financial-results" TargetMode="External" Id="rId15"/><Relationship Type="http://schemas.openxmlformats.org/officeDocument/2006/relationships/hyperlink" Target="https://www.asml.com/en/news/press-releases/2023/q4-2022-financial-results" TargetMode="External" Id="rId16"/><Relationship Type="http://schemas.openxmlformats.org/officeDocument/2006/relationships/hyperlink" Target="https://www.asml.com/en/news/press-releases/2022/q3-2022-financial-results" TargetMode="External" Id="rId17"/><Relationship Type="http://schemas.openxmlformats.org/officeDocument/2006/relationships/hyperlink" Target="https://www.asml.com/en/news/press-releases/2022/q2-2022-financial-results" TargetMode="External" Id="rId18"/><Relationship Type="http://schemas.openxmlformats.org/officeDocument/2006/relationships/hyperlink" Target="https://www.asml.com/-/media/asml/files/investors/financial-results/q-results/2022/q1/press-release-asml-quarterly-results-q1-2022-95sg2e.pdf?rev=da4a362ca0cb4b87977b4560f3b3f8ea" TargetMode="External" Id="rId19"/><Relationship Type="http://schemas.openxmlformats.org/officeDocument/2006/relationships/hyperlink" Target="https://www.asml.com/en/news/press-releases/2022/q4-and-full-year-2021-financial-results" TargetMode="External" Id="rId20"/><Relationship Type="http://schemas.openxmlformats.org/officeDocument/2006/relationships/hyperlink" Target="https://www.asml.com/en/news/press-releases/2022/q4-and-full-year-2021-financial-results" TargetMode="External" Id="rId21"/><Relationship Type="http://schemas.openxmlformats.org/officeDocument/2006/relationships/hyperlink" Target="https://www.asml.com/en/news/press-releases/2021/q3-2021-financial-results" TargetMode="External" Id="rId22"/><Relationship Type="http://schemas.openxmlformats.org/officeDocument/2006/relationships/hyperlink" Target="https://www.asml.com/en/news/press-releases/2021/q2-2021-financial-results" TargetMode="External" Id="rId23"/><Relationship Type="http://schemas.openxmlformats.org/officeDocument/2006/relationships/hyperlink" Target="https://www.asml.com/en/investors/financial-results/q1-2021" TargetMode="External" Id="rId24"/><Relationship Type="http://schemas.openxmlformats.org/officeDocument/2006/relationships/hyperlink" Target="https://www.asml.com/en/news/press-releases/2021/asml-reports-eur-14dot0-billion-net-sales-and-eur3dot6-billion-net-income-in-2020" TargetMode="External" Id="rId25"/><Relationship Type="http://schemas.openxmlformats.org/officeDocument/2006/relationships/hyperlink" Target="https://www.asml.com/en/investors/financial-results/q3-2020" TargetMode="External" Id="rId26"/><Relationship Type="http://schemas.openxmlformats.org/officeDocument/2006/relationships/hyperlink" Target="https://www.asml.com/en/news/press-releases/2020/q2-2020-financial-results" TargetMode="External" Id="rId27"/><Relationship Type="http://schemas.openxmlformats.org/officeDocument/2006/relationships/hyperlink" Target="https://www.asml.com/en/news/press-releases/2020/asml-reports-2dot4-billion-euro-net-sales-at-45dot1-percent-gross-margin-in-q1-2020" TargetMode="External" Id="rId28"/><Relationship Type="http://schemas.openxmlformats.org/officeDocument/2006/relationships/hyperlink" Target="https://www.asml.com/en/news/press-releases/2020/q4--and-full-year-2019-financial-results" TargetMode="External" Id="rId29"/><Relationship Type="http://schemas.openxmlformats.org/officeDocument/2006/relationships/hyperlink" Target="https://www.asml.com/en/news/press-releases/2020/q4--and-full-year-2019-financial-results" TargetMode="External" Id="rId30"/><Relationship Type="http://schemas.openxmlformats.org/officeDocument/2006/relationships/hyperlink" Target="https://www.asml.com/-/media/asml/files/investors/financial-results/q-results/2019/q3/press-release-quarterly-results-q3-2019.pdf" TargetMode="External" Id="rId31"/><Relationship Type="http://schemas.openxmlformats.org/officeDocument/2006/relationships/hyperlink" Target="https://www.asml.com/en/news/press-releases/asml-reports-eur-2dot6-billion-sales-at-43dot0-percent-gross-margin-in-q2" TargetMode="External" Id="rId32"/><Relationship Type="http://schemas.openxmlformats.org/officeDocument/2006/relationships/hyperlink" Target="https://www.asml.com/press/press-releases/asml-reports-eur-22-billion-sales-at-416-gross-margin-in-q1-2019-view-unchanged/en/s5869?rid=58697" TargetMode="External" Id="rId33"/><Relationship Type="http://schemas.openxmlformats.org/officeDocument/2006/relationships/hyperlink" Target="https://www.asml.com/press/press-releases/asml-reports-eur-109-billion-net-sales-and-eur-26-billion-net-income-in-2018-asml-expects-sales-growth-in-2019-despite-challenging-environment-and-proposes-to-raise-dividend-by-50/en/s5869?rid=58038" TargetMode="External" Id="rId34"/><Relationship Type="http://schemas.openxmlformats.org/officeDocument/2006/relationships/hyperlink" Target="https://www.asml.com/press/press-releases/asml-reports-eur-28-billion-sales-in-q3-expects-eur-3-billion-sales-in-q4-asml-sees-further-growth-for-2019/en/s5869?rid=57686" TargetMode="External" Id="rId35"/><Relationship Type="http://schemas.openxmlformats.org/officeDocument/2006/relationships/hyperlink" Target="https://www.asml.com/press/press-releases/earnings-growth-continues-driven-by-strong-sales-across-full-product-portfolio-continued-euv-progress-enables-asml-roadmap-acceleration/en/s5869?rid=57342" TargetMode="External" Id="rId36"/><Relationship Type="http://schemas.openxmlformats.org/officeDocument/2006/relationships/drawing" Target="/xl/drawings/drawing2.xml" Id="rId37"/></Relationships>
</file>

<file path=xl/worksheets/sheet1.xml><?xml version="1.0" encoding="utf-8"?>
<worksheet xmlns="http://schemas.openxmlformats.org/spreadsheetml/2006/main">
  <sheetPr codeName="Sheet5">
    <outlinePr summaryBelow="1" summaryRight="1"/>
    <pageSetUpPr fitToPage="1"/>
  </sheetPr>
  <dimension ref="A1:W57"/>
  <sheetViews>
    <sheetView showGridLines="0" tabSelected="1" topLeftCell="A1" workbookViewId="0">
      <selection activeCell="A1" sqref="A1"/>
    </sheetView>
  </sheetViews>
  <sheetFormatPr baseColWidth="8" defaultColWidth="8.71428571428571" defaultRowHeight="15"/>
  <cols>
    <col width="5.71428571428571" customWidth="1" style="16" min="1" max="1"/>
    <col width="7.71428571428571" customWidth="1" style="16" min="2" max="2"/>
    <col width="10.2857142857143" customWidth="1" style="16" min="3" max="3"/>
    <col width="13.7142857142857" customWidth="1" style="16" min="4" max="4"/>
    <col width="5.42857142857143" customWidth="1" style="16" min="5" max="5"/>
    <col width="13.7142857142857" customWidth="1" style="16" min="6" max="6"/>
    <col width="6.71428571428571" customWidth="1" style="16" min="7" max="7"/>
    <col width="31.7142857142857" customWidth="1" style="16" min="8" max="8"/>
    <col width="8.71428571428571" customWidth="1" style="16" min="9" max="15"/>
    <col width="45.7142857142857" customWidth="1" style="16" min="16" max="16"/>
    <col width="8.71428571428571" customWidth="1" style="16" min="17" max="23"/>
    <col width="8.71428571428571" customWidth="1" style="16" min="24" max="16384"/>
  </cols>
  <sheetData>
    <row r="1" ht="15" customHeight="1" s="595">
      <c r="A1" s="17" t="n"/>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7" t="n"/>
    </row>
    <row r="2" ht="15" customHeight="1" s="595">
      <c r="A2" s="17" t="n"/>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7" t="n"/>
    </row>
    <row r="3" ht="15" customHeight="1" s="59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row>
    <row r="4" ht="15" customHeight="1" s="59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row>
    <row r="5" ht="15" customHeight="1" s="595">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row>
    <row r="6" ht="18.75" customHeight="1" s="595">
      <c r="A6" s="17" t="n"/>
      <c r="B6" s="17" t="n"/>
      <c r="C6" s="17" t="n"/>
      <c r="D6" s="17" t="n"/>
      <c r="E6" s="17" t="n"/>
      <c r="F6" s="17" t="n"/>
      <c r="G6" s="17" t="n"/>
      <c r="H6" s="17" t="n"/>
      <c r="I6" s="17" t="n"/>
      <c r="J6" s="17" t="n"/>
      <c r="K6" s="17" t="n"/>
      <c r="L6" s="17" t="n"/>
      <c r="M6" s="522" t="inlineStr">
        <is>
          <t xml:space="preserve">Please contact this email for any model-specific questions: </t>
        </is>
      </c>
      <c r="N6" s="17" t="n"/>
      <c r="O6" s="17" t="n"/>
      <c r="P6" s="17" t="n"/>
      <c r="Q6" s="17" t="n"/>
      <c r="R6" s="17" t="n"/>
      <c r="S6" s="17" t="n"/>
      <c r="T6" s="17" t="n"/>
      <c r="U6" s="17" t="n"/>
      <c r="V6" s="17" t="n"/>
      <c r="W6" s="17" t="n"/>
    </row>
    <row r="7" ht="18.75" customHeight="1" s="595">
      <c r="A7" s="17" t="n"/>
      <c r="B7" s="17" t="n"/>
      <c r="C7" s="17" t="n"/>
      <c r="D7" s="17" t="n"/>
      <c r="E7" s="17" t="n"/>
      <c r="F7" s="17" t="n"/>
      <c r="G7" s="17" t="n"/>
      <c r="H7" s="17" t="n"/>
      <c r="I7" s="17" t="n"/>
      <c r="J7" s="17" t="n"/>
      <c r="K7" s="17" t="n"/>
      <c r="L7" s="17" t="n"/>
      <c r="M7" s="644" t="inlineStr">
        <is>
          <t>modelsupport@alpha-sense.com</t>
        </is>
      </c>
      <c r="N7" s="644" t="inlineStr">
        <is>
          <t>mailto:support@canalyst.com?subject=Canalyst%20Support:%20ASML%20Holdings%20N.V.%20ASML%20US&amp;body=Model%20Version:%20Q2-2019.20</t>
        </is>
      </c>
      <c r="O7" s="644" t="inlineStr">
        <is>
          <t>mailto:support@canalyst.com?subject=Canalyst%20Support:%20ASML%20Holdings%20N.V.%20ASML%20US&amp;body=Model%20Version:%20Q2-2019.20</t>
        </is>
      </c>
      <c r="P7" s="17" t="n"/>
      <c r="Q7" s="17" t="n"/>
      <c r="R7" s="17" t="n"/>
      <c r="S7" s="17" t="n"/>
      <c r="T7" s="17" t="n"/>
      <c r="U7" s="17" t="n"/>
      <c r="V7" s="17" t="n"/>
      <c r="W7" s="17" t="n"/>
    </row>
    <row r="8" ht="28.5" customHeight="1" s="595">
      <c r="A8" s="17" t="n"/>
      <c r="B8" s="17" t="n"/>
      <c r="C8" s="17" t="n"/>
      <c r="D8" s="17" t="n"/>
      <c r="E8" s="17" t="n"/>
      <c r="F8" s="14" t="n"/>
      <c r="L8" s="17" t="n"/>
      <c r="M8" s="17" t="n"/>
      <c r="N8" s="17" t="n"/>
      <c r="O8" s="17" t="n"/>
      <c r="P8" s="17" t="n"/>
      <c r="Q8" s="17" t="n"/>
      <c r="R8" s="17" t="n"/>
      <c r="S8" s="17" t="n"/>
      <c r="T8" s="17" t="n"/>
      <c r="U8" s="17" t="n"/>
      <c r="V8" s="17" t="n"/>
      <c r="W8" s="17" t="n"/>
    </row>
    <row r="9" ht="18.75" customHeight="1" s="595">
      <c r="A9" s="17" t="n"/>
      <c r="B9" s="17" t="n"/>
      <c r="C9" s="523" t="inlineStr">
        <is>
          <t>Company Model:</t>
        </is>
      </c>
      <c r="D9" s="524" t="n"/>
      <c r="E9" s="524" t="n"/>
      <c r="F9" s="524" t="n"/>
      <c r="G9" s="524" t="n"/>
      <c r="H9" s="525">
        <f>Model!A1</f>
        <v/>
      </c>
      <c r="I9" s="524" t="n"/>
      <c r="J9" s="524" t="n"/>
      <c r="K9" s="524" t="n"/>
      <c r="L9" s="524" t="n"/>
      <c r="M9" s="568" t="n"/>
      <c r="N9" s="524" t="n"/>
      <c r="O9" s="524" t="n"/>
      <c r="Q9" s="17" t="n"/>
      <c r="R9" s="17" t="n"/>
      <c r="S9" s="17" t="n"/>
      <c r="T9" s="17" t="n"/>
      <c r="U9" s="17" t="n"/>
      <c r="V9" s="17" t="n"/>
      <c r="W9" s="17" t="n"/>
    </row>
    <row r="10" ht="18.75" customHeight="1" s="595">
      <c r="A10" s="17" t="n"/>
      <c r="B10" s="17" t="n"/>
      <c r="C10" s="526" t="n"/>
      <c r="D10" s="17" t="n"/>
      <c r="E10" s="17" t="n"/>
      <c r="F10" s="17" t="n"/>
      <c r="G10" s="17" t="n"/>
      <c r="H10" s="17" t="n"/>
      <c r="I10" s="17" t="n"/>
      <c r="J10" s="17" t="n"/>
      <c r="K10" s="17" t="n"/>
      <c r="L10" s="17" t="n"/>
      <c r="M10" s="569" t="n"/>
      <c r="N10" s="17" t="n"/>
      <c r="O10" s="17" t="n"/>
      <c r="Q10" s="17" t="n"/>
      <c r="R10" s="17" t="n"/>
      <c r="S10" s="17" t="n"/>
      <c r="T10" s="17" t="n"/>
      <c r="U10" s="17" t="n"/>
      <c r="V10" s="17" t="n"/>
      <c r="W10" s="17" t="n"/>
    </row>
    <row r="11" ht="18.75" customHeight="1" s="595">
      <c r="A11" s="17" t="n"/>
      <c r="B11" s="17" t="n"/>
      <c r="C11" s="523" t="inlineStr">
        <is>
          <t xml:space="preserve">Updated: </t>
        </is>
      </c>
      <c r="D11" s="17" t="n"/>
      <c r="E11" s="17" t="n"/>
      <c r="F11" s="17" t="n"/>
      <c r="G11" s="17" t="n"/>
      <c r="H11" s="560">
        <f>OFFSET('Update Log'!$C$10,1,0,1,1)</f>
        <v/>
      </c>
      <c r="I11" s="17" t="n"/>
      <c r="J11" s="17" t="n"/>
      <c r="K11" s="17" t="n"/>
      <c r="L11" s="17" t="n"/>
      <c r="M11" s="17" t="n"/>
      <c r="N11" s="17" t="n"/>
      <c r="O11" s="17" t="n"/>
      <c r="Q11" s="17" t="n"/>
      <c r="R11" s="17" t="n"/>
      <c r="S11" s="17" t="n"/>
      <c r="T11" s="17" t="n"/>
      <c r="U11" s="17" t="n"/>
      <c r="V11" s="17" t="n"/>
      <c r="W11" s="17" t="n"/>
    </row>
    <row r="12" ht="18.75" customHeight="1" s="595">
      <c r="A12" s="17" t="n"/>
      <c r="B12" s="17" t="n"/>
      <c r="C12" s="17" t="n"/>
      <c r="D12" s="17" t="n"/>
      <c r="E12" s="17" t="n"/>
      <c r="F12" s="17" t="n"/>
      <c r="G12" s="17" t="n"/>
      <c r="H12" s="528" t="n"/>
      <c r="I12" s="17" t="n"/>
      <c r="J12" s="17" t="n"/>
      <c r="K12" s="17" t="n"/>
      <c r="L12" s="17" t="n"/>
      <c r="M12" s="523" t="inlineStr">
        <is>
          <t>Comments on Model:</t>
        </is>
      </c>
      <c r="N12" s="17" t="n"/>
      <c r="O12" s="17" t="n"/>
      <c r="Q12" s="17" t="n"/>
      <c r="R12" s="17" t="n"/>
      <c r="S12" s="17" t="n"/>
      <c r="T12" s="17" t="n"/>
      <c r="U12" s="17" t="n"/>
      <c r="V12" s="17" t="n"/>
      <c r="W12" s="17" t="n"/>
    </row>
    <row r="13" ht="18.75" customHeight="1" s="595">
      <c r="A13" s="17" t="n"/>
      <c r="B13" s="17" t="n"/>
      <c r="C13" s="523" t="inlineStr">
        <is>
          <t>For:</t>
        </is>
      </c>
      <c r="D13" s="17" t="n"/>
      <c r="E13" s="17" t="n"/>
      <c r="F13" s="17" t="n"/>
      <c r="G13" s="17" t="n"/>
      <c r="H13" s="561">
        <f>OFFSET('Update Log'!$E$10,1,0,1,1)</f>
        <v/>
      </c>
      <c r="I13" s="17" t="n"/>
      <c r="J13" s="17" t="n"/>
      <c r="K13" s="17" t="n"/>
      <c r="L13" s="17" t="n"/>
      <c r="M13" s="4" t="n"/>
      <c r="Q13" s="17" t="n"/>
      <c r="R13" s="17" t="n"/>
      <c r="S13" s="17" t="n"/>
      <c r="T13" s="17" t="n"/>
      <c r="U13" s="17" t="n"/>
      <c r="V13" s="17" t="n"/>
      <c r="W13" s="17" t="n"/>
    </row>
    <row r="14" ht="15" customHeight="1" s="595">
      <c r="A14" s="17" t="n"/>
      <c r="B14" s="17" t="n"/>
      <c r="C14" s="17" t="n"/>
      <c r="D14" s="17" t="n"/>
      <c r="E14" s="17" t="n"/>
      <c r="F14" s="17" t="n"/>
      <c r="G14" s="17" t="n"/>
      <c r="H14" s="17" t="n"/>
      <c r="I14" s="17" t="n"/>
      <c r="J14" s="17" t="n"/>
      <c r="K14" s="17" t="n"/>
      <c r="L14" s="17" t="n"/>
      <c r="Q14" s="17" t="n"/>
      <c r="R14" s="17" t="n"/>
      <c r="S14" s="17" t="n"/>
      <c r="T14" s="17" t="n"/>
      <c r="U14" s="17" t="n"/>
      <c r="V14" s="17" t="n"/>
      <c r="W14" s="17" t="n"/>
    </row>
    <row r="15" ht="18.75" customHeight="1" s="595">
      <c r="A15" s="17" t="n"/>
      <c r="B15" s="17" t="n"/>
      <c r="C15" s="523" t="inlineStr">
        <is>
          <t>Consensus Data and Real-Time Stock Price:</t>
        </is>
      </c>
      <c r="D15" s="524" t="n"/>
      <c r="E15" s="524" t="n"/>
      <c r="F15" s="524" t="n"/>
      <c r="G15" s="524" t="n"/>
      <c r="H15" s="562" t="inlineStr">
        <is>
          <t>Bloomberg</t>
        </is>
      </c>
      <c r="I15" s="17" t="n"/>
      <c r="J15" s="529" t="n"/>
      <c r="K15" s="17" t="n"/>
      <c r="L15" s="17" t="n"/>
      <c r="Q15" s="17" t="n"/>
      <c r="R15" s="17" t="n"/>
      <c r="S15" s="17" t="n"/>
      <c r="T15" s="17" t="n"/>
      <c r="U15" s="17" t="n"/>
      <c r="V15" s="17" t="n"/>
      <c r="W15" s="17" t="n"/>
    </row>
    <row r="16" ht="15" customHeight="1" s="595">
      <c r="A16" s="17" t="n"/>
      <c r="B16" s="17" t="n"/>
      <c r="C16" s="524" t="n"/>
      <c r="D16" s="15" t="n"/>
      <c r="E16" s="15" t="n"/>
      <c r="F16" s="15" t="n"/>
      <c r="G16" s="15" t="n"/>
      <c r="H16" s="530">
        <f>IF(FP.DataSourceName="Bloomberg",1,IF(FP.DataSourceName="Capital IQ",2,IF(FP.DataSourceName="FactSet",3,IF(FP.DataSourceName="Refinitiv",4))))</f>
        <v/>
      </c>
      <c r="I16" s="531" t="n"/>
      <c r="J16" s="529" t="n"/>
      <c r="K16" s="17" t="n"/>
      <c r="L16" s="17" t="n"/>
      <c r="Q16" s="17" t="n"/>
      <c r="R16" s="17" t="n"/>
      <c r="S16" s="17" t="n"/>
      <c r="T16" s="17" t="n"/>
      <c r="U16" s="17" t="n"/>
      <c r="V16" s="17" t="n"/>
      <c r="W16" s="17" t="n"/>
    </row>
    <row r="17" ht="18.75" customFormat="1" customHeight="1" s="41">
      <c r="A17" s="15" t="n"/>
      <c r="B17" s="15" t="n"/>
      <c r="C17" s="526" t="n"/>
      <c r="D17" s="15" t="n"/>
      <c r="E17" s="15" t="n"/>
      <c r="F17" s="15" t="n"/>
      <c r="G17" s="15" t="n"/>
      <c r="H17" s="15" t="n"/>
      <c r="I17" s="531" t="n"/>
      <c r="J17" s="529" t="n"/>
      <c r="K17" s="17" t="n"/>
      <c r="L17" s="17" t="n"/>
      <c r="Q17" s="15" t="n"/>
      <c r="R17" s="15" t="n"/>
      <c r="S17" s="15" t="n"/>
      <c r="T17" s="15" t="n"/>
      <c r="U17" s="15" t="n"/>
      <c r="V17" s="15" t="n"/>
      <c r="W17" s="17" t="n"/>
    </row>
    <row r="18" ht="18.75" customFormat="1" customHeight="1" s="41">
      <c r="A18" s="15" t="n"/>
      <c r="B18" s="15" t="n"/>
      <c r="C18" s="523" t="inlineStr">
        <is>
          <t>Real-Time Stock Price:</t>
        </is>
      </c>
      <c r="D18" s="524" t="n"/>
      <c r="E18" s="524" t="n"/>
      <c r="F18" s="524" t="n"/>
      <c r="G18" s="524" t="n"/>
      <c r="H18" s="562" t="inlineStr">
        <is>
          <t>OFF</t>
        </is>
      </c>
      <c r="I18" s="532" t="n"/>
      <c r="J18" s="532" t="n"/>
      <c r="K18" s="17" t="n"/>
      <c r="L18" s="17" t="n"/>
      <c r="Q18" s="15" t="n"/>
      <c r="R18" s="15" t="n"/>
      <c r="S18" s="15" t="n"/>
      <c r="T18" s="15" t="n"/>
      <c r="U18" s="15" t="n"/>
      <c r="V18" s="15" t="n"/>
      <c r="W18" s="17" t="n"/>
    </row>
    <row r="19" ht="15" customFormat="1" customHeight="1" s="41">
      <c r="A19" s="15" t="n"/>
      <c r="B19" s="15" t="n"/>
      <c r="C19" s="524" t="n"/>
      <c r="D19" s="15" t="n"/>
      <c r="E19" s="15" t="n"/>
      <c r="F19" s="15" t="n"/>
      <c r="G19" s="15" t="n"/>
      <c r="H19" s="15" t="n"/>
      <c r="I19" s="531" t="n"/>
      <c r="J19" s="529" t="n"/>
      <c r="K19" s="17" t="n"/>
      <c r="L19" s="17" t="n"/>
      <c r="Q19" s="15" t="n"/>
      <c r="R19" s="15" t="n"/>
      <c r="S19" s="15" t="n"/>
      <c r="T19" s="15" t="n"/>
      <c r="U19" s="15" t="n"/>
      <c r="V19" s="15" t="n"/>
      <c r="W19" s="17" t="n"/>
    </row>
    <row r="20" ht="18.75" customFormat="1" customHeight="1" s="41">
      <c r="A20" s="15" t="n"/>
      <c r="B20" s="15" t="n"/>
      <c r="C20" s="533" t="inlineStr">
        <is>
          <t>Stock Price Override:</t>
        </is>
      </c>
      <c r="D20" s="15" t="n"/>
      <c r="E20" s="15" t="n"/>
      <c r="F20" s="1546" t="n">
        <v>46049</v>
      </c>
      <c r="G20" s="15" t="n"/>
      <c r="H20" s="1547" t="n">
        <v>1217.6</v>
      </c>
      <c r="I20" s="531" t="n"/>
      <c r="J20" s="529" t="n"/>
      <c r="K20" s="17" t="n"/>
      <c r="L20" s="17" t="n"/>
      <c r="Q20" s="15" t="n"/>
      <c r="R20" s="15" t="n"/>
      <c r="S20" s="15" t="n"/>
      <c r="T20" s="15" t="n"/>
      <c r="U20" s="15" t="n"/>
      <c r="V20" s="15" t="n"/>
      <c r="W20" s="17" t="n"/>
    </row>
    <row r="21" ht="15" customFormat="1" customHeight="1" s="41">
      <c r="A21" s="15" t="n"/>
      <c r="B21" s="15" t="n"/>
      <c r="C21" s="15" t="n"/>
      <c r="D21" s="17" t="n"/>
      <c r="E21" s="17" t="n"/>
      <c r="F21" s="17" t="n"/>
      <c r="G21" s="17" t="n"/>
      <c r="H21" s="17" t="n"/>
      <c r="I21" s="17" t="n"/>
      <c r="J21" s="17" t="n"/>
      <c r="K21" s="17" t="n"/>
      <c r="L21" s="17" t="n"/>
      <c r="M21" s="17" t="n"/>
      <c r="N21" s="15" t="n"/>
      <c r="O21" s="15" t="n"/>
      <c r="P21" s="15" t="n"/>
      <c r="Q21" s="15" t="n"/>
      <c r="R21" s="15" t="n"/>
      <c r="S21" s="15" t="n"/>
      <c r="T21" s="15" t="n"/>
      <c r="U21" s="15" t="n"/>
      <c r="V21" s="15" t="n"/>
      <c r="W21" s="15" t="n"/>
    </row>
    <row r="22" ht="16.15" customHeight="1" s="595">
      <c r="A22" s="17" t="n"/>
      <c r="B22" s="17" t="n"/>
      <c r="C22" s="1548" t="inlineStr">
        <is>
          <t>DISCLAIMER
Access to and use of this model, including the data contained herein (this "Model") is subject to Tegus, Inc.'s (a successor entity to Canalyst Financial Modeling Corporation) ("Company") Terms of Use that you accepted prior to accessing this Model, the applicable Service Agreement between the Company and you (or a corporate entity that has authorized you to access and use this Model on its behalf in accordance with the terms of such Service Agreement) or other similar agreement between you and the Company. BY CONTINUING TO ACCESS OR USE THIS MODEL, YOU EXPRESSLY AGREE TO THE TERMS AND CONDITIONS OF SUCH AGREEMENTS.
The Company and certain of its licensors have exclusive proprietary rights in this Model. This Model is being provided for internal use only. Unless prior written consent by the Company and its licensors has been provided to you, you may not distribute or otherwise furnish this Model to any third party, nor use or permit anyone to use this Model for any unlawful or unauthorized purpose. IF YOU HAVE UNLAWFULLY OBTAINED, OR ARE NOT AUTHORIZED TO USE THIS MODEL, YOU ARE OBLIGATED TO PROMPTLY: (I) RETURN THIS MODEL (AND ANY DERIVATIVE WORKS ARISING FROM OR RELATING THERETO) TO THE AUTHORIZED USER OF THIS MODEL; (II) PROVIDE NOTICE TO THE COMPANY AT LEGAL@TEGUS.COM OF SUCH UNLAWFUL OR UNAUTHORIZED ACCESS AND USE; AND, (III) CERTIFY THAT YOU HAVE DESTROYED THIS MODEL (AND ANY DERIVATIVE WORKS ARISING FROM OR RELATING THERETO) AND ANY COPIES FROM YOUR SYSTEMS SO AS TO ENSURE THEY ARE INCAPABLE OF RETRIEVAL.
A portion of the data contained in this Model may be powered by third party contributors and their respective licensors, or derived from data provided by such contributors, including (but not limited to): (i) QuoteMedia Inc.: A portion of the market data is powered by Quotemedia.com. All rights reserved. Data delayed 15 minutes unless otherwise indicated; (ii) S&amp;P Global Market Intelligence LLC: Copyright (c) {{YEAR}} S&amp;P Global Market Intelligence LLC (and its affiliates as applicable). All rights reserved. Reproduction of any information, opinions, views, data or material, including ratings ("Content") in any form is prohibited except with the prior written permission of the relevant party. Such party, its affiliates and suppliers ("Content Providers") do not guarantee the accuracy, adequacy, completeness, timeliness or availability of any Content and are not responsible for any errors or omissions (negligent or otherwise), regardless of the cause, or for the results obtained from the use of such Content. In no event shall Content Providers be liable for any damages, costs, expenses, legal fees, or losses (including lost income or lost profit and opportunity costs) in connection with any use of the Content. A reference to a particular investment or security, a rating or any observation concerning an investment that is part of the Content is not a recommendation to buy, sell or hold such investment or security, does not address the suitability of an investment or security and should not be relied on as investment advice. Credit ratings are statements of opinions and are not statements of fact; and, (iii) Refinitiv Canada Holdings Limited: A portion of the information may be provided by or derived from data provided by Refinitiv.
By accessing or using this Model (including any portion of the data contained herein) you expressly represent that such access or use does not constitute a violation of any applicable law or regulation to which you or the securities are subject.
This Model does not constitute investment advice by the Company or any of its licensors. Reference to a particular investment or security, credit rating or any observation concerning a security or investment in this Model is not a recommendation or solicitation to buy, sell or hold such investment or security or make any other investment decisions. For greater certainty, any forecasts or forward-looking information expressed herein are for illustrative purposes only and do not purport to express any view on what may transpire. Neither the Company nor any of its licensors have performed company-specific research on any projected information, as such, it is your responsibility to express your own views on projected results. This Model does not guarantee future performance and undue reliance should not be placed on such. You are solely responsible for evaluating the merits and risks of any investment based on your own business and financial expertise, the business and financial expertise of professional advisors with whom you have consulted, your financial situation and risk tolerance. Neither the Company, nor any of its licensors, undertake any liability with respect to your reliance on this Model.
This Model is a quantitative tool with no investment views. The Company and its respective directors, officers, employees, agents, contractors, and affiliates may hold long or short positions in the security to which this Model relates, based on their personal views, and may initiate or close out any positions in such security at any time without any notice.
THIS MODEL IS PROVIDED "AS IS" AND ON AN "AS AVAILABLE" BASIS ONLY, WITHOUT WARRANTIES OR CONDITIONS OF ANY KIND. NEITHER THE COMPANY NOR ANY OF ITS LICENSORS NOR THEIR RESPECTIVE AFFILIATES OR SUPPLIERS HAVE LIABILITY FOR THE ACCURACY, TIMELINESS OR COMPLETENESS OF THIS MODEL, OR FOR DELAYS, INTERRUPTIONS OR OMISSIONS HEREIN, NOR FOR ANY LOST PROFITS, INDIRECT, SPECIAL OR CONSEQUENTIAL DAMAGES. Access to data in this Model that is sourced from third party contributors is subject to termination in the event that any agreement between the Company and such third party contributors terminates for any reason.
Copyright 2023 Tegus. All rights reserved.</t>
        </is>
      </c>
      <c r="D22" s="1549" t="n"/>
      <c r="E22" s="1549" t="n"/>
      <c r="F22" s="1549" t="n"/>
      <c r="G22" s="1549" t="n"/>
      <c r="H22" s="1549" t="n"/>
      <c r="I22" s="1549" t="n"/>
      <c r="J22" s="1549" t="n"/>
      <c r="K22" s="1549" t="n"/>
      <c r="L22" s="1549" t="n"/>
      <c r="M22" s="1549" t="n"/>
      <c r="N22" s="1549" t="n"/>
      <c r="O22" s="1549" t="n"/>
      <c r="P22" s="1550" t="n"/>
      <c r="Q22" s="17" t="n"/>
      <c r="R22" s="17" t="n"/>
      <c r="S22" s="17" t="n"/>
      <c r="T22" s="17" t="n"/>
      <c r="U22" s="17" t="n"/>
      <c r="V22" s="17" t="n"/>
      <c r="W22" s="17" t="n"/>
    </row>
    <row r="23" ht="16.15" customHeight="1" s="595">
      <c r="A23" s="17" t="n"/>
      <c r="B23" s="17" t="n"/>
      <c r="C23" s="1551" t="n"/>
      <c r="P23" s="1552" t="n"/>
      <c r="Q23" s="17" t="n"/>
      <c r="R23" s="17" t="n"/>
      <c r="S23" s="17" t="n"/>
      <c r="T23" s="17" t="n"/>
      <c r="U23" s="17" t="n"/>
      <c r="V23" s="17" t="n"/>
      <c r="W23" s="17" t="n"/>
    </row>
    <row r="24" ht="16.15" customHeight="1" s="595">
      <c r="A24" s="17" t="n"/>
      <c r="B24" s="17" t="n"/>
      <c r="C24" s="1551" t="n"/>
      <c r="P24" s="1552" t="n"/>
      <c r="Q24" s="17" t="n"/>
      <c r="R24" s="17" t="n"/>
      <c r="S24" s="17" t="n"/>
      <c r="T24" s="17" t="n"/>
      <c r="U24" s="17" t="n"/>
      <c r="V24" s="17" t="n"/>
      <c r="W24" s="17" t="n"/>
    </row>
    <row r="25" ht="16.15" customHeight="1" s="595">
      <c r="A25" s="17" t="n"/>
      <c r="B25" s="17" t="n"/>
      <c r="C25" s="1551" t="n"/>
      <c r="P25" s="1552" t="n"/>
      <c r="Q25" s="17" t="n"/>
      <c r="R25" s="17" t="n"/>
      <c r="S25" s="17" t="n"/>
      <c r="T25" s="17" t="n"/>
      <c r="U25" s="17" t="n"/>
      <c r="V25" s="17" t="n"/>
      <c r="W25" s="17" t="n"/>
    </row>
    <row r="26" ht="16.15" customHeight="1" s="595">
      <c r="A26" s="17" t="n"/>
      <c r="B26" s="17" t="n"/>
      <c r="C26" s="1551" t="n"/>
      <c r="P26" s="1552" t="n"/>
      <c r="Q26" s="17" t="n"/>
      <c r="R26" s="17" t="n"/>
      <c r="S26" s="17" t="n"/>
      <c r="T26" s="17" t="n"/>
      <c r="U26" s="17" t="n"/>
      <c r="V26" s="17" t="n"/>
      <c r="W26" s="17" t="n"/>
    </row>
    <row r="27" ht="16.15" customHeight="1" s="595">
      <c r="A27" s="17" t="n"/>
      <c r="B27" s="17" t="n"/>
      <c r="C27" s="1551" t="n"/>
      <c r="P27" s="1552" t="n"/>
      <c r="Q27" s="17" t="n"/>
      <c r="R27" s="17" t="n"/>
      <c r="S27" s="17" t="n"/>
      <c r="T27" s="17" t="n"/>
      <c r="U27" s="17" t="n"/>
      <c r="V27" s="17" t="n"/>
      <c r="W27" s="17" t="n"/>
    </row>
    <row r="28" ht="16.15" customHeight="1" s="595">
      <c r="A28" s="17" t="n"/>
      <c r="B28" s="17" t="n"/>
      <c r="C28" s="1551" t="n"/>
      <c r="P28" s="1552" t="n"/>
      <c r="Q28" s="17" t="n"/>
      <c r="R28" s="17" t="n"/>
      <c r="S28" s="17" t="n"/>
      <c r="T28" s="17" t="n"/>
      <c r="U28" s="17" t="n"/>
      <c r="V28" s="17" t="n"/>
      <c r="W28" s="17" t="n"/>
    </row>
    <row r="29" ht="16.15" customHeight="1" s="595">
      <c r="A29" s="17" t="n"/>
      <c r="B29" s="17" t="n"/>
      <c r="C29" s="1551" t="n"/>
      <c r="P29" s="1552" t="n"/>
      <c r="Q29" s="17" t="n"/>
      <c r="R29" s="17" t="n"/>
      <c r="S29" s="17" t="n"/>
      <c r="T29" s="17" t="n"/>
      <c r="U29" s="17" t="n"/>
      <c r="V29" s="17" t="n"/>
      <c r="W29" s="17" t="n"/>
    </row>
    <row r="30" ht="16.15" customHeight="1" s="595">
      <c r="A30" s="17" t="n"/>
      <c r="B30" s="17" t="n"/>
      <c r="C30" s="1551" t="n"/>
      <c r="P30" s="1552" t="n"/>
      <c r="Q30" s="17" t="n"/>
      <c r="R30" s="17" t="n"/>
      <c r="S30" s="17" t="n"/>
      <c r="T30" s="17" t="n"/>
      <c r="U30" s="17" t="n"/>
      <c r="V30" s="17" t="n"/>
      <c r="W30" s="17" t="n"/>
    </row>
    <row r="31" ht="16.15" customHeight="1" s="595">
      <c r="A31" s="17" t="n"/>
      <c r="B31" s="17" t="n"/>
      <c r="C31" s="1551" t="n"/>
      <c r="P31" s="1552" t="n"/>
      <c r="Q31" s="17" t="n"/>
      <c r="R31" s="17" t="n"/>
      <c r="S31" s="17" t="n"/>
      <c r="T31" s="17" t="n"/>
      <c r="U31" s="17" t="n"/>
      <c r="V31" s="17" t="n"/>
      <c r="W31" s="17" t="n"/>
    </row>
    <row r="32" ht="16.15" customHeight="1" s="595">
      <c r="A32" s="17" t="n"/>
      <c r="B32" s="17" t="n"/>
      <c r="C32" s="1551" t="n"/>
      <c r="P32" s="1552" t="n"/>
      <c r="Q32" s="17" t="n"/>
      <c r="R32" s="17" t="n"/>
      <c r="S32" s="17" t="n"/>
      <c r="T32" s="17" t="n"/>
      <c r="U32" s="17" t="n"/>
      <c r="V32" s="17" t="n"/>
      <c r="W32" s="17" t="n"/>
    </row>
    <row r="33" ht="16.15" customHeight="1" s="595">
      <c r="A33" s="17" t="n"/>
      <c r="B33" s="17" t="n"/>
      <c r="C33" s="1551" t="n"/>
      <c r="P33" s="1552" t="n"/>
      <c r="Q33" s="17" t="n"/>
      <c r="R33" s="17" t="n"/>
      <c r="S33" s="17" t="n"/>
      <c r="T33" s="17" t="n"/>
      <c r="U33" s="17" t="n"/>
      <c r="V33" s="17" t="n"/>
      <c r="W33" s="17" t="n"/>
    </row>
    <row r="34" ht="16.15" customHeight="1" s="595">
      <c r="A34" s="17" t="n"/>
      <c r="B34" s="17" t="n"/>
      <c r="C34" s="1551" t="n"/>
      <c r="P34" s="1552" t="n"/>
      <c r="Q34" s="17" t="n"/>
      <c r="R34" s="17" t="n"/>
      <c r="S34" s="17" t="n"/>
      <c r="T34" s="17" t="n"/>
      <c r="U34" s="17" t="n"/>
      <c r="V34" s="17" t="n"/>
      <c r="W34" s="17" t="n"/>
    </row>
    <row r="35" ht="16.15" customHeight="1" s="595">
      <c r="A35" s="17" t="n"/>
      <c r="B35" s="17" t="n"/>
      <c r="C35" s="1551" t="n"/>
      <c r="P35" s="1552" t="n"/>
      <c r="Q35" s="17" t="n"/>
      <c r="R35" s="17" t="n"/>
      <c r="S35" s="17" t="n"/>
      <c r="T35" s="17" t="n"/>
      <c r="U35" s="17" t="n"/>
      <c r="V35" s="17" t="n"/>
      <c r="W35" s="17" t="n"/>
    </row>
    <row r="36" ht="16.15" customHeight="1" s="595">
      <c r="A36" s="17" t="n"/>
      <c r="B36" s="17" t="n"/>
      <c r="C36" s="1551" t="n"/>
      <c r="P36" s="1552" t="n"/>
      <c r="Q36" s="17" t="n"/>
      <c r="R36" s="17" t="n"/>
      <c r="S36" s="17" t="n"/>
      <c r="T36" s="17" t="n"/>
      <c r="U36" s="17" t="n"/>
      <c r="V36" s="17" t="n"/>
      <c r="W36" s="17" t="n"/>
    </row>
    <row r="37" ht="16.15" customHeight="1" s="595">
      <c r="A37" s="17" t="n"/>
      <c r="B37" s="17" t="n"/>
      <c r="C37" s="1551" t="n"/>
      <c r="P37" s="1552" t="n"/>
      <c r="Q37" s="17" t="n"/>
      <c r="R37" s="17" t="n"/>
      <c r="S37" s="17" t="n"/>
      <c r="T37" s="17" t="n"/>
      <c r="U37" s="17" t="n"/>
      <c r="V37" s="17" t="n"/>
      <c r="W37" s="17" t="n"/>
    </row>
    <row r="38" ht="16.15" customHeight="1" s="595">
      <c r="A38" s="17" t="n"/>
      <c r="B38" s="17" t="n"/>
      <c r="C38" s="1551" t="n"/>
      <c r="P38" s="1552" t="n"/>
      <c r="Q38" s="17" t="n"/>
      <c r="R38" s="17" t="n"/>
      <c r="S38" s="17" t="n"/>
      <c r="T38" s="17" t="n"/>
      <c r="U38" s="17" t="n"/>
      <c r="V38" s="17" t="n"/>
      <c r="W38" s="17" t="n"/>
    </row>
    <row r="39" ht="16.15" customHeight="1" s="595">
      <c r="A39" s="17" t="n"/>
      <c r="B39" s="17" t="n"/>
      <c r="C39" s="1551" t="n"/>
      <c r="P39" s="1552" t="n"/>
      <c r="Q39" s="17" t="n"/>
      <c r="R39" s="17" t="n"/>
      <c r="S39" s="17" t="n"/>
      <c r="T39" s="17" t="n"/>
      <c r="U39" s="17" t="n"/>
      <c r="V39" s="17" t="n"/>
      <c r="W39" s="17" t="n"/>
    </row>
    <row r="40" ht="16.15" customHeight="1" s="595">
      <c r="A40" s="17" t="n"/>
      <c r="B40" s="17" t="n"/>
      <c r="C40" s="1551" t="n"/>
      <c r="P40" s="1552" t="n"/>
      <c r="Q40" s="17" t="n"/>
      <c r="R40" s="17" t="n"/>
      <c r="S40" s="17" t="n"/>
      <c r="T40" s="17" t="n"/>
      <c r="U40" s="17" t="n"/>
      <c r="V40" s="17" t="n"/>
      <c r="W40" s="17" t="n"/>
    </row>
    <row r="41" ht="16.15" customHeight="1" s="595">
      <c r="A41" s="17" t="n"/>
      <c r="B41" s="17" t="n"/>
      <c r="C41" s="1553" t="n"/>
      <c r="D41" s="1554" t="n"/>
      <c r="E41" s="1554" t="n"/>
      <c r="F41" s="1554" t="n"/>
      <c r="G41" s="1554" t="n"/>
      <c r="H41" s="1554" t="n"/>
      <c r="I41" s="1554" t="n"/>
      <c r="J41" s="1554" t="n"/>
      <c r="K41" s="1554" t="n"/>
      <c r="L41" s="1554" t="n"/>
      <c r="M41" s="1554" t="n"/>
      <c r="N41" s="1554" t="n"/>
      <c r="O41" s="1554" t="n"/>
      <c r="P41" s="1555" t="n"/>
      <c r="Q41" s="17" t="n"/>
      <c r="R41" s="17" t="n"/>
      <c r="S41" s="17" t="n"/>
      <c r="T41" s="17" t="n"/>
      <c r="U41" s="17" t="n"/>
      <c r="V41" s="17" t="n"/>
      <c r="W41" s="17" t="n"/>
    </row>
    <row r="42" ht="15" customHeight="1" s="595">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row>
    <row r="43" ht="15" customHeight="1" s="595">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row>
    <row r="44" ht="15" customHeight="1" s="59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row>
    <row r="45" ht="15" customHeight="1" s="59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row>
    <row r="46" ht="15" customHeight="1" s="59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row>
    <row r="47" ht="15" customHeight="1" s="59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row>
    <row r="48" ht="15" customHeight="1" s="59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row>
    <row r="49" ht="15" customHeight="1" s="59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row>
    <row r="50" ht="15" customHeight="1" s="59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row>
    <row r="51" ht="15" customHeight="1" s="59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row>
    <row r="52" ht="15" customHeight="1" s="59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row>
    <row r="53" ht="15" customHeight="1" s="59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row>
    <row r="54" ht="15" customHeight="1" s="59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row>
    <row r="55" ht="15" customHeight="1" s="59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row>
    <row r="56" ht="15" customHeight="1" s="59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row>
    <row r="57" ht="15" customHeight="1" s="59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row>
  </sheetData>
  <mergeCells count="3">
    <mergeCell ref="M13:P20"/>
    <mergeCell ref="F8:K8"/>
    <mergeCell ref="C22:P41"/>
  </mergeCells>
  <conditionalFormatting sqref="C20:H20">
    <cfRule type="expression" priority="29" dxfId="10">
      <formula>AND(FP.RealTimeToggle="ON",MO.RealTime="ON")</formula>
    </cfRule>
  </conditionalFormatting>
  <dataValidations count="3">
    <dataValidation sqref="H18" showDropDown="0" showInputMessage="1" showErrorMessage="1" allowBlank="1" type="list">
      <formula1>"ON, OFF"</formula1>
    </dataValidation>
    <dataValidation sqref="H16" showDropDown="0" showInputMessage="1" showErrorMessage="1" allowBlank="1"/>
    <dataValidation sqref="H15" showDropDown="0" showInputMessage="1" showErrorMessage="1" allowBlank="1" type="list">
      <formula1>"Bloomberg, Capital IQ, FactSet, Refinitiv"</formula1>
    </dataValidation>
  </dataValidations>
  <hyperlinks>
    <hyperlink xmlns:r="http://schemas.openxmlformats.org/officeDocument/2006/relationships" ref="M7" tooltip="Click to directly email Canalyst support" display="modelsupport@alpha-sense.com" r:id="rId1"/>
    <hyperlink xmlns:r="http://schemas.openxmlformats.org/officeDocument/2006/relationships" ref="N7" tooltip="Click to directly email Canalyst support" display="modelsupport@alpha-sense.com" r:id="rId2"/>
    <hyperlink xmlns:r="http://schemas.openxmlformats.org/officeDocument/2006/relationships" ref="O7" tooltip="Click to directly email Canalyst support" display="modelsupport@alpha-sense.com" r:id="rId3"/>
  </hyperlinks>
  <pageMargins left="0.7" right="0.7" top="0.75" bottom="0.75" header="0.3" footer="0.3"/>
  <pageSetup orientation="portrait" paperSize="1" scale="45"/>
  <drawing xmlns:r="http://schemas.openxmlformats.org/officeDocument/2006/relationships" r:id="rId4"/>
</worksheet>
</file>

<file path=xl/worksheets/sheet2.xml><?xml version="1.0" encoding="utf-8"?>
<worksheet xmlns="http://schemas.openxmlformats.org/spreadsheetml/2006/main">
  <sheetPr>
    <outlinePr summaryBelow="1" summaryRight="1"/>
    <pageSetUpPr/>
  </sheetPr>
  <dimension ref="A1:J50"/>
  <sheetViews>
    <sheetView workbookViewId="0">
      <selection activeCell="A1" sqref="A1"/>
    </sheetView>
  </sheetViews>
  <sheetFormatPr baseColWidth="8" defaultRowHeight="15"/>
  <cols>
    <col width="28" customWidth="1" style="595" min="1" max="1"/>
    <col width="12" customWidth="1" style="595" min="2" max="2"/>
    <col width="12" customWidth="1" style="595" min="3" max="3"/>
    <col width="12" customWidth="1" style="595" min="4" max="4"/>
    <col width="12" customWidth="1" style="595" min="5" max="5"/>
    <col width="12" customWidth="1" style="595" min="6" max="6"/>
    <col width="12" customWidth="1" style="595" min="7" max="7"/>
    <col width="12" customWidth="1" style="595" min="8" max="8"/>
    <col width="12" customWidth="1" style="595" min="9" max="9"/>
    <col width="12" customWidth="1" style="595" min="10" max="10"/>
  </cols>
  <sheetData>
    <row r="1">
      <c r="A1" s="1556" t="inlineStr">
        <is>
          <t>ASML DCF Valuation Analysis</t>
        </is>
      </c>
    </row>
    <row r="4">
      <c r="A4" t="inlineStr">
        <is>
          <t>Period</t>
        </is>
      </c>
      <c r="F4" s="1557" t="inlineStr">
        <is>
          <t>FY2025</t>
        </is>
      </c>
      <c r="G4" s="1557" t="inlineStr">
        <is>
          <t>FY2026</t>
        </is>
      </c>
      <c r="H4" s="1557" t="inlineStr">
        <is>
          <t>FY2027</t>
        </is>
      </c>
      <c r="I4" s="1557" t="inlineStr">
        <is>
          <t>FY2028</t>
        </is>
      </c>
      <c r="J4" s="1557" t="inlineStr">
        <is>
          <t>FY2029</t>
        </is>
      </c>
    </row>
    <row r="6">
      <c r="A6" s="1558" t="inlineStr">
        <is>
          <t>REVENUE BUILD</t>
        </is>
      </c>
    </row>
    <row r="7">
      <c r="A7" t="inlineStr">
        <is>
          <t>EUV Revenue</t>
        </is>
      </c>
      <c r="F7" s="1559">
        <f>Model!L45</f>
        <v/>
      </c>
      <c r="G7" s="1559">
        <f>Model!Q45</f>
        <v/>
      </c>
      <c r="H7" s="1559">
        <f>Model!V45</f>
        <v/>
      </c>
      <c r="I7" s="1559">
        <f>Model!AA45</f>
        <v/>
      </c>
      <c r="J7" s="1559">
        <f>Model!AF45</f>
        <v/>
      </c>
    </row>
    <row r="8">
      <c r="A8" t="inlineStr">
        <is>
          <t>ArFi Revenue</t>
        </is>
      </c>
      <c r="F8" s="1559">
        <f>Model!L48</f>
        <v/>
      </c>
      <c r="G8" s="1559">
        <f>Model!Q48</f>
        <v/>
      </c>
      <c r="H8" s="1559">
        <f>Model!V48</f>
        <v/>
      </c>
      <c r="I8" s="1559">
        <f>Model!AA48</f>
        <v/>
      </c>
      <c r="J8" s="1559">
        <f>Model!AF48</f>
        <v/>
      </c>
    </row>
    <row r="9">
      <c r="A9" t="inlineStr">
        <is>
          <t>ArF Revenue</t>
        </is>
      </c>
      <c r="F9" s="1559">
        <f>Model!L51</f>
        <v/>
      </c>
      <c r="G9" s="1559">
        <f>Model!Q51</f>
        <v/>
      </c>
      <c r="H9" s="1559">
        <f>Model!V51</f>
        <v/>
      </c>
      <c r="I9" s="1559">
        <f>Model!AA51</f>
        <v/>
      </c>
      <c r="J9" s="1559">
        <f>Model!AF51</f>
        <v/>
      </c>
    </row>
    <row r="10">
      <c r="A10" t="inlineStr">
        <is>
          <t>KrF Revenue</t>
        </is>
      </c>
      <c r="F10" s="1559">
        <f>Model!L54</f>
        <v/>
      </c>
      <c r="G10" s="1559">
        <f>Model!Q54</f>
        <v/>
      </c>
      <c r="H10" s="1559">
        <f>Model!V54</f>
        <v/>
      </c>
      <c r="I10" s="1559">
        <f>Model!AA54</f>
        <v/>
      </c>
      <c r="J10" s="1559">
        <f>Model!AF54</f>
        <v/>
      </c>
    </row>
    <row r="11">
      <c r="A11" t="inlineStr">
        <is>
          <t>i-line Revenue</t>
        </is>
      </c>
      <c r="F11" s="1559">
        <f>Model!L57</f>
        <v/>
      </c>
      <c r="G11" s="1559">
        <f>Model!Q57</f>
        <v/>
      </c>
      <c r="H11" s="1559">
        <f>Model!V57</f>
        <v/>
      </c>
      <c r="I11" s="1559">
        <f>Model!AA57</f>
        <v/>
      </c>
      <c r="J11" s="1559">
        <f>Model!AF57</f>
        <v/>
      </c>
    </row>
    <row r="12">
      <c r="A12" t="inlineStr">
        <is>
          <t>Metrology Revenue</t>
        </is>
      </c>
      <c r="F12" s="1559">
        <f>Model!L60</f>
        <v/>
      </c>
      <c r="G12" s="1559">
        <f>Model!Q60</f>
        <v/>
      </c>
      <c r="H12" s="1559">
        <f>Model!V60</f>
        <v/>
      </c>
      <c r="I12" s="1559">
        <f>Model!AA60</f>
        <v/>
      </c>
      <c r="J12" s="1559">
        <f>Model!AF60</f>
        <v/>
      </c>
    </row>
    <row r="13">
      <c r="A13" s="1557" t="inlineStr">
        <is>
          <t>Total Revenue</t>
        </is>
      </c>
      <c r="F13">
        <f>SUM(F7:F12)</f>
        <v/>
      </c>
      <c r="G13">
        <f>SUM(G7:G12)</f>
        <v/>
      </c>
      <c r="H13">
        <f>SUM(H7:H12)</f>
        <v/>
      </c>
      <c r="I13">
        <f>SUM(I7:I12)</f>
        <v/>
      </c>
      <c r="J13">
        <f>SUM(J7:J12)</f>
        <v/>
      </c>
    </row>
    <row r="14">
      <c r="A14" t="inlineStr">
        <is>
          <t>Y/Y Growth %</t>
        </is>
      </c>
      <c r="G14">
        <f>G13/F13 - 1</f>
        <v/>
      </c>
      <c r="H14">
        <f>H13/G13 - 1</f>
        <v/>
      </c>
      <c r="I14">
        <f>I13/H13 - 1</f>
        <v/>
      </c>
      <c r="J14">
        <f>J13/I13 - 1</f>
        <v/>
      </c>
    </row>
    <row r="16">
      <c r="A16" s="1558" t="inlineStr">
        <is>
          <t>OPERATING MARGINS</t>
        </is>
      </c>
    </row>
    <row r="17">
      <c r="A17" t="inlineStr">
        <is>
          <t>Gross Margin %</t>
        </is>
      </c>
      <c r="F17" s="1559">
        <f>Model!L74</f>
        <v/>
      </c>
      <c r="G17" s="1559">
        <f>Model!Q74</f>
        <v/>
      </c>
      <c r="H17" s="1559">
        <f>Model!V74</f>
        <v/>
      </c>
      <c r="I17" s="1559">
        <f>Model!AA74</f>
        <v/>
      </c>
      <c r="J17" s="1559">
        <f>Model!AF74</f>
        <v/>
      </c>
    </row>
    <row r="18">
      <c r="A18" t="inlineStr">
        <is>
          <t>Operating Margin %</t>
        </is>
      </c>
      <c r="F18" s="1559">
        <f>Model!L89/Model!L67</f>
        <v/>
      </c>
      <c r="G18" s="1559">
        <f>Model!Q89/Model!Q67</f>
        <v/>
      </c>
      <c r="H18" s="1559">
        <f>Model!V89/Model!V67</f>
        <v/>
      </c>
      <c r="I18" s="1559">
        <f>Model!AA89/Model!AA67</f>
        <v/>
      </c>
      <c r="J18" s="1559">
        <f>Model!AF89/Model!AF67</f>
        <v/>
      </c>
    </row>
    <row r="21">
      <c r="A21" s="1558" t="inlineStr">
        <is>
          <t>UFCF BUILD</t>
        </is>
      </c>
    </row>
    <row r="22">
      <c r="A22" t="inlineStr">
        <is>
          <t>Revenue</t>
        </is>
      </c>
      <c r="F22">
        <f>F13</f>
        <v/>
      </c>
      <c r="G22">
        <f>G13</f>
        <v/>
      </c>
      <c r="H22">
        <f>H13</f>
        <v/>
      </c>
      <c r="I22">
        <f>I13</f>
        <v/>
      </c>
      <c r="J22">
        <f>J13</f>
        <v/>
      </c>
    </row>
    <row r="23">
      <c r="A23" t="inlineStr">
        <is>
          <t>EBIT</t>
        </is>
      </c>
      <c r="F23" s="1559">
        <f>Model!L89</f>
        <v/>
      </c>
      <c r="G23" s="1559">
        <f>Model!Q89</f>
        <v/>
      </c>
      <c r="H23" s="1559">
        <f>Model!V89</f>
        <v/>
      </c>
      <c r="I23" s="1559">
        <f>Model!AA89</f>
        <v/>
      </c>
      <c r="J23" s="1559">
        <f>Model!AF89</f>
        <v/>
      </c>
    </row>
    <row r="24">
      <c r="A24" t="inlineStr">
        <is>
          <t>Tax Rate %</t>
        </is>
      </c>
      <c r="F24" s="1560" t="n">
        <v>0.14</v>
      </c>
      <c r="G24" s="1560" t="n">
        <v>0.14</v>
      </c>
      <c r="H24" s="1560" t="n">
        <v>0.14</v>
      </c>
      <c r="I24" s="1560" t="n">
        <v>0.14</v>
      </c>
      <c r="J24" s="1560" t="n">
        <v>0.14</v>
      </c>
    </row>
    <row r="25">
      <c r="A25" t="inlineStr">
        <is>
          <t>NOPAT</t>
        </is>
      </c>
      <c r="F25">
        <f>F23 * (1 - F24)</f>
        <v/>
      </c>
      <c r="G25">
        <f>G23 * (1 - G24)</f>
        <v/>
      </c>
      <c r="H25">
        <f>H23 * (1 - H24)</f>
        <v/>
      </c>
      <c r="I25">
        <f>I23 * (1 - I24)</f>
        <v/>
      </c>
      <c r="J25">
        <f>J23 * (1 - J24)</f>
        <v/>
      </c>
    </row>
    <row r="26">
      <c r="A26" t="inlineStr">
        <is>
          <t>D&amp;A</t>
        </is>
      </c>
      <c r="F26" s="1559">
        <f>Model!L113</f>
        <v/>
      </c>
      <c r="G26" s="1559">
        <f>Model!Q113</f>
        <v/>
      </c>
      <c r="H26" s="1559">
        <f>Model!V113</f>
        <v/>
      </c>
      <c r="I26" s="1559">
        <f>Model!AA113</f>
        <v/>
      </c>
      <c r="J26" s="1559">
        <f>Model!AF113</f>
        <v/>
      </c>
    </row>
    <row r="27">
      <c r="A27" t="inlineStr">
        <is>
          <t>CapEx</t>
        </is>
      </c>
      <c r="F27">
        <f>F22 * 0.03</f>
        <v/>
      </c>
      <c r="G27">
        <f>G22 * 0.03</f>
        <v/>
      </c>
      <c r="H27">
        <f>H22 * 0.03</f>
        <v/>
      </c>
      <c r="I27">
        <f>I22 * 0.03</f>
        <v/>
      </c>
      <c r="J27">
        <f>J22 * 0.03</f>
        <v/>
      </c>
    </row>
    <row r="28">
      <c r="A28" t="inlineStr">
        <is>
          <t>Change in Working Capital</t>
        </is>
      </c>
      <c r="F28">
        <f>F22 * 0.05</f>
        <v/>
      </c>
      <c r="G28">
        <f>G22 * 0.05</f>
        <v/>
      </c>
      <c r="H28">
        <f>H22 * 0.05</f>
        <v/>
      </c>
      <c r="I28">
        <f>I22 * 0.05</f>
        <v/>
      </c>
      <c r="J28">
        <f>J22 * 0.05</f>
        <v/>
      </c>
    </row>
    <row r="29">
      <c r="A29" t="inlineStr">
        <is>
          <t>Unlevered FCF</t>
        </is>
      </c>
      <c r="F29">
        <f>F25 + F26 - F27 - F28</f>
        <v/>
      </c>
      <c r="G29">
        <f>G25 + G26 - G27 - G28</f>
        <v/>
      </c>
      <c r="H29">
        <f>H25 + H26 - H27 - H28</f>
        <v/>
      </c>
      <c r="I29">
        <f>I25 + I26 - I27 - I28</f>
        <v/>
      </c>
      <c r="J29">
        <f>J25 + J26 - J27 - J28</f>
        <v/>
      </c>
    </row>
    <row r="31">
      <c r="A31" s="1558" t="inlineStr">
        <is>
          <t>DISCOUNTING</t>
        </is>
      </c>
    </row>
    <row r="32">
      <c r="A32" t="inlineStr">
        <is>
          <t>WACC %</t>
        </is>
      </c>
      <c r="F32" s="1560" t="n">
        <v>0.08500000000000001</v>
      </c>
      <c r="G32" s="1560" t="n">
        <v>0.08500000000000001</v>
      </c>
      <c r="H32" s="1560" t="n">
        <v>0.08500000000000001</v>
      </c>
      <c r="I32" s="1560" t="n">
        <v>0.08500000000000001</v>
      </c>
      <c r="J32" s="1560" t="n">
        <v>0.08500000000000001</v>
      </c>
    </row>
    <row r="33">
      <c r="A33" t="inlineStr">
        <is>
          <t>Discount Factor</t>
        </is>
      </c>
      <c r="F33">
        <f>1 / (1 + F32)^1</f>
        <v/>
      </c>
      <c r="G33">
        <f>1 / (1 + G32)^2</f>
        <v/>
      </c>
      <c r="H33">
        <f>1 / (1 + H32)^3</f>
        <v/>
      </c>
      <c r="I33">
        <f>1 / (1 + I32)^4</f>
        <v/>
      </c>
      <c r="J33">
        <f>1 / (1 + J32)^5</f>
        <v/>
      </c>
    </row>
    <row r="34">
      <c r="A34" t="inlineStr">
        <is>
          <t>PV of UFCF</t>
        </is>
      </c>
      <c r="F34">
        <f>F29 * F33</f>
        <v/>
      </c>
      <c r="G34">
        <f>G29 * G33</f>
        <v/>
      </c>
      <c r="H34">
        <f>H29 * H33</f>
        <v/>
      </c>
      <c r="I34">
        <f>I29 * I33</f>
        <v/>
      </c>
      <c r="J34">
        <f>J29 * J33</f>
        <v/>
      </c>
    </row>
    <row r="36">
      <c r="A36" s="1558" t="inlineStr">
        <is>
          <t>TERMINAL VALUE</t>
        </is>
      </c>
    </row>
    <row r="37">
      <c r="A37" t="inlineStr">
        <is>
          <t>Terminal Growth %</t>
        </is>
      </c>
      <c r="F37" s="1560" t="n">
        <v>0.02</v>
      </c>
    </row>
    <row r="38">
      <c r="A38" t="inlineStr">
        <is>
          <t>Terminal Value</t>
        </is>
      </c>
      <c r="F38">
        <f>F29 * (1 + F37) / (F32 - F37)</f>
        <v/>
      </c>
    </row>
    <row r="39">
      <c r="A39" t="inlineStr">
        <is>
          <t>PV of TV</t>
        </is>
      </c>
      <c r="F39">
        <f>F38 * F33</f>
        <v/>
      </c>
    </row>
    <row r="41">
      <c r="A41" s="1558" t="inlineStr">
        <is>
          <t>VALUATION</t>
        </is>
      </c>
    </row>
    <row r="42">
      <c r="A42" t="inlineStr">
        <is>
          <t>Sum PV UFCF</t>
        </is>
      </c>
      <c r="F42">
        <f>SUM(F34:J34)</f>
        <v/>
      </c>
    </row>
    <row r="43">
      <c r="A43" t="inlineStr">
        <is>
          <t>PV Terminal Value</t>
        </is>
      </c>
      <c r="F43">
        <f>F39</f>
        <v/>
      </c>
    </row>
    <row r="44">
      <c r="A44" t="inlineStr">
        <is>
          <t>Enterprise Value</t>
        </is>
      </c>
      <c r="F44">
        <f>F42 + F43</f>
        <v/>
      </c>
    </row>
    <row r="45">
      <c r="A45" t="inlineStr">
        <is>
          <t>Less: Net Debt</t>
        </is>
      </c>
      <c r="F45">
        <f>Model!L700 - Model!L650</f>
        <v/>
      </c>
    </row>
    <row r="46">
      <c r="A46" t="inlineStr">
        <is>
          <t>Equity Value</t>
        </is>
      </c>
      <c r="F46">
        <f>F44 - F45</f>
        <v/>
      </c>
    </row>
    <row r="47">
      <c r="A47" t="inlineStr">
        <is>
          <t>Shares Outstanding (mm)</t>
        </is>
      </c>
      <c r="F47">
        <f>Model!L750</f>
        <v/>
      </c>
    </row>
    <row r="48">
      <c r="A48" t="inlineStr">
        <is>
          <t>Implied Price</t>
        </is>
      </c>
      <c r="F48">
        <f>F46 / F47</f>
        <v/>
      </c>
    </row>
    <row r="49">
      <c r="A49" t="inlineStr">
        <is>
          <t>Current Price</t>
        </is>
      </c>
      <c r="F49">
        <f>'Front Page'!H20</f>
        <v/>
      </c>
    </row>
    <row r="50">
      <c r="A50" t="inlineStr">
        <is>
          <t>Upside %</t>
        </is>
      </c>
      <c r="F50" s="1560">
        <f>F48 / F49 - 1</f>
        <v/>
      </c>
    </row>
  </sheetData>
  <pageMargins left="0.75" right="0.75" top="1" bottom="1" header="0.5" footer="0.5"/>
</worksheet>
</file>

<file path=xl/worksheets/sheet3.xml><?xml version="1.0" encoding="utf-8"?>
<worksheet xmlns="http://schemas.openxmlformats.org/spreadsheetml/2006/main">
  <sheetPr codeName="Sheet2">
    <outlinePr summaryBelow="1" summaryRight="1"/>
    <pageSetUpPr fitToPage="1"/>
  </sheetPr>
  <dimension ref="A1:CC837"/>
  <sheetViews>
    <sheetView topLeftCell="A1" zoomScale="85" zoomScaleNormal="85" workbookViewId="0">
      <pane xSplit="2" ySplit="5" topLeftCell="BJ6" activePane="bottomRight" state="frozenSplit"/>
      <selection pane="topLeft" activeCell="A1" sqref="A1"/>
      <selection pane="bottomLeft" activeCell="A6" sqref="A6"/>
      <selection pane="topRight" activeCell="C1" sqref="C1"/>
      <selection pane="bottomRight" activeCell="A1" sqref="A1"/>
    </sheetView>
  </sheetViews>
  <sheetFormatPr baseColWidth="8" defaultColWidth="9.28428571428571" defaultRowHeight="15" outlineLevelRow="3"/>
  <cols>
    <col width="50.7142857142857" customWidth="1" style="595" min="1" max="1"/>
    <col width="10.7142857142857" customWidth="1" style="595" min="2" max="2"/>
    <col width="9.71428571428571" customWidth="1" style="595" min="3" max="7"/>
    <col hidden="1" outlineLevel="1" width="9.71428571428571" customWidth="1" style="595" min="8" max="11"/>
    <col collapsed="1" width="9.71428571428571" customWidth="1" style="595" min="12" max="12"/>
    <col hidden="1" outlineLevel="1" width="9.71428571428571" customWidth="1" style="595" min="13" max="16"/>
    <col collapsed="1" width="9.71428571428571" customWidth="1" style="595" min="17" max="17"/>
    <col hidden="1" outlineLevel="1" width="9.71428571428571" customWidth="1" style="595" min="18" max="21"/>
    <col collapsed="1" width="9.71428571428571" customWidth="1" style="595" min="22" max="22"/>
    <col hidden="1" outlineLevel="1" width="9.71428571428571" customWidth="1" style="595" min="23" max="26"/>
    <col collapsed="1" width="9.71428571428571" customWidth="1" style="595" min="27" max="27"/>
    <col hidden="1" outlineLevel="1" width="9.71428571428571" customWidth="1" style="595" min="28" max="31"/>
    <col collapsed="1" width="9.71428571428571" customWidth="1" style="595" min="32" max="32"/>
    <col hidden="1" outlineLevel="1" width="9.71428571428571" customWidth="1" style="595" min="33" max="36"/>
    <col collapsed="1" width="9.71428571428571" customWidth="1" style="595" min="37" max="37"/>
    <col hidden="1" outlineLevel="1" width="9.71428571428571" customWidth="1" style="595" min="38" max="41"/>
    <col collapsed="1" width="9.71428571428571" customWidth="1" style="595" min="42" max="42"/>
    <col hidden="1" outlineLevel="1" width="9.71428571428571" customWidth="1" style="595" min="43" max="46"/>
    <col collapsed="1" width="9.71428571428571" customWidth="1" style="595" min="47" max="47"/>
    <col hidden="1" outlineLevel="1" width="9.71428571428571" customWidth="1" style="595" min="48" max="51"/>
    <col collapsed="1" width="9.71428571428571" customWidth="1" style="595" min="52" max="52"/>
    <col hidden="1" outlineLevel="1" width="9.71428571428571" customWidth="1" style="595" min="53" max="56"/>
    <col collapsed="1" width="9.71428571428571" customWidth="1" style="595" min="57" max="57"/>
    <col hidden="1" outlineLevel="1" width="9.71428571428571" customWidth="1" style="595" min="58" max="61"/>
    <col collapsed="1" width="9.71428571428571" customWidth="1" style="595" min="62" max="62"/>
    <col outlineLevel="1" width="9.71428571428571" customWidth="1" style="595" min="63" max="66"/>
    <col width="9.71428571428571" customWidth="1" style="595" min="67" max="67"/>
    <col outlineLevel="1" width="9.71428571428571" customWidth="1" style="595" min="68" max="71"/>
    <col width="9.71428571428571" customWidth="1" style="595" min="72" max="72"/>
    <col outlineLevel="1" width="9.71428571428571" customWidth="1" style="595" min="73" max="76"/>
    <col width="9.71428571428571" customWidth="1" style="595" min="77" max="81"/>
    <col width="9.28571428571429" customWidth="1" style="595" min="82" max="16384"/>
  </cols>
  <sheetData>
    <row r="1" ht="33.75" customFormat="1" customHeight="1" s="1561">
      <c r="A1" s="585" t="inlineStr">
        <is>
          <t>ASML Holdings N.V.</t>
        </is>
      </c>
      <c r="B1" s="1562" t="n"/>
      <c r="C1" s="1562" t="n"/>
      <c r="D1" s="1562" t="n"/>
      <c r="E1" s="1562" t="n"/>
      <c r="F1" s="1562" t="n"/>
      <c r="G1" s="1562" t="n"/>
      <c r="H1" s="1562" t="n"/>
      <c r="I1" s="1562" t="n"/>
      <c r="J1" s="1562" t="n"/>
      <c r="K1" s="1562" t="n"/>
      <c r="L1" s="1562" t="n"/>
      <c r="M1" s="1562" t="n"/>
      <c r="N1" s="1562" t="n"/>
      <c r="O1" s="1562" t="n"/>
      <c r="P1" s="1562" t="n"/>
      <c r="Q1" s="1562" t="n"/>
      <c r="R1" s="1562" t="n"/>
      <c r="S1" s="1562" t="n"/>
      <c r="T1" s="1562" t="n"/>
      <c r="U1" s="1562" t="n"/>
      <c r="V1" s="1562" t="n"/>
      <c r="W1" s="1562" t="n"/>
      <c r="X1" s="1562" t="n"/>
      <c r="Y1" s="1562" t="n"/>
      <c r="Z1" s="1562" t="n"/>
      <c r="AA1" s="1562" t="n"/>
      <c r="AB1" s="1562" t="n"/>
      <c r="AC1" s="1562" t="n"/>
      <c r="AD1" s="1562" t="n"/>
      <c r="AE1" s="1562" t="n"/>
      <c r="AF1" s="1562" t="n"/>
      <c r="AG1" s="1562" t="n"/>
      <c r="AH1" s="1562" t="n"/>
      <c r="AI1" s="1562" t="n"/>
      <c r="AJ1" s="1562" t="n"/>
      <c r="AK1" s="1562" t="n"/>
      <c r="AL1" s="1562" t="n"/>
      <c r="AM1" s="1562" t="n"/>
      <c r="AN1" s="1562" t="n"/>
      <c r="AO1" s="1562" t="n"/>
      <c r="AP1" s="1562" t="n"/>
      <c r="AQ1" s="1562" t="n"/>
      <c r="AR1" s="1562" t="n"/>
      <c r="AS1" s="1562" t="n"/>
      <c r="AT1" s="1562" t="n"/>
      <c r="AU1" s="1562" t="n"/>
      <c r="AV1" s="1562" t="n"/>
      <c r="AW1" s="1562" t="n"/>
      <c r="AX1" s="1562" t="n"/>
      <c r="AY1" s="1562" t="n"/>
      <c r="AZ1" s="1562" t="n"/>
      <c r="BA1" s="1562" t="n"/>
      <c r="BB1" s="1562" t="n"/>
      <c r="BC1" s="1562" t="n"/>
      <c r="BD1" s="1562" t="n"/>
      <c r="BE1" s="1562" t="n"/>
      <c r="BF1" s="1562" t="n"/>
      <c r="BG1" s="1562" t="n"/>
      <c r="BH1" s="1562" t="n"/>
      <c r="BI1" s="1562" t="n"/>
      <c r="BJ1" s="1562" t="n"/>
      <c r="BK1" s="1562" t="n"/>
      <c r="BL1" s="1562" t="n"/>
      <c r="BM1" s="1562" t="n"/>
      <c r="BN1" s="1562" t="n"/>
      <c r="BO1" s="1563" t="n"/>
      <c r="BP1" s="1562" t="n"/>
      <c r="BQ1" s="1562" t="n"/>
      <c r="BR1" s="1562" t="n"/>
      <c r="BS1" s="1562" t="n"/>
      <c r="BT1" s="1562" t="n"/>
      <c r="BU1" s="1562" t="n"/>
      <c r="BV1" s="1562" t="n"/>
      <c r="BW1" s="1562" t="n"/>
      <c r="BX1" s="1562" t="n"/>
      <c r="BY1" s="1562" t="n"/>
      <c r="BZ1" s="1562" t="n"/>
      <c r="CA1" s="1562" t="n"/>
      <c r="CB1" s="1562" t="n"/>
      <c r="CC1" s="1564" t="n"/>
    </row>
    <row r="2" ht="15" customHeight="1" s="595">
      <c r="A2" s="1565">
        <f>CHOOSE(MO.DataSourceIndex,MO.Ticker.Bloomberg,MO.Ticker.CapIQ,MO.Ticker.FactSet,MO.Ticker.Thomson)</f>
        <v/>
      </c>
      <c r="B2" s="1566" t="n"/>
      <c r="C2" s="1567">
        <f>EOMONTH(C4,-12)</f>
        <v/>
      </c>
      <c r="D2" s="652" t="n"/>
      <c r="E2" s="652" t="n"/>
      <c r="F2" s="652" t="n"/>
      <c r="G2" s="652" t="n"/>
      <c r="H2" s="652" t="n"/>
      <c r="I2" s="652" t="n"/>
      <c r="J2" s="652" t="n"/>
      <c r="K2" s="652" t="n"/>
      <c r="L2" s="652" t="n"/>
      <c r="M2" s="652" t="n"/>
      <c r="N2" s="652" t="n"/>
      <c r="O2" s="652" t="n"/>
      <c r="P2" s="652" t="n"/>
      <c r="Q2" s="652" t="n"/>
      <c r="R2" s="652" t="n"/>
      <c r="S2" s="652" t="n"/>
      <c r="T2" s="652" t="n"/>
      <c r="U2" s="652" t="n"/>
      <c r="V2" s="652" t="n"/>
      <c r="W2" s="652" t="n"/>
      <c r="X2" s="652" t="n"/>
      <c r="Y2" s="652" t="n"/>
      <c r="Z2" s="652" t="n"/>
      <c r="AA2" s="652" t="n"/>
      <c r="AB2" s="652" t="n"/>
      <c r="AC2" s="652" t="n"/>
      <c r="AD2" s="652" t="n"/>
      <c r="AE2" s="652" t="n"/>
      <c r="AF2" s="652" t="n"/>
      <c r="AG2" s="652" t="n"/>
      <c r="AH2" s="652" t="n"/>
      <c r="AI2" s="652" t="n"/>
      <c r="AJ2" s="652" t="n"/>
      <c r="AK2" s="652" t="n"/>
      <c r="AL2" s="652" t="n"/>
      <c r="AM2" s="652" t="n"/>
      <c r="AN2" s="652" t="n"/>
      <c r="AO2" s="653" t="n"/>
      <c r="AP2" s="653" t="n"/>
      <c r="AQ2" s="652" t="n"/>
      <c r="AR2" s="652" t="n"/>
      <c r="AS2" s="652" t="n"/>
      <c r="AT2" s="653" t="n"/>
      <c r="AU2" s="653" t="n"/>
      <c r="AV2" s="652" t="n"/>
      <c r="AW2" s="652" t="n"/>
      <c r="AX2" s="652" t="n"/>
      <c r="AY2" s="653" t="n"/>
      <c r="AZ2" s="653" t="n"/>
      <c r="BA2" s="652" t="n"/>
      <c r="BB2" s="652" t="n"/>
      <c r="BC2" s="652" t="n"/>
      <c r="BD2" s="653" t="n"/>
      <c r="BE2" s="653" t="n"/>
      <c r="BF2" s="652" t="n"/>
      <c r="BG2" s="652" t="n"/>
      <c r="BH2" s="652" t="n"/>
      <c r="BI2" s="653" t="n"/>
      <c r="BJ2" s="653" t="n"/>
      <c r="BK2" s="652" t="n"/>
      <c r="BL2" s="652" t="n"/>
      <c r="BM2" s="652" t="n"/>
      <c r="BN2" s="653" t="inlineStr">
        <is>
          <t>Partial</t>
        </is>
      </c>
      <c r="BO2" s="856" t="inlineStr">
        <is>
          <t>Partial</t>
        </is>
      </c>
      <c r="BP2" s="652" t="n"/>
      <c r="BQ2" s="652" t="n"/>
      <c r="BR2" s="652" t="n"/>
      <c r="BS2" s="652" t="n"/>
      <c r="BT2" s="652" t="n"/>
      <c r="BU2" s="652" t="n"/>
      <c r="BV2" s="652" t="n"/>
      <c r="BW2" s="652" t="n"/>
      <c r="BX2" s="652" t="n"/>
      <c r="BY2" s="652" t="n"/>
      <c r="BZ2" s="652" t="n"/>
      <c r="CA2" s="652" t="n"/>
      <c r="CB2" s="652" t="n"/>
      <c r="CC2" s="768" t="n"/>
    </row>
    <row r="3" ht="15" customFormat="1" customHeight="1" s="1568">
      <c r="A3" s="1569">
        <f>HP.TradeCurrency</f>
        <v/>
      </c>
      <c r="B3" s="1570">
        <f>IF(MO.RealTime="OFF",MO.LastPriceHardcoded,MO.LastPriceFormula)</f>
        <v/>
      </c>
      <c r="C3" s="1213">
        <f>C4-C2</f>
        <v/>
      </c>
      <c r="D3" s="1213">
        <f>D4-C4</f>
        <v/>
      </c>
      <c r="E3" s="1213">
        <f>E4-D4</f>
        <v/>
      </c>
      <c r="F3" s="1213">
        <f>F4-E4</f>
        <v/>
      </c>
      <c r="G3" s="1213">
        <f>G4-F4</f>
        <v/>
      </c>
      <c r="H3" s="655">
        <f>H4-G4</f>
        <v/>
      </c>
      <c r="I3" s="655">
        <f>I4-H4</f>
        <v/>
      </c>
      <c r="J3" s="655">
        <f>J4-I4</f>
        <v/>
      </c>
      <c r="K3" s="655">
        <f>K4-J4</f>
        <v/>
      </c>
      <c r="L3" s="1213">
        <f>L4-G4</f>
        <v/>
      </c>
      <c r="M3" s="655">
        <f>M4-L4</f>
        <v/>
      </c>
      <c r="N3" s="655">
        <f>N4-M4</f>
        <v/>
      </c>
      <c r="O3" s="655">
        <f>O4-N4</f>
        <v/>
      </c>
      <c r="P3" s="655">
        <f>P4-O4</f>
        <v/>
      </c>
      <c r="Q3" s="1213">
        <f>Q4-L4</f>
        <v/>
      </c>
      <c r="R3" s="655">
        <f>R4-Q4</f>
        <v/>
      </c>
      <c r="S3" s="655">
        <f>S4-R4</f>
        <v/>
      </c>
      <c r="T3" s="655">
        <f>T4-S4</f>
        <v/>
      </c>
      <c r="U3" s="655">
        <f>U4-T4</f>
        <v/>
      </c>
      <c r="V3" s="1213">
        <f>V4-Q4</f>
        <v/>
      </c>
      <c r="W3" s="655">
        <f>W4-V4</f>
        <v/>
      </c>
      <c r="X3" s="655">
        <f>X4-W4</f>
        <v/>
      </c>
      <c r="Y3" s="655">
        <f>Y4-X4</f>
        <v/>
      </c>
      <c r="Z3" s="655">
        <f>Z4-Y4</f>
        <v/>
      </c>
      <c r="AA3" s="1213">
        <f>AA4-V4</f>
        <v/>
      </c>
      <c r="AB3" s="655">
        <f>AB4-AA4</f>
        <v/>
      </c>
      <c r="AC3" s="655">
        <f>AC4-AB4</f>
        <v/>
      </c>
      <c r="AD3" s="655">
        <f>AD4-AC4</f>
        <v/>
      </c>
      <c r="AE3" s="655">
        <f>AE4-AD4</f>
        <v/>
      </c>
      <c r="AF3" s="1213">
        <f>AF4-AA4</f>
        <v/>
      </c>
      <c r="AG3" s="655">
        <f>AG4-AF4</f>
        <v/>
      </c>
      <c r="AH3" s="655">
        <f>AH4-AG4</f>
        <v/>
      </c>
      <c r="AI3" s="655">
        <f>AI4-AH4</f>
        <v/>
      </c>
      <c r="AJ3" s="655">
        <f>AJ4-AI4</f>
        <v/>
      </c>
      <c r="AK3" s="1213">
        <f>AK4-AF4</f>
        <v/>
      </c>
      <c r="AL3" s="655">
        <f>AL4-AK4</f>
        <v/>
      </c>
      <c r="AM3" s="655">
        <f>AM4-AL4</f>
        <v/>
      </c>
      <c r="AN3" s="655">
        <f>AN4-AM4</f>
        <v/>
      </c>
      <c r="AO3" s="655">
        <f>AO4-AN4</f>
        <v/>
      </c>
      <c r="AP3" s="1213">
        <f>AP4-AK4</f>
        <v/>
      </c>
      <c r="AQ3" s="655">
        <f>AQ4-AP4</f>
        <v/>
      </c>
      <c r="AR3" s="655">
        <f>AR4-AQ4</f>
        <v/>
      </c>
      <c r="AS3" s="655">
        <f>AS4-AR4</f>
        <v/>
      </c>
      <c r="AT3" s="655">
        <f>AT4-AS4</f>
        <v/>
      </c>
      <c r="AU3" s="1213">
        <f>AU4-AP4</f>
        <v/>
      </c>
      <c r="AV3" s="655">
        <f>AV4-AU4</f>
        <v/>
      </c>
      <c r="AW3" s="655">
        <f>AW4-AV4</f>
        <v/>
      </c>
      <c r="AX3" s="655">
        <f>AX4-AW4</f>
        <v/>
      </c>
      <c r="AY3" s="655">
        <f>AY4-AX4</f>
        <v/>
      </c>
      <c r="AZ3" s="1213">
        <f>AZ4-AU4</f>
        <v/>
      </c>
      <c r="BA3" s="655">
        <f>BA4-AZ4</f>
        <v/>
      </c>
      <c r="BB3" s="655">
        <f>BB4-BA4</f>
        <v/>
      </c>
      <c r="BC3" s="655">
        <f>BC4-BB4</f>
        <v/>
      </c>
      <c r="BD3" s="655">
        <f>BD4-BC4</f>
        <v/>
      </c>
      <c r="BE3" s="1213">
        <f>BE4-AZ4</f>
        <v/>
      </c>
      <c r="BF3" s="655">
        <f>BF4-BE4</f>
        <v/>
      </c>
      <c r="BG3" s="655">
        <f>BG4-BF4</f>
        <v/>
      </c>
      <c r="BH3" s="655">
        <f>BH4-BG4</f>
        <v/>
      </c>
      <c r="BI3" s="655">
        <f>BI4-BH4</f>
        <v/>
      </c>
      <c r="BJ3" s="1213">
        <f>BJ4-BE4</f>
        <v/>
      </c>
      <c r="BK3" s="655">
        <f>BK4-BJ4</f>
        <v/>
      </c>
      <c r="BL3" s="655">
        <f>BL4-BK4</f>
        <v/>
      </c>
      <c r="BM3" s="655">
        <f>BM4-BL4</f>
        <v/>
      </c>
      <c r="BN3" s="655">
        <f>BN4-BM4</f>
        <v/>
      </c>
      <c r="BO3" s="1214">
        <f>BO4-BJ4</f>
        <v/>
      </c>
      <c r="BP3" s="839">
        <f>BP4-BO4</f>
        <v/>
      </c>
      <c r="BQ3" s="839">
        <f>BQ4-BP4</f>
        <v/>
      </c>
      <c r="BR3" s="839">
        <f>BR4-BQ4</f>
        <v/>
      </c>
      <c r="BS3" s="839">
        <f>BS4-BR4</f>
        <v/>
      </c>
      <c r="BT3" s="1216">
        <f>BT4-BO4</f>
        <v/>
      </c>
      <c r="BU3" s="839">
        <f>BU4-BT4</f>
        <v/>
      </c>
      <c r="BV3" s="839">
        <f>BV4-BU4</f>
        <v/>
      </c>
      <c r="BW3" s="839">
        <f>BW4-BV4</f>
        <v/>
      </c>
      <c r="BX3" s="839">
        <f>BX4-BW4</f>
        <v/>
      </c>
      <c r="BY3" s="1216">
        <f>BY4-BT4</f>
        <v/>
      </c>
      <c r="BZ3" s="1216">
        <f>BZ4-BY4</f>
        <v/>
      </c>
      <c r="CA3" s="1216">
        <f>CA4-BZ4</f>
        <v/>
      </c>
      <c r="CB3" s="1216">
        <f>CB4-CA4</f>
        <v/>
      </c>
      <c r="CC3" s="1571" t="n"/>
    </row>
    <row r="4" ht="15" customHeight="1" s="595">
      <c r="A4" s="1572">
        <f>FP.DataSourceName</f>
        <v/>
      </c>
      <c r="B4" s="286">
        <f>IF(AND(MO.RealTimeStockPriceToggle,MO.LastPriceFormula&lt;&gt;"N/A"),"ON","OFF")</f>
        <v/>
      </c>
      <c r="C4" s="1217" t="n">
        <v>40178</v>
      </c>
      <c r="D4" s="1218" t="n">
        <v>40543</v>
      </c>
      <c r="E4" s="1218" t="n">
        <v>40908</v>
      </c>
      <c r="F4" s="1218" t="n">
        <v>41274</v>
      </c>
      <c r="G4" s="1218" t="n">
        <v>41639</v>
      </c>
      <c r="H4" s="1104" t="n">
        <v>41728</v>
      </c>
      <c r="I4" s="1104" t="n">
        <v>41819</v>
      </c>
      <c r="J4" s="1104" t="n">
        <v>41910</v>
      </c>
      <c r="K4" s="840">
        <f>L4</f>
        <v/>
      </c>
      <c r="L4" s="1218" t="n">
        <v>42004</v>
      </c>
      <c r="M4" s="1104" t="n">
        <v>42092</v>
      </c>
      <c r="N4" s="1104" t="n">
        <v>42183</v>
      </c>
      <c r="O4" s="1104" t="n">
        <v>42274</v>
      </c>
      <c r="P4" s="840">
        <f>Q4</f>
        <v/>
      </c>
      <c r="Q4" s="1218" t="n">
        <v>42369</v>
      </c>
      <c r="R4" s="1104" t="n">
        <v>42463</v>
      </c>
      <c r="S4" s="1104" t="n">
        <v>42554</v>
      </c>
      <c r="T4" s="1104" t="n">
        <v>42645</v>
      </c>
      <c r="U4" s="840">
        <f>V4</f>
        <v/>
      </c>
      <c r="V4" s="1218" t="n">
        <v>42735</v>
      </c>
      <c r="W4" s="1104" t="n">
        <v>42827</v>
      </c>
      <c r="X4" s="1104" t="n">
        <v>42918</v>
      </c>
      <c r="Y4" s="1104" t="n">
        <v>43009</v>
      </c>
      <c r="Z4" s="840">
        <f>AA4</f>
        <v/>
      </c>
      <c r="AA4" s="1218" t="n">
        <v>43100</v>
      </c>
      <c r="AB4" s="1104" t="n">
        <v>43191</v>
      </c>
      <c r="AC4" s="1104" t="n">
        <v>43282</v>
      </c>
      <c r="AD4" s="1104" t="n">
        <v>43373</v>
      </c>
      <c r="AE4" s="840">
        <f>AF4</f>
        <v/>
      </c>
      <c r="AF4" s="1218" t="n">
        <v>43465</v>
      </c>
      <c r="AG4" s="1104" t="n">
        <v>43555</v>
      </c>
      <c r="AH4" s="1104" t="n">
        <v>43646</v>
      </c>
      <c r="AI4" s="1104" t="n">
        <v>43737</v>
      </c>
      <c r="AJ4" s="840">
        <f>AK4</f>
        <v/>
      </c>
      <c r="AK4" s="1218" t="n">
        <v>43830</v>
      </c>
      <c r="AL4" s="1104" t="n">
        <v>43919</v>
      </c>
      <c r="AM4" s="1104" t="n">
        <v>44010</v>
      </c>
      <c r="AN4" s="1104" t="n">
        <v>44101</v>
      </c>
      <c r="AO4" s="840">
        <f>AP4</f>
        <v/>
      </c>
      <c r="AP4" s="1218" t="n">
        <v>44196</v>
      </c>
      <c r="AQ4" s="1104" t="n">
        <v>44290</v>
      </c>
      <c r="AR4" s="1104" t="n">
        <v>44381</v>
      </c>
      <c r="AS4" s="1104" t="n">
        <v>44472</v>
      </c>
      <c r="AT4" s="840">
        <f>AU4</f>
        <v/>
      </c>
      <c r="AU4" s="1218" t="n">
        <v>44561</v>
      </c>
      <c r="AV4" s="1104" t="n">
        <v>44654</v>
      </c>
      <c r="AW4" s="1104" t="n">
        <v>44745</v>
      </c>
      <c r="AX4" s="1104" t="n">
        <v>44836</v>
      </c>
      <c r="AY4" s="840">
        <f>AZ4</f>
        <v/>
      </c>
      <c r="AZ4" s="1218" t="n">
        <v>44926</v>
      </c>
      <c r="BA4" s="1104" t="n">
        <v>45018</v>
      </c>
      <c r="BB4" s="1104" t="n">
        <v>45109</v>
      </c>
      <c r="BC4" s="1104" t="n">
        <v>45200</v>
      </c>
      <c r="BD4" s="840">
        <f>BE4</f>
        <v/>
      </c>
      <c r="BE4" s="1218" t="n">
        <v>45291</v>
      </c>
      <c r="BF4" s="1104" t="n">
        <v>45382</v>
      </c>
      <c r="BG4" s="1104" t="n">
        <v>45473</v>
      </c>
      <c r="BH4" s="1104" t="n">
        <v>45564</v>
      </c>
      <c r="BI4" s="840">
        <f>BJ4</f>
        <v/>
      </c>
      <c r="BJ4" s="1218" t="n">
        <v>45657</v>
      </c>
      <c r="BK4" s="1104" t="n">
        <v>45746</v>
      </c>
      <c r="BL4" s="1104" t="n">
        <v>45837</v>
      </c>
      <c r="BM4" s="1104" t="n">
        <v>45928</v>
      </c>
      <c r="BN4" s="840">
        <f>BO4</f>
        <v/>
      </c>
      <c r="BO4" s="1219" t="n">
        <v>46022</v>
      </c>
      <c r="BP4" s="840">
        <f>+EDATE(BO4,3)</f>
        <v/>
      </c>
      <c r="BQ4" s="840">
        <f>+EDATE(BP4,3)</f>
        <v/>
      </c>
      <c r="BR4" s="840">
        <f>+EDATE(BQ4,3)</f>
        <v/>
      </c>
      <c r="BS4" s="840">
        <f>DATE(YEAR(BR4),12,31)</f>
        <v/>
      </c>
      <c r="BT4" s="1221">
        <f>BS4</f>
        <v/>
      </c>
      <c r="BU4" s="840">
        <f>+EDATE(BT4,3)</f>
        <v/>
      </c>
      <c r="BV4" s="840">
        <f>+EDATE(BU4,3)</f>
        <v/>
      </c>
      <c r="BW4" s="840">
        <f>+EDATE(BV4,3)</f>
        <v/>
      </c>
      <c r="BX4" s="840">
        <f>DATE(YEAR(BW4),12,31)</f>
        <v/>
      </c>
      <c r="BY4" s="1221">
        <f>BX4</f>
        <v/>
      </c>
      <c r="BZ4" s="1221">
        <f>EOMONTH(BY4,12)</f>
        <v/>
      </c>
      <c r="CA4" s="1221">
        <f>EOMONTH(BZ4,12)</f>
        <v/>
      </c>
      <c r="CB4" s="1221">
        <f>EOMONTH(CA4,12)</f>
        <v/>
      </c>
      <c r="CC4" s="768" t="n"/>
    </row>
    <row r="5" ht="15" customHeight="1" s="595">
      <c r="A5" s="1573">
        <f>MO.ReportCurrency</f>
        <v/>
      </c>
      <c r="B5" s="289" t="n"/>
      <c r="C5" s="1222" t="inlineStr">
        <is>
          <t>FY2009</t>
        </is>
      </c>
      <c r="D5" s="1225">
        <f>CONCATENATE("FY",RIGHT(C5,4)+1)</f>
        <v/>
      </c>
      <c r="E5" s="1225">
        <f>CONCATENATE("FY",RIGHT(D5,4)+1)</f>
        <v/>
      </c>
      <c r="F5" s="1225">
        <f>CONCATENATE("FY",RIGHT(E5,4)+1)</f>
        <v/>
      </c>
      <c r="G5" s="1225">
        <f>CONCATENATE("FY",RIGHT(F5,4)+1)</f>
        <v/>
      </c>
      <c r="H5" s="841">
        <f>CONCATENATE("Q1","-",RIGHT(G5,4)+1)</f>
        <v/>
      </c>
      <c r="I5" s="841">
        <f>CONCATENATE("Q2","-",RIGHT(H5,4))</f>
        <v/>
      </c>
      <c r="J5" s="841">
        <f>CONCATENATE("Q3","-",RIGHT(I5,4))</f>
        <v/>
      </c>
      <c r="K5" s="841">
        <f>CONCATENATE("Q4","-",RIGHT(J5,4))</f>
        <v/>
      </c>
      <c r="L5" s="1225">
        <f>CONCATENATE("FY",RIGHT(G5,4)+1)</f>
        <v/>
      </c>
      <c r="M5" s="841">
        <f>CONCATENATE("Q1","-",RIGHT(L5,4)+1)</f>
        <v/>
      </c>
      <c r="N5" s="841">
        <f>CONCATENATE("Q2","-",RIGHT(M5,4))</f>
        <v/>
      </c>
      <c r="O5" s="841">
        <f>CONCATENATE("Q3","-",RIGHT(N5,4))</f>
        <v/>
      </c>
      <c r="P5" s="841">
        <f>CONCATENATE("Q4","-",RIGHT(O5,4))</f>
        <v/>
      </c>
      <c r="Q5" s="1225">
        <f>CONCATENATE("FY",RIGHT(L5,4)+1)</f>
        <v/>
      </c>
      <c r="R5" s="841">
        <f>CONCATENATE("Q1","-",RIGHT(Q5,4)+1)</f>
        <v/>
      </c>
      <c r="S5" s="663">
        <f>CONCATENATE("Q2","-",RIGHT(R5,4))</f>
        <v/>
      </c>
      <c r="T5" s="841">
        <f>CONCATENATE("Q3","-",RIGHT(S5,4))</f>
        <v/>
      </c>
      <c r="U5" s="841">
        <f>CONCATENATE("Q4","-",RIGHT(T5,4))</f>
        <v/>
      </c>
      <c r="V5" s="1225">
        <f>CONCATENATE("FY",RIGHT(Q5,4)+1)</f>
        <v/>
      </c>
      <c r="W5" s="841">
        <f>CONCATENATE("Q1","-",RIGHT(V5,4)+1)</f>
        <v/>
      </c>
      <c r="X5" s="663">
        <f>CONCATENATE("Q2","-",RIGHT(W5,4))</f>
        <v/>
      </c>
      <c r="Y5" s="841">
        <f>CONCATENATE("Q3","-",RIGHT(X5,4))</f>
        <v/>
      </c>
      <c r="Z5" s="841">
        <f>CONCATENATE("Q4","-",RIGHT(Y5,4))</f>
        <v/>
      </c>
      <c r="AA5" s="1225">
        <f>CONCATENATE("FY",RIGHT(V5,4)+1)</f>
        <v/>
      </c>
      <c r="AB5" s="841">
        <f>CONCATENATE("Q1","-",RIGHT(AA5,4)+1)</f>
        <v/>
      </c>
      <c r="AC5" s="663">
        <f>CONCATENATE("Q2","-",RIGHT(AB5,4))</f>
        <v/>
      </c>
      <c r="AD5" s="841">
        <f>CONCATENATE("Q3","-",RIGHT(AC5,4))</f>
        <v/>
      </c>
      <c r="AE5" s="841">
        <f>CONCATENATE("Q4","-",RIGHT(AD5,4))</f>
        <v/>
      </c>
      <c r="AF5" s="1225">
        <f>CONCATENATE("FY",RIGHT(AA5,4)+1)</f>
        <v/>
      </c>
      <c r="AG5" s="841">
        <f>CONCATENATE("Q1","-",RIGHT(AF5,4)+1)</f>
        <v/>
      </c>
      <c r="AH5" s="663">
        <f>CONCATENATE("Q2","-",RIGHT(AG5,4))</f>
        <v/>
      </c>
      <c r="AI5" s="841">
        <f>CONCATENATE("Q3","-",RIGHT(AH5,4))</f>
        <v/>
      </c>
      <c r="AJ5" s="841">
        <f>CONCATENATE("Q4","-",RIGHT(AI5,4))</f>
        <v/>
      </c>
      <c r="AK5" s="1225">
        <f>CONCATENATE("FY",RIGHT(AF5,4)+1)</f>
        <v/>
      </c>
      <c r="AL5" s="841">
        <f>CONCATENATE("Q1","-",RIGHT(AK5,4)+1)</f>
        <v/>
      </c>
      <c r="AM5" s="663">
        <f>CONCATENATE("Q2","-",RIGHT(AL5,4))</f>
        <v/>
      </c>
      <c r="AN5" s="841">
        <f>CONCATENATE("Q3","-",RIGHT(AM5,4))</f>
        <v/>
      </c>
      <c r="AO5" s="841">
        <f>CONCATENATE("Q4","-",RIGHT(AN5,4))</f>
        <v/>
      </c>
      <c r="AP5" s="1225">
        <f>CONCATENATE("FY",RIGHT(AK5,4)+1)</f>
        <v/>
      </c>
      <c r="AQ5" s="841">
        <f>CONCATENATE("Q1","-",RIGHT(AP5,4)+1)</f>
        <v/>
      </c>
      <c r="AR5" s="663">
        <f>CONCATENATE("Q2","-",RIGHT(AQ5,4))</f>
        <v/>
      </c>
      <c r="AS5" s="841">
        <f>CONCATENATE("Q3","-",RIGHT(AR5,4))</f>
        <v/>
      </c>
      <c r="AT5" s="841">
        <f>CONCATENATE("Q4","-",RIGHT(AS5,4))</f>
        <v/>
      </c>
      <c r="AU5" s="1225">
        <f>CONCATENATE("FY",RIGHT(AP5,4)+1)</f>
        <v/>
      </c>
      <c r="AV5" s="841">
        <f>CONCATENATE("Q1","-",RIGHT(AU5,4)+1)</f>
        <v/>
      </c>
      <c r="AW5" s="663">
        <f>CONCATENATE("Q2","-",RIGHT(AV5,4))</f>
        <v/>
      </c>
      <c r="AX5" s="841">
        <f>CONCATENATE("Q3","-",RIGHT(AW5,4))</f>
        <v/>
      </c>
      <c r="AY5" s="841">
        <f>CONCATENATE("Q4","-",RIGHT(AX5,4))</f>
        <v/>
      </c>
      <c r="AZ5" s="1225">
        <f>CONCATENATE("FY",RIGHT(AU5,4)+1)</f>
        <v/>
      </c>
      <c r="BA5" s="841">
        <f>CONCATENATE("Q1","-",RIGHT(AZ5,4)+1)</f>
        <v/>
      </c>
      <c r="BB5" s="663">
        <f>CONCATENATE("Q2","-",RIGHT(BA5,4))</f>
        <v/>
      </c>
      <c r="BC5" s="841">
        <f>CONCATENATE("Q3","-",RIGHT(BB5,4))</f>
        <v/>
      </c>
      <c r="BD5" s="841">
        <f>CONCATENATE("Q4","-",RIGHT(BC5,4))</f>
        <v/>
      </c>
      <c r="BE5" s="1225">
        <f>CONCATENATE("FY",RIGHT(AZ5,4)+1)</f>
        <v/>
      </c>
      <c r="BF5" s="841">
        <f>CONCATENATE("Q1","-",RIGHT(BE5,4)+1)</f>
        <v/>
      </c>
      <c r="BG5" s="663">
        <f>CONCATENATE("Q2","-",RIGHT(BF5,4))</f>
        <v/>
      </c>
      <c r="BH5" s="841">
        <f>CONCATENATE("Q3","-",RIGHT(BG5,4))</f>
        <v/>
      </c>
      <c r="BI5" s="841">
        <f>CONCATENATE("Q4","-",RIGHT(BH5,4))</f>
        <v/>
      </c>
      <c r="BJ5" s="1225">
        <f>CONCATENATE("FY",RIGHT(BE5,4)+1)</f>
        <v/>
      </c>
      <c r="BK5" s="841">
        <f>CONCATENATE("Q1","-",RIGHT(BJ5,4)+1)</f>
        <v/>
      </c>
      <c r="BL5" s="663">
        <f>CONCATENATE("Q2","-",RIGHT(BK5,4))</f>
        <v/>
      </c>
      <c r="BM5" s="841">
        <f>CONCATENATE("Q3","-",RIGHT(BL5,4))</f>
        <v/>
      </c>
      <c r="BN5" s="841">
        <f>CONCATENATE("Q4","-",RIGHT(BM5,4))</f>
        <v/>
      </c>
      <c r="BO5" s="1224">
        <f>CONCATENATE("FY",RIGHT(BJ5,4)+1)</f>
        <v/>
      </c>
      <c r="BP5" s="841">
        <f>CONCATENATE("Q1","-",RIGHT(BO5,4)+1)</f>
        <v/>
      </c>
      <c r="BQ5" s="841">
        <f>CONCATENATE("Q2","-",RIGHT(BP5,4))</f>
        <v/>
      </c>
      <c r="BR5" s="841">
        <f>CONCATENATE("Q3","-",RIGHT(BQ5,4))</f>
        <v/>
      </c>
      <c r="BS5" s="841">
        <f>CONCATENATE("Q4","-",RIGHT(BR5,4))</f>
        <v/>
      </c>
      <c r="BT5" s="1225">
        <f>CONCATENATE("FY",RIGHT(BO5,4)+1)</f>
        <v/>
      </c>
      <c r="BU5" s="841">
        <f>CONCATENATE("Q1","-",RIGHT(BT5,4)+1)</f>
        <v/>
      </c>
      <c r="BV5" s="841">
        <f>CONCATENATE("Q2","-",RIGHT(BU5,4))</f>
        <v/>
      </c>
      <c r="BW5" s="841">
        <f>CONCATENATE("Q3","-",RIGHT(BV5,4))</f>
        <v/>
      </c>
      <c r="BX5" s="841">
        <f>CONCATENATE("Q4","-",RIGHT(BW5,4))</f>
        <v/>
      </c>
      <c r="BY5" s="1225">
        <f>CONCATENATE("FY",RIGHT(BT5,4)+1)</f>
        <v/>
      </c>
      <c r="BZ5" s="1225">
        <f>CONCATENATE("FY",RIGHT(BY5,4)+1)</f>
        <v/>
      </c>
      <c r="CA5" s="1225">
        <f>CONCATENATE("FY",RIGHT(BZ5,4)+1)</f>
        <v/>
      </c>
      <c r="CB5" s="1225">
        <f>CONCATENATE("FY",RIGHT(CA5,4)+1)</f>
        <v/>
      </c>
      <c r="CC5" s="768" t="n"/>
    </row>
    <row r="6" ht="15" customFormat="1" customHeight="1" s="598">
      <c r="A6" s="664" t="inlineStr">
        <is>
          <t>Revenue Build</t>
        </is>
      </c>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c r="BE6" s="664" t="n"/>
      <c r="BF6" s="664" t="n"/>
      <c r="BG6" s="664" t="n"/>
      <c r="BH6" s="664" t="n"/>
      <c r="BI6" s="664" t="n"/>
      <c r="BJ6" s="664" t="n"/>
      <c r="BK6" s="664" t="n"/>
      <c r="BL6" s="664" t="n"/>
      <c r="BM6" s="664" t="n"/>
      <c r="BN6" s="664" t="n"/>
      <c r="BO6" s="351" t="n"/>
      <c r="BP6" s="664" t="n"/>
      <c r="BQ6" s="664" t="n"/>
      <c r="BR6" s="664" t="n"/>
      <c r="BS6" s="664" t="n"/>
      <c r="BT6" s="664" t="n"/>
      <c r="BU6" s="664" t="n"/>
      <c r="BV6" s="664" t="n"/>
      <c r="BW6" s="664" t="n"/>
      <c r="BX6" s="664" t="n"/>
      <c r="BY6" s="664" t="n"/>
      <c r="BZ6" s="664" t="n"/>
      <c r="CA6" s="664" t="n"/>
      <c r="CB6" s="664" t="n"/>
      <c r="CC6" s="750" t="n"/>
    </row>
    <row r="7" hidden="1" outlineLevel="1" ht="15" customFormat="1" customHeight="1" s="1574">
      <c r="A7" s="1575" t="inlineStr">
        <is>
          <t>EUV 3400C units sold, # of units</t>
        </is>
      </c>
      <c r="B7" s="1576" t="n"/>
      <c r="C7" s="1577" t="n"/>
      <c r="D7" s="1577" t="n"/>
      <c r="E7" s="1577" t="n"/>
      <c r="F7" s="1577" t="n"/>
      <c r="G7" s="1577" t="n"/>
      <c r="H7" s="1578" t="n"/>
      <c r="I7" s="1578" t="n"/>
      <c r="J7" s="1578" t="n"/>
      <c r="K7" s="1578" t="n"/>
      <c r="L7" s="1577" t="n"/>
      <c r="M7" s="1578" t="n"/>
      <c r="N7" s="1578" t="n"/>
      <c r="O7" s="1578" t="n"/>
      <c r="P7" s="1578" t="n"/>
      <c r="Q7" s="1577" t="n"/>
      <c r="R7" s="1578" t="n"/>
      <c r="S7" s="1578" t="n"/>
      <c r="T7" s="1578" t="n"/>
      <c r="U7" s="1578" t="n"/>
      <c r="V7" s="1577" t="n"/>
      <c r="W7" s="1578" t="n"/>
      <c r="X7" s="1578" t="n"/>
      <c r="Y7" s="1578" t="n"/>
      <c r="Z7" s="1578" t="n"/>
      <c r="AA7" s="1577" t="n"/>
      <c r="AB7" s="1578" t="n"/>
      <c r="AC7" s="1578" t="n"/>
      <c r="AD7" s="1578" t="n"/>
      <c r="AE7" s="1578" t="n"/>
      <c r="AF7" s="1577" t="n"/>
      <c r="AG7" s="1578" t="n"/>
      <c r="AH7" s="1578" t="n"/>
      <c r="AI7" s="1579" t="n">
        <v>3</v>
      </c>
      <c r="AJ7" s="1579" t="n">
        <v>6</v>
      </c>
      <c r="AK7" s="1580" t="n">
        <v>9</v>
      </c>
      <c r="AL7" s="1578" t="n"/>
      <c r="AM7" s="1578" t="n"/>
      <c r="AN7" s="1578" t="n"/>
      <c r="AO7" s="1578" t="n"/>
      <c r="AP7" s="1577" t="n"/>
      <c r="AQ7" s="1578" t="n"/>
      <c r="AR7" s="1578" t="n"/>
      <c r="AS7" s="1578" t="n"/>
      <c r="AT7" s="1578" t="n"/>
      <c r="AU7" s="1577" t="n"/>
      <c r="AV7" s="1578" t="n"/>
      <c r="AW7" s="1578" t="n"/>
      <c r="AX7" s="1578" t="n"/>
      <c r="AY7" s="1578" t="n"/>
      <c r="AZ7" s="1577" t="n"/>
      <c r="BA7" s="1578" t="n"/>
      <c r="BB7" s="1578" t="n"/>
      <c r="BC7" s="1578" t="n"/>
      <c r="BD7" s="1578" t="n"/>
      <c r="BE7" s="1577" t="n"/>
      <c r="BF7" s="1578" t="n"/>
      <c r="BG7" s="1578" t="n"/>
      <c r="BH7" s="1578" t="n"/>
      <c r="BI7" s="1578" t="n"/>
      <c r="BJ7" s="1577" t="n"/>
      <c r="BK7" s="1578" t="n"/>
      <c r="BL7" s="1578" t="n"/>
      <c r="BM7" s="1578" t="n"/>
      <c r="BN7" s="1578" t="n"/>
      <c r="BO7" s="1581" t="n"/>
      <c r="BP7" s="1578" t="n"/>
      <c r="BQ7" s="1578" t="n"/>
      <c r="BR7" s="1578" t="n"/>
      <c r="BS7" s="1578" t="n"/>
      <c r="BT7" s="1577" t="n"/>
      <c r="BU7" s="1578" t="n"/>
      <c r="BV7" s="1578" t="n"/>
      <c r="BW7" s="1578" t="n"/>
      <c r="BX7" s="1578" t="n"/>
      <c r="BY7" s="1577" t="n"/>
      <c r="BZ7" s="1577" t="n"/>
      <c r="CA7" s="1577" t="n"/>
      <c r="CB7" s="1577" t="n"/>
      <c r="CC7" s="1582" t="n"/>
    </row>
    <row r="8" hidden="1" outlineLevel="1" ht="15" customFormat="1" customHeight="1" s="1574">
      <c r="A8" s="1575" t="inlineStr">
        <is>
          <t>EUV 3400B units sold, # of units</t>
        </is>
      </c>
      <c r="B8" s="1576" t="n"/>
      <c r="C8" s="1577" t="n"/>
      <c r="D8" s="1577" t="n"/>
      <c r="E8" s="1577" t="n"/>
      <c r="F8" s="1577" t="n"/>
      <c r="G8" s="1577" t="n"/>
      <c r="H8" s="1578" t="n"/>
      <c r="I8" s="1578" t="n"/>
      <c r="J8" s="1578" t="n"/>
      <c r="K8" s="1578" t="n"/>
      <c r="L8" s="1577" t="n"/>
      <c r="M8" s="1578" t="n"/>
      <c r="N8" s="1578" t="n"/>
      <c r="O8" s="1578" t="n"/>
      <c r="P8" s="1578" t="n"/>
      <c r="Q8" s="1577" t="n"/>
      <c r="R8" s="1578" t="n"/>
      <c r="S8" s="1578" t="n"/>
      <c r="T8" s="1578" t="n"/>
      <c r="U8" s="1578" t="n"/>
      <c r="V8" s="1577" t="n"/>
      <c r="W8" s="1578" t="n"/>
      <c r="X8" s="1578" t="n"/>
      <c r="Y8" s="1578" t="n"/>
      <c r="Z8" s="1578" t="n"/>
      <c r="AA8" s="1577" t="n"/>
      <c r="AB8" s="1578" t="n"/>
      <c r="AC8" s="1578" t="n"/>
      <c r="AD8" s="1578" t="n"/>
      <c r="AE8" s="1578" t="n"/>
      <c r="AF8" s="1577" t="n"/>
      <c r="AG8" s="1579" t="n">
        <v>4</v>
      </c>
      <c r="AH8" s="1579" t="n">
        <v>7</v>
      </c>
      <c r="AI8" s="1578">
        <f>AI11-AI7</f>
        <v/>
      </c>
      <c r="AJ8" s="1578">
        <f>+AJ11-AJ7</f>
        <v/>
      </c>
      <c r="AK8" s="1577">
        <f>+AK11-AK7</f>
        <v/>
      </c>
      <c r="AL8" s="1578" t="n"/>
      <c r="AM8" s="1578" t="n"/>
      <c r="AN8" s="1578" t="n"/>
      <c r="AO8" s="1578" t="n"/>
      <c r="AP8" s="1577" t="n"/>
      <c r="AQ8" s="1578" t="n"/>
      <c r="AR8" s="1578" t="n"/>
      <c r="AS8" s="1578" t="n"/>
      <c r="AT8" s="1578" t="n"/>
      <c r="AU8" s="1577" t="n"/>
      <c r="AV8" s="1578" t="n"/>
      <c r="AW8" s="1578" t="n"/>
      <c r="AX8" s="1578" t="n"/>
      <c r="AY8" s="1578" t="n"/>
      <c r="AZ8" s="1577" t="n"/>
      <c r="BA8" s="1578" t="n"/>
      <c r="BB8" s="1578" t="n"/>
      <c r="BC8" s="1578" t="n"/>
      <c r="BD8" s="1578" t="n"/>
      <c r="BE8" s="1577" t="n"/>
      <c r="BF8" s="1578" t="n"/>
      <c r="BG8" s="1578" t="n"/>
      <c r="BH8" s="1578" t="n"/>
      <c r="BI8" s="1578" t="n"/>
      <c r="BJ8" s="1577" t="n"/>
      <c r="BK8" s="1578" t="n"/>
      <c r="BL8" s="1578" t="n"/>
      <c r="BM8" s="1578" t="n"/>
      <c r="BN8" s="1578" t="n"/>
      <c r="BO8" s="1581" t="n"/>
      <c r="BP8" s="1578" t="n"/>
      <c r="BQ8" s="1578" t="n"/>
      <c r="BR8" s="1578" t="n"/>
      <c r="BS8" s="1578" t="n"/>
      <c r="BT8" s="1577" t="n"/>
      <c r="BU8" s="1578" t="n"/>
      <c r="BV8" s="1578" t="n"/>
      <c r="BW8" s="1578" t="n"/>
      <c r="BX8" s="1578" t="n"/>
      <c r="BY8" s="1577" t="n"/>
      <c r="BZ8" s="1577" t="n"/>
      <c r="CA8" s="1577" t="n"/>
      <c r="CB8" s="1577" t="n"/>
      <c r="CC8" s="1582" t="n"/>
    </row>
    <row r="9" hidden="1" outlineLevel="1" ht="15" customFormat="1" customHeight="1" s="1574">
      <c r="A9" s="1575" t="inlineStr">
        <is>
          <t>High NA EUV, # of units</t>
        </is>
      </c>
      <c r="B9" s="1576" t="n"/>
      <c r="C9" s="1577" t="n"/>
      <c r="D9" s="1577" t="n"/>
      <c r="E9" s="1577" t="n"/>
      <c r="F9" s="1577" t="n"/>
      <c r="G9" s="1577" t="n"/>
      <c r="H9" s="1578" t="n"/>
      <c r="I9" s="1578" t="n"/>
      <c r="J9" s="1578" t="n"/>
      <c r="K9" s="1578" t="n"/>
      <c r="L9" s="1577" t="n"/>
      <c r="M9" s="1578" t="n"/>
      <c r="N9" s="1578" t="n"/>
      <c r="O9" s="1578" t="n"/>
      <c r="P9" s="1578" t="n"/>
      <c r="Q9" s="1577" t="n"/>
      <c r="R9" s="1578" t="n"/>
      <c r="S9" s="1578" t="n"/>
      <c r="T9" s="1578" t="n"/>
      <c r="U9" s="1578" t="n"/>
      <c r="V9" s="1577" t="n"/>
      <c r="W9" s="1578" t="n"/>
      <c r="X9" s="1578" t="n"/>
      <c r="Y9" s="1578" t="n"/>
      <c r="Z9" s="1578" t="n"/>
      <c r="AA9" s="1577" t="n"/>
      <c r="AB9" s="1578" t="n"/>
      <c r="AC9" s="1578" t="n"/>
      <c r="AD9" s="1578" t="n"/>
      <c r="AE9" s="1578" t="n"/>
      <c r="AF9" s="1577" t="n"/>
      <c r="AG9" s="1578" t="n"/>
      <c r="AH9" s="1578" t="n"/>
      <c r="AI9" s="1578" t="n"/>
      <c r="AJ9" s="1578" t="n"/>
      <c r="AK9" s="1577" t="n"/>
      <c r="AL9" s="1578" t="n"/>
      <c r="AM9" s="1578" t="n"/>
      <c r="AN9" s="1578" t="n"/>
      <c r="AO9" s="1578" t="n"/>
      <c r="AP9" s="1577" t="n"/>
      <c r="AQ9" s="1578" t="n"/>
      <c r="AR9" s="1578" t="n"/>
      <c r="AS9" s="1578" t="n"/>
      <c r="AT9" s="1578" t="n"/>
      <c r="AU9" s="1577" t="n"/>
      <c r="AV9" s="1578" t="n"/>
      <c r="AW9" s="1578" t="n"/>
      <c r="AX9" s="1578" t="n"/>
      <c r="AY9" s="1578" t="n"/>
      <c r="AZ9" s="1577" t="n"/>
      <c r="BA9" s="1578" t="n"/>
      <c r="BB9" s="1578" t="n"/>
      <c r="BC9" s="1578" t="n"/>
      <c r="BD9" s="1578" t="n"/>
      <c r="BE9" s="1577" t="n"/>
      <c r="BF9" s="1578" t="n"/>
      <c r="BG9" s="1578" t="n"/>
      <c r="BH9" s="1578" t="n"/>
      <c r="BI9" s="1579" t="n">
        <v>2</v>
      </c>
      <c r="BJ9" s="1580" t="n">
        <v>2</v>
      </c>
      <c r="BK9" s="1579" t="n">
        <v>3</v>
      </c>
      <c r="BL9" s="1578" t="n"/>
      <c r="BM9" s="1578" t="n"/>
      <c r="BN9" s="1579" t="n">
        <v>2</v>
      </c>
      <c r="BO9" s="1581">
        <f>SUM(BK9,BL9,BM9,BN9)</f>
        <v/>
      </c>
      <c r="BP9" s="1578" t="n"/>
      <c r="BQ9" s="1578" t="n"/>
      <c r="BR9" s="1578" t="n"/>
      <c r="BS9" s="1578" t="n"/>
      <c r="BT9" s="1577" t="n"/>
      <c r="BU9" s="1578" t="n"/>
      <c r="BV9" s="1578" t="n"/>
      <c r="BW9" s="1578" t="n"/>
      <c r="BX9" s="1578" t="n"/>
      <c r="BY9" s="1577" t="n"/>
      <c r="BZ9" s="1577" t="n"/>
      <c r="CA9" s="1577" t="n"/>
      <c r="CB9" s="1577" t="n"/>
      <c r="CC9" s="1582" t="n"/>
    </row>
    <row r="10" hidden="1" outlineLevel="1" ht="15" customFormat="1" customHeight="1" s="1574">
      <c r="A10" s="1575" t="inlineStr">
        <is>
          <t>Low NA EUV, # of units</t>
        </is>
      </c>
      <c r="B10" s="1576" t="n"/>
      <c r="C10" s="1577" t="n"/>
      <c r="D10" s="1577" t="n"/>
      <c r="E10" s="1577" t="n"/>
      <c r="F10" s="1577" t="n"/>
      <c r="G10" s="1577" t="n"/>
      <c r="H10" s="1578" t="n"/>
      <c r="I10" s="1578" t="n"/>
      <c r="J10" s="1578" t="n"/>
      <c r="K10" s="1578" t="n"/>
      <c r="L10" s="1577" t="n"/>
      <c r="M10" s="1578" t="n"/>
      <c r="N10" s="1578" t="n"/>
      <c r="O10" s="1578" t="n"/>
      <c r="P10" s="1578" t="n"/>
      <c r="Q10" s="1577" t="n"/>
      <c r="R10" s="1578" t="n"/>
      <c r="S10" s="1578" t="n"/>
      <c r="T10" s="1578" t="n"/>
      <c r="U10" s="1578" t="n"/>
      <c r="V10" s="1577" t="n"/>
      <c r="W10" s="1578" t="n"/>
      <c r="X10" s="1578" t="n"/>
      <c r="Y10" s="1578" t="n"/>
      <c r="Z10" s="1578" t="n"/>
      <c r="AA10" s="1577" t="n"/>
      <c r="AB10" s="1578" t="n"/>
      <c r="AC10" s="1578" t="n"/>
      <c r="AD10" s="1578" t="n"/>
      <c r="AE10" s="1578" t="n"/>
      <c r="AF10" s="1577" t="n"/>
      <c r="AG10" s="1578" t="n"/>
      <c r="AH10" s="1578" t="n"/>
      <c r="AI10" s="1578" t="n"/>
      <c r="AJ10" s="1578" t="n"/>
      <c r="AK10" s="1577" t="n"/>
      <c r="AL10" s="1578" t="n"/>
      <c r="AM10" s="1578" t="n"/>
      <c r="AN10" s="1578" t="n"/>
      <c r="AO10" s="1578" t="n"/>
      <c r="AP10" s="1577" t="n"/>
      <c r="AQ10" s="1578" t="n"/>
      <c r="AR10" s="1578" t="n"/>
      <c r="AS10" s="1578" t="n"/>
      <c r="AT10" s="1578" t="n"/>
      <c r="AU10" s="1577" t="n"/>
      <c r="AV10" s="1578" t="n"/>
      <c r="AW10" s="1578" t="n"/>
      <c r="AX10" s="1578" t="n"/>
      <c r="AY10" s="1578" t="n"/>
      <c r="AZ10" s="1577" t="n"/>
      <c r="BA10" s="1578" t="n"/>
      <c r="BB10" s="1578" t="n"/>
      <c r="BC10" s="1578" t="n"/>
      <c r="BD10" s="1578" t="n"/>
      <c r="BE10" s="1577" t="n"/>
      <c r="BF10" s="1578" t="n"/>
      <c r="BG10" s="1578" t="n"/>
      <c r="BH10" s="1578">
        <f>BH11-BH9</f>
        <v/>
      </c>
      <c r="BI10" s="1578">
        <f>BI11-BI9</f>
        <v/>
      </c>
      <c r="BJ10" s="1577">
        <f>BJ11-BJ9</f>
        <v/>
      </c>
      <c r="BK10" s="1578">
        <f>BK11-BK9</f>
        <v/>
      </c>
      <c r="BL10" s="1578" t="n"/>
      <c r="BM10" s="1578" t="n"/>
      <c r="BN10" s="1578">
        <f>BN11-BN9</f>
        <v/>
      </c>
      <c r="BO10" s="1581">
        <f>BO11-BO9</f>
        <v/>
      </c>
      <c r="BP10" s="1578" t="n"/>
      <c r="BQ10" s="1578" t="n"/>
      <c r="BR10" s="1578" t="n"/>
      <c r="BS10" s="1578" t="n"/>
      <c r="BT10" s="1577" t="n"/>
      <c r="BU10" s="1578" t="n"/>
      <c r="BV10" s="1578" t="n"/>
      <c r="BW10" s="1578" t="n"/>
      <c r="BX10" s="1578" t="n"/>
      <c r="BY10" s="1577" t="n"/>
      <c r="BZ10" s="1577" t="n"/>
      <c r="CA10" s="1577" t="n"/>
      <c r="CB10" s="1577" t="n"/>
      <c r="CC10" s="1582" t="n"/>
    </row>
    <row r="11" collapsed="1" ht="15" customFormat="1" customHeight="1" s="1574">
      <c r="A11" s="1583" t="inlineStr">
        <is>
          <t>EUV units sold, # of units</t>
        </is>
      </c>
      <c r="B11" s="1584" t="n"/>
      <c r="C11" s="1585" t="n"/>
      <c r="D11" s="1585" t="n"/>
      <c r="E11" s="1586" t="n">
        <v>3</v>
      </c>
      <c r="F11" s="1586" t="n">
        <v>1</v>
      </c>
      <c r="G11" s="1586" t="n">
        <v>1</v>
      </c>
      <c r="H11" s="1587" t="n">
        <v>1</v>
      </c>
      <c r="I11" s="1587" t="n">
        <v>1</v>
      </c>
      <c r="J11" s="1587" t="n">
        <v>2</v>
      </c>
      <c r="K11" s="1587" t="n">
        <v>1</v>
      </c>
      <c r="L11" s="1586" t="n">
        <v>5</v>
      </c>
      <c r="M11" s="1587" t="n">
        <v>0</v>
      </c>
      <c r="N11" s="1587" t="n">
        <v>1</v>
      </c>
      <c r="O11" s="1587" t="n">
        <v>0</v>
      </c>
      <c r="P11" s="1587" t="n">
        <v>0</v>
      </c>
      <c r="Q11" s="1586" t="n">
        <v>1</v>
      </c>
      <c r="R11" s="1587" t="n">
        <v>0</v>
      </c>
      <c r="S11" s="1587" t="n">
        <v>2</v>
      </c>
      <c r="T11" s="1587" t="n">
        <v>1</v>
      </c>
      <c r="U11" s="1587" t="n">
        <v>1</v>
      </c>
      <c r="V11" s="1586" t="n">
        <v>4</v>
      </c>
      <c r="W11" s="1587" t="n">
        <v>0</v>
      </c>
      <c r="X11" s="1587" t="n">
        <v>2</v>
      </c>
      <c r="Y11" s="1587" t="n">
        <v>4</v>
      </c>
      <c r="Z11" s="1587" t="n">
        <v>5</v>
      </c>
      <c r="AA11" s="1586" t="n">
        <v>11</v>
      </c>
      <c r="AB11" s="1587" t="n">
        <v>1</v>
      </c>
      <c r="AC11" s="1587" t="n">
        <v>7</v>
      </c>
      <c r="AD11" s="1587" t="n">
        <v>5</v>
      </c>
      <c r="AE11" s="1587" t="n">
        <v>5</v>
      </c>
      <c r="AF11" s="1586" t="n">
        <v>18</v>
      </c>
      <c r="AG11" s="1588">
        <f>SUM(AG7:AG8)</f>
        <v/>
      </c>
      <c r="AH11" s="1588">
        <f>SUM(AH7:AH8)</f>
        <v/>
      </c>
      <c r="AI11" s="1587" t="n">
        <v>7</v>
      </c>
      <c r="AJ11" s="1587" t="n">
        <v>8</v>
      </c>
      <c r="AK11" s="1586" t="n">
        <v>26</v>
      </c>
      <c r="AL11" s="1587" t="n">
        <v>2</v>
      </c>
      <c r="AM11" s="1587" t="n">
        <v>7</v>
      </c>
      <c r="AN11" s="1587" t="n">
        <v>14</v>
      </c>
      <c r="AO11" s="1587" t="n">
        <v>8</v>
      </c>
      <c r="AP11" s="1586" t="n">
        <v>31</v>
      </c>
      <c r="AQ11" s="1587" t="n">
        <v>7</v>
      </c>
      <c r="AR11" s="1587" t="n">
        <v>9</v>
      </c>
      <c r="AS11" s="1587" t="n">
        <v>15</v>
      </c>
      <c r="AT11" s="1587" t="n">
        <v>11</v>
      </c>
      <c r="AU11" s="1586" t="n">
        <v>42</v>
      </c>
      <c r="AV11" s="1587" t="n">
        <v>3</v>
      </c>
      <c r="AW11" s="1587" t="n">
        <v>12</v>
      </c>
      <c r="AX11" s="1587" t="n">
        <v>12</v>
      </c>
      <c r="AY11" s="1587" t="n">
        <v>13</v>
      </c>
      <c r="AZ11" s="1586" t="n">
        <v>40</v>
      </c>
      <c r="BA11" s="1587" t="n">
        <v>17</v>
      </c>
      <c r="BB11" s="1587" t="n">
        <v>12</v>
      </c>
      <c r="BC11" s="1587" t="n">
        <v>11</v>
      </c>
      <c r="BD11" s="1587" t="n">
        <v>13</v>
      </c>
      <c r="BE11" s="1586" t="n">
        <v>53</v>
      </c>
      <c r="BF11" s="1587" t="n">
        <v>11</v>
      </c>
      <c r="BG11" s="1587" t="n">
        <v>8</v>
      </c>
      <c r="BH11" s="1587" t="n">
        <v>11</v>
      </c>
      <c r="BI11" s="1587" t="n">
        <v>14</v>
      </c>
      <c r="BJ11" s="1586" t="n">
        <v>44</v>
      </c>
      <c r="BK11" s="1587" t="n">
        <v>14</v>
      </c>
      <c r="BL11" s="1587" t="n">
        <v>11</v>
      </c>
      <c r="BM11" s="1587" t="n">
        <v>9</v>
      </c>
      <c r="BN11" s="1587" t="n">
        <v>14</v>
      </c>
      <c r="BO11" s="1589" t="n">
        <v>48</v>
      </c>
      <c r="BP11" s="1587" t="n">
        <v>13</v>
      </c>
      <c r="BQ11" s="1587" t="n">
        <v>13</v>
      </c>
      <c r="BR11" s="1587" t="n">
        <v>15</v>
      </c>
      <c r="BS11" s="1587" t="n">
        <v>15</v>
      </c>
      <c r="BT11" s="1585">
        <f>SUM(BP11,BQ11,BR11,BS11)</f>
        <v/>
      </c>
      <c r="BU11" s="1587" t="n">
        <v>13</v>
      </c>
      <c r="BV11" s="1587" t="n">
        <v>13</v>
      </c>
      <c r="BW11" s="1587" t="n">
        <v>15</v>
      </c>
      <c r="BX11" s="1587" t="n">
        <v>15</v>
      </c>
      <c r="BY11" s="1585">
        <f>SUM(BU11,BV11,BW11,BX11)</f>
        <v/>
      </c>
      <c r="BZ11" s="1586" t="n">
        <v>65</v>
      </c>
      <c r="CA11" s="1586" t="n">
        <v>65</v>
      </c>
      <c r="CB11" s="1586" t="n">
        <v>65</v>
      </c>
      <c r="CC11" s="1582" t="n"/>
    </row>
    <row r="12" ht="15" customFormat="1" customHeight="1" s="1574">
      <c r="A12" s="1590" t="inlineStr">
        <is>
          <t>ArFi units sold, # of units</t>
        </is>
      </c>
      <c r="B12" s="1576" t="n"/>
      <c r="C12" s="1577" t="n"/>
      <c r="D12" s="1577" t="n"/>
      <c r="E12" s="1580" t="n">
        <v>101</v>
      </c>
      <c r="F12" s="1580" t="n">
        <v>72</v>
      </c>
      <c r="G12" s="1580" t="n">
        <v>77</v>
      </c>
      <c r="H12" s="1579" t="n">
        <v>19</v>
      </c>
      <c r="I12" s="1579" t="n">
        <v>24</v>
      </c>
      <c r="J12" s="1579" t="n">
        <v>13</v>
      </c>
      <c r="K12" s="1579" t="n">
        <v>20</v>
      </c>
      <c r="L12" s="1580" t="n">
        <v>76</v>
      </c>
      <c r="M12" s="1579" t="n">
        <v>23</v>
      </c>
      <c r="N12" s="1579" t="n">
        <v>19</v>
      </c>
      <c r="O12" s="1579" t="n">
        <v>14</v>
      </c>
      <c r="P12" s="1579" t="n">
        <v>11</v>
      </c>
      <c r="Q12" s="1580" t="n">
        <v>67</v>
      </c>
      <c r="R12" s="1579" t="n">
        <v>15</v>
      </c>
      <c r="S12" s="1579" t="n">
        <v>19</v>
      </c>
      <c r="T12" s="1579" t="n">
        <v>19</v>
      </c>
      <c r="U12" s="1579" t="n">
        <v>17</v>
      </c>
      <c r="V12" s="1580" t="n">
        <v>70</v>
      </c>
      <c r="W12" s="1579" t="n">
        <v>18</v>
      </c>
      <c r="X12" s="1579" t="n">
        <v>16</v>
      </c>
      <c r="Y12" s="1579" t="n">
        <v>22</v>
      </c>
      <c r="Z12" s="1579" t="n">
        <v>20</v>
      </c>
      <c r="AA12" s="1580" t="n">
        <v>76</v>
      </c>
      <c r="AB12" s="1579" t="n">
        <v>21</v>
      </c>
      <c r="AC12" s="1579" t="n">
        <v>19</v>
      </c>
      <c r="AD12" s="1579" t="n">
        <v>22</v>
      </c>
      <c r="AE12" s="1579" t="n">
        <v>24</v>
      </c>
      <c r="AF12" s="1580" t="n">
        <v>86</v>
      </c>
      <c r="AG12" s="1579" t="n">
        <v>17</v>
      </c>
      <c r="AH12" s="1579" t="n">
        <v>13</v>
      </c>
      <c r="AI12" s="1579" t="n">
        <v>21</v>
      </c>
      <c r="AJ12" s="1579" t="n">
        <v>31</v>
      </c>
      <c r="AK12" s="1580" t="n">
        <v>82</v>
      </c>
      <c r="AL12" s="1579" t="n">
        <v>16</v>
      </c>
      <c r="AM12" s="1579" t="n">
        <v>17</v>
      </c>
      <c r="AN12" s="1579" t="n">
        <v>11</v>
      </c>
      <c r="AO12" s="1579" t="n">
        <v>24</v>
      </c>
      <c r="AP12" s="1580" t="n">
        <v>68</v>
      </c>
      <c r="AQ12" s="1579" t="n">
        <v>24</v>
      </c>
      <c r="AR12" s="1579" t="n">
        <v>16</v>
      </c>
      <c r="AS12" s="1579" t="n">
        <v>21</v>
      </c>
      <c r="AT12" s="1579" t="n">
        <v>20</v>
      </c>
      <c r="AU12" s="1580" t="n">
        <v>81</v>
      </c>
      <c r="AV12" s="1579" t="n">
        <v>18</v>
      </c>
      <c r="AW12" s="1579" t="n">
        <v>21</v>
      </c>
      <c r="AX12" s="1579" t="n">
        <v>20</v>
      </c>
      <c r="AY12" s="1579" t="n">
        <v>22</v>
      </c>
      <c r="AZ12" s="1580" t="n">
        <v>81</v>
      </c>
      <c r="BA12" s="1579" t="n">
        <v>25</v>
      </c>
      <c r="BB12" s="1579" t="n">
        <v>39</v>
      </c>
      <c r="BC12" s="1579" t="n">
        <v>32</v>
      </c>
      <c r="BD12" s="1579" t="n">
        <v>29</v>
      </c>
      <c r="BE12" s="1580" t="n">
        <v>125</v>
      </c>
      <c r="BF12" s="1579" t="n">
        <v>20</v>
      </c>
      <c r="BG12" s="1579" t="n">
        <v>32</v>
      </c>
      <c r="BH12" s="1579" t="n">
        <v>38</v>
      </c>
      <c r="BI12" s="1579" t="n">
        <v>39</v>
      </c>
      <c r="BJ12" s="1580" t="n">
        <v>129</v>
      </c>
      <c r="BK12" s="1579" t="n">
        <v>25</v>
      </c>
      <c r="BL12" s="1579" t="n">
        <v>31</v>
      </c>
      <c r="BM12" s="1579" t="n">
        <v>38</v>
      </c>
      <c r="BN12" s="1579" t="n">
        <v>37</v>
      </c>
      <c r="BO12" s="1591" t="n">
        <v>131</v>
      </c>
      <c r="BP12" s="1579" t="n">
        <v>20</v>
      </c>
      <c r="BQ12" s="1579" t="n">
        <v>20</v>
      </c>
      <c r="BR12" s="1579" t="n">
        <v>21</v>
      </c>
      <c r="BS12" s="1579" t="n">
        <v>20</v>
      </c>
      <c r="BT12" s="1577">
        <f>SUM(BP12,BQ12,BR12,BS12)</f>
        <v/>
      </c>
      <c r="BU12" s="1579" t="n">
        <v>20</v>
      </c>
      <c r="BV12" s="1579" t="n">
        <v>20</v>
      </c>
      <c r="BW12" s="1579" t="n">
        <v>21</v>
      </c>
      <c r="BX12" s="1579" t="n">
        <v>20</v>
      </c>
      <c r="BY12" s="1577">
        <f>SUM(BU12,BV12,BW12,BX12)</f>
        <v/>
      </c>
      <c r="BZ12" s="1580" t="n">
        <v>80</v>
      </c>
      <c r="CA12" s="1580" t="n">
        <v>80</v>
      </c>
      <c r="CB12" s="1580" t="n">
        <v>80</v>
      </c>
      <c r="CC12" s="1582" t="n"/>
    </row>
    <row r="13" ht="15" customFormat="1" customHeight="1" s="1574">
      <c r="A13" s="1590" t="inlineStr">
        <is>
          <t>ArF units sold, # of units</t>
        </is>
      </c>
      <c r="B13" s="1576" t="n"/>
      <c r="C13" s="1577" t="n"/>
      <c r="D13" s="1577" t="n"/>
      <c r="E13" s="1580" t="n">
        <v>11</v>
      </c>
      <c r="F13" s="1580" t="n">
        <v>4</v>
      </c>
      <c r="G13" s="1580" t="n">
        <v>2</v>
      </c>
      <c r="H13" s="1579" t="n">
        <v>0</v>
      </c>
      <c r="I13" s="1579" t="n">
        <v>2</v>
      </c>
      <c r="J13" s="1579" t="n">
        <v>0</v>
      </c>
      <c r="K13" s="1579" t="n">
        <v>1</v>
      </c>
      <c r="L13" s="1580" t="n">
        <v>3</v>
      </c>
      <c r="M13" s="1579" t="n">
        <v>2</v>
      </c>
      <c r="N13" s="1579" t="n">
        <v>2</v>
      </c>
      <c r="O13" s="1579" t="n">
        <v>2</v>
      </c>
      <c r="P13" s="1579" t="n">
        <v>3</v>
      </c>
      <c r="Q13" s="1580" t="n">
        <v>9</v>
      </c>
      <c r="R13" s="1579" t="n">
        <v>2</v>
      </c>
      <c r="S13" s="1579" t="n">
        <v>2</v>
      </c>
      <c r="T13" s="1579" t="n">
        <v>1</v>
      </c>
      <c r="U13" s="1579" t="n">
        <v>1</v>
      </c>
      <c r="V13" s="1580" t="n">
        <v>6</v>
      </c>
      <c r="W13" s="1579" t="n">
        <v>4</v>
      </c>
      <c r="X13" s="1579" t="n">
        <v>3</v>
      </c>
      <c r="Y13" s="1579" t="n">
        <v>2</v>
      </c>
      <c r="Z13" s="1579" t="n">
        <v>5</v>
      </c>
      <c r="AA13" s="1580" t="n">
        <v>14</v>
      </c>
      <c r="AB13" s="1579" t="n">
        <v>3</v>
      </c>
      <c r="AC13" s="1579" t="n">
        <v>5</v>
      </c>
      <c r="AD13" s="1579" t="n">
        <v>3</v>
      </c>
      <c r="AE13" s="1579" t="n">
        <v>5</v>
      </c>
      <c r="AF13" s="1580" t="n">
        <v>16</v>
      </c>
      <c r="AG13" s="1579" t="n">
        <v>4</v>
      </c>
      <c r="AH13" s="1579" t="n">
        <v>3</v>
      </c>
      <c r="AI13" s="1579" t="n">
        <v>9</v>
      </c>
      <c r="AJ13" s="1579" t="n">
        <v>6</v>
      </c>
      <c r="AK13" s="1580" t="n">
        <v>22</v>
      </c>
      <c r="AL13" s="1579" t="n">
        <v>6</v>
      </c>
      <c r="AM13" s="1579" t="n">
        <v>7</v>
      </c>
      <c r="AN13" s="1579" t="n">
        <v>2</v>
      </c>
      <c r="AO13" s="1579" t="n">
        <v>7</v>
      </c>
      <c r="AP13" s="1580" t="n">
        <v>22</v>
      </c>
      <c r="AQ13" s="1579" t="n">
        <v>4</v>
      </c>
      <c r="AR13" s="1579" t="n">
        <v>7</v>
      </c>
      <c r="AS13" s="1579" t="n">
        <v>6</v>
      </c>
      <c r="AT13" s="1579" t="n">
        <v>5</v>
      </c>
      <c r="AU13" s="1580" t="n">
        <v>22</v>
      </c>
      <c r="AV13" s="1579" t="n">
        <v>6</v>
      </c>
      <c r="AW13" s="1579" t="n">
        <v>8</v>
      </c>
      <c r="AX13" s="1579" t="n">
        <v>6</v>
      </c>
      <c r="AY13" s="1579" t="n">
        <v>8</v>
      </c>
      <c r="AZ13" s="1580" t="n">
        <v>28</v>
      </c>
      <c r="BA13" s="1579" t="n">
        <v>7</v>
      </c>
      <c r="BB13" s="1579" t="n">
        <v>6</v>
      </c>
      <c r="BC13" s="1579" t="n">
        <v>9</v>
      </c>
      <c r="BD13" s="1579" t="n">
        <v>10</v>
      </c>
      <c r="BE13" s="1580" t="n">
        <v>32</v>
      </c>
      <c r="BF13" s="1579" t="n">
        <v>4</v>
      </c>
      <c r="BG13" s="1579" t="n">
        <v>11</v>
      </c>
      <c r="BH13" s="1579" t="n">
        <v>7</v>
      </c>
      <c r="BI13" s="1579" t="n">
        <v>6</v>
      </c>
      <c r="BJ13" s="1580" t="n">
        <v>28</v>
      </c>
      <c r="BK13" s="1579" t="n">
        <v>3</v>
      </c>
      <c r="BL13" s="1579" t="n">
        <v>4</v>
      </c>
      <c r="BM13" s="1579" t="n">
        <v>4</v>
      </c>
      <c r="BN13" s="1579" t="n">
        <v>5</v>
      </c>
      <c r="BO13" s="1591" t="n">
        <v>16</v>
      </c>
      <c r="BP13" s="1579" t="n">
        <v>8</v>
      </c>
      <c r="BQ13" s="1579" t="n">
        <v>8</v>
      </c>
      <c r="BR13" s="1579" t="n">
        <v>8</v>
      </c>
      <c r="BS13" s="1579" t="n">
        <v>8</v>
      </c>
      <c r="BT13" s="1577">
        <f>SUM(BP13,BQ13,BR13,BS13)</f>
        <v/>
      </c>
      <c r="BU13" s="1579" t="n">
        <v>8</v>
      </c>
      <c r="BV13" s="1579" t="n">
        <v>8</v>
      </c>
      <c r="BW13" s="1579" t="n">
        <v>8</v>
      </c>
      <c r="BX13" s="1579" t="n">
        <v>8</v>
      </c>
      <c r="BY13" s="1577">
        <f>SUM(BU13,BV13,BW13,BX13)</f>
        <v/>
      </c>
      <c r="BZ13" s="1580" t="n">
        <v>32</v>
      </c>
      <c r="CA13" s="1580" t="n">
        <v>32</v>
      </c>
      <c r="CB13" s="1580" t="n">
        <v>32</v>
      </c>
      <c r="CC13" s="1582" t="n"/>
    </row>
    <row r="14" ht="15" customFormat="1" customHeight="1" s="1574">
      <c r="A14" s="1590" t="inlineStr">
        <is>
          <t>KrF units sold, # of units</t>
        </is>
      </c>
      <c r="B14" s="1576" t="n"/>
      <c r="C14" s="1577" t="n"/>
      <c r="D14" s="1577" t="n"/>
      <c r="E14" s="1580" t="n">
        <v>87</v>
      </c>
      <c r="F14" s="1580" t="n">
        <v>78</v>
      </c>
      <c r="G14" s="1580" t="n">
        <v>64</v>
      </c>
      <c r="H14" s="1579" t="n">
        <v>17</v>
      </c>
      <c r="I14" s="1579" t="n">
        <v>2</v>
      </c>
      <c r="J14" s="1579" t="n">
        <v>10</v>
      </c>
      <c r="K14" s="1579" t="n">
        <v>10</v>
      </c>
      <c r="L14" s="1580" t="n">
        <v>38</v>
      </c>
      <c r="M14" s="1579" t="n">
        <v>16</v>
      </c>
      <c r="N14" s="1579" t="n">
        <v>14</v>
      </c>
      <c r="O14" s="1579" t="n">
        <v>24</v>
      </c>
      <c r="P14" s="1579" t="n">
        <v>20</v>
      </c>
      <c r="Q14" s="1580" t="n">
        <v>74</v>
      </c>
      <c r="R14" s="1579" t="n">
        <v>12</v>
      </c>
      <c r="S14" s="1579" t="n">
        <v>16</v>
      </c>
      <c r="T14" s="1579" t="n">
        <v>14</v>
      </c>
      <c r="U14" s="1579" t="n">
        <v>15</v>
      </c>
      <c r="V14" s="1580" t="n">
        <v>57</v>
      </c>
      <c r="W14" s="1579" t="n">
        <v>19</v>
      </c>
      <c r="X14" s="1579" t="n">
        <v>14</v>
      </c>
      <c r="Y14" s="1579" t="n">
        <v>18</v>
      </c>
      <c r="Z14" s="1579" t="n">
        <v>20</v>
      </c>
      <c r="AA14" s="1580" t="n">
        <v>71</v>
      </c>
      <c r="AB14" s="1579" t="n">
        <v>19</v>
      </c>
      <c r="AC14" s="1579" t="n">
        <v>19</v>
      </c>
      <c r="AD14" s="1579" t="n">
        <v>18</v>
      </c>
      <c r="AE14" s="1579" t="n">
        <v>22</v>
      </c>
      <c r="AF14" s="1580" t="n">
        <v>78</v>
      </c>
      <c r="AG14" s="1579" t="n">
        <v>14</v>
      </c>
      <c r="AH14" s="1579" t="n">
        <v>19</v>
      </c>
      <c r="AI14" s="1579" t="n">
        <v>14</v>
      </c>
      <c r="AJ14" s="1579" t="n">
        <v>18</v>
      </c>
      <c r="AK14" s="1580" t="n">
        <v>65</v>
      </c>
      <c r="AL14" s="1579" t="n">
        <v>22</v>
      </c>
      <c r="AM14" s="1579" t="n">
        <v>23</v>
      </c>
      <c r="AN14" s="1579" t="n">
        <v>23</v>
      </c>
      <c r="AO14" s="1579" t="n">
        <v>35</v>
      </c>
      <c r="AP14" s="1580" t="n">
        <v>103</v>
      </c>
      <c r="AQ14" s="1579" t="n">
        <v>35</v>
      </c>
      <c r="AR14" s="1579" t="n">
        <v>31</v>
      </c>
      <c r="AS14" s="1579" t="n">
        <v>30</v>
      </c>
      <c r="AT14" s="1579" t="n">
        <v>35</v>
      </c>
      <c r="AU14" s="1580" t="n">
        <v>131</v>
      </c>
      <c r="AV14" s="1579" t="n">
        <v>26</v>
      </c>
      <c r="AW14" s="1579" t="n">
        <v>38</v>
      </c>
      <c r="AX14" s="1579" t="n">
        <v>38</v>
      </c>
      <c r="AY14" s="1579" t="n">
        <v>49</v>
      </c>
      <c r="AZ14" s="1580" t="n">
        <v>151</v>
      </c>
      <c r="BA14" s="1579" t="n">
        <v>43</v>
      </c>
      <c r="BB14" s="1579" t="n">
        <v>43</v>
      </c>
      <c r="BC14" s="1579" t="n">
        <v>44</v>
      </c>
      <c r="BD14" s="1579" t="n">
        <v>54</v>
      </c>
      <c r="BE14" s="1580" t="n">
        <v>184</v>
      </c>
      <c r="BF14" s="1579" t="n">
        <v>25</v>
      </c>
      <c r="BG14" s="1579" t="n">
        <v>33</v>
      </c>
      <c r="BH14" s="1579" t="n">
        <v>42</v>
      </c>
      <c r="BI14" s="1579" t="n">
        <v>52</v>
      </c>
      <c r="BJ14" s="1580" t="n">
        <v>152</v>
      </c>
      <c r="BK14" s="1579" t="n">
        <v>22</v>
      </c>
      <c r="BL14" s="1579" t="n">
        <v>16</v>
      </c>
      <c r="BM14" s="1579" t="n">
        <v>11</v>
      </c>
      <c r="BN14" s="1579" t="n">
        <v>29</v>
      </c>
      <c r="BO14" s="1591" t="n">
        <v>78</v>
      </c>
      <c r="BP14" s="1579" t="n">
        <v>40</v>
      </c>
      <c r="BQ14" s="1579" t="n">
        <v>40</v>
      </c>
      <c r="BR14" s="1579" t="n">
        <v>40</v>
      </c>
      <c r="BS14" s="1579" t="n">
        <v>40</v>
      </c>
      <c r="BT14" s="1577">
        <f>SUM(BP14,BQ14,BR14,BS14)</f>
        <v/>
      </c>
      <c r="BU14" s="1579" t="n">
        <v>40</v>
      </c>
      <c r="BV14" s="1579" t="n">
        <v>40</v>
      </c>
      <c r="BW14" s="1579" t="n">
        <v>40</v>
      </c>
      <c r="BX14" s="1579" t="n">
        <v>40</v>
      </c>
      <c r="BY14" s="1577">
        <f>SUM(BU14,BV14,BW14,BX14)</f>
        <v/>
      </c>
      <c r="BZ14" s="1580" t="n">
        <v>160</v>
      </c>
      <c r="CA14" s="1580" t="n">
        <v>160</v>
      </c>
      <c r="CB14" s="1580" t="n">
        <v>160</v>
      </c>
      <c r="CC14" s="1582" t="n"/>
    </row>
    <row r="15" ht="15" customFormat="1" customHeight="1" s="1574">
      <c r="A15" s="1592" t="inlineStr">
        <is>
          <t>i-line units sold, # of units</t>
        </is>
      </c>
      <c r="B15" s="1593" t="n"/>
      <c r="C15" s="1594" t="n"/>
      <c r="D15" s="1594" t="n"/>
      <c r="E15" s="1595" t="n">
        <v>20</v>
      </c>
      <c r="F15" s="1595" t="n">
        <v>15</v>
      </c>
      <c r="G15" s="1595" t="n">
        <v>13</v>
      </c>
      <c r="H15" s="1596" t="n">
        <v>3</v>
      </c>
      <c r="I15" s="1596" t="n">
        <v>2</v>
      </c>
      <c r="J15" s="1596" t="n">
        <v>5</v>
      </c>
      <c r="K15" s="1596" t="n">
        <v>3</v>
      </c>
      <c r="L15" s="1595" t="n">
        <v>14</v>
      </c>
      <c r="M15" s="1596" t="n">
        <v>6</v>
      </c>
      <c r="N15" s="1596" t="n">
        <v>5</v>
      </c>
      <c r="O15" s="1596" t="n">
        <v>4</v>
      </c>
      <c r="P15" s="1596" t="n">
        <v>3</v>
      </c>
      <c r="Q15" s="1595" t="n">
        <v>18</v>
      </c>
      <c r="R15" s="1596" t="n">
        <v>4</v>
      </c>
      <c r="S15" s="1596" t="n">
        <v>7</v>
      </c>
      <c r="T15" s="1596" t="n">
        <v>5</v>
      </c>
      <c r="U15" s="1596" t="n">
        <v>4</v>
      </c>
      <c r="V15" s="1595" t="n">
        <v>20</v>
      </c>
      <c r="W15" s="1596" t="n">
        <v>3</v>
      </c>
      <c r="X15" s="1596" t="n">
        <v>7</v>
      </c>
      <c r="Y15" s="1596" t="n">
        <v>9</v>
      </c>
      <c r="Z15" s="1596" t="n">
        <v>7</v>
      </c>
      <c r="AA15" s="1595" t="n">
        <v>26</v>
      </c>
      <c r="AB15" s="1596" t="n">
        <v>5</v>
      </c>
      <c r="AC15" s="1596" t="n">
        <v>8</v>
      </c>
      <c r="AD15" s="1596" t="n">
        <v>5</v>
      </c>
      <c r="AE15" s="1596" t="n">
        <v>8</v>
      </c>
      <c r="AF15" s="1595" t="n">
        <v>26</v>
      </c>
      <c r="AG15" s="1596" t="n">
        <v>9</v>
      </c>
      <c r="AH15" s="1596" t="n">
        <v>6</v>
      </c>
      <c r="AI15" s="1596" t="n">
        <v>6</v>
      </c>
      <c r="AJ15" s="1596" t="n">
        <v>13</v>
      </c>
      <c r="AK15" s="1595" t="n">
        <v>34</v>
      </c>
      <c r="AL15" s="1596" t="n">
        <v>11</v>
      </c>
      <c r="AM15" s="1596" t="n">
        <v>7</v>
      </c>
      <c r="AN15" s="1596" t="n">
        <v>10</v>
      </c>
      <c r="AO15" s="1596" t="n">
        <v>6</v>
      </c>
      <c r="AP15" s="1595" t="n">
        <v>34</v>
      </c>
      <c r="AQ15" s="1596" t="n">
        <v>6</v>
      </c>
      <c r="AR15" s="1596" t="n">
        <v>9</v>
      </c>
      <c r="AS15" s="1596" t="n">
        <v>7</v>
      </c>
      <c r="AT15" s="1596" t="n">
        <v>11</v>
      </c>
      <c r="AU15" s="1595" t="n">
        <v>33</v>
      </c>
      <c r="AV15" s="1596" t="n">
        <v>9</v>
      </c>
      <c r="AW15" s="1596" t="n">
        <v>12</v>
      </c>
      <c r="AX15" s="1596" t="n">
        <v>10</v>
      </c>
      <c r="AY15" s="1596" t="n">
        <v>14</v>
      </c>
      <c r="AZ15" s="1595" t="n">
        <v>45</v>
      </c>
      <c r="BA15" s="1596" t="n">
        <v>8</v>
      </c>
      <c r="BB15" s="1596" t="n">
        <v>13</v>
      </c>
      <c r="BC15" s="1596" t="n">
        <v>16</v>
      </c>
      <c r="BD15" s="1596" t="n">
        <v>18</v>
      </c>
      <c r="BE15" s="1595" t="n">
        <v>55</v>
      </c>
      <c r="BF15" s="1596" t="n">
        <v>10</v>
      </c>
      <c r="BG15" s="1596" t="n">
        <v>16</v>
      </c>
      <c r="BH15" s="1596" t="n">
        <v>18</v>
      </c>
      <c r="BI15" s="1596" t="n">
        <v>21</v>
      </c>
      <c r="BJ15" s="1595" t="n">
        <v>65</v>
      </c>
      <c r="BK15" s="1596" t="n">
        <v>13</v>
      </c>
      <c r="BL15" s="1596" t="n">
        <v>14</v>
      </c>
      <c r="BM15" s="1596" t="n">
        <v>10</v>
      </c>
      <c r="BN15" s="1596" t="n">
        <v>17</v>
      </c>
      <c r="BO15" s="1597" t="n">
        <v>54</v>
      </c>
      <c r="BP15" s="1596" t="n">
        <v>8</v>
      </c>
      <c r="BQ15" s="1596" t="n">
        <v>8</v>
      </c>
      <c r="BR15" s="1596" t="n">
        <v>8</v>
      </c>
      <c r="BS15" s="1596" t="n">
        <v>8</v>
      </c>
      <c r="BT15" s="1594">
        <f>SUM(BP15,BQ15,BR15,BS15)</f>
        <v/>
      </c>
      <c r="BU15" s="1596" t="n">
        <v>8</v>
      </c>
      <c r="BV15" s="1596" t="n">
        <v>8</v>
      </c>
      <c r="BW15" s="1596" t="n">
        <v>8</v>
      </c>
      <c r="BX15" s="1596" t="n">
        <v>8</v>
      </c>
      <c r="BY15" s="1594">
        <f>SUM(BU15,BV15,BW15,BX15)</f>
        <v/>
      </c>
      <c r="BZ15" s="1595" t="n">
        <v>32</v>
      </c>
      <c r="CA15" s="1595" t="n">
        <v>32</v>
      </c>
      <c r="CB15" s="1595" t="n">
        <v>32</v>
      </c>
      <c r="CC15" s="1582" t="n"/>
    </row>
    <row r="16" ht="15" customFormat="1" customHeight="1" s="1598">
      <c r="A16" s="1599" t="inlineStr">
        <is>
          <t>Total net lithography systems sold, # of units</t>
        </is>
      </c>
      <c r="B16" s="1600" t="n"/>
      <c r="C16" s="1601" t="n">
        <v>70</v>
      </c>
      <c r="D16" s="1601" t="n">
        <v>197</v>
      </c>
      <c r="E16" s="1602">
        <f>SUM(E11:E15)</f>
        <v/>
      </c>
      <c r="F16" s="1602">
        <f>SUM(F11:F15)</f>
        <v/>
      </c>
      <c r="G16" s="1602">
        <f>SUM(G11:G15)</f>
        <v/>
      </c>
      <c r="H16" s="1603">
        <f>SUM(H11:H15)</f>
        <v/>
      </c>
      <c r="I16" s="1603">
        <f>SUM(I11:I15)</f>
        <v/>
      </c>
      <c r="J16" s="1603">
        <f>SUM(J11:J15)</f>
        <v/>
      </c>
      <c r="K16" s="1603">
        <f>SUM(K11:K15)</f>
        <v/>
      </c>
      <c r="L16" s="1602">
        <f>SUM(L11:L15)</f>
        <v/>
      </c>
      <c r="M16" s="1603">
        <f>SUM(M11:M15)</f>
        <v/>
      </c>
      <c r="N16" s="1603">
        <f>SUM(N11:N15)</f>
        <v/>
      </c>
      <c r="O16" s="1603">
        <f>SUM(O11:O15)</f>
        <v/>
      </c>
      <c r="P16" s="1603">
        <f>SUM(P11:P15)</f>
        <v/>
      </c>
      <c r="Q16" s="1602">
        <f>SUM(Q11:Q15)</f>
        <v/>
      </c>
      <c r="R16" s="1603">
        <f>SUM(R11:R15)</f>
        <v/>
      </c>
      <c r="S16" s="1603">
        <f>SUM(S11:S15)</f>
        <v/>
      </c>
      <c r="T16" s="1603">
        <f>SUM(T11:T15)</f>
        <v/>
      </c>
      <c r="U16" s="1603">
        <f>SUM(U11:U15)</f>
        <v/>
      </c>
      <c r="V16" s="1602">
        <f>SUM(V11:V15)</f>
        <v/>
      </c>
      <c r="W16" s="1603">
        <f>SUM(W11:W15)</f>
        <v/>
      </c>
      <c r="X16" s="1603">
        <f>SUM(X11:X15)</f>
        <v/>
      </c>
      <c r="Y16" s="1603">
        <f>SUM(Y11:Y15)</f>
        <v/>
      </c>
      <c r="Z16" s="1603">
        <f>SUM(Z11:Z15)</f>
        <v/>
      </c>
      <c r="AA16" s="1602">
        <f>SUM(AA11:AA15)</f>
        <v/>
      </c>
      <c r="AB16" s="1603">
        <f>SUM(AB11:AB15)</f>
        <v/>
      </c>
      <c r="AC16" s="1603">
        <f>SUM(AC11:AC15)</f>
        <v/>
      </c>
      <c r="AD16" s="1603">
        <f>SUM(AD11:AD15)</f>
        <v/>
      </c>
      <c r="AE16" s="1603">
        <f>SUM(AE11:AE15)</f>
        <v/>
      </c>
      <c r="AF16" s="1602">
        <f>SUM(AF11:AF15)</f>
        <v/>
      </c>
      <c r="AG16" s="1603">
        <f>SUM(AG11:AG15)</f>
        <v/>
      </c>
      <c r="AH16" s="1603">
        <f>SUM(AH11:AH15)</f>
        <v/>
      </c>
      <c r="AI16" s="1603">
        <f>SUM(AI11:AI15)</f>
        <v/>
      </c>
      <c r="AJ16" s="1603">
        <f>SUM(AJ11:AJ15)</f>
        <v/>
      </c>
      <c r="AK16" s="1602">
        <f>SUM(AK11:AK15)</f>
        <v/>
      </c>
      <c r="AL16" s="1603">
        <f>SUM(AL11:AL15)</f>
        <v/>
      </c>
      <c r="AM16" s="1603">
        <f>SUM(AM11:AM15)</f>
        <v/>
      </c>
      <c r="AN16" s="1603">
        <f>SUM(AN11:AN15)</f>
        <v/>
      </c>
      <c r="AO16" s="1603">
        <f>SUM(AO11:AO15)</f>
        <v/>
      </c>
      <c r="AP16" s="1602">
        <f>SUM(AP11:AP15)</f>
        <v/>
      </c>
      <c r="AQ16" s="1603">
        <f>SUM(AQ11:AQ15)</f>
        <v/>
      </c>
      <c r="AR16" s="1603">
        <f>SUM(AR11:AR15)</f>
        <v/>
      </c>
      <c r="AS16" s="1603">
        <f>SUM(AS11:AS15)</f>
        <v/>
      </c>
      <c r="AT16" s="1603">
        <f>SUM(AT11:AT15)</f>
        <v/>
      </c>
      <c r="AU16" s="1602">
        <f>SUM(AU11:AU15)</f>
        <v/>
      </c>
      <c r="AV16" s="1603">
        <f>SUM(AV11:AV15)</f>
        <v/>
      </c>
      <c r="AW16" s="1603">
        <f>SUM(AW11:AW15)</f>
        <v/>
      </c>
      <c r="AX16" s="1603">
        <f>SUM(AX11:AX15)</f>
        <v/>
      </c>
      <c r="AY16" s="1603">
        <f>SUM(AY11:AY15)</f>
        <v/>
      </c>
      <c r="AZ16" s="1602">
        <f>SUM(AZ11:AZ15)</f>
        <v/>
      </c>
      <c r="BA16" s="1603">
        <f>SUM(BA11:BA15)</f>
        <v/>
      </c>
      <c r="BB16" s="1603">
        <f>SUM(BB11:BB15)</f>
        <v/>
      </c>
      <c r="BC16" s="1603">
        <f>SUM(BC11:BC15)</f>
        <v/>
      </c>
      <c r="BD16" s="1603">
        <f>SUM(BD11:BD15)</f>
        <v/>
      </c>
      <c r="BE16" s="1602">
        <f>SUM(BE11:BE15)</f>
        <v/>
      </c>
      <c r="BF16" s="1603">
        <f>SUM(BF11:BF15)</f>
        <v/>
      </c>
      <c r="BG16" s="1603">
        <f>SUM(BG11:BG15)</f>
        <v/>
      </c>
      <c r="BH16" s="1603">
        <f>SUM(BH11:BH15)</f>
        <v/>
      </c>
      <c r="BI16" s="1603">
        <f>SUM(BI11:BI15)</f>
        <v/>
      </c>
      <c r="BJ16" s="1602">
        <f>SUM(BJ11:BJ15)</f>
        <v/>
      </c>
      <c r="BK16" s="1603">
        <f>SUM(BK11:BK15)</f>
        <v/>
      </c>
      <c r="BL16" s="1603">
        <f>SUM(BL11:BL15)</f>
        <v/>
      </c>
      <c r="BM16" s="1603">
        <f>SUM(BM11:BM15)</f>
        <v/>
      </c>
      <c r="BN16" s="1603">
        <f>SUM(BN11:BN15)</f>
        <v/>
      </c>
      <c r="BO16" s="1604">
        <f>SUM(BO11:BO15)</f>
        <v/>
      </c>
      <c r="BP16" s="1603">
        <f>SUM(BP11:BP15)</f>
        <v/>
      </c>
      <c r="BQ16" s="1603">
        <f>SUM(BQ11:BQ15)</f>
        <v/>
      </c>
      <c r="BR16" s="1603">
        <f>SUM(BR11:BR15)</f>
        <v/>
      </c>
      <c r="BS16" s="1603">
        <f>SUM(BS11:BS15)</f>
        <v/>
      </c>
      <c r="BT16" s="1602">
        <f>SUM(BT11:BT15)</f>
        <v/>
      </c>
      <c r="BU16" s="1603">
        <f>SUM(BU11:BU15)</f>
        <v/>
      </c>
      <c r="BV16" s="1603">
        <f>SUM(BV11:BV15)</f>
        <v/>
      </c>
      <c r="BW16" s="1603">
        <f>SUM(BW11:BW15)</f>
        <v/>
      </c>
      <c r="BX16" s="1603">
        <f>SUM(BX11:BX15)</f>
        <v/>
      </c>
      <c r="BY16" s="1602">
        <f>SUM(BY11:BY15)</f>
        <v/>
      </c>
      <c r="BZ16" s="1602">
        <f>SUM(BZ11:BZ15)</f>
        <v/>
      </c>
      <c r="CA16" s="1602">
        <f>SUM(CA11:CA15)</f>
        <v/>
      </c>
      <c r="CB16" s="1602">
        <f>SUM(CB11:CB15)</f>
        <v/>
      </c>
      <c r="CC16" s="1605" t="n"/>
    </row>
    <row r="17" ht="15" customFormat="1" customHeight="1" s="1574">
      <c r="A17" s="1606" t="inlineStr">
        <is>
          <t>Metrology &amp; Inspection units sold, # of units</t>
        </is>
      </c>
      <c r="B17" s="1593" t="n"/>
      <c r="C17" s="1594" t="n"/>
      <c r="D17" s="1594" t="n"/>
      <c r="E17" s="1594" t="n"/>
      <c r="F17" s="1594" t="n"/>
      <c r="G17" s="1594" t="n"/>
      <c r="H17" s="1607" t="n"/>
      <c r="I17" s="1607" t="n"/>
      <c r="J17" s="1607" t="n"/>
      <c r="K17" s="1607" t="n"/>
      <c r="L17" s="1594" t="n"/>
      <c r="M17" s="1607" t="n"/>
      <c r="N17" s="1607" t="n"/>
      <c r="O17" s="1607" t="n"/>
      <c r="P17" s="1607" t="n"/>
      <c r="Q17" s="1595" t="n">
        <v>45</v>
      </c>
      <c r="R17" s="1607" t="n"/>
      <c r="S17" s="1607" t="n"/>
      <c r="T17" s="1607" t="n"/>
      <c r="U17" s="1607" t="n"/>
      <c r="V17" s="1595" t="n">
        <v>55</v>
      </c>
      <c r="W17" s="1607" t="n"/>
      <c r="X17" s="1607" t="n"/>
      <c r="Y17" s="1607" t="n"/>
      <c r="Z17" s="1607" t="n"/>
      <c r="AA17" s="1595" t="n">
        <v>95</v>
      </c>
      <c r="AB17" s="1607" t="n"/>
      <c r="AC17" s="1607" t="n"/>
      <c r="AD17" s="1607" t="n"/>
      <c r="AE17" s="1607" t="n"/>
      <c r="AF17" s="1595" t="n">
        <v>114</v>
      </c>
      <c r="AG17" s="1607" t="n"/>
      <c r="AH17" s="1607" t="n"/>
      <c r="AI17" s="1607" t="n"/>
      <c r="AJ17" s="1607" t="n"/>
      <c r="AK17" s="1595" t="n">
        <v>115</v>
      </c>
      <c r="AL17" s="1607" t="n"/>
      <c r="AM17" s="1607" t="n"/>
      <c r="AN17" s="1607" t="n"/>
      <c r="AO17" s="1607" t="n"/>
      <c r="AP17" s="1595" t="n">
        <v>137</v>
      </c>
      <c r="AQ17" s="1607" t="n"/>
      <c r="AR17" s="1607" t="n"/>
      <c r="AS17" s="1607" t="n"/>
      <c r="AT17" s="1607" t="n"/>
      <c r="AU17" s="1595" t="n">
        <v>196</v>
      </c>
      <c r="AV17" s="1607" t="n"/>
      <c r="AW17" s="1607" t="n"/>
      <c r="AX17" s="1607" t="n"/>
      <c r="AY17" s="1607" t="n"/>
      <c r="AZ17" s="1595" t="n">
        <v>216</v>
      </c>
      <c r="BA17" s="1596" t="n">
        <v>37</v>
      </c>
      <c r="BB17" s="1596" t="n">
        <v>37</v>
      </c>
      <c r="BC17" s="1596" t="n">
        <v>37</v>
      </c>
      <c r="BD17" s="1607">
        <f>BE17-SUM(BA17,BB17,BC17)</f>
        <v/>
      </c>
      <c r="BE17" s="1595" t="n">
        <v>151</v>
      </c>
      <c r="BF17" s="1596" t="n">
        <v>40</v>
      </c>
      <c r="BG17" s="1596" t="n">
        <v>40</v>
      </c>
      <c r="BH17" s="1596" t="n">
        <v>40</v>
      </c>
      <c r="BI17" s="1607">
        <f>BJ17-SUM(BF17,BG17,BH17)</f>
        <v/>
      </c>
      <c r="BJ17" s="1595" t="n">
        <v>165</v>
      </c>
      <c r="BK17" s="1596" t="n">
        <v>45</v>
      </c>
      <c r="BL17" s="1596" t="n">
        <v>45</v>
      </c>
      <c r="BM17" s="1596" t="n">
        <v>45</v>
      </c>
      <c r="BN17" s="1607">
        <f>BO17-SUM(BK17,BL17,BM17)</f>
        <v/>
      </c>
      <c r="BO17" s="1597" t="n">
        <v>180</v>
      </c>
      <c r="BP17" s="1596" t="n">
        <v>50</v>
      </c>
      <c r="BQ17" s="1596" t="n">
        <v>50</v>
      </c>
      <c r="BR17" s="1596" t="n">
        <v>50</v>
      </c>
      <c r="BS17" s="1596" t="n">
        <v>50</v>
      </c>
      <c r="BT17" s="1594">
        <f>IF(OR(ISBLANK(BP17),ISBLANK(BQ17),ISBLANK(BR17),ISBLANK(BS17)),"n/a",SUM(BP17,BQ17,BR17,BS17))</f>
        <v/>
      </c>
      <c r="BU17" s="1596" t="n">
        <v>50</v>
      </c>
      <c r="BV17" s="1596" t="n">
        <v>50</v>
      </c>
      <c r="BW17" s="1596" t="n">
        <v>50</v>
      </c>
      <c r="BX17" s="1596" t="n">
        <v>50</v>
      </c>
      <c r="BY17" s="1594">
        <f>IF(OR(ISBLANK(BU17),ISBLANK(BV17),ISBLANK(BW17),ISBLANK(BX17)),"n/a",SUM(BU17,BV17,BW17,BX17))</f>
        <v/>
      </c>
      <c r="BZ17" s="1595" t="n">
        <v>200</v>
      </c>
      <c r="CA17" s="1595" t="n">
        <v>200</v>
      </c>
      <c r="CB17" s="1595" t="n">
        <v>200</v>
      </c>
      <c r="CC17" s="1582" t="n"/>
    </row>
    <row r="18" ht="15" customFormat="1" customHeight="1" s="1598">
      <c r="A18" s="1608" t="inlineStr">
        <is>
          <t>Total net system sold, # of units</t>
        </is>
      </c>
      <c r="B18" s="1609" t="n"/>
      <c r="C18" s="1610" t="n"/>
      <c r="D18" s="1610" t="n"/>
      <c r="E18" s="1610" t="n"/>
      <c r="F18" s="1610" t="n"/>
      <c r="G18" s="1610" t="n"/>
      <c r="H18" s="1611" t="n"/>
      <c r="I18" s="1611" t="n"/>
      <c r="J18" s="1611" t="n"/>
      <c r="K18" s="1611" t="n"/>
      <c r="L18" s="1610" t="n"/>
      <c r="M18" s="1611" t="n"/>
      <c r="N18" s="1611" t="n"/>
      <c r="O18" s="1611" t="n"/>
      <c r="P18" s="1611" t="n"/>
      <c r="Q18" s="1610">
        <f>Q16+Q17</f>
        <v/>
      </c>
      <c r="R18" s="1611" t="n"/>
      <c r="S18" s="1611" t="n"/>
      <c r="T18" s="1611" t="n"/>
      <c r="U18" s="1611" t="n"/>
      <c r="V18" s="1610">
        <f>V16+V17</f>
        <v/>
      </c>
      <c r="W18" s="1611" t="n"/>
      <c r="X18" s="1611" t="n"/>
      <c r="Y18" s="1611" t="n"/>
      <c r="Z18" s="1611" t="n"/>
      <c r="AA18" s="1610">
        <f>AA16+AA17</f>
        <v/>
      </c>
      <c r="AB18" s="1611" t="n"/>
      <c r="AC18" s="1611" t="n"/>
      <c r="AD18" s="1611" t="n"/>
      <c r="AE18" s="1611" t="n"/>
      <c r="AF18" s="1610">
        <f>AF16+AF17</f>
        <v/>
      </c>
      <c r="AG18" s="1611" t="n"/>
      <c r="AH18" s="1611" t="n"/>
      <c r="AI18" s="1611" t="n"/>
      <c r="AJ18" s="1611" t="n"/>
      <c r="AK18" s="1610">
        <f>AK16+AK17</f>
        <v/>
      </c>
      <c r="AL18" s="1611" t="n"/>
      <c r="AM18" s="1611" t="n"/>
      <c r="AN18" s="1611" t="n"/>
      <c r="AO18" s="1611" t="n"/>
      <c r="AP18" s="1610">
        <f>AP16+AP17</f>
        <v/>
      </c>
      <c r="AQ18" s="1611" t="n"/>
      <c r="AR18" s="1611" t="n"/>
      <c r="AS18" s="1611" t="n"/>
      <c r="AT18" s="1611" t="n"/>
      <c r="AU18" s="1610">
        <f>AU16+AU17</f>
        <v/>
      </c>
      <c r="AV18" s="1611" t="n"/>
      <c r="AW18" s="1611" t="n"/>
      <c r="AX18" s="1611" t="n"/>
      <c r="AY18" s="1611" t="n"/>
      <c r="AZ18" s="1610">
        <f>AZ16+AZ17</f>
        <v/>
      </c>
      <c r="BA18" s="1611">
        <f>BA16+BA17</f>
        <v/>
      </c>
      <c r="BB18" s="1611">
        <f>BB16+BB17</f>
        <v/>
      </c>
      <c r="BC18" s="1611">
        <f>BC16+BC17</f>
        <v/>
      </c>
      <c r="BD18" s="1611">
        <f>BD16+BD17</f>
        <v/>
      </c>
      <c r="BE18" s="1610">
        <f>BE16+BE17</f>
        <v/>
      </c>
      <c r="BF18" s="1611">
        <f>BF16+BF17</f>
        <v/>
      </c>
      <c r="BG18" s="1611">
        <f>BG16+BG17</f>
        <v/>
      </c>
      <c r="BH18" s="1611">
        <f>BH16+BH17</f>
        <v/>
      </c>
      <c r="BI18" s="1611">
        <f>BI16+BI17</f>
        <v/>
      </c>
      <c r="BJ18" s="1610">
        <f>BJ16+BJ17</f>
        <v/>
      </c>
      <c r="BK18" s="1611">
        <f>BK16+BK17</f>
        <v/>
      </c>
      <c r="BL18" s="1611">
        <f>BL16+BL17</f>
        <v/>
      </c>
      <c r="BM18" s="1611">
        <f>BM16+BM17</f>
        <v/>
      </c>
      <c r="BN18" s="1611">
        <f>BN16+BN17</f>
        <v/>
      </c>
      <c r="BO18" s="1612">
        <f>BO16+BO17</f>
        <v/>
      </c>
      <c r="BP18" s="1611">
        <f>BP16+BP17</f>
        <v/>
      </c>
      <c r="BQ18" s="1611">
        <f>BQ16+BQ17</f>
        <v/>
      </c>
      <c r="BR18" s="1611">
        <f>BR16+BR17</f>
        <v/>
      </c>
      <c r="BS18" s="1611">
        <f>BS16+BS17</f>
        <v/>
      </c>
      <c r="BT18" s="1610">
        <f>BT16+BT17</f>
        <v/>
      </c>
      <c r="BU18" s="1611">
        <f>BU16+BU17</f>
        <v/>
      </c>
      <c r="BV18" s="1611">
        <f>BV16+BV17</f>
        <v/>
      </c>
      <c r="BW18" s="1611">
        <f>BW16+BW17</f>
        <v/>
      </c>
      <c r="BX18" s="1611">
        <f>BX16+BX17</f>
        <v/>
      </c>
      <c r="BY18" s="1610">
        <f>BY16+BY17</f>
        <v/>
      </c>
      <c r="BZ18" s="1610">
        <f>BZ16+BZ17</f>
        <v/>
      </c>
      <c r="CA18" s="1610">
        <f>CA16+CA17</f>
        <v/>
      </c>
      <c r="CB18" s="1610">
        <f>CB16+CB17</f>
        <v/>
      </c>
      <c r="CC18" s="1605" t="n"/>
    </row>
    <row r="19" ht="15" customFormat="1" customHeight="1" s="1598">
      <c r="A19" s="1613" t="n"/>
      <c r="B19" s="1600" t="n"/>
      <c r="C19" s="1602" t="n"/>
      <c r="D19" s="1602" t="n"/>
      <c r="E19" s="1602" t="n"/>
      <c r="F19" s="1602" t="n"/>
      <c r="G19" s="1602" t="n"/>
      <c r="H19" s="1603" t="n"/>
      <c r="I19" s="1603" t="n"/>
      <c r="J19" s="1603" t="n"/>
      <c r="K19" s="1603" t="n"/>
      <c r="L19" s="1602" t="n"/>
      <c r="M19" s="1603" t="n"/>
      <c r="N19" s="1603" t="n"/>
      <c r="O19" s="1603" t="n"/>
      <c r="P19" s="1603" t="n"/>
      <c r="Q19" s="1602" t="n"/>
      <c r="R19" s="1603" t="n"/>
      <c r="S19" s="1603" t="n"/>
      <c r="T19" s="1603" t="n"/>
      <c r="U19" s="1603" t="n"/>
      <c r="V19" s="1602" t="n"/>
      <c r="W19" s="1603" t="n"/>
      <c r="X19" s="1603" t="n"/>
      <c r="Y19" s="1603" t="n"/>
      <c r="Z19" s="1603" t="n"/>
      <c r="AA19" s="1602" t="n"/>
      <c r="AB19" s="1603" t="n"/>
      <c r="AC19" s="1603" t="n"/>
      <c r="AD19" s="1603" t="n"/>
      <c r="AE19" s="1603" t="n"/>
      <c r="AF19" s="1602" t="n"/>
      <c r="AG19" s="1603" t="n"/>
      <c r="AH19" s="1603" t="n"/>
      <c r="AI19" s="1603" t="n"/>
      <c r="AJ19" s="1603" t="n"/>
      <c r="AK19" s="1602" t="n"/>
      <c r="AL19" s="1603" t="n"/>
      <c r="AM19" s="1603" t="n"/>
      <c r="AN19" s="1603" t="n"/>
      <c r="AO19" s="1603" t="n"/>
      <c r="AP19" s="1602" t="n"/>
      <c r="AQ19" s="1603" t="n"/>
      <c r="AR19" s="1603" t="n"/>
      <c r="AS19" s="1603" t="n"/>
      <c r="AT19" s="1603" t="n"/>
      <c r="AU19" s="1602" t="n"/>
      <c r="AV19" s="1603" t="n"/>
      <c r="AW19" s="1603" t="n"/>
      <c r="AX19" s="1603" t="n"/>
      <c r="AY19" s="1603" t="n"/>
      <c r="AZ19" s="1602" t="n"/>
      <c r="BA19" s="1603" t="n"/>
      <c r="BB19" s="1603" t="n"/>
      <c r="BC19" s="1603" t="n"/>
      <c r="BD19" s="1603" t="n"/>
      <c r="BE19" s="1602" t="n"/>
      <c r="BF19" s="1603" t="n"/>
      <c r="BG19" s="1603" t="n"/>
      <c r="BH19" s="1603" t="n"/>
      <c r="BI19" s="1603" t="n"/>
      <c r="BJ19" s="1602" t="n"/>
      <c r="BK19" s="1603" t="n"/>
      <c r="BL19" s="1603" t="n"/>
      <c r="BM19" s="1603" t="n"/>
      <c r="BN19" s="1603" t="n"/>
      <c r="BO19" s="1604" t="n"/>
      <c r="BP19" s="1603" t="n"/>
      <c r="BQ19" s="1603" t="n"/>
      <c r="BR19" s="1603" t="n"/>
      <c r="BS19" s="1603" t="n"/>
      <c r="BT19" s="1602" t="n"/>
      <c r="BU19" s="1603" t="n"/>
      <c r="BV19" s="1603" t="n"/>
      <c r="BW19" s="1603" t="n"/>
      <c r="BX19" s="1603" t="n"/>
      <c r="BY19" s="1602" t="n"/>
      <c r="BZ19" s="1602" t="n"/>
      <c r="CA19" s="1602" t="n"/>
      <c r="CB19" s="1602" t="n"/>
      <c r="CC19" s="1605" t="n"/>
    </row>
    <row r="20" ht="15" customFormat="1" customHeight="1" s="1614">
      <c r="A20" s="1615" t="inlineStr">
        <is>
          <t>EUV unit price, 000 EUR/unit</t>
        </is>
      </c>
      <c r="B20" s="1616" t="n"/>
      <c r="C20" s="1617" t="n"/>
      <c r="D20" s="1617" t="n"/>
      <c r="E20" s="1617">
        <f>IFERROR(+E33*1000/E11,"n/a")</f>
        <v/>
      </c>
      <c r="F20" s="1617">
        <f>IFERROR(+F33*1000/F11,"n/a")</f>
        <v/>
      </c>
      <c r="G20" s="1617">
        <f>IFERROR(+G33*1000/G11,"n/a")</f>
        <v/>
      </c>
      <c r="H20" s="1618">
        <f>IFERROR(+H33*1000/H11,"n/a")</f>
        <v/>
      </c>
      <c r="I20" s="1618">
        <f>IFERROR(+I33*1000/I11,"n/a")</f>
        <v/>
      </c>
      <c r="J20" s="1618">
        <f>IFERROR(+J33*1000/J11,"n/a")</f>
        <v/>
      </c>
      <c r="K20" s="1618">
        <f>IFERROR(+K33*1000/K11,"n/a")</f>
        <v/>
      </c>
      <c r="L20" s="1617">
        <f>IFERROR(+L33*1000/L11,"n/a")</f>
        <v/>
      </c>
      <c r="M20" s="1618">
        <f>IFERROR(+M33*1000/M11,"n/a")</f>
        <v/>
      </c>
      <c r="N20" s="1618">
        <f>IFERROR(+N33*1000/N11,"n/a")</f>
        <v/>
      </c>
      <c r="O20" s="1618">
        <f>IFERROR(+O33*1000/O11,"n/a")</f>
        <v/>
      </c>
      <c r="P20" s="1618">
        <f>IFERROR(+P33*1000/P11,"n/a")</f>
        <v/>
      </c>
      <c r="Q20" s="1617">
        <f>IFERROR(+Q33*1000/Q11,"n/a")</f>
        <v/>
      </c>
      <c r="R20" s="1618">
        <f>IFERROR(+R33*1000/R11,"n/a")</f>
        <v/>
      </c>
      <c r="S20" s="1618">
        <f>IFERROR(+S33*1000/S11,"n/a")</f>
        <v/>
      </c>
      <c r="T20" s="1618">
        <f>IFERROR(+T33*1000/T11,"n/a")</f>
        <v/>
      </c>
      <c r="U20" s="1618">
        <f>IFERROR(+U33*1000/U11,"n/a")</f>
        <v/>
      </c>
      <c r="V20" s="1617">
        <f>IFERROR(+V33*1000/V11,"n/a")</f>
        <v/>
      </c>
      <c r="W20" s="1618">
        <f>IFERROR(+W33*1000/W11,"n/a")</f>
        <v/>
      </c>
      <c r="X20" s="1618">
        <f>IFERROR(+X33*1000/X11,"n/a")</f>
        <v/>
      </c>
      <c r="Y20" s="1618">
        <f>IFERROR(+Y33*1000/Y11,"n/a")</f>
        <v/>
      </c>
      <c r="Z20" s="1618">
        <f>IFERROR(+Z33*1000/Z11,"n/a")</f>
        <v/>
      </c>
      <c r="AA20" s="1617">
        <f>IFERROR(+AA33*1000/AA11,"n/a")</f>
        <v/>
      </c>
      <c r="AB20" s="1618">
        <f>IFERROR(+AB33*1000/AB11,"n/a")</f>
        <v/>
      </c>
      <c r="AC20" s="1618">
        <f>IFERROR(+AC33*1000/AC11,"n/a")</f>
        <v/>
      </c>
      <c r="AD20" s="1618">
        <f>IFERROR(+AD33*1000/AD11,"n/a")</f>
        <v/>
      </c>
      <c r="AE20" s="1618">
        <f>IFERROR(+AE33*1000/AE11,"n/a")</f>
        <v/>
      </c>
      <c r="AF20" s="1617">
        <f>IFERROR(+AF33*1000/AF11,"n/a")</f>
        <v/>
      </c>
      <c r="AG20" s="1618">
        <f>IFERROR(+AG33*1000/AG11,"n/a")</f>
        <v/>
      </c>
      <c r="AH20" s="1618">
        <f>IFERROR(+AH33*1000/AH11,"n/a")</f>
        <v/>
      </c>
      <c r="AI20" s="1618">
        <f>IFERROR(+AI33*1000/AI11,"n/a")</f>
        <v/>
      </c>
      <c r="AJ20" s="1618">
        <f>IFERROR(+AJ33*1000/AJ11,"n/a")</f>
        <v/>
      </c>
      <c r="AK20" s="1617">
        <f>IFERROR(+AK33*1000/AK11,"n/a")</f>
        <v/>
      </c>
      <c r="AL20" s="1618">
        <f>IFERROR(+AL33*1000/AL11,"n/a")</f>
        <v/>
      </c>
      <c r="AM20" s="1618">
        <f>IFERROR(+AM33*1000/AM11,"n/a")</f>
        <v/>
      </c>
      <c r="AN20" s="1618">
        <f>IFERROR(+AN33*1000/AN11,"n/a")</f>
        <v/>
      </c>
      <c r="AO20" s="1618">
        <f>IFERROR(+AO33*1000/AO11,"n/a")</f>
        <v/>
      </c>
      <c r="AP20" s="1617">
        <f>IFERROR(+AP33*1000/AP11,"n/a")</f>
        <v/>
      </c>
      <c r="AQ20" s="1618">
        <f>IFERROR(+AQ33*1000/AQ11,"n/a")</f>
        <v/>
      </c>
      <c r="AR20" s="1618">
        <f>IFERROR(+AR33*1000/AR11,"n/a")</f>
        <v/>
      </c>
      <c r="AS20" s="1618">
        <f>IFERROR(+AS33*1000/AS11,"n/a")</f>
        <v/>
      </c>
      <c r="AT20" s="1618">
        <f>IFERROR(+AT33*1000/AT11,"n/a")</f>
        <v/>
      </c>
      <c r="AU20" s="1617">
        <f>IFERROR(+AU33*1000/AU11,"n/a")</f>
        <v/>
      </c>
      <c r="AV20" s="1618">
        <f>IFERROR(+AV33*1000/AV11,"n/a")</f>
        <v/>
      </c>
      <c r="AW20" s="1618">
        <f>IFERROR(+AW33*1000/AW11,"n/a")</f>
        <v/>
      </c>
      <c r="AX20" s="1618">
        <f>IFERROR(+AX33*1000/AX11,"n/a")</f>
        <v/>
      </c>
      <c r="AY20" s="1618">
        <f>IFERROR(+AY33*1000/AY11,"n/a")</f>
        <v/>
      </c>
      <c r="AZ20" s="1617">
        <f>IFERROR(+AZ33*1000/AZ11,"n/a")</f>
        <v/>
      </c>
      <c r="BA20" s="1618">
        <f>IFERROR(+BA33*1000/BA11,"n/a")</f>
        <v/>
      </c>
      <c r="BB20" s="1618">
        <f>IFERROR(+BB33*1000/BB11,"n/a")</f>
        <v/>
      </c>
      <c r="BC20" s="1618">
        <f>IFERROR(+BC33*1000/BC11,"n/a")</f>
        <v/>
      </c>
      <c r="BD20" s="1618">
        <f>IFERROR(+BD33*1000/BD11,"n/a")</f>
        <v/>
      </c>
      <c r="BE20" s="1617">
        <f>IFERROR(+BE33*1000/BE11,"n/a")</f>
        <v/>
      </c>
      <c r="BF20" s="1618">
        <f>IFERROR(+BF33*1000/BF11,"n/a")</f>
        <v/>
      </c>
      <c r="BG20" s="1618">
        <f>IFERROR(+BG33*1000/BG11,"n/a")</f>
        <v/>
      </c>
      <c r="BH20" s="1618">
        <f>IFERROR(+BH33*1000/BH11,"n/a")</f>
        <v/>
      </c>
      <c r="BI20" s="1618">
        <f>IFERROR(+BI33*1000/BI11,"n/a")</f>
        <v/>
      </c>
      <c r="BJ20" s="1617">
        <f>IFERROR(+BJ33*1000/BJ11,"n/a")</f>
        <v/>
      </c>
      <c r="BK20" s="1618">
        <f>IFERROR(+BK33*1000/BK11,"n/a")</f>
        <v/>
      </c>
      <c r="BL20" s="1618">
        <f>IFERROR(+BL33*1000/BL11,"n/a")</f>
        <v/>
      </c>
      <c r="BM20" s="1618">
        <f>IFERROR(+BM33*1000/BM11,"n/a")</f>
        <v/>
      </c>
      <c r="BN20" s="1618">
        <f>IFERROR(+BN33*1000/BN11,"n/a")</f>
        <v/>
      </c>
      <c r="BO20" s="1619">
        <f>IFERROR(+BO33*1000/BO11,"n/a")</f>
        <v/>
      </c>
      <c r="BP20" s="1618">
        <f>BK20*(1+BP21)</f>
        <v/>
      </c>
      <c r="BQ20" s="1618">
        <f>BL20*(1+BQ21)</f>
        <v/>
      </c>
      <c r="BR20" s="1618">
        <f>BM20*(1+BR21)</f>
        <v/>
      </c>
      <c r="BS20" s="1618">
        <f>BN20*(1+BS21)</f>
        <v/>
      </c>
      <c r="BT20" s="1617">
        <f>IFERROR(+BT33*1000/BT11,"n/a")</f>
        <v/>
      </c>
      <c r="BU20" s="1618">
        <f>BP20*(1+BU21)</f>
        <v/>
      </c>
      <c r="BV20" s="1618">
        <f>BQ20*(1+BV21)</f>
        <v/>
      </c>
      <c r="BW20" s="1618">
        <f>BR20*(1+BW21)</f>
        <v/>
      </c>
      <c r="BX20" s="1618">
        <f>BS20*(1+BX21)</f>
        <v/>
      </c>
      <c r="BY20" s="1617">
        <f>IFERROR(+BY33*1000/BY11,"n/a")</f>
        <v/>
      </c>
      <c r="BZ20" s="1617">
        <f>BY20*(1+BZ21)</f>
        <v/>
      </c>
      <c r="CA20" s="1617">
        <f>BZ20*(1+CA21)</f>
        <v/>
      </c>
      <c r="CB20" s="1617">
        <f>CA20*(1+CB21)</f>
        <v/>
      </c>
      <c r="CC20" s="1620" t="n"/>
    </row>
    <row r="21" ht="15" customFormat="1" customHeight="1" s="602">
      <c r="A21" s="94" t="inlineStr">
        <is>
          <t>Y/Y EUV unit price growth, %</t>
        </is>
      </c>
      <c r="B21" s="406" t="n"/>
      <c r="C21" s="1249" t="n"/>
      <c r="D21" s="1249" t="n"/>
      <c r="E21" s="1249" t="n"/>
      <c r="F21" s="1249">
        <f>F20/E20-1</f>
        <v/>
      </c>
      <c r="G21" s="1249">
        <f>G20/F20-1</f>
        <v/>
      </c>
      <c r="H21" s="672" t="n"/>
      <c r="I21" s="672" t="n"/>
      <c r="J21" s="672" t="n"/>
      <c r="K21" s="672" t="n"/>
      <c r="L21" s="1249">
        <f>L20/G20-1</f>
        <v/>
      </c>
      <c r="M21" s="672" t="n"/>
      <c r="N21" s="672">
        <f>N20/I20-1</f>
        <v/>
      </c>
      <c r="O21" s="672" t="n"/>
      <c r="P21" s="672" t="n"/>
      <c r="Q21" s="1249">
        <f>Q20/L20-1</f>
        <v/>
      </c>
      <c r="R21" s="672" t="n"/>
      <c r="S21" s="672">
        <f>S20/N20-1</f>
        <v/>
      </c>
      <c r="T21" s="672" t="n"/>
      <c r="U21" s="672" t="n"/>
      <c r="V21" s="1249">
        <f>V20/Q20-1</f>
        <v/>
      </c>
      <c r="W21" s="672" t="n"/>
      <c r="X21" s="672">
        <f>X20/S20-1</f>
        <v/>
      </c>
      <c r="Y21" s="672">
        <f>Y20/T20-1</f>
        <v/>
      </c>
      <c r="Z21" s="672">
        <f>Z20/U20-1</f>
        <v/>
      </c>
      <c r="AA21" s="1249">
        <f>AA20/V20-1</f>
        <v/>
      </c>
      <c r="AB21" s="672" t="n"/>
      <c r="AC21" s="672">
        <f>AC20/X20-1</f>
        <v/>
      </c>
      <c r="AD21" s="672">
        <f>AD20/Y20-1</f>
        <v/>
      </c>
      <c r="AE21" s="672">
        <f>AE20/Z20-1</f>
        <v/>
      </c>
      <c r="AF21" s="1249">
        <f>AF20/AA20-1</f>
        <v/>
      </c>
      <c r="AG21" s="672">
        <f>AG20/AB20-1</f>
        <v/>
      </c>
      <c r="AH21" s="672">
        <f>AH20/AC20-1</f>
        <v/>
      </c>
      <c r="AI21" s="672">
        <f>AI20/AD20-1</f>
        <v/>
      </c>
      <c r="AJ21" s="672">
        <f>AJ20/AE20-1</f>
        <v/>
      </c>
      <c r="AK21" s="1249">
        <f>AK20/AF20-1</f>
        <v/>
      </c>
      <c r="AL21" s="672">
        <f>AL20/AG20-1</f>
        <v/>
      </c>
      <c r="AM21" s="672">
        <f>AM20/AH20-1</f>
        <v/>
      </c>
      <c r="AN21" s="672">
        <f>AN20/AI20-1</f>
        <v/>
      </c>
      <c r="AO21" s="672">
        <f>AO20/AJ20-1</f>
        <v/>
      </c>
      <c r="AP21" s="1249">
        <f>AP20/AK20-1</f>
        <v/>
      </c>
      <c r="AQ21" s="672">
        <f>AQ20/AL20-1</f>
        <v/>
      </c>
      <c r="AR21" s="672">
        <f>AR20/AM20-1</f>
        <v/>
      </c>
      <c r="AS21" s="672">
        <f>AS20/AN20-1</f>
        <v/>
      </c>
      <c r="AT21" s="672">
        <f>AT20/AO20-1</f>
        <v/>
      </c>
      <c r="AU21" s="1249">
        <f>AU20/AP20-1</f>
        <v/>
      </c>
      <c r="AV21" s="672">
        <f>AV20/AQ20-1</f>
        <v/>
      </c>
      <c r="AW21" s="672">
        <f>AW20/AR20-1</f>
        <v/>
      </c>
      <c r="AX21" s="672">
        <f>AX20/AS20-1</f>
        <v/>
      </c>
      <c r="AY21" s="672">
        <f>AY20/AT20-1</f>
        <v/>
      </c>
      <c r="AZ21" s="1249">
        <f>AZ20/AU20-1</f>
        <v/>
      </c>
      <c r="BA21" s="672">
        <f>BA20/AV20-1</f>
        <v/>
      </c>
      <c r="BB21" s="672">
        <f>BB20/AW20-1</f>
        <v/>
      </c>
      <c r="BC21" s="672">
        <f>BC20/AX20-1</f>
        <v/>
      </c>
      <c r="BD21" s="672">
        <f>BD20/AY20-1</f>
        <v/>
      </c>
      <c r="BE21" s="1249">
        <f>BE20/AZ20-1</f>
        <v/>
      </c>
      <c r="BF21" s="672">
        <f>BF20/BA20-1</f>
        <v/>
      </c>
      <c r="BG21" s="672">
        <f>BG20/BB20-1</f>
        <v/>
      </c>
      <c r="BH21" s="672">
        <f>BH20/BC20-1</f>
        <v/>
      </c>
      <c r="BI21" s="672">
        <f>BI20/BD20-1</f>
        <v/>
      </c>
      <c r="BJ21" s="1249">
        <f>BJ20/BE20-1</f>
        <v/>
      </c>
      <c r="BK21" s="672">
        <f>BK20/BF20-1</f>
        <v/>
      </c>
      <c r="BL21" s="672">
        <f>BL20/BG20-1</f>
        <v/>
      </c>
      <c r="BM21" s="672">
        <f>BM20/BH20-1</f>
        <v/>
      </c>
      <c r="BN21" s="672">
        <f>BN20/BI20-1</f>
        <v/>
      </c>
      <c r="BO21" s="1248">
        <f>BO20/BJ20-1</f>
        <v/>
      </c>
      <c r="BP21" s="1121" t="n">
        <v>0.1</v>
      </c>
      <c r="BQ21" s="1121" t="n">
        <v>0.2</v>
      </c>
      <c r="BR21" s="1121" t="n">
        <v>0.2</v>
      </c>
      <c r="BS21" s="1121" t="n">
        <v>0.2</v>
      </c>
      <c r="BT21" s="1249">
        <f>BT20/BO20-1</f>
        <v/>
      </c>
      <c r="BU21" s="1121" t="n">
        <v>0.15</v>
      </c>
      <c r="BV21" s="1121" t="n">
        <v>0.1</v>
      </c>
      <c r="BW21" s="1121" t="n">
        <v>0.1</v>
      </c>
      <c r="BX21" s="1121" t="n">
        <v>0.1</v>
      </c>
      <c r="BY21" s="1249">
        <f>BY20/BT20-1</f>
        <v/>
      </c>
      <c r="BZ21" s="1251" t="n">
        <v>0.2</v>
      </c>
      <c r="CA21" s="1251" t="n">
        <v>0.05</v>
      </c>
      <c r="CB21" s="1251" t="n">
        <v>0.05</v>
      </c>
      <c r="CC21" s="715" t="n"/>
    </row>
    <row r="22" ht="15" customFormat="1" customHeight="1" s="1614">
      <c r="A22" s="1615" t="inlineStr">
        <is>
          <t>ArFi unit price, 000 EUR/unit</t>
        </is>
      </c>
      <c r="B22" s="1621" t="n"/>
      <c r="C22" s="1617" t="n"/>
      <c r="D22" s="1617" t="n"/>
      <c r="E22" s="1617">
        <f>IFERROR(+E34*1000/E12,"n/a")</f>
        <v/>
      </c>
      <c r="F22" s="1617">
        <f>IFERROR(+F34*1000/F12,"n/a")</f>
        <v/>
      </c>
      <c r="G22" s="1617">
        <f>IFERROR(+G34*1000/G12,"n/a")</f>
        <v/>
      </c>
      <c r="H22" s="1618">
        <f>IFERROR(+H34*1000/H12,"n/a")</f>
        <v/>
      </c>
      <c r="I22" s="1618">
        <f>IFERROR(+I34*1000/I12,"n/a")</f>
        <v/>
      </c>
      <c r="J22" s="1618">
        <f>IFERROR(+J34*1000/J12,"n/a")</f>
        <v/>
      </c>
      <c r="K22" s="1618">
        <f>IFERROR(+K34*1000/K12,"n/a")</f>
        <v/>
      </c>
      <c r="L22" s="1617">
        <f>IFERROR(+L34*1000/L12,"n/a")</f>
        <v/>
      </c>
      <c r="M22" s="1618">
        <f>IFERROR(+M34*1000/M12,"n/a")</f>
        <v/>
      </c>
      <c r="N22" s="1618">
        <f>IFERROR(+N34*1000/N12,"n/a")</f>
        <v/>
      </c>
      <c r="O22" s="1618">
        <f>IFERROR(+O34*1000/O12,"n/a")</f>
        <v/>
      </c>
      <c r="P22" s="1618">
        <f>IFERROR(+P34*1000/P12,"n/a")</f>
        <v/>
      </c>
      <c r="Q22" s="1617">
        <f>IFERROR(+Q34*1000/Q12,"n/a")</f>
        <v/>
      </c>
      <c r="R22" s="1618">
        <f>IFERROR(+R34*1000/R12,"n/a")</f>
        <v/>
      </c>
      <c r="S22" s="1618">
        <f>IFERROR(+S34*1000/S12,"n/a")</f>
        <v/>
      </c>
      <c r="T22" s="1618">
        <f>IFERROR(+T34*1000/T12,"n/a")</f>
        <v/>
      </c>
      <c r="U22" s="1618">
        <f>IFERROR(+U34*1000/U12,"n/a")</f>
        <v/>
      </c>
      <c r="V22" s="1617">
        <f>IFERROR(+V34*1000/V12,"n/a")</f>
        <v/>
      </c>
      <c r="W22" s="1618">
        <f>IFERROR(+W34*1000/W12,"n/a")</f>
        <v/>
      </c>
      <c r="X22" s="1618">
        <f>IFERROR(+X34*1000/X12,"n/a")</f>
        <v/>
      </c>
      <c r="Y22" s="1618">
        <f>IFERROR(+Y34*1000/Y12,"n/a")</f>
        <v/>
      </c>
      <c r="Z22" s="1618">
        <f>IFERROR(+Z34*1000/Z12,"n/a")</f>
        <v/>
      </c>
      <c r="AA22" s="1617">
        <f>IFERROR(+AA34*1000/AA12,"n/a")</f>
        <v/>
      </c>
      <c r="AB22" s="1618">
        <f>IFERROR(+AB34*1000/AB12,"n/a")</f>
        <v/>
      </c>
      <c r="AC22" s="1618">
        <f>IFERROR(+AC34*1000/AC12,"n/a")</f>
        <v/>
      </c>
      <c r="AD22" s="1618">
        <f>IFERROR(+AD34*1000/AD12,"n/a")</f>
        <v/>
      </c>
      <c r="AE22" s="1618">
        <f>IFERROR(+AE34*1000/AE12,"n/a")</f>
        <v/>
      </c>
      <c r="AF22" s="1617">
        <f>IFERROR(+AF34*1000/AF12,"n/a")</f>
        <v/>
      </c>
      <c r="AG22" s="1618">
        <f>IFERROR(+AG34*1000/AG12,"n/a")</f>
        <v/>
      </c>
      <c r="AH22" s="1618">
        <f>IFERROR(+AH34*1000/AH12,"n/a")</f>
        <v/>
      </c>
      <c r="AI22" s="1618">
        <f>IFERROR(+AI34*1000/AI12,"n/a")</f>
        <v/>
      </c>
      <c r="AJ22" s="1618">
        <f>IFERROR(+AJ34*1000/AJ12,"n/a")</f>
        <v/>
      </c>
      <c r="AK22" s="1617">
        <f>IFERROR(+AK34*1000/AK12,"n/a")</f>
        <v/>
      </c>
      <c r="AL22" s="1618">
        <f>IFERROR(+AL34*1000/AL12,"n/a")</f>
        <v/>
      </c>
      <c r="AM22" s="1618">
        <f>IFERROR(+AM34*1000/AM12,"n/a")</f>
        <v/>
      </c>
      <c r="AN22" s="1618">
        <f>IFERROR(+AN34*1000/AN12,"n/a")</f>
        <v/>
      </c>
      <c r="AO22" s="1618">
        <f>IFERROR(+AO34*1000/AO12,"n/a")</f>
        <v/>
      </c>
      <c r="AP22" s="1617">
        <f>IFERROR(+AP34*1000/AP12,"n/a")</f>
        <v/>
      </c>
      <c r="AQ22" s="1618">
        <f>IFERROR(+AQ34*1000/AQ12,"n/a")</f>
        <v/>
      </c>
      <c r="AR22" s="1618">
        <f>IFERROR(+AR34*1000/AR12,"n/a")</f>
        <v/>
      </c>
      <c r="AS22" s="1618">
        <f>IFERROR(+AS34*1000/AS12,"n/a")</f>
        <v/>
      </c>
      <c r="AT22" s="1618">
        <f>IFERROR(+AT34*1000/AT12,"n/a")</f>
        <v/>
      </c>
      <c r="AU22" s="1617">
        <f>IFERROR(+AU34*1000/AU12,"n/a")</f>
        <v/>
      </c>
      <c r="AV22" s="1618">
        <f>IFERROR(+AV34*1000/AV12,"n/a")</f>
        <v/>
      </c>
      <c r="AW22" s="1618">
        <f>IFERROR(+AW34*1000/AW12,"n/a")</f>
        <v/>
      </c>
      <c r="AX22" s="1618">
        <f>IFERROR(+AX34*1000/AX12,"n/a")</f>
        <v/>
      </c>
      <c r="AY22" s="1618">
        <f>IFERROR(+AY34*1000/AY12,"n/a")</f>
        <v/>
      </c>
      <c r="AZ22" s="1617">
        <f>IFERROR(+AZ34*1000/AZ12,"n/a")</f>
        <v/>
      </c>
      <c r="BA22" s="1618">
        <f>IFERROR(+BA34*1000/BA12,"n/a")</f>
        <v/>
      </c>
      <c r="BB22" s="1618">
        <f>IFERROR(+BB34*1000/BB12,"n/a")</f>
        <v/>
      </c>
      <c r="BC22" s="1618">
        <f>IFERROR(+BC34*1000/BC12,"n/a")</f>
        <v/>
      </c>
      <c r="BD22" s="1618">
        <f>IFERROR(+BD34*1000/BD12,"n/a")</f>
        <v/>
      </c>
      <c r="BE22" s="1617">
        <f>IFERROR(+BE34*1000/BE12,"n/a")</f>
        <v/>
      </c>
      <c r="BF22" s="1618">
        <f>IFERROR(+BF34*1000/BF12,"n/a")</f>
        <v/>
      </c>
      <c r="BG22" s="1618">
        <f>IFERROR(+BG34*1000/BG12,"n/a")</f>
        <v/>
      </c>
      <c r="BH22" s="1618">
        <f>IFERROR(+BH34*1000/BH12,"n/a")</f>
        <v/>
      </c>
      <c r="BI22" s="1618">
        <f>IFERROR(+BI34*1000/BI12,"n/a")</f>
        <v/>
      </c>
      <c r="BJ22" s="1617">
        <f>IFERROR(+BJ34*1000/BJ12,"n/a")</f>
        <v/>
      </c>
      <c r="BK22" s="1618">
        <f>IFERROR(+BK34*1000/BK12,"n/a")</f>
        <v/>
      </c>
      <c r="BL22" s="1618">
        <f>IFERROR(+BL34*1000/BL12,"n/a")</f>
        <v/>
      </c>
      <c r="BM22" s="1618">
        <f>IFERROR(+BM34*1000/BM12,"n/a")</f>
        <v/>
      </c>
      <c r="BN22" s="1618">
        <f>IFERROR(+BN34*1000/BN12,"n/a")</f>
        <v/>
      </c>
      <c r="BO22" s="1619">
        <f>IFERROR(+BO34*1000/BO12,"n/a")</f>
        <v/>
      </c>
      <c r="BP22" s="1618">
        <f>BK22*(1+BP23)</f>
        <v/>
      </c>
      <c r="BQ22" s="1618">
        <f>BL22*(1+BQ23)</f>
        <v/>
      </c>
      <c r="BR22" s="1618">
        <f>BM22*(1+BR23)</f>
        <v/>
      </c>
      <c r="BS22" s="1618">
        <f>BN22*(1+BS23)</f>
        <v/>
      </c>
      <c r="BT22" s="1617">
        <f>IFERROR(+BT34*1000/BT12,"n/a")</f>
        <v/>
      </c>
      <c r="BU22" s="1618">
        <f>BP22*(1+BU23)</f>
        <v/>
      </c>
      <c r="BV22" s="1618">
        <f>BQ22*(1+BV23)</f>
        <v/>
      </c>
      <c r="BW22" s="1618">
        <f>BR22*(1+BW23)</f>
        <v/>
      </c>
      <c r="BX22" s="1618">
        <f>BS22*(1+BX23)</f>
        <v/>
      </c>
      <c r="BY22" s="1617">
        <f>IFERROR(+BY34*1000/BY12,"n/a")</f>
        <v/>
      </c>
      <c r="BZ22" s="1617">
        <f>BY22*(1+BZ23)</f>
        <v/>
      </c>
      <c r="CA22" s="1617">
        <f>BZ22*(1+CA23)</f>
        <v/>
      </c>
      <c r="CB22" s="1617">
        <f>CA22*(1+CB23)</f>
        <v/>
      </c>
      <c r="CC22" s="1620" t="n"/>
    </row>
    <row r="23" ht="15" customFormat="1" customHeight="1" s="602">
      <c r="A23" s="94" t="inlineStr">
        <is>
          <t>Y/Y ArFi unit price growth, %</t>
        </is>
      </c>
      <c r="B23" s="406" t="n"/>
      <c r="C23" s="1249" t="n"/>
      <c r="D23" s="1249" t="n"/>
      <c r="E23" s="1249" t="n"/>
      <c r="F23" s="1249">
        <f>F22/E22-1</f>
        <v/>
      </c>
      <c r="G23" s="1249">
        <f>G22/F22-1</f>
        <v/>
      </c>
      <c r="H23" s="672" t="n"/>
      <c r="I23" s="672" t="n"/>
      <c r="J23" s="672" t="n"/>
      <c r="K23" s="672" t="n"/>
      <c r="L23" s="1249">
        <f>L22/G22-1</f>
        <v/>
      </c>
      <c r="M23" s="672">
        <f>M22/H22-1</f>
        <v/>
      </c>
      <c r="N23" s="672">
        <f>N22/I22-1</f>
        <v/>
      </c>
      <c r="O23" s="672">
        <f>O22/J22-1</f>
        <v/>
      </c>
      <c r="P23" s="672">
        <f>P22/K22-1</f>
        <v/>
      </c>
      <c r="Q23" s="1249">
        <f>Q22/L22-1</f>
        <v/>
      </c>
      <c r="R23" s="672">
        <f>R22/M22-1</f>
        <v/>
      </c>
      <c r="S23" s="672">
        <f>S22/N22-1</f>
        <v/>
      </c>
      <c r="T23" s="672">
        <f>T22/O22-1</f>
        <v/>
      </c>
      <c r="U23" s="672">
        <f>U22/P22-1</f>
        <v/>
      </c>
      <c r="V23" s="1249">
        <f>V22/Q22-1</f>
        <v/>
      </c>
      <c r="W23" s="672">
        <f>W22/R22-1</f>
        <v/>
      </c>
      <c r="X23" s="672">
        <f>X22/S22-1</f>
        <v/>
      </c>
      <c r="Y23" s="672">
        <f>Y22/T22-1</f>
        <v/>
      </c>
      <c r="Z23" s="672">
        <f>Z22/U22-1</f>
        <v/>
      </c>
      <c r="AA23" s="1249">
        <f>AA22/V22-1</f>
        <v/>
      </c>
      <c r="AB23" s="672">
        <f>AB22/W22-1</f>
        <v/>
      </c>
      <c r="AC23" s="672">
        <f>AC22/X22-1</f>
        <v/>
      </c>
      <c r="AD23" s="672">
        <f>AD22/Y22-1</f>
        <v/>
      </c>
      <c r="AE23" s="672">
        <f>AE22/Z22-1</f>
        <v/>
      </c>
      <c r="AF23" s="1249">
        <f>AF22/AA22-1</f>
        <v/>
      </c>
      <c r="AG23" s="672">
        <f>AG22/AB22-1</f>
        <v/>
      </c>
      <c r="AH23" s="672">
        <f>AH22/AC22-1</f>
        <v/>
      </c>
      <c r="AI23" s="672">
        <f>AI22/AD22-1</f>
        <v/>
      </c>
      <c r="AJ23" s="672">
        <f>AJ22/AE22-1</f>
        <v/>
      </c>
      <c r="AK23" s="1249">
        <f>AK22/AF22-1</f>
        <v/>
      </c>
      <c r="AL23" s="672">
        <f>AL22/AG22-1</f>
        <v/>
      </c>
      <c r="AM23" s="672">
        <f>AM22/AH22-1</f>
        <v/>
      </c>
      <c r="AN23" s="672">
        <f>AN22/AI22-1</f>
        <v/>
      </c>
      <c r="AO23" s="672">
        <f>AO22/AJ22-1</f>
        <v/>
      </c>
      <c r="AP23" s="1249">
        <f>AP22/AK22-1</f>
        <v/>
      </c>
      <c r="AQ23" s="672">
        <f>AQ22/AL22-1</f>
        <v/>
      </c>
      <c r="AR23" s="672">
        <f>AR22/AM22-1</f>
        <v/>
      </c>
      <c r="AS23" s="672">
        <f>AS22/AN22-1</f>
        <v/>
      </c>
      <c r="AT23" s="672">
        <f>AT22/AO22-1</f>
        <v/>
      </c>
      <c r="AU23" s="1249">
        <f>AU22/AP22-1</f>
        <v/>
      </c>
      <c r="AV23" s="672">
        <f>AV22/AQ22-1</f>
        <v/>
      </c>
      <c r="AW23" s="672">
        <f>AW22/AR22-1</f>
        <v/>
      </c>
      <c r="AX23" s="672">
        <f>AX22/AS22-1</f>
        <v/>
      </c>
      <c r="AY23" s="672">
        <f>AY22/AT22-1</f>
        <v/>
      </c>
      <c r="AZ23" s="1249">
        <f>AZ22/AU22-1</f>
        <v/>
      </c>
      <c r="BA23" s="672">
        <f>BA22/AV22-1</f>
        <v/>
      </c>
      <c r="BB23" s="672">
        <f>BB22/AW22-1</f>
        <v/>
      </c>
      <c r="BC23" s="672">
        <f>BC22/AX22-1</f>
        <v/>
      </c>
      <c r="BD23" s="672">
        <f>BD22/AY22-1</f>
        <v/>
      </c>
      <c r="BE23" s="1249">
        <f>BE22/AZ22-1</f>
        <v/>
      </c>
      <c r="BF23" s="672">
        <f>BF22/BA22-1</f>
        <v/>
      </c>
      <c r="BG23" s="672">
        <f>BG22/BB22-1</f>
        <v/>
      </c>
      <c r="BH23" s="672">
        <f>BH22/BC22-1</f>
        <v/>
      </c>
      <c r="BI23" s="672">
        <f>BI22/BD22-1</f>
        <v/>
      </c>
      <c r="BJ23" s="1249">
        <f>BJ22/BE22-1</f>
        <v/>
      </c>
      <c r="BK23" s="672">
        <f>BK22/BF22-1</f>
        <v/>
      </c>
      <c r="BL23" s="672">
        <f>BL22/BG22-1</f>
        <v/>
      </c>
      <c r="BM23" s="672">
        <f>BM22/BH22-1</f>
        <v/>
      </c>
      <c r="BN23" s="672">
        <f>BN22/BI22-1</f>
        <v/>
      </c>
      <c r="BO23" s="1248">
        <f>BO22/BJ22-1</f>
        <v/>
      </c>
      <c r="BP23" s="1121" t="n">
        <v>0.15</v>
      </c>
      <c r="BQ23" s="1121" t="n">
        <v>0.15</v>
      </c>
      <c r="BR23" s="1121" t="n">
        <v>0.15</v>
      </c>
      <c r="BS23" s="1121" t="n">
        <v>0.15</v>
      </c>
      <c r="BT23" s="1249">
        <f>BT22/BO22-1</f>
        <v/>
      </c>
      <c r="BU23" s="1121" t="n">
        <v>-0.1</v>
      </c>
      <c r="BV23" s="1121" t="n">
        <v>-0.1</v>
      </c>
      <c r="BW23" s="1121" t="n">
        <v>0.08</v>
      </c>
      <c r="BX23" s="1121" t="n">
        <v>0.08</v>
      </c>
      <c r="BY23" s="1249">
        <f>BY22/BT22-1</f>
        <v/>
      </c>
      <c r="BZ23" s="1251" t="n">
        <v>0.0839472677946307</v>
      </c>
      <c r="CA23" s="1251" t="n">
        <v>0.0839472677946307</v>
      </c>
      <c r="CB23" s="1251" t="n">
        <v>0.0839472677946307</v>
      </c>
      <c r="CC23" s="715" t="n"/>
    </row>
    <row r="24" ht="15" customFormat="1" customHeight="1" s="1614">
      <c r="A24" s="1615" t="inlineStr">
        <is>
          <t>ArF unit price, 000 EUR/unit</t>
        </is>
      </c>
      <c r="B24" s="1621" t="n"/>
      <c r="C24" s="1617" t="n"/>
      <c r="D24" s="1617" t="n"/>
      <c r="E24" s="1617">
        <f>IFERROR(+E35*1000/E13,"n/a")</f>
        <v/>
      </c>
      <c r="F24" s="1617">
        <f>IFERROR(+F35*1000/F13,"n/a")</f>
        <v/>
      </c>
      <c r="G24" s="1617">
        <f>IFERROR(+G35*1000/G13,"n/a")</f>
        <v/>
      </c>
      <c r="H24" s="1618">
        <f>IFERROR(+H35*1000/H13,"n/a")</f>
        <v/>
      </c>
      <c r="I24" s="1618">
        <f>IFERROR(+I35*1000/I13,"n/a")</f>
        <v/>
      </c>
      <c r="J24" s="1618">
        <f>IFERROR(+J35*1000/J13,"n/a")</f>
        <v/>
      </c>
      <c r="K24" s="1618">
        <f>IFERROR(+K35*1000/K13,"n/a")</f>
        <v/>
      </c>
      <c r="L24" s="1617">
        <f>IFERROR(+L35*1000/L13,"n/a")</f>
        <v/>
      </c>
      <c r="M24" s="1618">
        <f>IFERROR(+M35*1000/M13,"n/a")</f>
        <v/>
      </c>
      <c r="N24" s="1618">
        <f>IFERROR(+N35*1000/N13,"n/a")</f>
        <v/>
      </c>
      <c r="O24" s="1618">
        <f>IFERROR(+O35*1000/O13,"n/a")</f>
        <v/>
      </c>
      <c r="P24" s="1618">
        <f>IFERROR(+P35*1000/P13,"n/a")</f>
        <v/>
      </c>
      <c r="Q24" s="1617">
        <f>IFERROR(+Q35*1000/Q13,"n/a")</f>
        <v/>
      </c>
      <c r="R24" s="1618">
        <f>IFERROR(+R35*1000/R13,"n/a")</f>
        <v/>
      </c>
      <c r="S24" s="1618">
        <f>IFERROR(+S35*1000/S13,"n/a")</f>
        <v/>
      </c>
      <c r="T24" s="1618">
        <f>IFERROR(+T35*1000/T13,"n/a")</f>
        <v/>
      </c>
      <c r="U24" s="1618">
        <f>IFERROR(+U35*1000/U13,"n/a")</f>
        <v/>
      </c>
      <c r="V24" s="1617">
        <f>IFERROR(+V35*1000/V13,"n/a")</f>
        <v/>
      </c>
      <c r="W24" s="1618">
        <f>IFERROR(+W35*1000/W13,"n/a")</f>
        <v/>
      </c>
      <c r="X24" s="1618">
        <f>IFERROR(+X35*1000/X13,"n/a")</f>
        <v/>
      </c>
      <c r="Y24" s="1618">
        <f>IFERROR(+Y35*1000/Y13,"n/a")</f>
        <v/>
      </c>
      <c r="Z24" s="1618">
        <f>IFERROR(+Z35*1000/Z13,"n/a")</f>
        <v/>
      </c>
      <c r="AA24" s="1617">
        <f>IFERROR(+AA35*1000/AA13,"n/a")</f>
        <v/>
      </c>
      <c r="AB24" s="1618">
        <f>IFERROR(+AB35*1000/AB13,"n/a")</f>
        <v/>
      </c>
      <c r="AC24" s="1618">
        <f>IFERROR(+AC35*1000/AC13,"n/a")</f>
        <v/>
      </c>
      <c r="AD24" s="1618">
        <f>IFERROR(+AD35*1000/AD13,"n/a")</f>
        <v/>
      </c>
      <c r="AE24" s="1618">
        <f>IFERROR(+AE35*1000/AE13,"n/a")</f>
        <v/>
      </c>
      <c r="AF24" s="1617">
        <f>IFERROR(+AF35*1000/AF13,"n/a")</f>
        <v/>
      </c>
      <c r="AG24" s="1618">
        <f>IFERROR(+AG35*1000/AG13,"n/a")</f>
        <v/>
      </c>
      <c r="AH24" s="1618">
        <f>IFERROR(+AH35*1000/AH13,"n/a")</f>
        <v/>
      </c>
      <c r="AI24" s="1618">
        <f>IFERROR(+AI35*1000/AI13,"n/a")</f>
        <v/>
      </c>
      <c r="AJ24" s="1618">
        <f>IFERROR(+AJ35*1000/AJ13,"n/a")</f>
        <v/>
      </c>
      <c r="AK24" s="1617">
        <f>IFERROR(+AK35*1000/AK13,"n/a")</f>
        <v/>
      </c>
      <c r="AL24" s="1618">
        <f>IFERROR(+AL35*1000/AL13,"n/a")</f>
        <v/>
      </c>
      <c r="AM24" s="1618">
        <f>IFERROR(+AM35*1000/AM13,"n/a")</f>
        <v/>
      </c>
      <c r="AN24" s="1618">
        <f>IFERROR(+AN35*1000/AN13,"n/a")</f>
        <v/>
      </c>
      <c r="AO24" s="1618">
        <f>IFERROR(+AO35*1000/AO13,"n/a")</f>
        <v/>
      </c>
      <c r="AP24" s="1617">
        <f>IFERROR(+AP35*1000/AP13,"n/a")</f>
        <v/>
      </c>
      <c r="AQ24" s="1618">
        <f>IFERROR(+AQ35*1000/AQ13,"n/a")</f>
        <v/>
      </c>
      <c r="AR24" s="1618">
        <f>IFERROR(+AR35*1000/AR13,"n/a")</f>
        <v/>
      </c>
      <c r="AS24" s="1618">
        <f>IFERROR(+AS35*1000/AS13,"n/a")</f>
        <v/>
      </c>
      <c r="AT24" s="1618">
        <f>IFERROR(+AT35*1000/AT13,"n/a")</f>
        <v/>
      </c>
      <c r="AU24" s="1617">
        <f>IFERROR(+AU35*1000/AU13,"n/a")</f>
        <v/>
      </c>
      <c r="AV24" s="1618">
        <f>IFERROR(+AV35*1000/AV13,"n/a")</f>
        <v/>
      </c>
      <c r="AW24" s="1618">
        <f>IFERROR(+AW35*1000/AW13,"n/a")</f>
        <v/>
      </c>
      <c r="AX24" s="1618">
        <f>IFERROR(+AX35*1000/AX13,"n/a")</f>
        <v/>
      </c>
      <c r="AY24" s="1618">
        <f>IFERROR(+AY35*1000/AY13,"n/a")</f>
        <v/>
      </c>
      <c r="AZ24" s="1617">
        <f>IFERROR(+AZ35*1000/AZ13,"n/a")</f>
        <v/>
      </c>
      <c r="BA24" s="1618">
        <f>IFERROR(+BA35*1000/BA13,"n/a")</f>
        <v/>
      </c>
      <c r="BB24" s="1618">
        <f>IFERROR(+BB35*1000/BB13,"n/a")</f>
        <v/>
      </c>
      <c r="BC24" s="1618">
        <f>IFERROR(+BC35*1000/BC13,"n/a")</f>
        <v/>
      </c>
      <c r="BD24" s="1618">
        <f>IFERROR(+BD35*1000/BD13,"n/a")</f>
        <v/>
      </c>
      <c r="BE24" s="1617">
        <f>IFERROR(+BE35*1000/BE13,"n/a")</f>
        <v/>
      </c>
      <c r="BF24" s="1618">
        <f>IFERROR(+BF35*1000/BF13,"n/a")</f>
        <v/>
      </c>
      <c r="BG24" s="1618">
        <f>IFERROR(+BG35*1000/BG13,"n/a")</f>
        <v/>
      </c>
      <c r="BH24" s="1618">
        <f>IFERROR(+BH35*1000/BH13,"n/a")</f>
        <v/>
      </c>
      <c r="BI24" s="1618">
        <f>IFERROR(+BI35*1000/BI13,"n/a")</f>
        <v/>
      </c>
      <c r="BJ24" s="1617">
        <f>IFERROR(+BJ35*1000/BJ13,"n/a")</f>
        <v/>
      </c>
      <c r="BK24" s="1618">
        <f>IFERROR(+BK35*1000/BK13,"n/a")</f>
        <v/>
      </c>
      <c r="BL24" s="1618">
        <f>IFERROR(+BL35*1000/BL13,"n/a")</f>
        <v/>
      </c>
      <c r="BM24" s="1618">
        <f>IFERROR(+BM35*1000/BM13,"n/a")</f>
        <v/>
      </c>
      <c r="BN24" s="1618">
        <f>IFERROR(+BN35*1000/BN13,"n/a")</f>
        <v/>
      </c>
      <c r="BO24" s="1619">
        <f>IFERROR(+BO35*1000/BO13,"n/a")</f>
        <v/>
      </c>
      <c r="BP24" s="1618">
        <f>BK24*(1+BP25)</f>
        <v/>
      </c>
      <c r="BQ24" s="1618">
        <f>BL24*(1+BQ25)</f>
        <v/>
      </c>
      <c r="BR24" s="1618">
        <f>BM24*(1+BR25)</f>
        <v/>
      </c>
      <c r="BS24" s="1618">
        <f>BN24*(1+BS25)</f>
        <v/>
      </c>
      <c r="BT24" s="1617">
        <f>IFERROR(+BT35*1000/BT13,"n/a")</f>
        <v/>
      </c>
      <c r="BU24" s="1618">
        <f>BP24*(1+BU25)</f>
        <v/>
      </c>
      <c r="BV24" s="1618">
        <f>BQ24*(1+BV25)</f>
        <v/>
      </c>
      <c r="BW24" s="1618">
        <f>BR24*(1+BW25)</f>
        <v/>
      </c>
      <c r="BX24" s="1618">
        <f>BS24*(1+BX25)</f>
        <v/>
      </c>
      <c r="BY24" s="1617">
        <f>IFERROR(+BY35*1000/BY13,"n/a")</f>
        <v/>
      </c>
      <c r="BZ24" s="1617">
        <f>BY24*(1+BZ25)</f>
        <v/>
      </c>
      <c r="CA24" s="1617">
        <f>BZ24*(1+CA25)</f>
        <v/>
      </c>
      <c r="CB24" s="1617">
        <f>CA24*(1+CB25)</f>
        <v/>
      </c>
      <c r="CC24" s="1620" t="n"/>
    </row>
    <row r="25" ht="15" customFormat="1" customHeight="1" s="602">
      <c r="A25" s="94" t="inlineStr">
        <is>
          <t>Y/Y ArF unit price growth, %</t>
        </is>
      </c>
      <c r="B25" s="406" t="n"/>
      <c r="C25" s="1249" t="n"/>
      <c r="D25" s="1249" t="n"/>
      <c r="E25" s="1249" t="n"/>
      <c r="F25" s="1249">
        <f>F24/E24-1</f>
        <v/>
      </c>
      <c r="G25" s="1249">
        <f>G24/F24-1</f>
        <v/>
      </c>
      <c r="H25" s="672" t="n"/>
      <c r="I25" s="672" t="n"/>
      <c r="J25" s="672" t="n"/>
      <c r="K25" s="672" t="n"/>
      <c r="L25" s="1249">
        <f>L24/G24-1</f>
        <v/>
      </c>
      <c r="M25" s="672" t="n"/>
      <c r="N25" s="672">
        <f>N24/I24-1</f>
        <v/>
      </c>
      <c r="O25" s="672" t="n"/>
      <c r="P25" s="672">
        <f>P24/K24-1</f>
        <v/>
      </c>
      <c r="Q25" s="1249">
        <f>Q24/L24-1</f>
        <v/>
      </c>
      <c r="R25" s="672">
        <f>R24/M24-1</f>
        <v/>
      </c>
      <c r="S25" s="672">
        <f>S24/N24-1</f>
        <v/>
      </c>
      <c r="T25" s="672">
        <f>T24/O24-1</f>
        <v/>
      </c>
      <c r="U25" s="672">
        <f>U24/P24-1</f>
        <v/>
      </c>
      <c r="V25" s="1249">
        <f>V24/Q24-1</f>
        <v/>
      </c>
      <c r="W25" s="672">
        <f>W24/R24-1</f>
        <v/>
      </c>
      <c r="X25" s="672">
        <f>X24/S24-1</f>
        <v/>
      </c>
      <c r="Y25" s="672">
        <f>Y24/T24-1</f>
        <v/>
      </c>
      <c r="Z25" s="672">
        <f>Z24/U24-1</f>
        <v/>
      </c>
      <c r="AA25" s="1249">
        <f>AA24/V24-1</f>
        <v/>
      </c>
      <c r="AB25" s="672">
        <f>AB24/W24-1</f>
        <v/>
      </c>
      <c r="AC25" s="672">
        <f>AC24/X24-1</f>
        <v/>
      </c>
      <c r="AD25" s="672">
        <f>AD24/Y24-1</f>
        <v/>
      </c>
      <c r="AE25" s="672">
        <f>AE24/Z24-1</f>
        <v/>
      </c>
      <c r="AF25" s="1249">
        <f>AF24/AA24-1</f>
        <v/>
      </c>
      <c r="AG25" s="672">
        <f>AG24/AB24-1</f>
        <v/>
      </c>
      <c r="AH25" s="672">
        <f>AH24/AC24-1</f>
        <v/>
      </c>
      <c r="AI25" s="672">
        <f>AI24/AD24-1</f>
        <v/>
      </c>
      <c r="AJ25" s="672">
        <f>AJ24/AE24-1</f>
        <v/>
      </c>
      <c r="AK25" s="1249">
        <f>AK24/AF24-1</f>
        <v/>
      </c>
      <c r="AL25" s="672">
        <f>AL24/AG24-1</f>
        <v/>
      </c>
      <c r="AM25" s="672">
        <f>AM24/AH24-1</f>
        <v/>
      </c>
      <c r="AN25" s="672">
        <f>AN24/AI24-1</f>
        <v/>
      </c>
      <c r="AO25" s="672">
        <f>AO24/AJ24-1</f>
        <v/>
      </c>
      <c r="AP25" s="1249">
        <f>AP24/AK24-1</f>
        <v/>
      </c>
      <c r="AQ25" s="672">
        <f>AQ24/AL24-1</f>
        <v/>
      </c>
      <c r="AR25" s="672">
        <f>AR24/AM24-1</f>
        <v/>
      </c>
      <c r="AS25" s="672">
        <f>AS24/AN24-1</f>
        <v/>
      </c>
      <c r="AT25" s="672">
        <f>AT24/AO24-1</f>
        <v/>
      </c>
      <c r="AU25" s="1249">
        <f>AU24/AP24-1</f>
        <v/>
      </c>
      <c r="AV25" s="672">
        <f>AV24/AQ24-1</f>
        <v/>
      </c>
      <c r="AW25" s="672">
        <f>AW24/AR24-1</f>
        <v/>
      </c>
      <c r="AX25" s="672">
        <f>AX24/AS24-1</f>
        <v/>
      </c>
      <c r="AY25" s="672">
        <f>AY24/AT24-1</f>
        <v/>
      </c>
      <c r="AZ25" s="1249">
        <f>AZ24/AU24-1</f>
        <v/>
      </c>
      <c r="BA25" s="672">
        <f>BA24/AV24-1</f>
        <v/>
      </c>
      <c r="BB25" s="672">
        <f>BB24/AW24-1</f>
        <v/>
      </c>
      <c r="BC25" s="672">
        <f>BC24/AX24-1</f>
        <v/>
      </c>
      <c r="BD25" s="672">
        <f>BD24/AY24-1</f>
        <v/>
      </c>
      <c r="BE25" s="1249">
        <f>BE24/AZ24-1</f>
        <v/>
      </c>
      <c r="BF25" s="672">
        <f>BF24/BA24-1</f>
        <v/>
      </c>
      <c r="BG25" s="672">
        <f>BG24/BB24-1</f>
        <v/>
      </c>
      <c r="BH25" s="672">
        <f>BH24/BC24-1</f>
        <v/>
      </c>
      <c r="BI25" s="672">
        <f>BI24/BD24-1</f>
        <v/>
      </c>
      <c r="BJ25" s="1249">
        <f>BJ24/BE24-1</f>
        <v/>
      </c>
      <c r="BK25" s="672">
        <f>BK24/BF24-1</f>
        <v/>
      </c>
      <c r="BL25" s="672">
        <f>BL24/BG24-1</f>
        <v/>
      </c>
      <c r="BM25" s="672">
        <f>BM24/BH24-1</f>
        <v/>
      </c>
      <c r="BN25" s="672">
        <f>BN24/BI24-1</f>
        <v/>
      </c>
      <c r="BO25" s="1248">
        <f>BO24/BJ24-1</f>
        <v/>
      </c>
      <c r="BP25" s="1121" t="n">
        <v>0.1</v>
      </c>
      <c r="BQ25" s="1121" t="n">
        <v>0.15</v>
      </c>
      <c r="BR25" s="1121" t="n">
        <v>0.15</v>
      </c>
      <c r="BS25" s="1121" t="n">
        <v>0.15</v>
      </c>
      <c r="BT25" s="1249">
        <f>BT24/BO24-1</f>
        <v/>
      </c>
      <c r="BU25" s="1121" t="n">
        <v>0.005</v>
      </c>
      <c r="BV25" s="1121" t="n">
        <v>0.005</v>
      </c>
      <c r="BW25" s="1121" t="n">
        <v>0.005</v>
      </c>
      <c r="BX25" s="1121" t="n">
        <v>0.005</v>
      </c>
      <c r="BY25" s="1249">
        <f>BY24/BT24-1</f>
        <v/>
      </c>
      <c r="BZ25" s="1251" t="n">
        <v>0.00596186602713633</v>
      </c>
      <c r="CA25" s="1251" t="n">
        <v>0.00596186602713633</v>
      </c>
      <c r="CB25" s="1251" t="n">
        <v>0.00596186602713633</v>
      </c>
      <c r="CC25" s="715" t="n"/>
    </row>
    <row r="26" ht="15" customFormat="1" customHeight="1" s="1614">
      <c r="A26" s="1615" t="inlineStr">
        <is>
          <t>KrF unit price, 000 EUR/unit</t>
        </is>
      </c>
      <c r="B26" s="1621" t="n"/>
      <c r="C26" s="1617" t="n"/>
      <c r="D26" s="1617" t="n"/>
      <c r="E26" s="1617">
        <f>IFERROR(+E36*1000/E14,"n/a")</f>
        <v/>
      </c>
      <c r="F26" s="1617">
        <f>IFERROR(+F36*1000/F14,"n/a")</f>
        <v/>
      </c>
      <c r="G26" s="1617">
        <f>IFERROR(+G36*1000/G14,"n/a")</f>
        <v/>
      </c>
      <c r="H26" s="1618">
        <f>IFERROR(+H36*1000/H14,"n/a")</f>
        <v/>
      </c>
      <c r="I26" s="1618">
        <f>IFERROR(+I36*1000/I14,"n/a")</f>
        <v/>
      </c>
      <c r="J26" s="1618">
        <f>IFERROR(+J36*1000/J14,"n/a")</f>
        <v/>
      </c>
      <c r="K26" s="1618">
        <f>IFERROR(+K36*1000/K14,"n/a")</f>
        <v/>
      </c>
      <c r="L26" s="1617">
        <f>IFERROR(+L36*1000/L14,"n/a")</f>
        <v/>
      </c>
      <c r="M26" s="1618">
        <f>IFERROR(+M36*1000/M14,"n/a")</f>
        <v/>
      </c>
      <c r="N26" s="1618">
        <f>IFERROR(+N36*1000/N14,"n/a")</f>
        <v/>
      </c>
      <c r="O26" s="1618">
        <f>IFERROR(+O36*1000/O14,"n/a")</f>
        <v/>
      </c>
      <c r="P26" s="1618">
        <f>IFERROR(+P36*1000/P14,"n/a")</f>
        <v/>
      </c>
      <c r="Q26" s="1617">
        <f>IFERROR(+Q36*1000/Q14,"n/a")</f>
        <v/>
      </c>
      <c r="R26" s="1618">
        <f>IFERROR(+R36*1000/R14,"n/a")</f>
        <v/>
      </c>
      <c r="S26" s="1618">
        <f>IFERROR(+S36*1000/S14,"n/a")</f>
        <v/>
      </c>
      <c r="T26" s="1618">
        <f>IFERROR(+T36*1000/T14,"n/a")</f>
        <v/>
      </c>
      <c r="U26" s="1618">
        <f>IFERROR(+U36*1000/U14,"n/a")</f>
        <v/>
      </c>
      <c r="V26" s="1617">
        <f>IFERROR(+V36*1000/V14,"n/a")</f>
        <v/>
      </c>
      <c r="W26" s="1618">
        <f>IFERROR(+W36*1000/W14,"n/a")</f>
        <v/>
      </c>
      <c r="X26" s="1618">
        <f>IFERROR(+X36*1000/X14,"n/a")</f>
        <v/>
      </c>
      <c r="Y26" s="1618">
        <f>IFERROR(+Y36*1000/Y14,"n/a")</f>
        <v/>
      </c>
      <c r="Z26" s="1618">
        <f>IFERROR(+Z36*1000/Z14,"n/a")</f>
        <v/>
      </c>
      <c r="AA26" s="1617">
        <f>IFERROR(+AA36*1000/AA14,"n/a")</f>
        <v/>
      </c>
      <c r="AB26" s="1618">
        <f>IFERROR(+AB36*1000/AB14,"n/a")</f>
        <v/>
      </c>
      <c r="AC26" s="1618">
        <f>IFERROR(+AC36*1000/AC14,"n/a")</f>
        <v/>
      </c>
      <c r="AD26" s="1618">
        <f>IFERROR(+AD36*1000/AD14,"n/a")</f>
        <v/>
      </c>
      <c r="AE26" s="1618">
        <f>IFERROR(+AE36*1000/AE14,"n/a")</f>
        <v/>
      </c>
      <c r="AF26" s="1617">
        <f>IFERROR(+AF36*1000/AF14,"n/a")</f>
        <v/>
      </c>
      <c r="AG26" s="1618">
        <f>IFERROR(+AG36*1000/AG14,"n/a")</f>
        <v/>
      </c>
      <c r="AH26" s="1618">
        <f>IFERROR(+AH36*1000/AH14,"n/a")</f>
        <v/>
      </c>
      <c r="AI26" s="1618">
        <f>IFERROR(+AI36*1000/AI14,"n/a")</f>
        <v/>
      </c>
      <c r="AJ26" s="1618">
        <f>IFERROR(+AJ36*1000/AJ14,"n/a")</f>
        <v/>
      </c>
      <c r="AK26" s="1617">
        <f>IFERROR(+AK36*1000/AK14,"n/a")</f>
        <v/>
      </c>
      <c r="AL26" s="1618">
        <f>IFERROR(+AL36*1000/AL14,"n/a")</f>
        <v/>
      </c>
      <c r="AM26" s="1618">
        <f>IFERROR(+AM36*1000/AM14,"n/a")</f>
        <v/>
      </c>
      <c r="AN26" s="1618">
        <f>IFERROR(+AN36*1000/AN14,"n/a")</f>
        <v/>
      </c>
      <c r="AO26" s="1618">
        <f>IFERROR(+AO36*1000/AO14,"n/a")</f>
        <v/>
      </c>
      <c r="AP26" s="1617">
        <f>IFERROR(+AP36*1000/AP14,"n/a")</f>
        <v/>
      </c>
      <c r="AQ26" s="1618">
        <f>IFERROR(+AQ36*1000/AQ14,"n/a")</f>
        <v/>
      </c>
      <c r="AR26" s="1618">
        <f>IFERROR(+AR36*1000/AR14,"n/a")</f>
        <v/>
      </c>
      <c r="AS26" s="1618">
        <f>IFERROR(+AS36*1000/AS14,"n/a")</f>
        <v/>
      </c>
      <c r="AT26" s="1618">
        <f>IFERROR(+AT36*1000/AT14,"n/a")</f>
        <v/>
      </c>
      <c r="AU26" s="1617">
        <f>IFERROR(+AU36*1000/AU14,"n/a")</f>
        <v/>
      </c>
      <c r="AV26" s="1618">
        <f>IFERROR(+AV36*1000/AV14,"n/a")</f>
        <v/>
      </c>
      <c r="AW26" s="1618">
        <f>IFERROR(+AW36*1000/AW14,"n/a")</f>
        <v/>
      </c>
      <c r="AX26" s="1618">
        <f>IFERROR(+AX36*1000/AX14,"n/a")</f>
        <v/>
      </c>
      <c r="AY26" s="1618">
        <f>IFERROR(+AY36*1000/AY14,"n/a")</f>
        <v/>
      </c>
      <c r="AZ26" s="1617">
        <f>IFERROR(+AZ36*1000/AZ14,"n/a")</f>
        <v/>
      </c>
      <c r="BA26" s="1618">
        <f>IFERROR(+BA36*1000/BA14,"n/a")</f>
        <v/>
      </c>
      <c r="BB26" s="1618">
        <f>IFERROR(+BB36*1000/BB14,"n/a")</f>
        <v/>
      </c>
      <c r="BC26" s="1618">
        <f>IFERROR(+BC36*1000/BC14,"n/a")</f>
        <v/>
      </c>
      <c r="BD26" s="1618">
        <f>IFERROR(+BD36*1000/BD14,"n/a")</f>
        <v/>
      </c>
      <c r="BE26" s="1617">
        <f>IFERROR(+BE36*1000/BE14,"n/a")</f>
        <v/>
      </c>
      <c r="BF26" s="1618">
        <f>IFERROR(+BF36*1000/BF14,"n/a")</f>
        <v/>
      </c>
      <c r="BG26" s="1618">
        <f>IFERROR(+BG36*1000/BG14,"n/a")</f>
        <v/>
      </c>
      <c r="BH26" s="1618">
        <f>IFERROR(+BH36*1000/BH14,"n/a")</f>
        <v/>
      </c>
      <c r="BI26" s="1618">
        <f>IFERROR(+BI36*1000/BI14,"n/a")</f>
        <v/>
      </c>
      <c r="BJ26" s="1617">
        <f>IFERROR(+BJ36*1000/BJ14,"n/a")</f>
        <v/>
      </c>
      <c r="BK26" s="1618">
        <f>IFERROR(+BK36*1000/BK14,"n/a")</f>
        <v/>
      </c>
      <c r="BL26" s="1618">
        <f>IFERROR(+BL36*1000/BL14,"n/a")</f>
        <v/>
      </c>
      <c r="BM26" s="1618">
        <f>IFERROR(+BM36*1000/BM14,"n/a")</f>
        <v/>
      </c>
      <c r="BN26" s="1618">
        <f>IFERROR(+BN36*1000/BN14,"n/a")</f>
        <v/>
      </c>
      <c r="BO26" s="1619">
        <f>IFERROR(+BO36*1000/BO14,"n/a")</f>
        <v/>
      </c>
      <c r="BP26" s="1618">
        <f>BK26*(1+BP27)</f>
        <v/>
      </c>
      <c r="BQ26" s="1618">
        <f>BL26*(1+BQ27)</f>
        <v/>
      </c>
      <c r="BR26" s="1618">
        <f>BM26*(1+BR27)</f>
        <v/>
      </c>
      <c r="BS26" s="1618">
        <f>BN26*(1+BS27)</f>
        <v/>
      </c>
      <c r="BT26" s="1617">
        <f>IFERROR(+BT36*1000/BT14,"n/a")</f>
        <v/>
      </c>
      <c r="BU26" s="1618">
        <f>BP26*(1+BU27)</f>
        <v/>
      </c>
      <c r="BV26" s="1618">
        <f>BQ26*(1+BV27)</f>
        <v/>
      </c>
      <c r="BW26" s="1618">
        <f>BR26*(1+BW27)</f>
        <v/>
      </c>
      <c r="BX26" s="1618">
        <f>BS26*(1+BX27)</f>
        <v/>
      </c>
      <c r="BY26" s="1617">
        <f>IFERROR(+BY36*1000/BY14,"n/a")</f>
        <v/>
      </c>
      <c r="BZ26" s="1617">
        <f>BY26*(1+BZ27)</f>
        <v/>
      </c>
      <c r="CA26" s="1617">
        <f>BZ26*(1+CA27)</f>
        <v/>
      </c>
      <c r="CB26" s="1617">
        <f>CA26*(1+CB27)</f>
        <v/>
      </c>
      <c r="CC26" s="1620" t="n"/>
    </row>
    <row r="27" ht="15" customFormat="1" customHeight="1" s="602">
      <c r="A27" s="94" t="inlineStr">
        <is>
          <t>Y/Y KrF unit price growth, %</t>
        </is>
      </c>
      <c r="B27" s="406" t="n"/>
      <c r="C27" s="1249" t="n"/>
      <c r="D27" s="1249" t="n"/>
      <c r="E27" s="1249" t="n"/>
      <c r="F27" s="1249">
        <f>F26/E26-1</f>
        <v/>
      </c>
      <c r="G27" s="1249">
        <f>G26/F26-1</f>
        <v/>
      </c>
      <c r="H27" s="672" t="n"/>
      <c r="I27" s="672" t="n"/>
      <c r="J27" s="672" t="n"/>
      <c r="K27" s="672" t="n"/>
      <c r="L27" s="1249">
        <f>L26/G26-1</f>
        <v/>
      </c>
      <c r="M27" s="672">
        <f>M26/H26-1</f>
        <v/>
      </c>
      <c r="N27" s="672">
        <f>N26/I26-1</f>
        <v/>
      </c>
      <c r="O27" s="672">
        <f>O26/J26-1</f>
        <v/>
      </c>
      <c r="P27" s="672">
        <f>P26/K26-1</f>
        <v/>
      </c>
      <c r="Q27" s="1249">
        <f>Q26/L26-1</f>
        <v/>
      </c>
      <c r="R27" s="672">
        <f>R26/M26-1</f>
        <v/>
      </c>
      <c r="S27" s="672">
        <f>S26/N26-1</f>
        <v/>
      </c>
      <c r="T27" s="672">
        <f>T26/O26-1</f>
        <v/>
      </c>
      <c r="U27" s="672">
        <f>U26/P26-1</f>
        <v/>
      </c>
      <c r="V27" s="1249">
        <f>V26/Q26-1</f>
        <v/>
      </c>
      <c r="W27" s="672">
        <f>W26/R26-1</f>
        <v/>
      </c>
      <c r="X27" s="672">
        <f>X26/S26-1</f>
        <v/>
      </c>
      <c r="Y27" s="672">
        <f>Y26/T26-1</f>
        <v/>
      </c>
      <c r="Z27" s="672">
        <f>Z26/U26-1</f>
        <v/>
      </c>
      <c r="AA27" s="1249">
        <f>AA26/V26-1</f>
        <v/>
      </c>
      <c r="AB27" s="672">
        <f>AB26/W26-1</f>
        <v/>
      </c>
      <c r="AC27" s="672">
        <f>AC26/X26-1</f>
        <v/>
      </c>
      <c r="AD27" s="672">
        <f>AD26/Y26-1</f>
        <v/>
      </c>
      <c r="AE27" s="672">
        <f>AE26/Z26-1</f>
        <v/>
      </c>
      <c r="AF27" s="1249">
        <f>AF26/AA26-1</f>
        <v/>
      </c>
      <c r="AG27" s="672">
        <f>AG26/AB26-1</f>
        <v/>
      </c>
      <c r="AH27" s="672">
        <f>AH26/AC26-1</f>
        <v/>
      </c>
      <c r="AI27" s="672">
        <f>AI26/AD26-1</f>
        <v/>
      </c>
      <c r="AJ27" s="672">
        <f>AJ26/AE26-1</f>
        <v/>
      </c>
      <c r="AK27" s="1249">
        <f>AK26/AF26-1</f>
        <v/>
      </c>
      <c r="AL27" s="672">
        <f>AL26/AG26-1</f>
        <v/>
      </c>
      <c r="AM27" s="672">
        <f>AM26/AH26-1</f>
        <v/>
      </c>
      <c r="AN27" s="672">
        <f>AN26/AI26-1</f>
        <v/>
      </c>
      <c r="AO27" s="672">
        <f>AO26/AJ26-1</f>
        <v/>
      </c>
      <c r="AP27" s="1249">
        <f>AP26/AK26-1</f>
        <v/>
      </c>
      <c r="AQ27" s="672">
        <f>AQ26/AL26-1</f>
        <v/>
      </c>
      <c r="AR27" s="672">
        <f>AR26/AM26-1</f>
        <v/>
      </c>
      <c r="AS27" s="672">
        <f>AS26/AN26-1</f>
        <v/>
      </c>
      <c r="AT27" s="672">
        <f>AT26/AO26-1</f>
        <v/>
      </c>
      <c r="AU27" s="1249">
        <f>AU26/AP26-1</f>
        <v/>
      </c>
      <c r="AV27" s="672">
        <f>AV26/AQ26-1</f>
        <v/>
      </c>
      <c r="AW27" s="672">
        <f>AW26/AR26-1</f>
        <v/>
      </c>
      <c r="AX27" s="672">
        <f>AX26/AS26-1</f>
        <v/>
      </c>
      <c r="AY27" s="672">
        <f>AY26/AT26-1</f>
        <v/>
      </c>
      <c r="AZ27" s="1249">
        <f>AZ26/AU26-1</f>
        <v/>
      </c>
      <c r="BA27" s="672">
        <f>BA26/AV26-1</f>
        <v/>
      </c>
      <c r="BB27" s="672">
        <f>BB26/AW26-1</f>
        <v/>
      </c>
      <c r="BC27" s="672">
        <f>BC26/AX26-1</f>
        <v/>
      </c>
      <c r="BD27" s="672">
        <f>BD26/AY26-1</f>
        <v/>
      </c>
      <c r="BE27" s="1249">
        <f>BE26/AZ26-1</f>
        <v/>
      </c>
      <c r="BF27" s="672">
        <f>BF26/BA26-1</f>
        <v/>
      </c>
      <c r="BG27" s="672">
        <f>BG26/BB26-1</f>
        <v/>
      </c>
      <c r="BH27" s="672">
        <f>BH26/BC26-1</f>
        <v/>
      </c>
      <c r="BI27" s="672">
        <f>BI26/BD26-1</f>
        <v/>
      </c>
      <c r="BJ27" s="1249">
        <f>BJ26/BE26-1</f>
        <v/>
      </c>
      <c r="BK27" s="672">
        <f>BK26/BF26-1</f>
        <v/>
      </c>
      <c r="BL27" s="672">
        <f>BL26/BG26-1</f>
        <v/>
      </c>
      <c r="BM27" s="672">
        <f>BM26/BH26-1</f>
        <v/>
      </c>
      <c r="BN27" s="672">
        <f>BN26/BI26-1</f>
        <v/>
      </c>
      <c r="BO27" s="1248">
        <f>BO26/BJ26-1</f>
        <v/>
      </c>
      <c r="BP27" s="1121" t="n">
        <v>0.1</v>
      </c>
      <c r="BQ27" s="1121" t="n">
        <v>0.15</v>
      </c>
      <c r="BR27" s="1121" t="n">
        <v>0.15</v>
      </c>
      <c r="BS27" s="1121" t="n">
        <v>0.15</v>
      </c>
      <c r="BT27" s="1249">
        <f>BT26/BO26-1</f>
        <v/>
      </c>
      <c r="BU27" s="1121" t="n">
        <v>-0.1</v>
      </c>
      <c r="BV27" s="1121" t="n">
        <v>-0.1</v>
      </c>
      <c r="BW27" s="1121" t="n">
        <v>-0.05</v>
      </c>
      <c r="BX27" s="1121" t="n">
        <v>-0.05</v>
      </c>
      <c r="BY27" s="1249">
        <f>BY26/BT26-1</f>
        <v/>
      </c>
      <c r="BZ27" s="1251" t="n">
        <v>0.0815236180818477</v>
      </c>
      <c r="CA27" s="1251" t="n">
        <v>0.0815236180818477</v>
      </c>
      <c r="CB27" s="1251" t="n">
        <v>0.0815236180818477</v>
      </c>
      <c r="CC27" s="715" t="n"/>
    </row>
    <row r="28" ht="15" customFormat="1" customHeight="1" s="1614">
      <c r="A28" s="1615" t="inlineStr">
        <is>
          <t>i-line unit price, 000 EUR/unit</t>
        </is>
      </c>
      <c r="B28" s="1621" t="n"/>
      <c r="C28" s="1617" t="n"/>
      <c r="D28" s="1617" t="n"/>
      <c r="E28" s="1617">
        <f>IFERROR(+E37*1000/E15,"n/a")</f>
        <v/>
      </c>
      <c r="F28" s="1617">
        <f>IFERROR(+F37*1000/F15,"n/a")</f>
        <v/>
      </c>
      <c r="G28" s="1617">
        <f>IFERROR(+G37*1000/G15,"n/a")</f>
        <v/>
      </c>
      <c r="H28" s="1618">
        <f>IFERROR(+H37*1000/H15,"n/a")</f>
        <v/>
      </c>
      <c r="I28" s="1618">
        <f>IFERROR(+I37*1000/I15,"n/a")</f>
        <v/>
      </c>
      <c r="J28" s="1618">
        <f>IFERROR(+J37*1000/J15,"n/a")</f>
        <v/>
      </c>
      <c r="K28" s="1618">
        <f>IFERROR(+K37*1000/K15,"n/a")</f>
        <v/>
      </c>
      <c r="L28" s="1617">
        <f>IFERROR(+L37*1000/L15,"n/a")</f>
        <v/>
      </c>
      <c r="M28" s="1618">
        <f>IFERROR(+M37*1000/M15,"n/a")</f>
        <v/>
      </c>
      <c r="N28" s="1618">
        <f>IFERROR(+N37*1000/N15,"n/a")</f>
        <v/>
      </c>
      <c r="O28" s="1618">
        <f>IFERROR(+O37*1000/O15,"n/a")</f>
        <v/>
      </c>
      <c r="P28" s="1618">
        <f>IFERROR(+P37*1000/P15,"n/a")</f>
        <v/>
      </c>
      <c r="Q28" s="1617">
        <f>IFERROR(+Q37*1000/Q15,"n/a")</f>
        <v/>
      </c>
      <c r="R28" s="1618">
        <f>IFERROR(+R37*1000/R15,"n/a")</f>
        <v/>
      </c>
      <c r="S28" s="1618">
        <f>IFERROR(+S37*1000/S15,"n/a")</f>
        <v/>
      </c>
      <c r="T28" s="1618">
        <f>IFERROR(+T37*1000/T15,"n/a")</f>
        <v/>
      </c>
      <c r="U28" s="1618">
        <f>IFERROR(+U37*1000/U15,"n/a")</f>
        <v/>
      </c>
      <c r="V28" s="1617">
        <f>IFERROR(+V37*1000/V15,"n/a")</f>
        <v/>
      </c>
      <c r="W28" s="1618">
        <f>IFERROR(+W37*1000/W15,"n/a")</f>
        <v/>
      </c>
      <c r="X28" s="1618">
        <f>IFERROR(+X37*1000/X15,"n/a")</f>
        <v/>
      </c>
      <c r="Y28" s="1618">
        <f>IFERROR(+Y37*1000/Y15,"n/a")</f>
        <v/>
      </c>
      <c r="Z28" s="1618">
        <f>IFERROR(+Z37*1000/Z15,"n/a")</f>
        <v/>
      </c>
      <c r="AA28" s="1617">
        <f>IFERROR(+AA37*1000/AA15,"n/a")</f>
        <v/>
      </c>
      <c r="AB28" s="1618">
        <f>IFERROR(+AB37*1000/AB15,"n/a")</f>
        <v/>
      </c>
      <c r="AC28" s="1618">
        <f>IFERROR(+AC37*1000/AC15,"n/a")</f>
        <v/>
      </c>
      <c r="AD28" s="1618">
        <f>IFERROR(+AD37*1000/AD15,"n/a")</f>
        <v/>
      </c>
      <c r="AE28" s="1618">
        <f>IFERROR(+AE37*1000/AE15,"n/a")</f>
        <v/>
      </c>
      <c r="AF28" s="1617">
        <f>IFERROR(+AF37*1000/AF15,"n/a")</f>
        <v/>
      </c>
      <c r="AG28" s="1618">
        <f>IFERROR(+AG37*1000/AG15,"n/a")</f>
        <v/>
      </c>
      <c r="AH28" s="1618">
        <f>IFERROR(+AH37*1000/AH15,"n/a")</f>
        <v/>
      </c>
      <c r="AI28" s="1618">
        <f>IFERROR(+AI37*1000/AI15,"n/a")</f>
        <v/>
      </c>
      <c r="AJ28" s="1618">
        <f>IFERROR(+AJ37*1000/AJ15,"n/a")</f>
        <v/>
      </c>
      <c r="AK28" s="1617">
        <f>IFERROR(+AK37*1000/AK15,"n/a")</f>
        <v/>
      </c>
      <c r="AL28" s="1618">
        <f>IFERROR(+AL37*1000/AL15,"n/a")</f>
        <v/>
      </c>
      <c r="AM28" s="1618">
        <f>IFERROR(+AM37*1000/AM15,"n/a")</f>
        <v/>
      </c>
      <c r="AN28" s="1618">
        <f>IFERROR(+AN37*1000/AN15,"n/a")</f>
        <v/>
      </c>
      <c r="AO28" s="1618">
        <f>IFERROR(+AO37*1000/AO15,"n/a")</f>
        <v/>
      </c>
      <c r="AP28" s="1617">
        <f>IFERROR(+AP37*1000/AP15,"n/a")</f>
        <v/>
      </c>
      <c r="AQ28" s="1618">
        <f>IFERROR(+AQ37*1000/AQ15,"n/a")</f>
        <v/>
      </c>
      <c r="AR28" s="1618">
        <f>IFERROR(+AR37*1000/AR15,"n/a")</f>
        <v/>
      </c>
      <c r="AS28" s="1618">
        <f>IFERROR(+AS37*1000/AS15,"n/a")</f>
        <v/>
      </c>
      <c r="AT28" s="1618">
        <f>IFERROR(+AT37*1000/AT15,"n/a")</f>
        <v/>
      </c>
      <c r="AU28" s="1617">
        <f>IFERROR(+AU37*1000/AU15,"n/a")</f>
        <v/>
      </c>
      <c r="AV28" s="1618">
        <f>IFERROR(+AV37*1000/AV15,"n/a")</f>
        <v/>
      </c>
      <c r="AW28" s="1618">
        <f>IFERROR(+AW37*1000/AW15,"n/a")</f>
        <v/>
      </c>
      <c r="AX28" s="1618">
        <f>IFERROR(+AX37*1000/AX15,"n/a")</f>
        <v/>
      </c>
      <c r="AY28" s="1618">
        <f>IFERROR(+AY37*1000/AY15,"n/a")</f>
        <v/>
      </c>
      <c r="AZ28" s="1617">
        <f>IFERROR(+AZ37*1000/AZ15,"n/a")</f>
        <v/>
      </c>
      <c r="BA28" s="1618">
        <f>IFERROR(+BA37*1000/BA15,"n/a")</f>
        <v/>
      </c>
      <c r="BB28" s="1618">
        <f>IFERROR(+BB37*1000/BB15,"n/a")</f>
        <v/>
      </c>
      <c r="BC28" s="1618">
        <f>IFERROR(+BC37*1000/BC15,"n/a")</f>
        <v/>
      </c>
      <c r="BD28" s="1618">
        <f>IFERROR(+BD37*1000/BD15,"n/a")</f>
        <v/>
      </c>
      <c r="BE28" s="1617">
        <f>IFERROR(+BE37*1000/BE15,"n/a")</f>
        <v/>
      </c>
      <c r="BF28" s="1618">
        <f>IFERROR(+BF37*1000/BF15,"n/a")</f>
        <v/>
      </c>
      <c r="BG28" s="1618">
        <f>IFERROR(+BG37*1000/BG15,"n/a")</f>
        <v/>
      </c>
      <c r="BH28" s="1618">
        <f>IFERROR(+BH37*1000/BH15,"n/a")</f>
        <v/>
      </c>
      <c r="BI28" s="1618">
        <f>IFERROR(+BI37*1000/BI15,"n/a")</f>
        <v/>
      </c>
      <c r="BJ28" s="1617">
        <f>IFERROR(+BJ37*1000/BJ15,"n/a")</f>
        <v/>
      </c>
      <c r="BK28" s="1618">
        <f>IFERROR(+BK37*1000/BK15,"n/a")</f>
        <v/>
      </c>
      <c r="BL28" s="1618">
        <f>IFERROR(+BL37*1000/BL15,"n/a")</f>
        <v/>
      </c>
      <c r="BM28" s="1618">
        <f>IFERROR(+BM37*1000/BM15,"n/a")</f>
        <v/>
      </c>
      <c r="BN28" s="1618">
        <f>IFERROR(+BN37*1000/BN15,"n/a")</f>
        <v/>
      </c>
      <c r="BO28" s="1619">
        <f>IFERROR(+BO37*1000/BO15,"n/a")</f>
        <v/>
      </c>
      <c r="BP28" s="1618">
        <f>BK28*(1+BP29)</f>
        <v/>
      </c>
      <c r="BQ28" s="1618">
        <f>BL28*(1+BQ29)</f>
        <v/>
      </c>
      <c r="BR28" s="1618">
        <f>BM28*(1+BR29)</f>
        <v/>
      </c>
      <c r="BS28" s="1618">
        <f>BN28*(1+BS29)</f>
        <v/>
      </c>
      <c r="BT28" s="1617">
        <f>IFERROR(+BT37*1000/BT15,"n/a")</f>
        <v/>
      </c>
      <c r="BU28" s="1618">
        <f>BP28*(1+BU29)</f>
        <v/>
      </c>
      <c r="BV28" s="1618">
        <f>BQ28*(1+BV29)</f>
        <v/>
      </c>
      <c r="BW28" s="1618">
        <f>BR28*(1+BW29)</f>
        <v/>
      </c>
      <c r="BX28" s="1618">
        <f>BS28*(1+BX29)</f>
        <v/>
      </c>
      <c r="BY28" s="1617">
        <f>IFERROR(+BY37*1000/BY15,"n/a")</f>
        <v/>
      </c>
      <c r="BZ28" s="1617">
        <f>BY28*(1+BZ29)</f>
        <v/>
      </c>
      <c r="CA28" s="1617">
        <f>BZ28*(1+CA29)</f>
        <v/>
      </c>
      <c r="CB28" s="1617">
        <f>CA28*(1+CB29)</f>
        <v/>
      </c>
      <c r="CC28" s="1620" t="n"/>
    </row>
    <row r="29" ht="15" customFormat="1" customHeight="1" s="602">
      <c r="A29" s="94" t="inlineStr">
        <is>
          <t>Y/Y i-line unit price growth, %</t>
        </is>
      </c>
      <c r="B29" s="406" t="n"/>
      <c r="C29" s="1249" t="n"/>
      <c r="D29" s="1249" t="n"/>
      <c r="E29" s="1249" t="n"/>
      <c r="F29" s="1249">
        <f>F28/E28-1</f>
        <v/>
      </c>
      <c r="G29" s="1249">
        <f>G28/F28-1</f>
        <v/>
      </c>
      <c r="H29" s="672" t="n"/>
      <c r="I29" s="672" t="n"/>
      <c r="J29" s="672" t="n"/>
      <c r="K29" s="672" t="n"/>
      <c r="L29" s="1249">
        <f>L28/G28-1</f>
        <v/>
      </c>
      <c r="M29" s="672">
        <f>M28/H28-1</f>
        <v/>
      </c>
      <c r="N29" s="672">
        <f>N28/I28-1</f>
        <v/>
      </c>
      <c r="O29" s="672">
        <f>O28/J28-1</f>
        <v/>
      </c>
      <c r="P29" s="672">
        <f>P28/K28-1</f>
        <v/>
      </c>
      <c r="Q29" s="1249">
        <f>Q28/L28-1</f>
        <v/>
      </c>
      <c r="R29" s="672">
        <f>R28/M28-1</f>
        <v/>
      </c>
      <c r="S29" s="672">
        <f>S28/N28-1</f>
        <v/>
      </c>
      <c r="T29" s="672">
        <f>T28/O28-1</f>
        <v/>
      </c>
      <c r="U29" s="672">
        <f>U28/P28-1</f>
        <v/>
      </c>
      <c r="V29" s="1249">
        <f>V28/Q28-1</f>
        <v/>
      </c>
      <c r="W29" s="672">
        <f>W28/R28-1</f>
        <v/>
      </c>
      <c r="X29" s="672">
        <f>X28/S28-1</f>
        <v/>
      </c>
      <c r="Y29" s="672">
        <f>Y28/T28-1</f>
        <v/>
      </c>
      <c r="Z29" s="672">
        <f>Z28/U28-1</f>
        <v/>
      </c>
      <c r="AA29" s="1249">
        <f>AA28/V28-1</f>
        <v/>
      </c>
      <c r="AB29" s="672">
        <f>AB28/W28-1</f>
        <v/>
      </c>
      <c r="AC29" s="672">
        <f>AC28/X28-1</f>
        <v/>
      </c>
      <c r="AD29" s="672">
        <f>AD28/Y28-1</f>
        <v/>
      </c>
      <c r="AE29" s="672">
        <f>AE28/Z28-1</f>
        <v/>
      </c>
      <c r="AF29" s="1249">
        <f>AF28/AA28-1</f>
        <v/>
      </c>
      <c r="AG29" s="672">
        <f>AG28/AB28-1</f>
        <v/>
      </c>
      <c r="AH29" s="672">
        <f>AH28/AC28-1</f>
        <v/>
      </c>
      <c r="AI29" s="672">
        <f>AI28/AD28-1</f>
        <v/>
      </c>
      <c r="AJ29" s="672">
        <f>AJ28/AE28-1</f>
        <v/>
      </c>
      <c r="AK29" s="1249">
        <f>AK28/AF28-1</f>
        <v/>
      </c>
      <c r="AL29" s="672">
        <f>AL28/AG28-1</f>
        <v/>
      </c>
      <c r="AM29" s="672">
        <f>AM28/AH28-1</f>
        <v/>
      </c>
      <c r="AN29" s="672">
        <f>AN28/AI28-1</f>
        <v/>
      </c>
      <c r="AO29" s="672">
        <f>AO28/AJ28-1</f>
        <v/>
      </c>
      <c r="AP29" s="1249">
        <f>AP28/AK28-1</f>
        <v/>
      </c>
      <c r="AQ29" s="672">
        <f>AQ28/AL28-1</f>
        <v/>
      </c>
      <c r="AR29" s="672">
        <f>AR28/AM28-1</f>
        <v/>
      </c>
      <c r="AS29" s="672">
        <f>AS28/AN28-1</f>
        <v/>
      </c>
      <c r="AT29" s="672">
        <f>AT28/AO28-1</f>
        <v/>
      </c>
      <c r="AU29" s="1249">
        <f>AU28/AP28-1</f>
        <v/>
      </c>
      <c r="AV29" s="672">
        <f>AV28/AQ28-1</f>
        <v/>
      </c>
      <c r="AW29" s="672">
        <f>AW28/AR28-1</f>
        <v/>
      </c>
      <c r="AX29" s="672">
        <f>AX28/AS28-1</f>
        <v/>
      </c>
      <c r="AY29" s="672">
        <f>AY28/AT28-1</f>
        <v/>
      </c>
      <c r="AZ29" s="1249">
        <f>AZ28/AU28-1</f>
        <v/>
      </c>
      <c r="BA29" s="672">
        <f>BA28/AV28-1</f>
        <v/>
      </c>
      <c r="BB29" s="672">
        <f>BB28/AW28-1</f>
        <v/>
      </c>
      <c r="BC29" s="672">
        <f>BC28/AX28-1</f>
        <v/>
      </c>
      <c r="BD29" s="672">
        <f>BD28/AY28-1</f>
        <v/>
      </c>
      <c r="BE29" s="1249">
        <f>BE28/AZ28-1</f>
        <v/>
      </c>
      <c r="BF29" s="672">
        <f>BF28/BA28-1</f>
        <v/>
      </c>
      <c r="BG29" s="672">
        <f>BG28/BB28-1</f>
        <v/>
      </c>
      <c r="BH29" s="672">
        <f>BH28/BC28-1</f>
        <v/>
      </c>
      <c r="BI29" s="672">
        <f>BI28/BD28-1</f>
        <v/>
      </c>
      <c r="BJ29" s="1249">
        <f>BJ28/BE28-1</f>
        <v/>
      </c>
      <c r="BK29" s="672">
        <f>BK28/BF28-1</f>
        <v/>
      </c>
      <c r="BL29" s="672">
        <f>BL28/BG28-1</f>
        <v/>
      </c>
      <c r="BM29" s="672">
        <f>BM28/BH28-1</f>
        <v/>
      </c>
      <c r="BN29" s="672">
        <f>BN28/BI28-1</f>
        <v/>
      </c>
      <c r="BO29" s="1248">
        <f>BO28/BJ28-1</f>
        <v/>
      </c>
      <c r="BP29" s="1121" t="n">
        <v>0.15</v>
      </c>
      <c r="BQ29" s="1121" t="n">
        <v>0.15</v>
      </c>
      <c r="BR29" s="1121" t="n">
        <v>0.15</v>
      </c>
      <c r="BS29" s="1121" t="n">
        <v>0.15</v>
      </c>
      <c r="BT29" s="1249">
        <f>BT28/BO28-1</f>
        <v/>
      </c>
      <c r="BU29" s="1121" t="n">
        <v>0.15</v>
      </c>
      <c r="BV29" s="1121" t="n">
        <v>0.15</v>
      </c>
      <c r="BW29" s="1121" t="n">
        <v>0.15</v>
      </c>
      <c r="BX29" s="1121" t="n">
        <v>0.15</v>
      </c>
      <c r="BY29" s="1249">
        <f>BY28/BT28-1</f>
        <v/>
      </c>
      <c r="BZ29" s="1251" t="n">
        <v>0.15</v>
      </c>
      <c r="CA29" s="1251" t="n">
        <v>0.15</v>
      </c>
      <c r="CB29" s="1251" t="n">
        <v>0.15</v>
      </c>
      <c r="CC29" s="715" t="n"/>
    </row>
    <row r="30" ht="15" customFormat="1" customHeight="1" s="1614">
      <c r="A30" s="1615" t="inlineStr">
        <is>
          <t>Metrology &amp; Inspection unit price, 000 EUR/unit</t>
        </is>
      </c>
      <c r="B30" s="1621" t="n"/>
      <c r="C30" s="1617" t="n"/>
      <c r="D30" s="1617" t="n"/>
      <c r="E30" s="1617" t="n"/>
      <c r="F30" s="1617" t="n"/>
      <c r="G30" s="1617" t="n"/>
      <c r="H30" s="1618" t="n"/>
      <c r="I30" s="1618" t="n"/>
      <c r="J30" s="1618" t="n"/>
      <c r="K30" s="1618" t="n"/>
      <c r="L30" s="1617" t="n"/>
      <c r="M30" s="1618" t="n"/>
      <c r="N30" s="1618" t="n"/>
      <c r="O30" s="1618" t="n"/>
      <c r="P30" s="1618" t="n"/>
      <c r="Q30" s="1617" t="n"/>
      <c r="R30" s="1618" t="n"/>
      <c r="S30" s="1618" t="n"/>
      <c r="T30" s="1618" t="n"/>
      <c r="U30" s="1618" t="n"/>
      <c r="V30" s="1617">
        <f>IFERROR(+V38/V17*1000,"n/a")</f>
        <v/>
      </c>
      <c r="W30" s="1618" t="n"/>
      <c r="X30" s="1618" t="n"/>
      <c r="Y30" s="1618" t="n"/>
      <c r="Z30" s="1618" t="n"/>
      <c r="AA30" s="1617">
        <f>IFERROR(+AA38/AA17*1000,"n/a")</f>
        <v/>
      </c>
      <c r="AB30" s="1618" t="n"/>
      <c r="AC30" s="1618" t="n"/>
      <c r="AD30" s="1618" t="n"/>
      <c r="AE30" s="1618" t="n"/>
      <c r="AF30" s="1617">
        <f>IFERROR(+AF38/AF17*1000,"n/a")</f>
        <v/>
      </c>
      <c r="AG30" s="1618" t="n"/>
      <c r="AH30" s="1618" t="n"/>
      <c r="AI30" s="1618" t="n"/>
      <c r="AJ30" s="1618" t="n"/>
      <c r="AK30" s="1617">
        <f>IFERROR(+AK38/AK17*1000,"n/a")</f>
        <v/>
      </c>
      <c r="AL30" s="1618" t="n"/>
      <c r="AM30" s="1618" t="n"/>
      <c r="AN30" s="1618" t="n"/>
      <c r="AO30" s="1618" t="n"/>
      <c r="AP30" s="1617">
        <f>IFERROR(+AP38/AP17*1000,"n/a")</f>
        <v/>
      </c>
      <c r="AQ30" s="1618" t="n"/>
      <c r="AR30" s="1618" t="n"/>
      <c r="AS30" s="1618" t="n"/>
      <c r="AT30" s="1618" t="n"/>
      <c r="AU30" s="1617">
        <f>IFERROR(+AU38/AU17*1000,"n/a")</f>
        <v/>
      </c>
      <c r="AV30" s="1618" t="n"/>
      <c r="AW30" s="1618" t="n"/>
      <c r="AX30" s="1618" t="n"/>
      <c r="AY30" s="1618" t="n"/>
      <c r="AZ30" s="1617">
        <f>IFERROR(+AZ38/AZ17*1000,"n/a")</f>
        <v/>
      </c>
      <c r="BA30" s="1618">
        <f>BA38/BA17*1000</f>
        <v/>
      </c>
      <c r="BB30" s="1618">
        <f>BB38/BB17*1000</f>
        <v/>
      </c>
      <c r="BC30" s="1618">
        <f>BC38/BC17*1000</f>
        <v/>
      </c>
      <c r="BD30" s="1618">
        <f>BD38/BD17*1000</f>
        <v/>
      </c>
      <c r="BE30" s="1617">
        <f>IFERROR(+BE38/BE17*1000,"n/a")</f>
        <v/>
      </c>
      <c r="BF30" s="1618">
        <f>BF38/BF17*1000</f>
        <v/>
      </c>
      <c r="BG30" s="1618">
        <f>BG38/BG17*1000</f>
        <v/>
      </c>
      <c r="BH30" s="1618">
        <f>BH38/BH17*1000</f>
        <v/>
      </c>
      <c r="BI30" s="1618">
        <f>BI38/BI17*1000</f>
        <v/>
      </c>
      <c r="BJ30" s="1617">
        <f>IFERROR(+BJ38/BJ17*1000,"n/a")</f>
        <v/>
      </c>
      <c r="BK30" s="1618">
        <f>BK38/BK17*1000</f>
        <v/>
      </c>
      <c r="BL30" s="1618">
        <f>BL38/BL17*1000</f>
        <v/>
      </c>
      <c r="BM30" s="1618">
        <f>BM38/BM17*1000</f>
        <v/>
      </c>
      <c r="BN30" s="1618">
        <f>BN38/BN17*1000</f>
        <v/>
      </c>
      <c r="BO30" s="1619">
        <f>IFERROR(+BO38/BO17*1000,"n/a")</f>
        <v/>
      </c>
      <c r="BP30" s="1618">
        <f>BK30*(1+BP31)</f>
        <v/>
      </c>
      <c r="BQ30" s="1618">
        <f>BL30*(1+BQ31)</f>
        <v/>
      </c>
      <c r="BR30" s="1618">
        <f>BM30*(1+BR31)</f>
        <v/>
      </c>
      <c r="BS30" s="1618">
        <f>BN30*(1+BS31)</f>
        <v/>
      </c>
      <c r="BT30" s="1617">
        <f>IFERROR(+BT38/BT17*1000,"n/a")</f>
        <v/>
      </c>
      <c r="BU30" s="1618">
        <f>BP30*(1+BU31)</f>
        <v/>
      </c>
      <c r="BV30" s="1618">
        <f>BQ30*(1+BV31)</f>
        <v/>
      </c>
      <c r="BW30" s="1618">
        <f>BR30*(1+BW31)</f>
        <v/>
      </c>
      <c r="BX30" s="1618">
        <f>BS30*(1+BX31)</f>
        <v/>
      </c>
      <c r="BY30" s="1617">
        <f>IFERROR(+BY38/BY17*1000,"n/a")</f>
        <v/>
      </c>
      <c r="BZ30" s="1617">
        <f>BY30*(1+BZ31)</f>
        <v/>
      </c>
      <c r="CA30" s="1617">
        <f>BZ30*(1+CA31)</f>
        <v/>
      </c>
      <c r="CB30" s="1617">
        <f>CA30*(1+CB31)</f>
        <v/>
      </c>
      <c r="CC30" s="1620" t="n"/>
    </row>
    <row r="31" ht="15" customFormat="1" customHeight="1" s="602">
      <c r="A31" s="94" t="inlineStr">
        <is>
          <t>Metrology &amp; Inspection unit price growth, %</t>
        </is>
      </c>
      <c r="B31" s="406" t="n"/>
      <c r="C31" s="1249" t="n"/>
      <c r="D31" s="1249" t="n"/>
      <c r="E31" s="1249" t="n"/>
      <c r="F31" s="1249" t="n"/>
      <c r="G31" s="1249" t="n"/>
      <c r="H31" s="672" t="n"/>
      <c r="I31" s="672" t="n"/>
      <c r="J31" s="672" t="n"/>
      <c r="K31" s="672" t="n"/>
      <c r="L31" s="1249" t="n"/>
      <c r="M31" s="672" t="n"/>
      <c r="N31" s="672" t="n"/>
      <c r="O31" s="672" t="n"/>
      <c r="P31" s="672" t="n"/>
      <c r="Q31" s="1249" t="n"/>
      <c r="R31" s="672" t="n"/>
      <c r="S31" s="672" t="n"/>
      <c r="T31" s="672" t="n"/>
      <c r="U31" s="672" t="n"/>
      <c r="V31" s="1249" t="n"/>
      <c r="W31" s="672" t="n"/>
      <c r="X31" s="672" t="n"/>
      <c r="Y31" s="672" t="n"/>
      <c r="Z31" s="672" t="n"/>
      <c r="AA31" s="1249">
        <f>AA30/V30-1</f>
        <v/>
      </c>
      <c r="AB31" s="672" t="n"/>
      <c r="AC31" s="672" t="n"/>
      <c r="AD31" s="672" t="n"/>
      <c r="AE31" s="672" t="n"/>
      <c r="AF31" s="1249">
        <f>AF30/AA30-1</f>
        <v/>
      </c>
      <c r="AG31" s="672" t="n"/>
      <c r="AH31" s="672" t="n"/>
      <c r="AI31" s="672" t="n"/>
      <c r="AJ31" s="672" t="n"/>
      <c r="AK31" s="1249">
        <f>AK30/AF30-1</f>
        <v/>
      </c>
      <c r="AL31" s="672" t="n"/>
      <c r="AM31" s="672" t="n"/>
      <c r="AN31" s="672" t="n"/>
      <c r="AO31" s="672" t="n"/>
      <c r="AP31" s="1249">
        <f>AP30/AK30-1</f>
        <v/>
      </c>
      <c r="AQ31" s="672" t="n"/>
      <c r="AR31" s="672" t="n"/>
      <c r="AS31" s="672" t="n"/>
      <c r="AT31" s="672" t="n"/>
      <c r="AU31" s="1249">
        <f>AU30/AP30-1</f>
        <v/>
      </c>
      <c r="AV31" s="672" t="n"/>
      <c r="AW31" s="672" t="n"/>
      <c r="AX31" s="672" t="n"/>
      <c r="AY31" s="672" t="n"/>
      <c r="AZ31" s="1249">
        <f>AZ30/AU30-1</f>
        <v/>
      </c>
      <c r="BA31" s="672" t="n"/>
      <c r="BB31" s="672" t="n"/>
      <c r="BC31" s="672" t="n"/>
      <c r="BD31" s="672" t="n"/>
      <c r="BE31" s="1249">
        <f>BE30/AZ30-1</f>
        <v/>
      </c>
      <c r="BF31" s="672">
        <f>BF30/BA30-1</f>
        <v/>
      </c>
      <c r="BG31" s="672">
        <f>BG30/BB30-1</f>
        <v/>
      </c>
      <c r="BH31" s="672">
        <f>BH30/BC30-1</f>
        <v/>
      </c>
      <c r="BI31" s="672">
        <f>BI30/BD30-1</f>
        <v/>
      </c>
      <c r="BJ31" s="1249">
        <f>BJ30/BE30-1</f>
        <v/>
      </c>
      <c r="BK31" s="672">
        <f>BK30/BF30-1</f>
        <v/>
      </c>
      <c r="BL31" s="672">
        <f>BL30/BG30-1</f>
        <v/>
      </c>
      <c r="BM31" s="672">
        <f>BM30/BH30-1</f>
        <v/>
      </c>
      <c r="BN31" s="672">
        <f>BN30/BI30-1</f>
        <v/>
      </c>
      <c r="BO31" s="1248">
        <f>BO30/BJ30-1</f>
        <v/>
      </c>
      <c r="BP31" s="1121" t="n">
        <v>0.1</v>
      </c>
      <c r="BQ31" s="1121" t="n">
        <v>0.05</v>
      </c>
      <c r="BR31" s="1121" t="n">
        <v>0.05</v>
      </c>
      <c r="BS31" s="1121" t="n">
        <v>0.05</v>
      </c>
      <c r="BT31" s="1249">
        <f>BT30/BO30-1</f>
        <v/>
      </c>
      <c r="BU31" s="1121" t="n">
        <v>0.05</v>
      </c>
      <c r="BV31" s="1121" t="n">
        <v>0.05</v>
      </c>
      <c r="BW31" s="1121" t="n">
        <v>0.05</v>
      </c>
      <c r="BX31" s="1121" t="n">
        <v>0.05</v>
      </c>
      <c r="BY31" s="1249">
        <f>BY30/BT30-1</f>
        <v/>
      </c>
      <c r="BZ31" s="1251" t="n">
        <v>0.05</v>
      </c>
      <c r="CA31" s="1251" t="n">
        <v>0.05</v>
      </c>
      <c r="CB31" s="1251" t="n">
        <v>0.05</v>
      </c>
      <c r="CC31" s="715" t="n"/>
    </row>
    <row r="32" ht="15" customFormat="1" customHeight="1" s="598">
      <c r="A32" s="294" t="n"/>
      <c r="B32" s="64" t="n"/>
      <c r="C32" s="1254" t="n"/>
      <c r="D32" s="1254" t="n"/>
      <c r="E32" s="1254" t="n"/>
      <c r="F32" s="1254" t="n"/>
      <c r="G32" s="1254" t="n"/>
      <c r="H32" s="674" t="n"/>
      <c r="I32" s="674" t="n"/>
      <c r="J32" s="674" t="n"/>
      <c r="K32" s="674" t="n"/>
      <c r="L32" s="1254" t="n"/>
      <c r="M32" s="674" t="n"/>
      <c r="N32" s="674" t="n"/>
      <c r="O32" s="674" t="n"/>
      <c r="P32" s="674" t="n"/>
      <c r="Q32" s="1254" t="n"/>
      <c r="R32" s="674" t="n"/>
      <c r="S32" s="674" t="n"/>
      <c r="T32" s="674" t="n"/>
      <c r="U32" s="674" t="n"/>
      <c r="V32" s="1254" t="n"/>
      <c r="W32" s="674" t="n"/>
      <c r="X32" s="674" t="n"/>
      <c r="Y32" s="674" t="n"/>
      <c r="Z32" s="674" t="n"/>
      <c r="AA32" s="1254" t="n"/>
      <c r="AB32" s="674" t="n"/>
      <c r="AC32" s="674" t="n"/>
      <c r="AD32" s="674" t="n"/>
      <c r="AE32" s="674" t="n"/>
      <c r="AF32" s="1254" t="n"/>
      <c r="AG32" s="674" t="n"/>
      <c r="AH32" s="674" t="n"/>
      <c r="AI32" s="674" t="n"/>
      <c r="AJ32" s="674" t="n"/>
      <c r="AK32" s="1254" t="n"/>
      <c r="AL32" s="674" t="n"/>
      <c r="AM32" s="674" t="n"/>
      <c r="AN32" s="674" t="n"/>
      <c r="AO32" s="674" t="n"/>
      <c r="AP32" s="1254" t="n"/>
      <c r="AQ32" s="674" t="n"/>
      <c r="AR32" s="674" t="n"/>
      <c r="AS32" s="674" t="n"/>
      <c r="AT32" s="674" t="n"/>
      <c r="AU32" s="1254" t="n"/>
      <c r="AV32" s="674" t="n"/>
      <c r="AW32" s="674" t="n"/>
      <c r="AX32" s="674" t="n"/>
      <c r="AY32" s="674" t="n"/>
      <c r="AZ32" s="1254" t="n"/>
      <c r="BA32" s="674" t="n"/>
      <c r="BB32" s="674" t="n"/>
      <c r="BC32" s="674" t="n"/>
      <c r="BD32" s="674" t="n"/>
      <c r="BE32" s="1254" t="n"/>
      <c r="BF32" s="674" t="n"/>
      <c r="BG32" s="674" t="n"/>
      <c r="BH32" s="674" t="n"/>
      <c r="BI32" s="674" t="n"/>
      <c r="BJ32" s="1254" t="n"/>
      <c r="BK32" s="674" t="n"/>
      <c r="BL32" s="674" t="n"/>
      <c r="BM32" s="674" t="n"/>
      <c r="BN32" s="674" t="n"/>
      <c r="BO32" s="1253" t="n"/>
      <c r="BP32" s="674" t="n"/>
      <c r="BQ32" s="674" t="n"/>
      <c r="BR32" s="674" t="n"/>
      <c r="BS32" s="674" t="n"/>
      <c r="BT32" s="1254" t="n"/>
      <c r="BU32" s="674" t="n"/>
      <c r="BV32" s="674" t="n"/>
      <c r="BW32" s="674" t="n"/>
      <c r="BX32" s="674" t="n"/>
      <c r="BY32" s="1254" t="n"/>
      <c r="BZ32" s="1254" t="n"/>
      <c r="CA32" s="1254" t="n"/>
      <c r="CB32" s="1254" t="n"/>
      <c r="CC32" s="750" t="n"/>
    </row>
    <row r="33" ht="15" customFormat="1" customHeight="1" s="1561">
      <c r="A33" s="1622" t="inlineStr">
        <is>
          <t>EUV sales, mm</t>
        </is>
      </c>
      <c r="B33" s="1623" t="n"/>
      <c r="C33" s="1624" t="n"/>
      <c r="D33" s="1624" t="n"/>
      <c r="E33" s="1625" t="n">
        <v>119.3</v>
      </c>
      <c r="F33" s="1625" t="n">
        <v>43.7</v>
      </c>
      <c r="G33" s="1625" t="n">
        <v>60.1</v>
      </c>
      <c r="H33" s="1626">
        <f>H53*H$39</f>
        <v/>
      </c>
      <c r="I33" s="1626">
        <f>I53*I$39</f>
        <v/>
      </c>
      <c r="J33" s="1626">
        <f>J53*J$39</f>
        <v/>
      </c>
      <c r="K33" s="1626">
        <f>K53*K$39</f>
        <v/>
      </c>
      <c r="L33" s="1625" t="n">
        <v>299.845</v>
      </c>
      <c r="M33" s="1626">
        <f>M53*M$39</f>
        <v/>
      </c>
      <c r="N33" s="1626">
        <f>N53*N$39</f>
        <v/>
      </c>
      <c r="O33" s="1626">
        <f>O53*O$39</f>
        <v/>
      </c>
      <c r="P33" s="1626">
        <f>P53*P$39</f>
        <v/>
      </c>
      <c r="Q33" s="1625" t="n">
        <v>70.473</v>
      </c>
      <c r="R33" s="1626">
        <f>R53*R$39</f>
        <v/>
      </c>
      <c r="S33" s="1626">
        <f>S53*S$39</f>
        <v/>
      </c>
      <c r="T33" s="1626">
        <f>T53*T$39</f>
        <v/>
      </c>
      <c r="U33" s="1626">
        <f>U53*U$39</f>
        <v/>
      </c>
      <c r="V33" s="1625" t="n">
        <v>324.9</v>
      </c>
      <c r="W33" s="1626">
        <f>W53*W$39</f>
        <v/>
      </c>
      <c r="X33" s="1626">
        <f>X53*X$39</f>
        <v/>
      </c>
      <c r="Y33" s="1626">
        <f>Y53*Y$39</f>
        <v/>
      </c>
      <c r="Z33" s="1626">
        <f>Z53*Z$39</f>
        <v/>
      </c>
      <c r="AA33" s="1625" t="n">
        <v>1101.5</v>
      </c>
      <c r="AB33" s="1626">
        <f>AB53*AB$39</f>
        <v/>
      </c>
      <c r="AC33" s="1626">
        <f>AC53*AC$39</f>
        <v/>
      </c>
      <c r="AD33" s="1626">
        <f>AD53*AD$39</f>
        <v/>
      </c>
      <c r="AE33" s="1626">
        <f>AE53*AE$39</f>
        <v/>
      </c>
      <c r="AF33" s="1625" t="n">
        <v>1880.1</v>
      </c>
      <c r="AG33" s="1626">
        <f>AG53*AG$39</f>
        <v/>
      </c>
      <c r="AH33" s="1626">
        <f>AH53*AH$39</f>
        <v/>
      </c>
      <c r="AI33" s="1626">
        <f>AI53*AI$39</f>
        <v/>
      </c>
      <c r="AJ33" s="1626">
        <f>AJ53*AJ$39</f>
        <v/>
      </c>
      <c r="AK33" s="1625" t="n">
        <v>2799.7</v>
      </c>
      <c r="AL33" s="1626">
        <f>AL53*AL$39</f>
        <v/>
      </c>
      <c r="AM33" s="1626">
        <f>AM53*AM$39</f>
        <v/>
      </c>
      <c r="AN33" s="1626">
        <f>AN53*AN$39</f>
        <v/>
      </c>
      <c r="AO33" s="1626">
        <f>AO53*AO$39</f>
        <v/>
      </c>
      <c r="AP33" s="1625" t="n">
        <v>4463.8</v>
      </c>
      <c r="AQ33" s="1626">
        <f>AQ53*AQ$39</f>
        <v/>
      </c>
      <c r="AR33" s="1626">
        <f>AR53*AR$39</f>
        <v/>
      </c>
      <c r="AS33" s="1626">
        <f>AS53*AS$39</f>
        <v/>
      </c>
      <c r="AT33" s="1626">
        <f>AT53*AT$39</f>
        <v/>
      </c>
      <c r="AU33" s="1625" t="n">
        <v>6284</v>
      </c>
      <c r="AV33" s="1626">
        <f>AV53*AV$39</f>
        <v/>
      </c>
      <c r="AW33" s="1626">
        <f>AW53*AW$39</f>
        <v/>
      </c>
      <c r="AX33" s="1626">
        <f>AX53*AX$39</f>
        <v/>
      </c>
      <c r="AY33" s="1626">
        <f>AY53*AY$39</f>
        <v/>
      </c>
      <c r="AZ33" s="1625" t="n">
        <v>7045.3</v>
      </c>
      <c r="BA33" s="1626">
        <f>BA53*BA$39</f>
        <v/>
      </c>
      <c r="BB33" s="1626">
        <f>BB53*BB$39</f>
        <v/>
      </c>
      <c r="BC33" s="1626">
        <f>BC53*BC$39</f>
        <v/>
      </c>
      <c r="BD33" s="1626">
        <f>BD53*BD$39</f>
        <v/>
      </c>
      <c r="BE33" s="1625" t="n">
        <v>9124</v>
      </c>
      <c r="BF33" s="1626">
        <f>BF53*BF$39</f>
        <v/>
      </c>
      <c r="BG33" s="1626">
        <f>BG53*BG$39</f>
        <v/>
      </c>
      <c r="BH33" s="1626">
        <f>BH53*BH$39</f>
        <v/>
      </c>
      <c r="BI33" s="1626">
        <f>BI53*BI$39</f>
        <v/>
      </c>
      <c r="BJ33" s="1625">
        <f>7856.4+465</f>
        <v/>
      </c>
      <c r="BK33" s="1626">
        <f>BK53*BK$39</f>
        <v/>
      </c>
      <c r="BL33" s="1626">
        <f>BL53*BL$39</f>
        <v/>
      </c>
      <c r="BM33" s="1626">
        <f>BM53*BM$39</f>
        <v/>
      </c>
      <c r="BN33" s="1626">
        <f>BN53*BN$39</f>
        <v/>
      </c>
      <c r="BO33" s="1627">
        <f>SUM(BK33,BL33,BM33,BN33)</f>
        <v/>
      </c>
      <c r="BP33" s="1626">
        <f>BP11*BP20/1000</f>
        <v/>
      </c>
      <c r="BQ33" s="1626">
        <f>BQ11*BQ20/1000</f>
        <v/>
      </c>
      <c r="BR33" s="1626">
        <f>BR11*BR20/1000</f>
        <v/>
      </c>
      <c r="BS33" s="1626">
        <f>BS11*BS20/1000</f>
        <v/>
      </c>
      <c r="BT33" s="1624">
        <f>SUM(BP33,BQ33,BR33,BS33)</f>
        <v/>
      </c>
      <c r="BU33" s="1626">
        <f>BU11*BU20/1000</f>
        <v/>
      </c>
      <c r="BV33" s="1626">
        <f>BV11*BV20/1000</f>
        <v/>
      </c>
      <c r="BW33" s="1626">
        <f>BW11*BW20/1000</f>
        <v/>
      </c>
      <c r="BX33" s="1626">
        <f>BX11*BX20/1000</f>
        <v/>
      </c>
      <c r="BY33" s="1624">
        <f>SUM(BU33,BV33,BW33,BX33)</f>
        <v/>
      </c>
      <c r="BZ33" s="1624">
        <f>BZ11*BZ20/1000</f>
        <v/>
      </c>
      <c r="CA33" s="1624">
        <f>CA11*CA20/1000</f>
        <v/>
      </c>
      <c r="CB33" s="1624">
        <f>CB11*CB20/1000</f>
        <v/>
      </c>
      <c r="CC33" s="1564" t="n"/>
    </row>
    <row r="34" ht="15" customFormat="1" customHeight="1" s="1561">
      <c r="A34" s="1622" t="inlineStr">
        <is>
          <t>ArFi sales, mm</t>
        </is>
      </c>
      <c r="B34" s="1623" t="n"/>
      <c r="C34" s="1624" t="n"/>
      <c r="D34" s="1624" t="n"/>
      <c r="E34" s="1625" t="n">
        <v>3549.122</v>
      </c>
      <c r="F34" s="1625" t="n">
        <v>2715.221</v>
      </c>
      <c r="G34" s="1625" t="n">
        <v>3120.719</v>
      </c>
      <c r="H34" s="1626">
        <f>H54*H$39</f>
        <v/>
      </c>
      <c r="I34" s="1626">
        <f>I54*I$39</f>
        <v/>
      </c>
      <c r="J34" s="1626">
        <f>J54*J$39</f>
        <v/>
      </c>
      <c r="K34" s="1626">
        <f>K54*K$39</f>
        <v/>
      </c>
      <c r="L34" s="1625" t="n">
        <v>3477.718</v>
      </c>
      <c r="M34" s="1626">
        <f>M54*M$39</f>
        <v/>
      </c>
      <c r="N34" s="1626">
        <f>N54*N$39</f>
        <v/>
      </c>
      <c r="O34" s="1626">
        <f>O54*O$39</f>
        <v/>
      </c>
      <c r="P34" s="1626">
        <f>P54*P$39</f>
        <v/>
      </c>
      <c r="Q34" s="1625" t="n">
        <v>3238.452</v>
      </c>
      <c r="R34" s="1626">
        <f>R54*R$39</f>
        <v/>
      </c>
      <c r="S34" s="1626">
        <f>S54*S$39</f>
        <v/>
      </c>
      <c r="T34" s="1626">
        <f>T54*T$39</f>
        <v/>
      </c>
      <c r="U34" s="1626">
        <f>U54*U$39</f>
        <v/>
      </c>
      <c r="V34" s="1625" t="n">
        <v>3518.7</v>
      </c>
      <c r="W34" s="1626">
        <f>W54*W$39</f>
        <v/>
      </c>
      <c r="X34" s="1626">
        <f>X54*X$39</f>
        <v/>
      </c>
      <c r="Y34" s="1626">
        <f>Y54*Y$39</f>
        <v/>
      </c>
      <c r="Z34" s="1626">
        <f>Z54*Z$39</f>
        <v/>
      </c>
      <c r="AA34" s="1625" t="n">
        <v>4017.4</v>
      </c>
      <c r="AB34" s="1626">
        <f>AB54*AB$39</f>
        <v/>
      </c>
      <c r="AC34" s="1626">
        <f>AC54*AC$39</f>
        <v/>
      </c>
      <c r="AD34" s="1626">
        <f>AD54*AD$39</f>
        <v/>
      </c>
      <c r="AE34" s="1626">
        <f>AE54*AE$39</f>
        <v/>
      </c>
      <c r="AF34" s="1625" t="n">
        <v>4806.9</v>
      </c>
      <c r="AG34" s="1626">
        <f>AG54*AG$39</f>
        <v/>
      </c>
      <c r="AH34" s="1626">
        <f>AH54*AH$39</f>
        <v/>
      </c>
      <c r="AI34" s="1626">
        <f>AI54*AI$39</f>
        <v/>
      </c>
      <c r="AJ34" s="1626">
        <f>AJ54*AJ$39</f>
        <v/>
      </c>
      <c r="AK34" s="1625" t="n">
        <v>4707.7</v>
      </c>
      <c r="AL34" s="1626">
        <f>AL54*AL$39</f>
        <v/>
      </c>
      <c r="AM34" s="1626">
        <f>AM54*AM$39</f>
        <v/>
      </c>
      <c r="AN34" s="1626">
        <f>AN54*AN$39</f>
        <v/>
      </c>
      <c r="AO34" s="1626">
        <f>AO54*AO$39</f>
        <v/>
      </c>
      <c r="AP34" s="1625" t="n">
        <v>3917</v>
      </c>
      <c r="AQ34" s="1626">
        <f>AQ54*AQ$39</f>
        <v/>
      </c>
      <c r="AR34" s="1626">
        <f>AR54*AR$39</f>
        <v/>
      </c>
      <c r="AS34" s="1626">
        <f>AS54*AS$39</f>
        <v/>
      </c>
      <c r="AT34" s="1626">
        <f>AT54*AT$39</f>
        <v/>
      </c>
      <c r="AU34" s="1625" t="n">
        <v>4959.6</v>
      </c>
      <c r="AV34" s="1626">
        <f>AV54*AV$39</f>
        <v/>
      </c>
      <c r="AW34" s="1626">
        <f>AW54*AW$39</f>
        <v/>
      </c>
      <c r="AX34" s="1626">
        <f>AX54*AX$39</f>
        <v/>
      </c>
      <c r="AY34" s="1626">
        <f>AY54*AY$39</f>
        <v/>
      </c>
      <c r="AZ34" s="1625" t="n">
        <v>5236.5</v>
      </c>
      <c r="BA34" s="1626">
        <f>BA54*BA$39</f>
        <v/>
      </c>
      <c r="BB34" s="1626">
        <f>BB54*BB$39</f>
        <v/>
      </c>
      <c r="BC34" s="1626">
        <f>BC54*BC$39</f>
        <v/>
      </c>
      <c r="BD34" s="1626">
        <f>BD54*BD$39</f>
        <v/>
      </c>
      <c r="BE34" s="1625" t="n">
        <v>9017.4</v>
      </c>
      <c r="BF34" s="1626">
        <f>BF54*BF$39</f>
        <v/>
      </c>
      <c r="BG34" s="1626">
        <f>BG54*BG$39</f>
        <v/>
      </c>
      <c r="BH34" s="1626">
        <f>BH54*BH$39</f>
        <v/>
      </c>
      <c r="BI34" s="1626">
        <f>BI54*BI$39</f>
        <v/>
      </c>
      <c r="BJ34" s="1625" t="n">
        <v>9667</v>
      </c>
      <c r="BK34" s="1626">
        <f>BK54*BK$39</f>
        <v/>
      </c>
      <c r="BL34" s="1626">
        <f>BL54*BL$39</f>
        <v/>
      </c>
      <c r="BM34" s="1626">
        <f>BM54*BM$39</f>
        <v/>
      </c>
      <c r="BN34" s="1626">
        <f>BN54*BN$39</f>
        <v/>
      </c>
      <c r="BO34" s="1627">
        <f>SUM(BK34,BL34,BM34,BN34)</f>
        <v/>
      </c>
      <c r="BP34" s="1626">
        <f>BP12*BP22/1000</f>
        <v/>
      </c>
      <c r="BQ34" s="1626">
        <f>BQ12*BQ22/1000</f>
        <v/>
      </c>
      <c r="BR34" s="1626">
        <f>BR12*BR22/1000</f>
        <v/>
      </c>
      <c r="BS34" s="1626">
        <f>BS12*BS22/1000</f>
        <v/>
      </c>
      <c r="BT34" s="1624">
        <f>SUM(BP34,BQ34,BR34,BS34)</f>
        <v/>
      </c>
      <c r="BU34" s="1626">
        <f>BU12*BU22/1000</f>
        <v/>
      </c>
      <c r="BV34" s="1626">
        <f>BV12*BV22/1000</f>
        <v/>
      </c>
      <c r="BW34" s="1626">
        <f>BW12*BW22/1000</f>
        <v/>
      </c>
      <c r="BX34" s="1626">
        <f>BX12*BX22/1000</f>
        <v/>
      </c>
      <c r="BY34" s="1624">
        <f>SUM(BU34,BV34,BW34,BX34)</f>
        <v/>
      </c>
      <c r="BZ34" s="1624">
        <f>BZ12*BZ22/1000</f>
        <v/>
      </c>
      <c r="CA34" s="1624">
        <f>CA12*CA22/1000</f>
        <v/>
      </c>
      <c r="CB34" s="1624">
        <f>CB12*CB22/1000</f>
        <v/>
      </c>
      <c r="CC34" s="1564" t="n"/>
    </row>
    <row r="35" ht="15" customFormat="1" customHeight="1" s="1561">
      <c r="A35" s="1622" t="inlineStr">
        <is>
          <t>ArF sales, mm</t>
        </is>
      </c>
      <c r="B35" s="1623" t="n"/>
      <c r="C35" s="1624" t="n"/>
      <c r="D35" s="1624" t="n"/>
      <c r="E35" s="1625" t="n">
        <v>228.909</v>
      </c>
      <c r="F35" s="1625" t="n">
        <v>81.428</v>
      </c>
      <c r="G35" s="1625" t="n">
        <v>38.019</v>
      </c>
      <c r="H35" s="1626">
        <f>H55*H$39</f>
        <v/>
      </c>
      <c r="I35" s="1626">
        <f>I55*I$39</f>
        <v/>
      </c>
      <c r="J35" s="1626">
        <f>J55*J$39</f>
        <v/>
      </c>
      <c r="K35" s="1626">
        <f>K55*K$39</f>
        <v/>
      </c>
      <c r="L35" s="1625" t="n">
        <v>32.611</v>
      </c>
      <c r="M35" s="1626">
        <f>M55*M$39</f>
        <v/>
      </c>
      <c r="N35" s="1626">
        <f>N55*N$39</f>
        <v/>
      </c>
      <c r="O35" s="1626">
        <f>O55*O$39</f>
        <v/>
      </c>
      <c r="P35" s="1626">
        <f>P55*P$39</f>
        <v/>
      </c>
      <c r="Q35" s="1625" t="n">
        <v>107.522</v>
      </c>
      <c r="R35" s="1626">
        <f>R55*R$39</f>
        <v/>
      </c>
      <c r="S35" s="1626">
        <f>S55*S$39</f>
        <v/>
      </c>
      <c r="T35" s="1626">
        <f>T55*T$39</f>
        <v/>
      </c>
      <c r="U35" s="1626">
        <f>U55*U$39</f>
        <v/>
      </c>
      <c r="V35" s="1625" t="n">
        <v>116.9</v>
      </c>
      <c r="W35" s="1626">
        <f>W55*W$39</f>
        <v/>
      </c>
      <c r="X35" s="1626">
        <f>X55*X$39</f>
        <v/>
      </c>
      <c r="Y35" s="1626">
        <f>Y55*Y$39</f>
        <v/>
      </c>
      <c r="Z35" s="1626">
        <f>Z55*Z$39</f>
        <v/>
      </c>
      <c r="AA35" s="1625" t="n">
        <v>210.3</v>
      </c>
      <c r="AB35" s="1626">
        <f>AB55*AB$39</f>
        <v/>
      </c>
      <c r="AC35" s="1626">
        <f>AC55*AC$39</f>
        <v/>
      </c>
      <c r="AD35" s="1626">
        <f>AD55*AD$39</f>
        <v/>
      </c>
      <c r="AE35" s="1626">
        <f>AE55*AE$39</f>
        <v/>
      </c>
      <c r="AF35" s="1625" t="n">
        <v>274.3</v>
      </c>
      <c r="AG35" s="1626">
        <f>AG55*AG$39</f>
        <v/>
      </c>
      <c r="AH35" s="1626">
        <f>AH55*AH$39</f>
        <v/>
      </c>
      <c r="AI35" s="1626">
        <f>AI55*AI$39</f>
        <v/>
      </c>
      <c r="AJ35" s="1626">
        <f>AJ55*AJ$39</f>
        <v/>
      </c>
      <c r="AK35" s="1625" t="n">
        <v>401.2</v>
      </c>
      <c r="AL35" s="1626">
        <f>AL55*AL$39</f>
        <v/>
      </c>
      <c r="AM35" s="1626">
        <f>AM55*AM$39</f>
        <v/>
      </c>
      <c r="AN35" s="1626">
        <f>AN55*AN$39</f>
        <v/>
      </c>
      <c r="AO35" s="1626">
        <f>AO55*AO$39</f>
        <v/>
      </c>
      <c r="AP35" s="1625" t="n">
        <v>427</v>
      </c>
      <c r="AQ35" s="1626">
        <f>AQ55*AQ$39</f>
        <v/>
      </c>
      <c r="AR35" s="1626">
        <f>AR55*AR$39</f>
        <v/>
      </c>
      <c r="AS35" s="1626">
        <f>AS55*AS$39</f>
        <v/>
      </c>
      <c r="AT35" s="1626">
        <f>AT55*AT$39</f>
        <v/>
      </c>
      <c r="AU35" s="1625" t="n">
        <v>431.9</v>
      </c>
      <c r="AV35" s="1626">
        <f>AV55*AV$39</f>
        <v/>
      </c>
      <c r="AW35" s="1626">
        <f>AW55*AW$39</f>
        <v/>
      </c>
      <c r="AX35" s="1626">
        <f>AX55*AX$39</f>
        <v/>
      </c>
      <c r="AY35" s="1626">
        <f>AY55*AY$39</f>
        <v/>
      </c>
      <c r="AZ35" s="1625" t="n">
        <v>623.7</v>
      </c>
      <c r="BA35" s="1626">
        <f>BA55*BA$39</f>
        <v/>
      </c>
      <c r="BB35" s="1626">
        <f>BB55*BB$39</f>
        <v/>
      </c>
      <c r="BC35" s="1626">
        <f>BC55*BC$39</f>
        <v/>
      </c>
      <c r="BD35" s="1626">
        <f>BD55*BD$39</f>
        <v/>
      </c>
      <c r="BE35" s="1625" t="n">
        <v>780.2</v>
      </c>
      <c r="BF35" s="1626">
        <f>BF55*BF$39</f>
        <v/>
      </c>
      <c r="BG35" s="1626">
        <f>BG55*BG$39</f>
        <v/>
      </c>
      <c r="BH35" s="1626">
        <f>BH55*BH$39</f>
        <v/>
      </c>
      <c r="BI35" s="1626">
        <f>BI55*BI$39</f>
        <v/>
      </c>
      <c r="BJ35" s="1625" t="n">
        <v>774.4</v>
      </c>
      <c r="BK35" s="1626">
        <f>BK55*BK$39</f>
        <v/>
      </c>
      <c r="BL35" s="1626">
        <f>BL55*BL$39</f>
        <v/>
      </c>
      <c r="BM35" s="1626">
        <f>BM55*BM$39</f>
        <v/>
      </c>
      <c r="BN35" s="1626">
        <f>BN55*BN$39</f>
        <v/>
      </c>
      <c r="BO35" s="1627">
        <f>SUM(BK35,BL35,BM35,BN35)</f>
        <v/>
      </c>
      <c r="BP35" s="1626">
        <f>BP13*BP24/1000</f>
        <v/>
      </c>
      <c r="BQ35" s="1626">
        <f>BQ13*BQ24/1000</f>
        <v/>
      </c>
      <c r="BR35" s="1626">
        <f>BR13*BR24/1000</f>
        <v/>
      </c>
      <c r="BS35" s="1626">
        <f>BS13*BS24/1000</f>
        <v/>
      </c>
      <c r="BT35" s="1624">
        <f>SUM(BP35,BQ35,BR35,BS35)</f>
        <v/>
      </c>
      <c r="BU35" s="1626">
        <f>BU13*BU24/1000</f>
        <v/>
      </c>
      <c r="BV35" s="1626">
        <f>BV13*BV24/1000</f>
        <v/>
      </c>
      <c r="BW35" s="1626">
        <f>BW13*BW24/1000</f>
        <v/>
      </c>
      <c r="BX35" s="1626">
        <f>BX13*BX24/1000</f>
        <v/>
      </c>
      <c r="BY35" s="1624">
        <f>SUM(BU35,BV35,BW35,BX35)</f>
        <v/>
      </c>
      <c r="BZ35" s="1624">
        <f>BZ13*BZ24/1000</f>
        <v/>
      </c>
      <c r="CA35" s="1624">
        <f>CA13*CA24/1000</f>
        <v/>
      </c>
      <c r="CB35" s="1624">
        <f>CB13*CB24/1000</f>
        <v/>
      </c>
      <c r="CC35" s="1564" t="n"/>
    </row>
    <row r="36" ht="15" customFormat="1" customHeight="1" s="1561">
      <c r="A36" s="1622" t="inlineStr">
        <is>
          <t>KrF sales, mm</t>
        </is>
      </c>
      <c r="B36" s="1623" t="n"/>
      <c r="C36" s="1624" t="n"/>
      <c r="D36" s="1624" t="n"/>
      <c r="E36" s="1625" t="n">
        <v>926.572</v>
      </c>
      <c r="F36" s="1625" t="n">
        <v>908.244</v>
      </c>
      <c r="G36" s="1625" t="n">
        <v>720.053</v>
      </c>
      <c r="H36" s="1626">
        <f>H56*H$39</f>
        <v/>
      </c>
      <c r="I36" s="1626">
        <f>I56*I$39</f>
        <v/>
      </c>
      <c r="J36" s="1626">
        <f>J56*J$39</f>
        <v/>
      </c>
      <c r="K36" s="1626">
        <f>K56*K$39</f>
        <v/>
      </c>
      <c r="L36" s="1625" t="n">
        <v>381.436</v>
      </c>
      <c r="M36" s="1626">
        <f>M56*M$39</f>
        <v/>
      </c>
      <c r="N36" s="1626">
        <f>N56*N$39</f>
        <v/>
      </c>
      <c r="O36" s="1626">
        <f>O56*O$39</f>
        <v/>
      </c>
      <c r="P36" s="1626">
        <f>P56*P$39</f>
        <v/>
      </c>
      <c r="Q36" s="1625" t="n">
        <v>747.74</v>
      </c>
      <c r="R36" s="1626">
        <f>R56*R$39</f>
        <v/>
      </c>
      <c r="S36" s="1626">
        <f>S56*S$39</f>
        <v/>
      </c>
      <c r="T36" s="1626">
        <f>T56*T$39</f>
        <v/>
      </c>
      <c r="U36" s="1626">
        <f>U56*U$39</f>
        <v/>
      </c>
      <c r="V36" s="1625" t="n">
        <v>532.7</v>
      </c>
      <c r="W36" s="1626">
        <f>W56*W$39</f>
        <v/>
      </c>
      <c r="X36" s="1626">
        <f>X56*X$39</f>
        <v/>
      </c>
      <c r="Y36" s="1626">
        <f>Y56*Y$39</f>
        <v/>
      </c>
      <c r="Z36" s="1626">
        <f>Z56*Z$39</f>
        <v/>
      </c>
      <c r="AA36" s="1625" t="n">
        <v>683.3</v>
      </c>
      <c r="AB36" s="1626">
        <f>AB56*AB$39</f>
        <v/>
      </c>
      <c r="AC36" s="1626">
        <f>AC56*AC$39</f>
        <v/>
      </c>
      <c r="AD36" s="1626">
        <f>AD56*AD$39</f>
        <v/>
      </c>
      <c r="AE36" s="1626">
        <f>AE56*AE$39</f>
        <v/>
      </c>
      <c r="AF36" s="1625" t="n">
        <v>860.1</v>
      </c>
      <c r="AG36" s="1626">
        <f>AG56*AG$39</f>
        <v/>
      </c>
      <c r="AH36" s="1626">
        <f>AH56*AH$39</f>
        <v/>
      </c>
      <c r="AI36" s="1626">
        <f>AI56*AI$39</f>
        <v/>
      </c>
      <c r="AJ36" s="1626">
        <f>AJ56*AJ$39</f>
        <v/>
      </c>
      <c r="AK36" s="1625" t="n">
        <v>679.7</v>
      </c>
      <c r="AL36" s="1626">
        <f>AL56*AL$39</f>
        <v/>
      </c>
      <c r="AM36" s="1626">
        <f>AM56*AM$39</f>
        <v/>
      </c>
      <c r="AN36" s="1626">
        <f>AN56*AN$39</f>
        <v/>
      </c>
      <c r="AO36" s="1626">
        <f>AO56*AO$39</f>
        <v/>
      </c>
      <c r="AP36" s="1625" t="n">
        <v>1012.3</v>
      </c>
      <c r="AQ36" s="1626">
        <f>AQ56*AQ$39</f>
        <v/>
      </c>
      <c r="AR36" s="1626">
        <f>AR56*AR$39</f>
        <v/>
      </c>
      <c r="AS36" s="1626">
        <f>AS56*AS$39</f>
        <v/>
      </c>
      <c r="AT36" s="1626">
        <f>AT56*AT$39</f>
        <v/>
      </c>
      <c r="AU36" s="1625" t="n">
        <v>1321.3</v>
      </c>
      <c r="AV36" s="1626">
        <f>AV56*AV$39</f>
        <v/>
      </c>
      <c r="AW36" s="1626">
        <f>AW56*AW$39</f>
        <v/>
      </c>
      <c r="AX36" s="1626">
        <f>AX56*AX$39</f>
        <v/>
      </c>
      <c r="AY36" s="1626">
        <f>AY56*AY$39</f>
        <v/>
      </c>
      <c r="AZ36" s="1625" t="n">
        <v>1653.7</v>
      </c>
      <c r="BA36" s="1626">
        <f>BA56*BA$39</f>
        <v/>
      </c>
      <c r="BB36" s="1626">
        <f>BB56*BB$39</f>
        <v/>
      </c>
      <c r="BC36" s="1626">
        <f>BC56*BC$39</f>
        <v/>
      </c>
      <c r="BD36" s="1626">
        <f>BD56*BD$39</f>
        <v/>
      </c>
      <c r="BE36" s="1625" t="n">
        <v>2202.5</v>
      </c>
      <c r="BF36" s="1626">
        <f>BF56*BF$39</f>
        <v/>
      </c>
      <c r="BG36" s="1626">
        <f>BG56*BG$39</f>
        <v/>
      </c>
      <c r="BH36" s="1626">
        <f>BH56*BH$39</f>
        <v/>
      </c>
      <c r="BI36" s="1626">
        <f>BI56*BI$39</f>
        <v/>
      </c>
      <c r="BJ36" s="1625" t="n">
        <v>1991.2</v>
      </c>
      <c r="BK36" s="1626">
        <f>BK56*BK$39</f>
        <v/>
      </c>
      <c r="BL36" s="1626">
        <f>BL56*BL$39</f>
        <v/>
      </c>
      <c r="BM36" s="1626">
        <f>BM56*BM$39</f>
        <v/>
      </c>
      <c r="BN36" s="1626">
        <f>BN56*BN$39</f>
        <v/>
      </c>
      <c r="BO36" s="1627">
        <f>SUM(BK36,BL36,BM36,BN36)</f>
        <v/>
      </c>
      <c r="BP36" s="1626">
        <f>BP14*BP26/1000</f>
        <v/>
      </c>
      <c r="BQ36" s="1626">
        <f>BQ14*BQ26/1000</f>
        <v/>
      </c>
      <c r="BR36" s="1626">
        <f>BR14*BR26/1000</f>
        <v/>
      </c>
      <c r="BS36" s="1626">
        <f>BS14*BS26/1000</f>
        <v/>
      </c>
      <c r="BT36" s="1624">
        <f>SUM(BP36,BQ36,BR36,BS36)</f>
        <v/>
      </c>
      <c r="BU36" s="1626">
        <f>BU14*BU26/1000</f>
        <v/>
      </c>
      <c r="BV36" s="1626">
        <f>BV14*BV26/1000</f>
        <v/>
      </c>
      <c r="BW36" s="1626">
        <f>BW14*BW26/1000</f>
        <v/>
      </c>
      <c r="BX36" s="1626">
        <f>BX14*BX26/1000</f>
        <v/>
      </c>
      <c r="BY36" s="1624">
        <f>SUM(BU36,BV36,BW36,BX36)</f>
        <v/>
      </c>
      <c r="BZ36" s="1624">
        <f>BZ14*BZ26/1000</f>
        <v/>
      </c>
      <c r="CA36" s="1624">
        <f>CA14*CA26/1000</f>
        <v/>
      </c>
      <c r="CB36" s="1624">
        <f>CB14*CB26/1000</f>
        <v/>
      </c>
      <c r="CC36" s="1564" t="n"/>
    </row>
    <row r="37" ht="15" customFormat="1" customHeight="1" s="1561">
      <c r="A37" s="1622" t="inlineStr">
        <is>
          <t>i-line sales, mm</t>
        </is>
      </c>
      <c r="B37" s="1623" t="n"/>
      <c r="C37" s="1624" t="n"/>
      <c r="D37" s="1624" t="n"/>
      <c r="E37" s="1625" t="n">
        <v>60.01</v>
      </c>
      <c r="F37" s="1625" t="n">
        <v>53.039</v>
      </c>
      <c r="G37" s="1625" t="n">
        <v>54.238</v>
      </c>
      <c r="H37" s="1626">
        <f>H57*H$39</f>
        <v/>
      </c>
      <c r="I37" s="1626">
        <f>I57*I$39</f>
        <v/>
      </c>
      <c r="J37" s="1626">
        <f>J57*J$39</f>
        <v/>
      </c>
      <c r="K37" s="1626">
        <f>K57*K$39</f>
        <v/>
      </c>
      <c r="L37" s="1625" t="n">
        <v>51.18</v>
      </c>
      <c r="M37" s="1626">
        <f>M57*M$39</f>
        <v/>
      </c>
      <c r="N37" s="1626">
        <f>N57*N$39</f>
        <v/>
      </c>
      <c r="O37" s="1626">
        <f>O57*O$39</f>
        <v/>
      </c>
      <c r="P37" s="1626">
        <f>P57*P$39</f>
        <v/>
      </c>
      <c r="Q37" s="1625" t="n">
        <v>72.996</v>
      </c>
      <c r="R37" s="1626">
        <f>R57*R$39</f>
        <v/>
      </c>
      <c r="S37" s="1626">
        <f>S57*S$39</f>
        <v/>
      </c>
      <c r="T37" s="1626">
        <f>T57*T$39</f>
        <v/>
      </c>
      <c r="U37" s="1626">
        <f>U57*U$39</f>
        <v/>
      </c>
      <c r="V37" s="1625" t="n">
        <v>78</v>
      </c>
      <c r="W37" s="1626">
        <f>W57*W$39</f>
        <v/>
      </c>
      <c r="X37" s="1626">
        <f>X57*X$39</f>
        <v/>
      </c>
      <c r="Y37" s="1626">
        <f>Y57*Y$39</f>
        <v/>
      </c>
      <c r="Z37" s="1626">
        <f>Z57*Z$39</f>
        <v/>
      </c>
      <c r="AA37" s="1625" t="n">
        <v>84.7</v>
      </c>
      <c r="AB37" s="1626">
        <f>AB57*AB$39</f>
        <v/>
      </c>
      <c r="AC37" s="1626">
        <f>AC57*AC$39</f>
        <v/>
      </c>
      <c r="AD37" s="1626">
        <f>AD57*AD$39</f>
        <v/>
      </c>
      <c r="AE37" s="1626">
        <f>AE57*AE$39</f>
        <v/>
      </c>
      <c r="AF37" s="1625" t="n">
        <v>98.59999999999999</v>
      </c>
      <c r="AG37" s="1626">
        <f>AG57*AG$39</f>
        <v/>
      </c>
      <c r="AH37" s="1626">
        <f>AH57*AH$39</f>
        <v/>
      </c>
      <c r="AI37" s="1626">
        <f>AI57*AI$39</f>
        <v/>
      </c>
      <c r="AJ37" s="1626">
        <f>AJ57*AJ$39</f>
        <v/>
      </c>
      <c r="AK37" s="1625" t="n">
        <v>133.5</v>
      </c>
      <c r="AL37" s="1626">
        <f>AL57*AL$39</f>
        <v/>
      </c>
      <c r="AM37" s="1626">
        <f>AM57*AM$39</f>
        <v/>
      </c>
      <c r="AN37" s="1626">
        <f>AN57*AN$39</f>
        <v/>
      </c>
      <c r="AO37" s="1626">
        <f>AO57*AO$39</f>
        <v/>
      </c>
      <c r="AP37" s="1625" t="n">
        <v>146.4</v>
      </c>
      <c r="AQ37" s="1626">
        <f>AQ57*AQ$39</f>
        <v/>
      </c>
      <c r="AR37" s="1626">
        <f>AR57*AR$39</f>
        <v/>
      </c>
      <c r="AS37" s="1626">
        <f>AS57*AS$39</f>
        <v/>
      </c>
      <c r="AT37" s="1626">
        <f>AT57*AT$39</f>
        <v/>
      </c>
      <c r="AU37" s="1625" t="n">
        <v>142.3</v>
      </c>
      <c r="AV37" s="1626">
        <f>AV57*AV$39</f>
        <v/>
      </c>
      <c r="AW37" s="1626">
        <f>AW57*AW$39</f>
        <v/>
      </c>
      <c r="AX37" s="1626">
        <f>AX57*AX$39</f>
        <v/>
      </c>
      <c r="AY37" s="1626">
        <f>AY57*AY$39</f>
        <v/>
      </c>
      <c r="AZ37" s="1625" t="n">
        <v>211.5</v>
      </c>
      <c r="BA37" s="1626">
        <f>BA57*BA$39</f>
        <v/>
      </c>
      <c r="BB37" s="1626">
        <f>BB57*BB$39</f>
        <v/>
      </c>
      <c r="BC37" s="1626">
        <f>BC57*BC$39</f>
        <v/>
      </c>
      <c r="BD37" s="1626">
        <f>BD57*BD$39</f>
        <v/>
      </c>
      <c r="BE37" s="1625" t="n">
        <v>278.4</v>
      </c>
      <c r="BF37" s="1626">
        <f>BF57*BF$39</f>
        <v/>
      </c>
      <c r="BG37" s="1626">
        <f>BG57*BG$39</f>
        <v/>
      </c>
      <c r="BH37" s="1626">
        <f>BH57*BH$39</f>
        <v/>
      </c>
      <c r="BI37" s="1626">
        <f>BI57*BI$39</f>
        <v/>
      </c>
      <c r="BJ37" s="1625" t="n">
        <v>369.2</v>
      </c>
      <c r="BK37" s="1626">
        <f>BK57*BK$39</f>
        <v/>
      </c>
      <c r="BL37" s="1626">
        <f>BL57*BL$39</f>
        <v/>
      </c>
      <c r="BM37" s="1626">
        <f>BM57*BM$39</f>
        <v/>
      </c>
      <c r="BN37" s="1626">
        <f>BN57*BN$39</f>
        <v/>
      </c>
      <c r="BO37" s="1627">
        <f>SUM(BK37,BL37,BM37,BN37)</f>
        <v/>
      </c>
      <c r="BP37" s="1626">
        <f>BP15*BP28/1000</f>
        <v/>
      </c>
      <c r="BQ37" s="1626">
        <f>BQ15*BQ28/1000</f>
        <v/>
      </c>
      <c r="BR37" s="1626">
        <f>BR15*BR28/1000</f>
        <v/>
      </c>
      <c r="BS37" s="1626">
        <f>BS15*BS28/1000</f>
        <v/>
      </c>
      <c r="BT37" s="1624">
        <f>SUM(BP37,BQ37,BR37,BS37)</f>
        <v/>
      </c>
      <c r="BU37" s="1626">
        <f>BU15*BU28/1000</f>
        <v/>
      </c>
      <c r="BV37" s="1626">
        <f>BV15*BV28/1000</f>
        <v/>
      </c>
      <c r="BW37" s="1626">
        <f>BW15*BW28/1000</f>
        <v/>
      </c>
      <c r="BX37" s="1626">
        <f>BX15*BX28/1000</f>
        <v/>
      </c>
      <c r="BY37" s="1624">
        <f>SUM(BU37,BV37,BW37,BX37)</f>
        <v/>
      </c>
      <c r="BZ37" s="1624">
        <f>BZ15*BZ28/1000</f>
        <v/>
      </c>
      <c r="CA37" s="1624">
        <f>CA15*CA28/1000</f>
        <v/>
      </c>
      <c r="CB37" s="1624">
        <f>CB15*CB28/1000</f>
        <v/>
      </c>
      <c r="CC37" s="1564" t="n"/>
    </row>
    <row r="38" ht="15" customFormat="1" customHeight="1" s="1561">
      <c r="A38" s="1622" t="inlineStr">
        <is>
          <t>Metrology &amp; Inspection sales, mm</t>
        </is>
      </c>
      <c r="B38" s="1623" t="n"/>
      <c r="C38" s="1624" t="n"/>
      <c r="D38" s="1624" t="n"/>
      <c r="E38" s="1624" t="n"/>
      <c r="F38" s="1624" t="n"/>
      <c r="G38" s="1624" t="n"/>
      <c r="H38" s="1626" t="n"/>
      <c r="I38" s="1626" t="n"/>
      <c r="J38" s="1626" t="n"/>
      <c r="K38" s="1626" t="n"/>
      <c r="L38" s="1624" t="n"/>
      <c r="M38" s="1626" t="n"/>
      <c r="N38" s="1626" t="n"/>
      <c r="O38" s="1626" t="n"/>
      <c r="P38" s="1626" t="n"/>
      <c r="Q38" s="1624" t="n"/>
      <c r="R38" s="1626" t="n"/>
      <c r="S38" s="1626" t="n"/>
      <c r="T38" s="1626" t="n"/>
      <c r="U38" s="1626">
        <f>U58*U$39</f>
        <v/>
      </c>
      <c r="V38" s="1625" t="n">
        <v>100.8</v>
      </c>
      <c r="W38" s="1626">
        <f>W58*W$39</f>
        <v/>
      </c>
      <c r="X38" s="1626">
        <f>X58*X$39</f>
        <v/>
      </c>
      <c r="Y38" s="1626">
        <f>Y58*Y$39</f>
        <v/>
      </c>
      <c r="Z38" s="1626">
        <f>Z58*Z$39</f>
        <v/>
      </c>
      <c r="AA38" s="1625" t="n">
        <v>276.5</v>
      </c>
      <c r="AB38" s="1626">
        <f>AB58*AB$39</f>
        <v/>
      </c>
      <c r="AC38" s="1626">
        <f>AC58*AC$39</f>
        <v/>
      </c>
      <c r="AD38" s="1626">
        <f>AD58*AD$39</f>
        <v/>
      </c>
      <c r="AE38" s="1626">
        <f>AE58*AE$39</f>
        <v/>
      </c>
      <c r="AF38" s="1625" t="n">
        <v>339.1</v>
      </c>
      <c r="AG38" s="1626">
        <f>AG58*AG$39</f>
        <v/>
      </c>
      <c r="AH38" s="1626">
        <f>AH58*AH$39</f>
        <v/>
      </c>
      <c r="AI38" s="1626">
        <f>AI58*AI$39</f>
        <v/>
      </c>
      <c r="AJ38" s="1626">
        <f>AJ58*AJ$39</f>
        <v/>
      </c>
      <c r="AK38" s="1625" t="n">
        <v>274.4</v>
      </c>
      <c r="AL38" s="1626">
        <f>AL58*AL$39</f>
        <v/>
      </c>
      <c r="AM38" s="1626">
        <f>AM58*AM$39</f>
        <v/>
      </c>
      <c r="AN38" s="1626">
        <f>AN58*AN$39</f>
        <v/>
      </c>
      <c r="AO38" s="1626">
        <f>AO58*AO$39</f>
        <v/>
      </c>
      <c r="AP38" s="1625" t="n">
        <v>350.1</v>
      </c>
      <c r="AQ38" s="1626">
        <f>AQ58*AQ$39</f>
        <v/>
      </c>
      <c r="AR38" s="1626">
        <f>AR58*AR$39</f>
        <v/>
      </c>
      <c r="AS38" s="1626">
        <f>AS58*AS$39</f>
        <v/>
      </c>
      <c r="AT38" s="1626">
        <f>AT58*AT$39</f>
        <v/>
      </c>
      <c r="AU38" s="1625" t="n">
        <v>513.7</v>
      </c>
      <c r="AV38" s="1626">
        <f>AV58*AV$39</f>
        <v/>
      </c>
      <c r="AW38" s="1626">
        <f>AW58*AW$39</f>
        <v/>
      </c>
      <c r="AX38" s="1626">
        <f>AX58*AX$39</f>
        <v/>
      </c>
      <c r="AY38" s="1626">
        <f>AY58*AY$39</f>
        <v/>
      </c>
      <c r="AZ38" s="1625" t="n">
        <v>659.6</v>
      </c>
      <c r="BA38" s="1626">
        <f>BA58*BA$39</f>
        <v/>
      </c>
      <c r="BB38" s="1626">
        <f>BB58*BB$39</f>
        <v/>
      </c>
      <c r="BC38" s="1626">
        <f>BC58*BC$39</f>
        <v/>
      </c>
      <c r="BD38" s="1626">
        <f>BD58*BD$39</f>
        <v/>
      </c>
      <c r="BE38" s="1625" t="n">
        <v>536.1</v>
      </c>
      <c r="BF38" s="1626">
        <f>BF58*BF$39</f>
        <v/>
      </c>
      <c r="BG38" s="1626">
        <f>BG58*BG$39</f>
        <v/>
      </c>
      <c r="BH38" s="1626">
        <f>BH58*BH$39</f>
        <v/>
      </c>
      <c r="BI38" s="1626">
        <f>BI58*BI$39</f>
        <v/>
      </c>
      <c r="BJ38" s="1625" t="n">
        <v>645.5</v>
      </c>
      <c r="BK38" s="1626">
        <f>BK58*BK$39</f>
        <v/>
      </c>
      <c r="BL38" s="1626">
        <f>BL58*BL$39</f>
        <v/>
      </c>
      <c r="BM38" s="1626">
        <f>BM58*BM$39</f>
        <v/>
      </c>
      <c r="BN38" s="1626">
        <f>BN58*BN$39</f>
        <v/>
      </c>
      <c r="BO38" s="1627">
        <f>SUM(BK38,BL38,BM38,BN38)</f>
        <v/>
      </c>
      <c r="BP38" s="1626">
        <f>BP17*BP30/1000</f>
        <v/>
      </c>
      <c r="BQ38" s="1626">
        <f>BQ17*BQ30/1000</f>
        <v/>
      </c>
      <c r="BR38" s="1626">
        <f>BR17*BR30/1000</f>
        <v/>
      </c>
      <c r="BS38" s="1626">
        <f>BS17*BS30/1000</f>
        <v/>
      </c>
      <c r="BT38" s="1624">
        <f>SUM(BP38,BQ38,BR38,BS38)</f>
        <v/>
      </c>
      <c r="BU38" s="1626">
        <f>BU17*BU30/1000</f>
        <v/>
      </c>
      <c r="BV38" s="1626">
        <f>BV17*BV30/1000</f>
        <v/>
      </c>
      <c r="BW38" s="1626">
        <f>BW17*BW30/1000</f>
        <v/>
      </c>
      <c r="BX38" s="1626">
        <f>BX17*BX30/1000</f>
        <v/>
      </c>
      <c r="BY38" s="1624">
        <f>SUM(BU38,BV38,BW38,BX38)</f>
        <v/>
      </c>
      <c r="BZ38" s="1624">
        <f>BZ17*BZ30/1000</f>
        <v/>
      </c>
      <c r="CA38" s="1624">
        <f>CA17*CA30/1000</f>
        <v/>
      </c>
      <c r="CB38" s="1624">
        <f>CB17*CB30/1000</f>
        <v/>
      </c>
      <c r="CC38" s="1564" t="n"/>
    </row>
    <row r="39" ht="15" customFormat="1" customHeight="1" s="1628">
      <c r="A39" s="1629" t="inlineStr">
        <is>
          <t>Total net system sales, mm</t>
        </is>
      </c>
      <c r="B39" s="1630" t="n"/>
      <c r="C39" s="1631">
        <f>C298</f>
        <v/>
      </c>
      <c r="D39" s="1631">
        <f>D298</f>
        <v/>
      </c>
      <c r="E39" s="1631">
        <f>E33+E34+E35+E36+E37+E38</f>
        <v/>
      </c>
      <c r="F39" s="1631">
        <f>F33+F34+F35+F36+F37+F38</f>
        <v/>
      </c>
      <c r="G39" s="1631">
        <f>G33+G34+G35+G36+G37+G38</f>
        <v/>
      </c>
      <c r="H39" s="1632">
        <f>H298</f>
        <v/>
      </c>
      <c r="I39" s="1632">
        <f>I298</f>
        <v/>
      </c>
      <c r="J39" s="1632">
        <f>J298</f>
        <v/>
      </c>
      <c r="K39" s="1632">
        <f>K298</f>
        <v/>
      </c>
      <c r="L39" s="1631">
        <f>L33+L34+L35+L36+L37+L38</f>
        <v/>
      </c>
      <c r="M39" s="1632">
        <f>M298</f>
        <v/>
      </c>
      <c r="N39" s="1632">
        <f>N298</f>
        <v/>
      </c>
      <c r="O39" s="1632">
        <f>O298</f>
        <v/>
      </c>
      <c r="P39" s="1632">
        <f>P298</f>
        <v/>
      </c>
      <c r="Q39" s="1631">
        <f>Q33+Q34+Q35+Q36+Q37+Q38</f>
        <v/>
      </c>
      <c r="R39" s="1632">
        <f>R298</f>
        <v/>
      </c>
      <c r="S39" s="1632">
        <f>S298</f>
        <v/>
      </c>
      <c r="T39" s="1632">
        <f>T298</f>
        <v/>
      </c>
      <c r="U39" s="1632">
        <f>U298</f>
        <v/>
      </c>
      <c r="V39" s="1631">
        <f>V33+V34+V35+V36+V37+V38</f>
        <v/>
      </c>
      <c r="W39" s="1632">
        <f>W298</f>
        <v/>
      </c>
      <c r="X39" s="1632">
        <f>X298</f>
        <v/>
      </c>
      <c r="Y39" s="1632">
        <f>Y298</f>
        <v/>
      </c>
      <c r="Z39" s="1632">
        <f>Z298</f>
        <v/>
      </c>
      <c r="AA39" s="1631">
        <f>AA33+AA34+AA35+AA36+AA37+AA38</f>
        <v/>
      </c>
      <c r="AB39" s="1632">
        <f>AB298</f>
        <v/>
      </c>
      <c r="AC39" s="1632">
        <f>AC298</f>
        <v/>
      </c>
      <c r="AD39" s="1632">
        <f>AD298</f>
        <v/>
      </c>
      <c r="AE39" s="1632">
        <f>AE298</f>
        <v/>
      </c>
      <c r="AF39" s="1631">
        <f>AF33+AF34+AF35+AF36+AF37+AF38</f>
        <v/>
      </c>
      <c r="AG39" s="1632">
        <f>AG298</f>
        <v/>
      </c>
      <c r="AH39" s="1632">
        <f>AH298</f>
        <v/>
      </c>
      <c r="AI39" s="1632">
        <f>AI298</f>
        <v/>
      </c>
      <c r="AJ39" s="1632">
        <f>AJ298</f>
        <v/>
      </c>
      <c r="AK39" s="1631">
        <f>AK33+AK34+AK35+AK36+AK37+AK38</f>
        <v/>
      </c>
      <c r="AL39" s="1632">
        <f>AL298</f>
        <v/>
      </c>
      <c r="AM39" s="1632">
        <f>AM298</f>
        <v/>
      </c>
      <c r="AN39" s="1632">
        <f>AN298</f>
        <v/>
      </c>
      <c r="AO39" s="1632">
        <f>AO298</f>
        <v/>
      </c>
      <c r="AP39" s="1631">
        <f>AP33+AP34+AP35+AP36+AP37+AP38</f>
        <v/>
      </c>
      <c r="AQ39" s="1632">
        <f>AQ298</f>
        <v/>
      </c>
      <c r="AR39" s="1632">
        <f>AR298</f>
        <v/>
      </c>
      <c r="AS39" s="1632">
        <f>AS298</f>
        <v/>
      </c>
      <c r="AT39" s="1632">
        <f>AT298</f>
        <v/>
      </c>
      <c r="AU39" s="1631">
        <f>AU33+AU34+AU35+AU36+AU37+AU38</f>
        <v/>
      </c>
      <c r="AV39" s="1632">
        <f>AV298</f>
        <v/>
      </c>
      <c r="AW39" s="1632">
        <f>AW298</f>
        <v/>
      </c>
      <c r="AX39" s="1632">
        <f>AX298</f>
        <v/>
      </c>
      <c r="AY39" s="1632">
        <f>AY298</f>
        <v/>
      </c>
      <c r="AZ39" s="1631">
        <f>AZ33+AZ34+AZ35+AZ36+AZ37+AZ38</f>
        <v/>
      </c>
      <c r="BA39" s="1632">
        <f>BA298</f>
        <v/>
      </c>
      <c r="BB39" s="1632">
        <f>BB298</f>
        <v/>
      </c>
      <c r="BC39" s="1632">
        <f>BC298</f>
        <v/>
      </c>
      <c r="BD39" s="1632">
        <f>BD298</f>
        <v/>
      </c>
      <c r="BE39" s="1631">
        <f>BE33+BE34+BE35+BE36+BE37+BE38</f>
        <v/>
      </c>
      <c r="BF39" s="1632">
        <f>BF298</f>
        <v/>
      </c>
      <c r="BG39" s="1632">
        <f>BG298</f>
        <v/>
      </c>
      <c r="BH39" s="1632">
        <f>BH298</f>
        <v/>
      </c>
      <c r="BI39" s="1632">
        <f>BI298</f>
        <v/>
      </c>
      <c r="BJ39" s="1631">
        <f>BJ33+BJ34+BJ35+BJ36+BJ37+BJ38</f>
        <v/>
      </c>
      <c r="BK39" s="1632">
        <f>BK298</f>
        <v/>
      </c>
      <c r="BL39" s="1632">
        <f>BL298</f>
        <v/>
      </c>
      <c r="BM39" s="1632">
        <f>BM298</f>
        <v/>
      </c>
      <c r="BN39" s="1632">
        <f>BN298</f>
        <v/>
      </c>
      <c r="BO39" s="1633">
        <f>BO33+BO34+BO35+BO36+BO37+BO38</f>
        <v/>
      </c>
      <c r="BP39" s="1632">
        <f>BP33+BP34+BP35+BP36+BP37+BP38</f>
        <v/>
      </c>
      <c r="BQ39" s="1632">
        <f>BQ33+BQ34+BQ35+BQ36+BQ37+BQ38</f>
        <v/>
      </c>
      <c r="BR39" s="1632">
        <f>BR33+BR34+BR35+BR36+BR37+BR38</f>
        <v/>
      </c>
      <c r="BS39" s="1632">
        <f>BS33+BS34+BS35+BS36+BS37+BS38</f>
        <v/>
      </c>
      <c r="BT39" s="1631">
        <f>BT33+BT34+BT35+BT36+BT37+BT38</f>
        <v/>
      </c>
      <c r="BU39" s="1632">
        <f>BU33+BU34+BU35+BU36+BU37+BU38</f>
        <v/>
      </c>
      <c r="BV39" s="1632">
        <f>BV33+BV34+BV35+BV36+BV37+BV38</f>
        <v/>
      </c>
      <c r="BW39" s="1632">
        <f>BW33+BW34+BW35+BW36+BW37+BW38</f>
        <v/>
      </c>
      <c r="BX39" s="1632">
        <f>BX33+BX34+BX35+BX36+BX37+BX38</f>
        <v/>
      </c>
      <c r="BY39" s="1631">
        <f>BY33+BY34+BY35+BY36+BY37+BY38</f>
        <v/>
      </c>
      <c r="BZ39" s="1631">
        <f>BZ33+BZ34+BZ35+BZ36+BZ37+BZ38</f>
        <v/>
      </c>
      <c r="CA39" s="1631">
        <f>CA33+CA34+CA35+CA36+CA37+CA38</f>
        <v/>
      </c>
      <c r="CB39" s="1631">
        <f>CB33+CB34+CB35+CB36+CB37+CB38</f>
        <v/>
      </c>
      <c r="CC39" s="1634" t="n"/>
    </row>
    <row r="40" ht="15" customFormat="1" customHeight="1" s="1561">
      <c r="A40" s="1635" t="inlineStr">
        <is>
          <t>Net service and field option sales, mm</t>
        </is>
      </c>
      <c r="B40" s="1636" t="n"/>
      <c r="C40" s="1637">
        <f>C299</f>
        <v/>
      </c>
      <c r="D40" s="1637">
        <f>D299</f>
        <v/>
      </c>
      <c r="E40" s="1637">
        <f>E299</f>
        <v/>
      </c>
      <c r="F40" s="1637">
        <f>F299</f>
        <v/>
      </c>
      <c r="G40" s="1637">
        <f>G299</f>
        <v/>
      </c>
      <c r="H40" s="1562">
        <f>H299</f>
        <v/>
      </c>
      <c r="I40" s="1562">
        <f>I299</f>
        <v/>
      </c>
      <c r="J40" s="1562">
        <f>J299</f>
        <v/>
      </c>
      <c r="K40" s="1562">
        <f>K299</f>
        <v/>
      </c>
      <c r="L40" s="1637">
        <f>L299</f>
        <v/>
      </c>
      <c r="M40" s="1562">
        <f>M299</f>
        <v/>
      </c>
      <c r="N40" s="1562">
        <f>N299</f>
        <v/>
      </c>
      <c r="O40" s="1562">
        <f>O299</f>
        <v/>
      </c>
      <c r="P40" s="1562">
        <f>P299</f>
        <v/>
      </c>
      <c r="Q40" s="1637">
        <f>Q299</f>
        <v/>
      </c>
      <c r="R40" s="1562">
        <f>R299</f>
        <v/>
      </c>
      <c r="S40" s="1562">
        <f>S299</f>
        <v/>
      </c>
      <c r="T40" s="1562">
        <f>T299</f>
        <v/>
      </c>
      <c r="U40" s="1562">
        <f>U299</f>
        <v/>
      </c>
      <c r="V40" s="1637">
        <f>V299</f>
        <v/>
      </c>
      <c r="W40" s="1562">
        <f>W299</f>
        <v/>
      </c>
      <c r="X40" s="1562">
        <f>X299</f>
        <v/>
      </c>
      <c r="Y40" s="1562">
        <f>Y299</f>
        <v/>
      </c>
      <c r="Z40" s="1562">
        <f>Z299</f>
        <v/>
      </c>
      <c r="AA40" s="1637">
        <f>AA299</f>
        <v/>
      </c>
      <c r="AB40" s="1562">
        <f>AB299</f>
        <v/>
      </c>
      <c r="AC40" s="1562">
        <f>AC299</f>
        <v/>
      </c>
      <c r="AD40" s="1562">
        <f>AD299</f>
        <v/>
      </c>
      <c r="AE40" s="1562">
        <f>AE299</f>
        <v/>
      </c>
      <c r="AF40" s="1637">
        <f>AF299</f>
        <v/>
      </c>
      <c r="AG40" s="1562">
        <f>AG299</f>
        <v/>
      </c>
      <c r="AH40" s="1562">
        <f>AH299</f>
        <v/>
      </c>
      <c r="AI40" s="1562">
        <f>AI299</f>
        <v/>
      </c>
      <c r="AJ40" s="1562">
        <f>AJ299</f>
        <v/>
      </c>
      <c r="AK40" s="1637">
        <f>AK299</f>
        <v/>
      </c>
      <c r="AL40" s="1562">
        <f>AL299</f>
        <v/>
      </c>
      <c r="AM40" s="1562">
        <f>AM299</f>
        <v/>
      </c>
      <c r="AN40" s="1562">
        <f>AN299</f>
        <v/>
      </c>
      <c r="AO40" s="1562">
        <f>AO299</f>
        <v/>
      </c>
      <c r="AP40" s="1637">
        <f>AP299</f>
        <v/>
      </c>
      <c r="AQ40" s="1562">
        <f>AQ299</f>
        <v/>
      </c>
      <c r="AR40" s="1562">
        <f>AR299</f>
        <v/>
      </c>
      <c r="AS40" s="1562">
        <f>AS299</f>
        <v/>
      </c>
      <c r="AT40" s="1562">
        <f>AT299</f>
        <v/>
      </c>
      <c r="AU40" s="1637">
        <f>AU299</f>
        <v/>
      </c>
      <c r="AV40" s="1562">
        <f>AV299</f>
        <v/>
      </c>
      <c r="AW40" s="1562">
        <f>AW299</f>
        <v/>
      </c>
      <c r="AX40" s="1562">
        <f>AX299</f>
        <v/>
      </c>
      <c r="AY40" s="1562">
        <f>AY299</f>
        <v/>
      </c>
      <c r="AZ40" s="1637">
        <f>AZ299</f>
        <v/>
      </c>
      <c r="BA40" s="1562">
        <f>BA299</f>
        <v/>
      </c>
      <c r="BB40" s="1562">
        <f>BB299</f>
        <v/>
      </c>
      <c r="BC40" s="1562">
        <f>BC299</f>
        <v/>
      </c>
      <c r="BD40" s="1562">
        <f>BD299</f>
        <v/>
      </c>
      <c r="BE40" s="1637">
        <f>BE299</f>
        <v/>
      </c>
      <c r="BF40" s="1562">
        <f>BF299</f>
        <v/>
      </c>
      <c r="BG40" s="1562">
        <f>BG299</f>
        <v/>
      </c>
      <c r="BH40" s="1562">
        <f>BH299</f>
        <v/>
      </c>
      <c r="BI40" s="1562">
        <f>BI299</f>
        <v/>
      </c>
      <c r="BJ40" s="1637">
        <f>BJ299</f>
        <v/>
      </c>
      <c r="BK40" s="1562">
        <f>BK299</f>
        <v/>
      </c>
      <c r="BL40" s="1562">
        <f>BL299</f>
        <v/>
      </c>
      <c r="BM40" s="1562">
        <f>BM299</f>
        <v/>
      </c>
      <c r="BN40" s="1562">
        <f>BN299</f>
        <v/>
      </c>
      <c r="BO40" s="1638">
        <f>BO299</f>
        <v/>
      </c>
      <c r="BP40" s="1562">
        <f>BK40*(1+BP50)</f>
        <v/>
      </c>
      <c r="BQ40" s="1562">
        <f>BL40*(1+BQ50)</f>
        <v/>
      </c>
      <c r="BR40" s="1562">
        <f>BM40*(1+BR50)</f>
        <v/>
      </c>
      <c r="BS40" s="1562">
        <f>BN40*(1+BS50)</f>
        <v/>
      </c>
      <c r="BT40" s="1637">
        <f>SUM(BP40,BQ40,BR40,BS40)</f>
        <v/>
      </c>
      <c r="BU40" s="1562">
        <f>BP40*(1+BU50)</f>
        <v/>
      </c>
      <c r="BV40" s="1562">
        <f>BQ40*(1+BV50)</f>
        <v/>
      </c>
      <c r="BW40" s="1562">
        <f>BR40*(1+BW50)</f>
        <v/>
      </c>
      <c r="BX40" s="1562">
        <f>BS40*(1+BX50)</f>
        <v/>
      </c>
      <c r="BY40" s="1637">
        <f>SUM(BU40,BV40,BW40,BX40)</f>
        <v/>
      </c>
      <c r="BZ40" s="1637">
        <f>BY40*(1+BZ50)</f>
        <v/>
      </c>
      <c r="CA40" s="1637">
        <f>BZ40*(1+CA50)</f>
        <v/>
      </c>
      <c r="CB40" s="1637">
        <f>CA40*(1+CB50)</f>
        <v/>
      </c>
      <c r="CC40" s="1564" t="n"/>
    </row>
    <row r="41" ht="15" customFormat="1" customHeight="1" s="1628">
      <c r="A41" s="1639" t="inlineStr">
        <is>
          <t>Total revenue, mm</t>
        </is>
      </c>
      <c r="B41" s="1640" t="n"/>
      <c r="C41" s="1641">
        <f>C39+C40</f>
        <v/>
      </c>
      <c r="D41" s="1641">
        <f>D39+D40</f>
        <v/>
      </c>
      <c r="E41" s="1641">
        <f>E39+E40</f>
        <v/>
      </c>
      <c r="F41" s="1641">
        <f>F39+F40</f>
        <v/>
      </c>
      <c r="G41" s="1641">
        <f>G39+G40</f>
        <v/>
      </c>
      <c r="H41" s="1642">
        <f>H39+H40</f>
        <v/>
      </c>
      <c r="I41" s="1642">
        <f>I39+I40</f>
        <v/>
      </c>
      <c r="J41" s="1642">
        <f>J39+J40</f>
        <v/>
      </c>
      <c r="K41" s="1642">
        <f>K39+K40</f>
        <v/>
      </c>
      <c r="L41" s="1641">
        <f>L39+L40</f>
        <v/>
      </c>
      <c r="M41" s="1642">
        <f>M39+M40</f>
        <v/>
      </c>
      <c r="N41" s="1642">
        <f>N39+N40</f>
        <v/>
      </c>
      <c r="O41" s="1642">
        <f>O39+O40</f>
        <v/>
      </c>
      <c r="P41" s="1642">
        <f>P39+P40</f>
        <v/>
      </c>
      <c r="Q41" s="1641">
        <f>Q39+Q40</f>
        <v/>
      </c>
      <c r="R41" s="1642">
        <f>R39+R40</f>
        <v/>
      </c>
      <c r="S41" s="1642">
        <f>S39+S40</f>
        <v/>
      </c>
      <c r="T41" s="1642">
        <f>T39+T40</f>
        <v/>
      </c>
      <c r="U41" s="1642">
        <f>U39+U40</f>
        <v/>
      </c>
      <c r="V41" s="1641">
        <f>V39+V40</f>
        <v/>
      </c>
      <c r="W41" s="1642">
        <f>W39+W40</f>
        <v/>
      </c>
      <c r="X41" s="1642">
        <f>X39+X40</f>
        <v/>
      </c>
      <c r="Y41" s="1642">
        <f>Y39+Y40</f>
        <v/>
      </c>
      <c r="Z41" s="1642">
        <f>Z39+Z40</f>
        <v/>
      </c>
      <c r="AA41" s="1641">
        <f>AA39+AA40</f>
        <v/>
      </c>
      <c r="AB41" s="1642">
        <f>AB39+AB40</f>
        <v/>
      </c>
      <c r="AC41" s="1642">
        <f>AC39+AC40</f>
        <v/>
      </c>
      <c r="AD41" s="1642">
        <f>AD39+AD40</f>
        <v/>
      </c>
      <c r="AE41" s="1642">
        <f>AE39+AE40</f>
        <v/>
      </c>
      <c r="AF41" s="1641">
        <f>AF39+AF40</f>
        <v/>
      </c>
      <c r="AG41" s="1642">
        <f>AG39+AG40</f>
        <v/>
      </c>
      <c r="AH41" s="1642">
        <f>AH39+AH40</f>
        <v/>
      </c>
      <c r="AI41" s="1642">
        <f>AI39+AI40</f>
        <v/>
      </c>
      <c r="AJ41" s="1642">
        <f>AJ39+AJ40</f>
        <v/>
      </c>
      <c r="AK41" s="1641">
        <f>AK39+AK40</f>
        <v/>
      </c>
      <c r="AL41" s="1642">
        <f>AL39+AL40</f>
        <v/>
      </c>
      <c r="AM41" s="1642">
        <f>AM39+AM40</f>
        <v/>
      </c>
      <c r="AN41" s="1642">
        <f>AN39+AN40</f>
        <v/>
      </c>
      <c r="AO41" s="1642">
        <f>AO39+AO40</f>
        <v/>
      </c>
      <c r="AP41" s="1641">
        <f>AP39+AP40</f>
        <v/>
      </c>
      <c r="AQ41" s="1642">
        <f>AQ39+AQ40</f>
        <v/>
      </c>
      <c r="AR41" s="1642">
        <f>AR39+AR40</f>
        <v/>
      </c>
      <c r="AS41" s="1642">
        <f>AS39+AS40</f>
        <v/>
      </c>
      <c r="AT41" s="1642">
        <f>AT39+AT40</f>
        <v/>
      </c>
      <c r="AU41" s="1641">
        <f>AU39+AU40</f>
        <v/>
      </c>
      <c r="AV41" s="1642">
        <f>AV39+AV40</f>
        <v/>
      </c>
      <c r="AW41" s="1642">
        <f>AW39+AW40</f>
        <v/>
      </c>
      <c r="AX41" s="1642">
        <f>AX39+AX40</f>
        <v/>
      </c>
      <c r="AY41" s="1642">
        <f>AY39+AY40</f>
        <v/>
      </c>
      <c r="AZ41" s="1641">
        <f>AZ39+AZ40</f>
        <v/>
      </c>
      <c r="BA41" s="1642">
        <f>BA39+BA40</f>
        <v/>
      </c>
      <c r="BB41" s="1642">
        <f>BB39+BB40</f>
        <v/>
      </c>
      <c r="BC41" s="1642">
        <f>BC39+BC40</f>
        <v/>
      </c>
      <c r="BD41" s="1642">
        <f>BD39+BD40</f>
        <v/>
      </c>
      <c r="BE41" s="1641">
        <f>BE39+BE40</f>
        <v/>
      </c>
      <c r="BF41" s="1642">
        <f>BF39+BF40</f>
        <v/>
      </c>
      <c r="BG41" s="1642">
        <f>BG39+BG40</f>
        <v/>
      </c>
      <c r="BH41" s="1642">
        <f>BH39+BH40</f>
        <v/>
      </c>
      <c r="BI41" s="1642">
        <f>BI39+BI40</f>
        <v/>
      </c>
      <c r="BJ41" s="1641">
        <f>BJ39+BJ40</f>
        <v/>
      </c>
      <c r="BK41" s="1642">
        <f>BK39+BK40</f>
        <v/>
      </c>
      <c r="BL41" s="1642">
        <f>BL39+BL40</f>
        <v/>
      </c>
      <c r="BM41" s="1642">
        <f>BM39+BM40</f>
        <v/>
      </c>
      <c r="BN41" s="1642">
        <f>BN39+BN40</f>
        <v/>
      </c>
      <c r="BO41" s="1643">
        <f>BO39+BO40</f>
        <v/>
      </c>
      <c r="BP41" s="1642">
        <f>BP39+BP40</f>
        <v/>
      </c>
      <c r="BQ41" s="1642">
        <f>BQ39+BQ40</f>
        <v/>
      </c>
      <c r="BR41" s="1642">
        <f>BR39+BR40</f>
        <v/>
      </c>
      <c r="BS41" s="1642">
        <f>BS39+BS40</f>
        <v/>
      </c>
      <c r="BT41" s="1641">
        <f>BT39+BT40</f>
        <v/>
      </c>
      <c r="BU41" s="1642">
        <f>BU39+BU40</f>
        <v/>
      </c>
      <c r="BV41" s="1642">
        <f>BV39+BV40</f>
        <v/>
      </c>
      <c r="BW41" s="1642">
        <f>BW39+BW40</f>
        <v/>
      </c>
      <c r="BX41" s="1642">
        <f>BX39+BX40</f>
        <v/>
      </c>
      <c r="BY41" s="1641">
        <f>BY39+BY40</f>
        <v/>
      </c>
      <c r="BZ41" s="1641">
        <f>BZ39+BZ40</f>
        <v/>
      </c>
      <c r="CA41" s="1641">
        <f>CA39+CA40</f>
        <v/>
      </c>
      <c r="CB41" s="1641">
        <f>CB39+CB40</f>
        <v/>
      </c>
      <c r="CC41" s="1634" t="n"/>
    </row>
    <row r="42" ht="15" customFormat="1" customHeight="1" s="602">
      <c r="A42" s="398" t="n"/>
      <c r="B42" s="394" t="n"/>
      <c r="C42" s="1267" t="n"/>
      <c r="D42" s="1267" t="n"/>
      <c r="E42" s="1267" t="n"/>
      <c r="F42" s="1267" t="n"/>
      <c r="G42" s="1267" t="n"/>
      <c r="H42" s="676" t="n"/>
      <c r="I42" s="676" t="n"/>
      <c r="J42" s="676" t="n"/>
      <c r="K42" s="676" t="n"/>
      <c r="L42" s="1267" t="n"/>
      <c r="M42" s="676" t="n"/>
      <c r="N42" s="676" t="n"/>
      <c r="O42" s="676" t="n"/>
      <c r="P42" s="676" t="n"/>
      <c r="Q42" s="1267" t="n"/>
      <c r="R42" s="676" t="n"/>
      <c r="S42" s="676" t="n"/>
      <c r="T42" s="676" t="n"/>
      <c r="U42" s="676" t="n"/>
      <c r="V42" s="1267" t="n"/>
      <c r="W42" s="676" t="n"/>
      <c r="X42" s="676" t="n"/>
      <c r="Y42" s="676" t="n"/>
      <c r="Z42" s="676" t="n"/>
      <c r="AA42" s="1267" t="n"/>
      <c r="AB42" s="676" t="n"/>
      <c r="AC42" s="676" t="n"/>
      <c r="AD42" s="676" t="n"/>
      <c r="AE42" s="676" t="n"/>
      <c r="AF42" s="1267" t="n"/>
      <c r="AG42" s="676" t="n"/>
      <c r="AH42" s="676" t="n"/>
      <c r="AI42" s="676" t="n"/>
      <c r="AJ42" s="676" t="n"/>
      <c r="AK42" s="1267" t="n"/>
      <c r="AL42" s="676" t="n"/>
      <c r="AM42" s="676" t="n"/>
      <c r="AN42" s="676" t="n"/>
      <c r="AO42" s="676" t="n"/>
      <c r="AP42" s="1267" t="n"/>
      <c r="AQ42" s="676" t="n"/>
      <c r="AR42" s="676" t="n"/>
      <c r="AS42" s="676" t="n"/>
      <c r="AT42" s="676" t="n"/>
      <c r="AU42" s="1267" t="n"/>
      <c r="AV42" s="676" t="n"/>
      <c r="AW42" s="676" t="n"/>
      <c r="AX42" s="676" t="n"/>
      <c r="AY42" s="676" t="n"/>
      <c r="AZ42" s="1267" t="n"/>
      <c r="BA42" s="676" t="n"/>
      <c r="BB42" s="676" t="n"/>
      <c r="BC42" s="676" t="n"/>
      <c r="BD42" s="676" t="n"/>
      <c r="BE42" s="1267" t="n"/>
      <c r="BF42" s="676" t="n"/>
      <c r="BG42" s="676" t="n"/>
      <c r="BH42" s="676" t="n"/>
      <c r="BI42" s="676" t="n"/>
      <c r="BJ42" s="1267" t="n"/>
      <c r="BK42" s="676" t="n"/>
      <c r="BL42" s="676" t="n"/>
      <c r="BM42" s="676" t="n"/>
      <c r="BN42" s="676" t="n"/>
      <c r="BO42" s="1266" t="n"/>
      <c r="BP42" s="676" t="n"/>
      <c r="BQ42" s="676" t="n"/>
      <c r="BR42" s="676" t="n"/>
      <c r="BS42" s="676" t="n"/>
      <c r="BT42" s="1267" t="n"/>
      <c r="BU42" s="676" t="n"/>
      <c r="BV42" s="676" t="n"/>
      <c r="BW42" s="676" t="n"/>
      <c r="BX42" s="676" t="n"/>
      <c r="BY42" s="1267" t="n"/>
      <c r="BZ42" s="1267" t="n"/>
      <c r="CA42" s="1267" t="n"/>
      <c r="CB42" s="1267" t="n"/>
      <c r="CC42" s="715" t="n"/>
    </row>
    <row r="43" ht="15" customFormat="1" customHeight="1" s="602">
      <c r="A43" s="94" t="inlineStr">
        <is>
          <t>Y/Y EUV sales growth, %</t>
        </is>
      </c>
      <c r="B43" s="394" t="n"/>
      <c r="C43" s="1267" t="n"/>
      <c r="D43" s="1267" t="n"/>
      <c r="E43" s="1267" t="n"/>
      <c r="F43" s="1267">
        <f>IFERROR(F33/E33-1,"n/a")</f>
        <v/>
      </c>
      <c r="G43" s="1267">
        <f>IFERROR(G33/F33-1,"n/a")</f>
        <v/>
      </c>
      <c r="H43" s="676" t="n"/>
      <c r="I43" s="676" t="n"/>
      <c r="J43" s="676" t="n"/>
      <c r="K43" s="676" t="n"/>
      <c r="L43" s="1267">
        <f>IFERROR(L33/G33-1,"n/a")</f>
        <v/>
      </c>
      <c r="M43" s="672">
        <f>IFERROR(M33/H33-1,"n/a")</f>
        <v/>
      </c>
      <c r="N43" s="676">
        <f>IFERROR(N33/I33-1,"n/a")</f>
        <v/>
      </c>
      <c r="O43" s="672">
        <f>IFERROR(O33/J33-1,"n/a")</f>
        <v/>
      </c>
      <c r="P43" s="672">
        <f>IFERROR(P33/K33-1,"n/a")</f>
        <v/>
      </c>
      <c r="Q43" s="1267">
        <f>IFERROR(Q33/L33-1,"n/a")</f>
        <v/>
      </c>
      <c r="R43" s="672">
        <f>IFERROR(R33/M33-1,"n/a")</f>
        <v/>
      </c>
      <c r="S43" s="676">
        <f>IFERROR(S33/N33-1,"n/a")</f>
        <v/>
      </c>
      <c r="T43" s="672">
        <f>IFERROR(T33/O33-1,"n/a")</f>
        <v/>
      </c>
      <c r="U43" s="672">
        <f>IFERROR(U33/P33-1,"n/a")</f>
        <v/>
      </c>
      <c r="V43" s="1267">
        <f>IFERROR(V33/Q33-1,"n/a")</f>
        <v/>
      </c>
      <c r="W43" s="672">
        <f>IFERROR(W33/R33-1,"n/a")</f>
        <v/>
      </c>
      <c r="X43" s="676">
        <f>IFERROR(X33/S33-1,"n/a")</f>
        <v/>
      </c>
      <c r="Y43" s="676">
        <f>IFERROR(Y33/T33-1,"n/a")</f>
        <v/>
      </c>
      <c r="Z43" s="676">
        <f>IFERROR(Z33/U33-1,"n/a")</f>
        <v/>
      </c>
      <c r="AA43" s="1267">
        <f>IFERROR(AA33/V33-1,"n/a")</f>
        <v/>
      </c>
      <c r="AB43" s="672">
        <f>IFERROR(AB33/W33-1,"n/a")</f>
        <v/>
      </c>
      <c r="AC43" s="676">
        <f>IFERROR(AC33/X33-1,"n/a")</f>
        <v/>
      </c>
      <c r="AD43" s="676">
        <f>IFERROR(AD33/Y33-1,"n/a")</f>
        <v/>
      </c>
      <c r="AE43" s="676">
        <f>IFERROR(AE33/Z33-1,"n/a")</f>
        <v/>
      </c>
      <c r="AF43" s="1267">
        <f>IFERROR(AF33/AA33-1,"n/a")</f>
        <v/>
      </c>
      <c r="AG43" s="672">
        <f>IFERROR(AG33/AB33-1,"n/a")</f>
        <v/>
      </c>
      <c r="AH43" s="676">
        <f>IFERROR(AH33/AC33-1,"n/a")</f>
        <v/>
      </c>
      <c r="AI43" s="676">
        <f>IFERROR(AI33/AD33-1,"n/a")</f>
        <v/>
      </c>
      <c r="AJ43" s="676">
        <f>IFERROR(AJ33/AE33-1,"n/a")</f>
        <v/>
      </c>
      <c r="AK43" s="1267">
        <f>IFERROR(AK33/AF33-1,"n/a")</f>
        <v/>
      </c>
      <c r="AL43" s="672">
        <f>IFERROR(AL33/AG33-1,"n/a")</f>
        <v/>
      </c>
      <c r="AM43" s="676">
        <f>IFERROR(AM33/AH33-1,"n/a")</f>
        <v/>
      </c>
      <c r="AN43" s="676">
        <f>IFERROR(AN33/AI33-1,"n/a")</f>
        <v/>
      </c>
      <c r="AO43" s="676">
        <f>IFERROR(AO33/AJ33-1,"n/a")</f>
        <v/>
      </c>
      <c r="AP43" s="1267">
        <f>IFERROR(AP33/AK33-1,"n/a")</f>
        <v/>
      </c>
      <c r="AQ43" s="672">
        <f>IFERROR(AQ33/AL33-1,"n/a")</f>
        <v/>
      </c>
      <c r="AR43" s="676">
        <f>IFERROR(AR33/AM33-1,"n/a")</f>
        <v/>
      </c>
      <c r="AS43" s="676">
        <f>IFERROR(AS33/AN33-1,"n/a")</f>
        <v/>
      </c>
      <c r="AT43" s="676">
        <f>IFERROR(AT33/AO33-1,"n/a")</f>
        <v/>
      </c>
      <c r="AU43" s="1267">
        <f>IFERROR(AU33/AP33-1,"n/a")</f>
        <v/>
      </c>
      <c r="AV43" s="672">
        <f>IFERROR(AV33/AQ33-1,"n/a")</f>
        <v/>
      </c>
      <c r="AW43" s="676">
        <f>IFERROR(AW33/AR33-1,"n/a")</f>
        <v/>
      </c>
      <c r="AX43" s="676">
        <f>IFERROR(AX33/AS33-1,"n/a")</f>
        <v/>
      </c>
      <c r="AY43" s="676">
        <f>IFERROR(AY33/AT33-1,"n/a")</f>
        <v/>
      </c>
      <c r="AZ43" s="1267">
        <f>IFERROR(AZ33/AU33-1,"n/a")</f>
        <v/>
      </c>
      <c r="BA43" s="672">
        <f>IFERROR(BA33/AV33-1,"n/a")</f>
        <v/>
      </c>
      <c r="BB43" s="676">
        <f>IFERROR(BB33/AW33-1,"n/a")</f>
        <v/>
      </c>
      <c r="BC43" s="676">
        <f>IFERROR(BC33/AX33-1,"n/a")</f>
        <v/>
      </c>
      <c r="BD43" s="676">
        <f>IFERROR(BD33/AY33-1,"n/a")</f>
        <v/>
      </c>
      <c r="BE43" s="1267">
        <f>IFERROR(BE33/AZ33-1,"n/a")</f>
        <v/>
      </c>
      <c r="BF43" s="672">
        <f>IFERROR(BF33/BA33-1,"n/a")</f>
        <v/>
      </c>
      <c r="BG43" s="676">
        <f>IFERROR(BG33/BB33-1,"n/a")</f>
        <v/>
      </c>
      <c r="BH43" s="676">
        <f>IFERROR(BH33/BC33-1,"n/a")</f>
        <v/>
      </c>
      <c r="BI43" s="676">
        <f>IFERROR(BI33/BD33-1,"n/a")</f>
        <v/>
      </c>
      <c r="BJ43" s="1267">
        <f>IFERROR(BJ33/BE33-1,"n/a")</f>
        <v/>
      </c>
      <c r="BK43" s="672">
        <f>IFERROR(BK33/BF33-1,"n/a")</f>
        <v/>
      </c>
      <c r="BL43" s="676">
        <f>IFERROR(BL33/BG33-1,"n/a")</f>
        <v/>
      </c>
      <c r="BM43" s="676">
        <f>IFERROR(BM33/BH33-1,"n/a")</f>
        <v/>
      </c>
      <c r="BN43" s="676">
        <f>IFERROR(BN33/BI33-1,"n/a")</f>
        <v/>
      </c>
      <c r="BO43" s="1266">
        <f>IFERROR(BO33/BJ33-1,"n/a")</f>
        <v/>
      </c>
      <c r="BP43" s="676">
        <f>IFERROR(BP33/BK33-1,"n/a")</f>
        <v/>
      </c>
      <c r="BQ43" s="676">
        <f>IFERROR(BQ33/BL33-1,"n/a")</f>
        <v/>
      </c>
      <c r="BR43" s="676">
        <f>IFERROR(BR33/BM33-1,"n/a")</f>
        <v/>
      </c>
      <c r="BS43" s="676">
        <f>IFERROR(BS33/BN33-1,"n/a")</f>
        <v/>
      </c>
      <c r="BT43" s="1267">
        <f>IFERROR(BT33/BO33-1,"n/a")</f>
        <v/>
      </c>
      <c r="BU43" s="676">
        <f>IFERROR(BU33/BP33-1,"n/a")</f>
        <v/>
      </c>
      <c r="BV43" s="676">
        <f>IFERROR(BV33/BQ33-1,"n/a")</f>
        <v/>
      </c>
      <c r="BW43" s="676">
        <f>IFERROR(BW33/BR33-1,"n/a")</f>
        <v/>
      </c>
      <c r="BX43" s="676">
        <f>IFERROR(BX33/BS33-1,"n/a")</f>
        <v/>
      </c>
      <c r="BY43" s="1267">
        <f>IFERROR(BY33/BT33-1,"n/a")</f>
        <v/>
      </c>
      <c r="BZ43" s="1267">
        <f>IFERROR(BZ33/BY33-1,"n/a")</f>
        <v/>
      </c>
      <c r="CA43" s="1267">
        <f>IFERROR(CA33/BZ33-1,"n/a")</f>
        <v/>
      </c>
      <c r="CB43" s="1267">
        <f>IFERROR(CB33/CA33-1,"n/a")</f>
        <v/>
      </c>
      <c r="CC43" s="715" t="n"/>
    </row>
    <row r="44" ht="15" customFormat="1" customHeight="1" s="602">
      <c r="A44" s="94" t="inlineStr">
        <is>
          <t>Y/Y ArFi sales growth, %</t>
        </is>
      </c>
      <c r="B44" s="394" t="n"/>
      <c r="C44" s="1267" t="n"/>
      <c r="D44" s="1267" t="n"/>
      <c r="E44" s="1267" t="n"/>
      <c r="F44" s="1267">
        <f>IFERROR(F34/E34-1,"n/a")</f>
        <v/>
      </c>
      <c r="G44" s="1267">
        <f>IFERROR(G34/F34-1,"n/a")</f>
        <v/>
      </c>
      <c r="H44" s="676" t="n"/>
      <c r="I44" s="676" t="n"/>
      <c r="J44" s="676" t="n"/>
      <c r="K44" s="676" t="n"/>
      <c r="L44" s="1267">
        <f>IFERROR(L34/G34-1,"n/a")</f>
        <v/>
      </c>
      <c r="M44" s="672">
        <f>IFERROR(M34/H34-1,"n/a")</f>
        <v/>
      </c>
      <c r="N44" s="676">
        <f>IFERROR(N34/I34-1,"n/a")</f>
        <v/>
      </c>
      <c r="O44" s="672">
        <f>IFERROR(O34/J34-1,"n/a")</f>
        <v/>
      </c>
      <c r="P44" s="672">
        <f>IFERROR(P34/K34-1,"n/a")</f>
        <v/>
      </c>
      <c r="Q44" s="1267">
        <f>IFERROR(Q34/L34-1,"n/a")</f>
        <v/>
      </c>
      <c r="R44" s="672">
        <f>IFERROR(R34/M34-1,"n/a")</f>
        <v/>
      </c>
      <c r="S44" s="676">
        <f>IFERROR(S34/N34-1,"n/a")</f>
        <v/>
      </c>
      <c r="T44" s="672">
        <f>IFERROR(T34/O34-1,"n/a")</f>
        <v/>
      </c>
      <c r="U44" s="672">
        <f>IFERROR(U34/P34-1,"n/a")</f>
        <v/>
      </c>
      <c r="V44" s="1267">
        <f>IFERROR(V34/Q34-1,"n/a")</f>
        <v/>
      </c>
      <c r="W44" s="672">
        <f>IFERROR(W34/R34-1,"n/a")</f>
        <v/>
      </c>
      <c r="X44" s="676">
        <f>IFERROR(X34/S34-1,"n/a")</f>
        <v/>
      </c>
      <c r="Y44" s="676">
        <f>IFERROR(Y34/T34-1,"n/a")</f>
        <v/>
      </c>
      <c r="Z44" s="676">
        <f>IFERROR(Z34/U34-1,"n/a")</f>
        <v/>
      </c>
      <c r="AA44" s="1267">
        <f>IFERROR(AA34/V34-1,"n/a")</f>
        <v/>
      </c>
      <c r="AB44" s="672">
        <f>IFERROR(AB34/W34-1,"n/a")</f>
        <v/>
      </c>
      <c r="AC44" s="676">
        <f>IFERROR(AC34/X34-1,"n/a")</f>
        <v/>
      </c>
      <c r="AD44" s="676">
        <f>IFERROR(AD34/Y34-1,"n/a")</f>
        <v/>
      </c>
      <c r="AE44" s="676">
        <f>IFERROR(AE34/Z34-1,"n/a")</f>
        <v/>
      </c>
      <c r="AF44" s="1267">
        <f>IFERROR(AF34/AA34-1,"n/a")</f>
        <v/>
      </c>
      <c r="AG44" s="672">
        <f>IFERROR(AG34/AB34-1,"n/a")</f>
        <v/>
      </c>
      <c r="AH44" s="676">
        <f>IFERROR(AH34/AC34-1,"n/a")</f>
        <v/>
      </c>
      <c r="AI44" s="676">
        <f>IFERROR(AI34/AD34-1,"n/a")</f>
        <v/>
      </c>
      <c r="AJ44" s="676">
        <f>IFERROR(AJ34/AE34-1,"n/a")</f>
        <v/>
      </c>
      <c r="AK44" s="1267">
        <f>IFERROR(AK34/AF34-1,"n/a")</f>
        <v/>
      </c>
      <c r="AL44" s="672">
        <f>IFERROR(AL34/AG34-1,"n/a")</f>
        <v/>
      </c>
      <c r="AM44" s="676">
        <f>IFERROR(AM34/AH34-1,"n/a")</f>
        <v/>
      </c>
      <c r="AN44" s="676">
        <f>IFERROR(AN34/AI34-1,"n/a")</f>
        <v/>
      </c>
      <c r="AO44" s="676">
        <f>IFERROR(AO34/AJ34-1,"n/a")</f>
        <v/>
      </c>
      <c r="AP44" s="1267">
        <f>IFERROR(AP34/AK34-1,"n/a")</f>
        <v/>
      </c>
      <c r="AQ44" s="672">
        <f>IFERROR(AQ34/AL34-1,"n/a")</f>
        <v/>
      </c>
      <c r="AR44" s="676">
        <f>IFERROR(AR34/AM34-1,"n/a")</f>
        <v/>
      </c>
      <c r="AS44" s="676">
        <f>IFERROR(AS34/AN34-1,"n/a")</f>
        <v/>
      </c>
      <c r="AT44" s="676">
        <f>IFERROR(AT34/AO34-1,"n/a")</f>
        <v/>
      </c>
      <c r="AU44" s="1267">
        <f>IFERROR(AU34/AP34-1,"n/a")</f>
        <v/>
      </c>
      <c r="AV44" s="672">
        <f>IFERROR(AV34/AQ34-1,"n/a")</f>
        <v/>
      </c>
      <c r="AW44" s="676">
        <f>IFERROR(AW34/AR34-1,"n/a")</f>
        <v/>
      </c>
      <c r="AX44" s="676">
        <f>IFERROR(AX34/AS34-1,"n/a")</f>
        <v/>
      </c>
      <c r="AY44" s="676">
        <f>IFERROR(AY34/AT34-1,"n/a")</f>
        <v/>
      </c>
      <c r="AZ44" s="1267">
        <f>IFERROR(AZ34/AU34-1,"n/a")</f>
        <v/>
      </c>
      <c r="BA44" s="672">
        <f>IFERROR(BA34/AV34-1,"n/a")</f>
        <v/>
      </c>
      <c r="BB44" s="676">
        <f>IFERROR(BB34/AW34-1,"n/a")</f>
        <v/>
      </c>
      <c r="BC44" s="676">
        <f>IFERROR(BC34/AX34-1,"n/a")</f>
        <v/>
      </c>
      <c r="BD44" s="676">
        <f>IFERROR(BD34/AY34-1,"n/a")</f>
        <v/>
      </c>
      <c r="BE44" s="1267">
        <f>IFERROR(BE34/AZ34-1,"n/a")</f>
        <v/>
      </c>
      <c r="BF44" s="672">
        <f>IFERROR(BF34/BA34-1,"n/a")</f>
        <v/>
      </c>
      <c r="BG44" s="676">
        <f>IFERROR(BG34/BB34-1,"n/a")</f>
        <v/>
      </c>
      <c r="BH44" s="676">
        <f>IFERROR(BH34/BC34-1,"n/a")</f>
        <v/>
      </c>
      <c r="BI44" s="676">
        <f>IFERROR(BI34/BD34-1,"n/a")</f>
        <v/>
      </c>
      <c r="BJ44" s="1267">
        <f>IFERROR(BJ34/BE34-1,"n/a")</f>
        <v/>
      </c>
      <c r="BK44" s="672">
        <f>IFERROR(BK34/BF34-1,"n/a")</f>
        <v/>
      </c>
      <c r="BL44" s="676">
        <f>IFERROR(BL34/BG34-1,"n/a")</f>
        <v/>
      </c>
      <c r="BM44" s="676">
        <f>IFERROR(BM34/BH34-1,"n/a")</f>
        <v/>
      </c>
      <c r="BN44" s="676">
        <f>IFERROR(BN34/BI34-1,"n/a")</f>
        <v/>
      </c>
      <c r="BO44" s="1266">
        <f>IFERROR(BO34/BJ34-1,"n/a")</f>
        <v/>
      </c>
      <c r="BP44" s="676">
        <f>IFERROR(BP34/BK34-1,"n/a")</f>
        <v/>
      </c>
      <c r="BQ44" s="676">
        <f>IFERROR(BQ34/BL34-1,"n/a")</f>
        <v/>
      </c>
      <c r="BR44" s="676">
        <f>IFERROR(BR34/BM34-1,"n/a")</f>
        <v/>
      </c>
      <c r="BS44" s="676">
        <f>IFERROR(BS34/BN34-1,"n/a")</f>
        <v/>
      </c>
      <c r="BT44" s="1267">
        <f>IFERROR(BT34/BO34-1,"n/a")</f>
        <v/>
      </c>
      <c r="BU44" s="676">
        <f>IFERROR(BU34/BP34-1,"n/a")</f>
        <v/>
      </c>
      <c r="BV44" s="676">
        <f>IFERROR(BV34/BQ34-1,"n/a")</f>
        <v/>
      </c>
      <c r="BW44" s="676">
        <f>IFERROR(BW34/BR34-1,"n/a")</f>
        <v/>
      </c>
      <c r="BX44" s="676">
        <f>IFERROR(BX34/BS34-1,"n/a")</f>
        <v/>
      </c>
      <c r="BY44" s="1267">
        <f>IFERROR(BY34/BT34-1,"n/a")</f>
        <v/>
      </c>
      <c r="BZ44" s="1267">
        <f>IFERROR(BZ34/BY34-1,"n/a")</f>
        <v/>
      </c>
      <c r="CA44" s="1267">
        <f>IFERROR(CA34/BZ34-1,"n/a")</f>
        <v/>
      </c>
      <c r="CB44" s="1267">
        <f>IFERROR(CB34/CA34-1,"n/a")</f>
        <v/>
      </c>
      <c r="CC44" s="715" t="n"/>
    </row>
    <row r="45" ht="15" customFormat="1" customHeight="1" s="602">
      <c r="A45" s="94" t="inlineStr">
        <is>
          <t>Y/Y ArF sales growth, %</t>
        </is>
      </c>
      <c r="B45" s="394" t="n"/>
      <c r="C45" s="1267" t="n"/>
      <c r="D45" s="1267" t="n"/>
      <c r="E45" s="1267" t="n"/>
      <c r="F45" s="1267">
        <f>IFERROR(F35/E35-1,"n/a")</f>
        <v/>
      </c>
      <c r="G45" s="1267">
        <f>IFERROR(G35/F35-1,"n/a")</f>
        <v/>
      </c>
      <c r="H45" s="676" t="n"/>
      <c r="I45" s="676" t="n"/>
      <c r="J45" s="676" t="n"/>
      <c r="K45" s="676" t="n"/>
      <c r="L45" s="1267">
        <f>IFERROR(L35/G35-1,"n/a")</f>
        <v/>
      </c>
      <c r="M45" s="672">
        <f>IFERROR(M35/H35-1,"n/a")</f>
        <v/>
      </c>
      <c r="N45" s="676">
        <f>IFERROR(N35/I35-1,"n/a")</f>
        <v/>
      </c>
      <c r="O45" s="672">
        <f>IFERROR(O35/J35-1,"n/a")</f>
        <v/>
      </c>
      <c r="P45" s="672">
        <f>IFERROR(P35/K35-1,"n/a")</f>
        <v/>
      </c>
      <c r="Q45" s="1267">
        <f>IFERROR(Q35/L35-1,"n/a")</f>
        <v/>
      </c>
      <c r="R45" s="672">
        <f>IFERROR(R35/M35-1,"n/a")</f>
        <v/>
      </c>
      <c r="S45" s="676">
        <f>IFERROR(S35/N35-1,"n/a")</f>
        <v/>
      </c>
      <c r="T45" s="672">
        <f>IFERROR(T35/O35-1,"n/a")</f>
        <v/>
      </c>
      <c r="U45" s="672">
        <f>IFERROR(U35/P35-1,"n/a")</f>
        <v/>
      </c>
      <c r="V45" s="1267">
        <f>IFERROR(V35/Q35-1,"n/a")</f>
        <v/>
      </c>
      <c r="W45" s="672">
        <f>IFERROR(W35/R35-1,"n/a")</f>
        <v/>
      </c>
      <c r="X45" s="676">
        <f>IFERROR(X35/S35-1,"n/a")</f>
        <v/>
      </c>
      <c r="Y45" s="676">
        <f>IFERROR(Y35/T35-1,"n/a")</f>
        <v/>
      </c>
      <c r="Z45" s="676">
        <f>IFERROR(Z35/U35-1,"n/a")</f>
        <v/>
      </c>
      <c r="AA45" s="1267">
        <f>IFERROR(AA35/V35-1,"n/a")</f>
        <v/>
      </c>
      <c r="AB45" s="672">
        <f>IFERROR(AB35/W35-1,"n/a")</f>
        <v/>
      </c>
      <c r="AC45" s="676">
        <f>IFERROR(AC35/X35-1,"n/a")</f>
        <v/>
      </c>
      <c r="AD45" s="676">
        <f>IFERROR(AD35/Y35-1,"n/a")</f>
        <v/>
      </c>
      <c r="AE45" s="676">
        <f>IFERROR(AE35/Z35-1,"n/a")</f>
        <v/>
      </c>
      <c r="AF45" s="1267">
        <f>IFERROR(AF35/AA35-1,"n/a")</f>
        <v/>
      </c>
      <c r="AG45" s="672">
        <f>IFERROR(AG35/AB35-1,"n/a")</f>
        <v/>
      </c>
      <c r="AH45" s="676">
        <f>IFERROR(AH35/AC35-1,"n/a")</f>
        <v/>
      </c>
      <c r="AI45" s="676">
        <f>IFERROR(AI35/AD35-1,"n/a")</f>
        <v/>
      </c>
      <c r="AJ45" s="676">
        <f>IFERROR(AJ35/AE35-1,"n/a")</f>
        <v/>
      </c>
      <c r="AK45" s="1267">
        <f>IFERROR(AK35/AF35-1,"n/a")</f>
        <v/>
      </c>
      <c r="AL45" s="672">
        <f>IFERROR(AL35/AG35-1,"n/a")</f>
        <v/>
      </c>
      <c r="AM45" s="676">
        <f>IFERROR(AM35/AH35-1,"n/a")</f>
        <v/>
      </c>
      <c r="AN45" s="676">
        <f>IFERROR(AN35/AI35-1,"n/a")</f>
        <v/>
      </c>
      <c r="AO45" s="676">
        <f>IFERROR(AO35/AJ35-1,"n/a")</f>
        <v/>
      </c>
      <c r="AP45" s="1267">
        <f>IFERROR(AP35/AK35-1,"n/a")</f>
        <v/>
      </c>
      <c r="AQ45" s="672">
        <f>IFERROR(AQ35/AL35-1,"n/a")</f>
        <v/>
      </c>
      <c r="AR45" s="676">
        <f>IFERROR(AR35/AM35-1,"n/a")</f>
        <v/>
      </c>
      <c r="AS45" s="676">
        <f>IFERROR(AS35/AN35-1,"n/a")</f>
        <v/>
      </c>
      <c r="AT45" s="676">
        <f>IFERROR(AT35/AO35-1,"n/a")</f>
        <v/>
      </c>
      <c r="AU45" s="1267">
        <f>IFERROR(AU35/AP35-1,"n/a")</f>
        <v/>
      </c>
      <c r="AV45" s="672">
        <f>IFERROR(AV35/AQ35-1,"n/a")</f>
        <v/>
      </c>
      <c r="AW45" s="676">
        <f>IFERROR(AW35/AR35-1,"n/a")</f>
        <v/>
      </c>
      <c r="AX45" s="676">
        <f>IFERROR(AX35/AS35-1,"n/a")</f>
        <v/>
      </c>
      <c r="AY45" s="676">
        <f>IFERROR(AY35/AT35-1,"n/a")</f>
        <v/>
      </c>
      <c r="AZ45" s="1267">
        <f>IFERROR(AZ35/AU35-1,"n/a")</f>
        <v/>
      </c>
      <c r="BA45" s="672">
        <f>IFERROR(BA35/AV35-1,"n/a")</f>
        <v/>
      </c>
      <c r="BB45" s="676">
        <f>IFERROR(BB35/AW35-1,"n/a")</f>
        <v/>
      </c>
      <c r="BC45" s="676">
        <f>IFERROR(BC35/AX35-1,"n/a")</f>
        <v/>
      </c>
      <c r="BD45" s="676">
        <f>IFERROR(BD35/AY35-1,"n/a")</f>
        <v/>
      </c>
      <c r="BE45" s="1267">
        <f>IFERROR(BE35/AZ35-1,"n/a")</f>
        <v/>
      </c>
      <c r="BF45" s="672">
        <f>IFERROR(BF35/BA35-1,"n/a")</f>
        <v/>
      </c>
      <c r="BG45" s="676">
        <f>IFERROR(BG35/BB35-1,"n/a")</f>
        <v/>
      </c>
      <c r="BH45" s="676">
        <f>IFERROR(BH35/BC35-1,"n/a")</f>
        <v/>
      </c>
      <c r="BI45" s="676">
        <f>IFERROR(BI35/BD35-1,"n/a")</f>
        <v/>
      </c>
      <c r="BJ45" s="1267">
        <f>IFERROR(BJ35/BE35-1,"n/a")</f>
        <v/>
      </c>
      <c r="BK45" s="672">
        <f>IFERROR(BK35/BF35-1,"n/a")</f>
        <v/>
      </c>
      <c r="BL45" s="676">
        <f>IFERROR(BL35/BG35-1,"n/a")</f>
        <v/>
      </c>
      <c r="BM45" s="676">
        <f>IFERROR(BM35/BH35-1,"n/a")</f>
        <v/>
      </c>
      <c r="BN45" s="676">
        <f>IFERROR(BN35/BI35-1,"n/a")</f>
        <v/>
      </c>
      <c r="BO45" s="1266">
        <f>IFERROR(BO35/BJ35-1,"n/a")</f>
        <v/>
      </c>
      <c r="BP45" s="676">
        <f>IFERROR(BP35/BK35-1,"n/a")</f>
        <v/>
      </c>
      <c r="BQ45" s="676">
        <f>IFERROR(BQ35/BL35-1,"n/a")</f>
        <v/>
      </c>
      <c r="BR45" s="676">
        <f>IFERROR(BR35/BM35-1,"n/a")</f>
        <v/>
      </c>
      <c r="BS45" s="676">
        <f>IFERROR(BS35/BN35-1,"n/a")</f>
        <v/>
      </c>
      <c r="BT45" s="1267">
        <f>IFERROR(BT35/BO35-1,"n/a")</f>
        <v/>
      </c>
      <c r="BU45" s="676">
        <f>IFERROR(BU35/BP35-1,"n/a")</f>
        <v/>
      </c>
      <c r="BV45" s="676">
        <f>IFERROR(BV35/BQ35-1,"n/a")</f>
        <v/>
      </c>
      <c r="BW45" s="676">
        <f>IFERROR(BW35/BR35-1,"n/a")</f>
        <v/>
      </c>
      <c r="BX45" s="676">
        <f>IFERROR(BX35/BS35-1,"n/a")</f>
        <v/>
      </c>
      <c r="BY45" s="1267">
        <f>IFERROR(BY35/BT35-1,"n/a")</f>
        <v/>
      </c>
      <c r="BZ45" s="1267">
        <f>IFERROR(BZ35/BY35-1,"n/a")</f>
        <v/>
      </c>
      <c r="CA45" s="1267">
        <f>IFERROR(CA35/BZ35-1,"n/a")</f>
        <v/>
      </c>
      <c r="CB45" s="1267">
        <f>IFERROR(CB35/CA35-1,"n/a")</f>
        <v/>
      </c>
      <c r="CC45" s="715" t="n"/>
    </row>
    <row r="46" ht="15" customFormat="1" customHeight="1" s="602">
      <c r="A46" s="94" t="inlineStr">
        <is>
          <t>Y/Y KrF sales growth, %</t>
        </is>
      </c>
      <c r="B46" s="394" t="n"/>
      <c r="C46" s="1267" t="n"/>
      <c r="D46" s="1267" t="n"/>
      <c r="E46" s="1267" t="n"/>
      <c r="F46" s="1267">
        <f>IFERROR(F36/E36-1,"n/a")</f>
        <v/>
      </c>
      <c r="G46" s="1267">
        <f>IFERROR(G36/F36-1,"n/a")</f>
        <v/>
      </c>
      <c r="H46" s="676" t="n"/>
      <c r="I46" s="676" t="n"/>
      <c r="J46" s="676" t="n"/>
      <c r="K46" s="676" t="n"/>
      <c r="L46" s="1267">
        <f>IFERROR(L36/G36-1,"n/a")</f>
        <v/>
      </c>
      <c r="M46" s="672">
        <f>IFERROR(M36/H36-1,"n/a")</f>
        <v/>
      </c>
      <c r="N46" s="676">
        <f>IFERROR(N36/I36-1,"n/a")</f>
        <v/>
      </c>
      <c r="O46" s="672">
        <f>IFERROR(O36/J36-1,"n/a")</f>
        <v/>
      </c>
      <c r="P46" s="672">
        <f>IFERROR(P36/K36-1,"n/a")</f>
        <v/>
      </c>
      <c r="Q46" s="1267">
        <f>IFERROR(Q36/L36-1,"n/a")</f>
        <v/>
      </c>
      <c r="R46" s="672">
        <f>IFERROR(R36/M36-1,"n/a")</f>
        <v/>
      </c>
      <c r="S46" s="676">
        <f>IFERROR(S36/N36-1,"n/a")</f>
        <v/>
      </c>
      <c r="T46" s="672">
        <f>IFERROR(T36/O36-1,"n/a")</f>
        <v/>
      </c>
      <c r="U46" s="672">
        <f>IFERROR(U36/P36-1,"n/a")</f>
        <v/>
      </c>
      <c r="V46" s="1267">
        <f>IFERROR(V36/Q36-1,"n/a")</f>
        <v/>
      </c>
      <c r="W46" s="672">
        <f>IFERROR(W36/R36-1,"n/a")</f>
        <v/>
      </c>
      <c r="X46" s="676">
        <f>IFERROR(X36/S36-1,"n/a")</f>
        <v/>
      </c>
      <c r="Y46" s="676">
        <f>IFERROR(Y36/T36-1,"n/a")</f>
        <v/>
      </c>
      <c r="Z46" s="676">
        <f>IFERROR(Z36/U36-1,"n/a")</f>
        <v/>
      </c>
      <c r="AA46" s="1267">
        <f>IFERROR(AA36/V36-1,"n/a")</f>
        <v/>
      </c>
      <c r="AB46" s="672">
        <f>IFERROR(AB36/W36-1,"n/a")</f>
        <v/>
      </c>
      <c r="AC46" s="676">
        <f>IFERROR(AC36/X36-1,"n/a")</f>
        <v/>
      </c>
      <c r="AD46" s="676">
        <f>IFERROR(AD36/Y36-1,"n/a")</f>
        <v/>
      </c>
      <c r="AE46" s="676">
        <f>IFERROR(AE36/Z36-1,"n/a")</f>
        <v/>
      </c>
      <c r="AF46" s="1267">
        <f>IFERROR(AF36/AA36-1,"n/a")</f>
        <v/>
      </c>
      <c r="AG46" s="672">
        <f>IFERROR(AG36/AB36-1,"n/a")</f>
        <v/>
      </c>
      <c r="AH46" s="676">
        <f>IFERROR(AH36/AC36-1,"n/a")</f>
        <v/>
      </c>
      <c r="AI46" s="676">
        <f>IFERROR(AI36/AD36-1,"n/a")</f>
        <v/>
      </c>
      <c r="AJ46" s="676">
        <f>IFERROR(AJ36/AE36-1,"n/a")</f>
        <v/>
      </c>
      <c r="AK46" s="1267">
        <f>IFERROR(AK36/AF36-1,"n/a")</f>
        <v/>
      </c>
      <c r="AL46" s="672">
        <f>IFERROR(AL36/AG36-1,"n/a")</f>
        <v/>
      </c>
      <c r="AM46" s="676">
        <f>IFERROR(AM36/AH36-1,"n/a")</f>
        <v/>
      </c>
      <c r="AN46" s="676">
        <f>IFERROR(AN36/AI36-1,"n/a")</f>
        <v/>
      </c>
      <c r="AO46" s="676">
        <f>IFERROR(AO36/AJ36-1,"n/a")</f>
        <v/>
      </c>
      <c r="AP46" s="1267">
        <f>IFERROR(AP36/AK36-1,"n/a")</f>
        <v/>
      </c>
      <c r="AQ46" s="672">
        <f>IFERROR(AQ36/AL36-1,"n/a")</f>
        <v/>
      </c>
      <c r="AR46" s="676">
        <f>IFERROR(AR36/AM36-1,"n/a")</f>
        <v/>
      </c>
      <c r="AS46" s="676">
        <f>IFERROR(AS36/AN36-1,"n/a")</f>
        <v/>
      </c>
      <c r="AT46" s="676">
        <f>IFERROR(AT36/AO36-1,"n/a")</f>
        <v/>
      </c>
      <c r="AU46" s="1267">
        <f>IFERROR(AU36/AP36-1,"n/a")</f>
        <v/>
      </c>
      <c r="AV46" s="672">
        <f>IFERROR(AV36/AQ36-1,"n/a")</f>
        <v/>
      </c>
      <c r="AW46" s="676">
        <f>IFERROR(AW36/AR36-1,"n/a")</f>
        <v/>
      </c>
      <c r="AX46" s="676">
        <f>IFERROR(AX36/AS36-1,"n/a")</f>
        <v/>
      </c>
      <c r="AY46" s="676">
        <f>IFERROR(AY36/AT36-1,"n/a")</f>
        <v/>
      </c>
      <c r="AZ46" s="1267">
        <f>IFERROR(AZ36/AU36-1,"n/a")</f>
        <v/>
      </c>
      <c r="BA46" s="672">
        <f>IFERROR(BA36/AV36-1,"n/a")</f>
        <v/>
      </c>
      <c r="BB46" s="676">
        <f>IFERROR(BB36/AW36-1,"n/a")</f>
        <v/>
      </c>
      <c r="BC46" s="676">
        <f>IFERROR(BC36/AX36-1,"n/a")</f>
        <v/>
      </c>
      <c r="BD46" s="676">
        <f>IFERROR(BD36/AY36-1,"n/a")</f>
        <v/>
      </c>
      <c r="BE46" s="1267">
        <f>IFERROR(BE36/AZ36-1,"n/a")</f>
        <v/>
      </c>
      <c r="BF46" s="672">
        <f>IFERROR(BF36/BA36-1,"n/a")</f>
        <v/>
      </c>
      <c r="BG46" s="676">
        <f>IFERROR(BG36/BB36-1,"n/a")</f>
        <v/>
      </c>
      <c r="BH46" s="676">
        <f>IFERROR(BH36/BC36-1,"n/a")</f>
        <v/>
      </c>
      <c r="BI46" s="676">
        <f>IFERROR(BI36/BD36-1,"n/a")</f>
        <v/>
      </c>
      <c r="BJ46" s="1267">
        <f>IFERROR(BJ36/BE36-1,"n/a")</f>
        <v/>
      </c>
      <c r="BK46" s="672">
        <f>IFERROR(BK36/BF36-1,"n/a")</f>
        <v/>
      </c>
      <c r="BL46" s="676">
        <f>IFERROR(BL36/BG36-1,"n/a")</f>
        <v/>
      </c>
      <c r="BM46" s="676">
        <f>IFERROR(BM36/BH36-1,"n/a")</f>
        <v/>
      </c>
      <c r="BN46" s="676">
        <f>IFERROR(BN36/BI36-1,"n/a")</f>
        <v/>
      </c>
      <c r="BO46" s="1266">
        <f>IFERROR(BO36/BJ36-1,"n/a")</f>
        <v/>
      </c>
      <c r="BP46" s="676">
        <f>IFERROR(BP36/BK36-1,"n/a")</f>
        <v/>
      </c>
      <c r="BQ46" s="676">
        <f>IFERROR(BQ36/BL36-1,"n/a")</f>
        <v/>
      </c>
      <c r="BR46" s="676">
        <f>IFERROR(BR36/BM36-1,"n/a")</f>
        <v/>
      </c>
      <c r="BS46" s="676">
        <f>IFERROR(BS36/BN36-1,"n/a")</f>
        <v/>
      </c>
      <c r="BT46" s="1267">
        <f>IFERROR(BT36/BO36-1,"n/a")</f>
        <v/>
      </c>
      <c r="BU46" s="676">
        <f>IFERROR(BU36/BP36-1,"n/a")</f>
        <v/>
      </c>
      <c r="BV46" s="676">
        <f>IFERROR(BV36/BQ36-1,"n/a")</f>
        <v/>
      </c>
      <c r="BW46" s="676">
        <f>IFERROR(BW36/BR36-1,"n/a")</f>
        <v/>
      </c>
      <c r="BX46" s="676">
        <f>IFERROR(BX36/BS36-1,"n/a")</f>
        <v/>
      </c>
      <c r="BY46" s="1267">
        <f>IFERROR(BY36/BT36-1,"n/a")</f>
        <v/>
      </c>
      <c r="BZ46" s="1267">
        <f>IFERROR(BZ36/BY36-1,"n/a")</f>
        <v/>
      </c>
      <c r="CA46" s="1267">
        <f>IFERROR(CA36/BZ36-1,"n/a")</f>
        <v/>
      </c>
      <c r="CB46" s="1267">
        <f>IFERROR(CB36/CA36-1,"n/a")</f>
        <v/>
      </c>
      <c r="CC46" s="715" t="n"/>
    </row>
    <row r="47" ht="15" customFormat="1" customHeight="1" s="602">
      <c r="A47" s="94" t="inlineStr">
        <is>
          <t>Y/Y i-line sales growth, %</t>
        </is>
      </c>
      <c r="B47" s="394" t="n"/>
      <c r="C47" s="1267" t="n"/>
      <c r="D47" s="1267" t="n"/>
      <c r="E47" s="1267" t="n"/>
      <c r="F47" s="1267">
        <f>IFERROR(F37/E37-1,"n/a")</f>
        <v/>
      </c>
      <c r="G47" s="1267">
        <f>IFERROR(G37/F37-1,"n/a")</f>
        <v/>
      </c>
      <c r="H47" s="676" t="n"/>
      <c r="I47" s="676" t="n"/>
      <c r="J47" s="676" t="n"/>
      <c r="K47" s="676" t="n"/>
      <c r="L47" s="1267">
        <f>IFERROR(L37/G37-1,"n/a")</f>
        <v/>
      </c>
      <c r="M47" s="672">
        <f>IFERROR(M37/H37-1,"n/a")</f>
        <v/>
      </c>
      <c r="N47" s="676">
        <f>IFERROR(N37/I37-1,"n/a")</f>
        <v/>
      </c>
      <c r="O47" s="672">
        <f>IFERROR(O37/J37-1,"n/a")</f>
        <v/>
      </c>
      <c r="P47" s="672">
        <f>IFERROR(P37/K37-1,"n/a")</f>
        <v/>
      </c>
      <c r="Q47" s="1267">
        <f>IFERROR(Q37/L37-1,"n/a")</f>
        <v/>
      </c>
      <c r="R47" s="672">
        <f>IFERROR(R37/M37-1,"n/a")</f>
        <v/>
      </c>
      <c r="S47" s="676">
        <f>IFERROR(S37/N37-1,"n/a")</f>
        <v/>
      </c>
      <c r="T47" s="672">
        <f>IFERROR(T37/O37-1,"n/a")</f>
        <v/>
      </c>
      <c r="U47" s="672">
        <f>IFERROR(U37/P37-1,"n/a")</f>
        <v/>
      </c>
      <c r="V47" s="1267">
        <f>IFERROR(V37/Q37-1,"n/a")</f>
        <v/>
      </c>
      <c r="W47" s="672">
        <f>IFERROR(W37/R37-1,"n/a")</f>
        <v/>
      </c>
      <c r="X47" s="676">
        <f>IFERROR(X37/S37-1,"n/a")</f>
        <v/>
      </c>
      <c r="Y47" s="676">
        <f>IFERROR(Y37/T37-1,"n/a")</f>
        <v/>
      </c>
      <c r="Z47" s="676">
        <f>IFERROR(Z37/U37-1,"n/a")</f>
        <v/>
      </c>
      <c r="AA47" s="1267">
        <f>IFERROR(AA37/V37-1,"n/a")</f>
        <v/>
      </c>
      <c r="AB47" s="672">
        <f>IFERROR(AB37/W37-1,"n/a")</f>
        <v/>
      </c>
      <c r="AC47" s="676">
        <f>IFERROR(AC37/X37-1,"n/a")</f>
        <v/>
      </c>
      <c r="AD47" s="676">
        <f>IFERROR(AD37/Y37-1,"n/a")</f>
        <v/>
      </c>
      <c r="AE47" s="676">
        <f>IFERROR(AE37/Z37-1,"n/a")</f>
        <v/>
      </c>
      <c r="AF47" s="1267">
        <f>IFERROR(AF37/AA37-1,"n/a")</f>
        <v/>
      </c>
      <c r="AG47" s="672">
        <f>IFERROR(AG37/AB37-1,"n/a")</f>
        <v/>
      </c>
      <c r="AH47" s="676">
        <f>IFERROR(AH37/AC37-1,"n/a")</f>
        <v/>
      </c>
      <c r="AI47" s="676">
        <f>IFERROR(AI37/AD37-1,"n/a")</f>
        <v/>
      </c>
      <c r="AJ47" s="676">
        <f>IFERROR(AJ37/AE37-1,"n/a")</f>
        <v/>
      </c>
      <c r="AK47" s="1267">
        <f>IFERROR(AK37/AF37-1,"n/a")</f>
        <v/>
      </c>
      <c r="AL47" s="672">
        <f>IFERROR(AL37/AG37-1,"n/a")</f>
        <v/>
      </c>
      <c r="AM47" s="676">
        <f>IFERROR(AM37/AH37-1,"n/a")</f>
        <v/>
      </c>
      <c r="AN47" s="676">
        <f>IFERROR(AN37/AI37-1,"n/a")</f>
        <v/>
      </c>
      <c r="AO47" s="676">
        <f>IFERROR(AO37/AJ37-1,"n/a")</f>
        <v/>
      </c>
      <c r="AP47" s="1267">
        <f>IFERROR(AP37/AK37-1,"n/a")</f>
        <v/>
      </c>
      <c r="AQ47" s="672">
        <f>IFERROR(AQ37/AL37-1,"n/a")</f>
        <v/>
      </c>
      <c r="AR47" s="676">
        <f>IFERROR(AR37/AM37-1,"n/a")</f>
        <v/>
      </c>
      <c r="AS47" s="676">
        <f>IFERROR(AS37/AN37-1,"n/a")</f>
        <v/>
      </c>
      <c r="AT47" s="676">
        <f>IFERROR(AT37/AO37-1,"n/a")</f>
        <v/>
      </c>
      <c r="AU47" s="1267">
        <f>IFERROR(AU37/AP37-1,"n/a")</f>
        <v/>
      </c>
      <c r="AV47" s="672">
        <f>IFERROR(AV37/AQ37-1,"n/a")</f>
        <v/>
      </c>
      <c r="AW47" s="676">
        <f>IFERROR(AW37/AR37-1,"n/a")</f>
        <v/>
      </c>
      <c r="AX47" s="676">
        <f>IFERROR(AX37/AS37-1,"n/a")</f>
        <v/>
      </c>
      <c r="AY47" s="676">
        <f>IFERROR(AY37/AT37-1,"n/a")</f>
        <v/>
      </c>
      <c r="AZ47" s="1267">
        <f>IFERROR(AZ37/AU37-1,"n/a")</f>
        <v/>
      </c>
      <c r="BA47" s="672">
        <f>IFERROR(BA37/AV37-1,"n/a")</f>
        <v/>
      </c>
      <c r="BB47" s="676">
        <f>IFERROR(BB37/AW37-1,"n/a")</f>
        <v/>
      </c>
      <c r="BC47" s="676">
        <f>IFERROR(BC37/AX37-1,"n/a")</f>
        <v/>
      </c>
      <c r="BD47" s="676">
        <f>IFERROR(BD37/AY37-1,"n/a")</f>
        <v/>
      </c>
      <c r="BE47" s="1267">
        <f>IFERROR(BE37/AZ37-1,"n/a")</f>
        <v/>
      </c>
      <c r="BF47" s="672">
        <f>IFERROR(BF37/BA37-1,"n/a")</f>
        <v/>
      </c>
      <c r="BG47" s="676">
        <f>IFERROR(BG37/BB37-1,"n/a")</f>
        <v/>
      </c>
      <c r="BH47" s="676">
        <f>IFERROR(BH37/BC37-1,"n/a")</f>
        <v/>
      </c>
      <c r="BI47" s="676">
        <f>IFERROR(BI37/BD37-1,"n/a")</f>
        <v/>
      </c>
      <c r="BJ47" s="1267">
        <f>IFERROR(BJ37/BE37-1,"n/a")</f>
        <v/>
      </c>
      <c r="BK47" s="672">
        <f>IFERROR(BK37/BF37-1,"n/a")</f>
        <v/>
      </c>
      <c r="BL47" s="676">
        <f>IFERROR(BL37/BG37-1,"n/a")</f>
        <v/>
      </c>
      <c r="BM47" s="676">
        <f>IFERROR(BM37/BH37-1,"n/a")</f>
        <v/>
      </c>
      <c r="BN47" s="676">
        <f>IFERROR(BN37/BI37-1,"n/a")</f>
        <v/>
      </c>
      <c r="BO47" s="1266">
        <f>IFERROR(BO37/BJ37-1,"n/a")</f>
        <v/>
      </c>
      <c r="BP47" s="676">
        <f>IFERROR(BP37/BK37-1,"n/a")</f>
        <v/>
      </c>
      <c r="BQ47" s="676">
        <f>IFERROR(BQ37/BL37-1,"n/a")</f>
        <v/>
      </c>
      <c r="BR47" s="676">
        <f>IFERROR(BR37/BM37-1,"n/a")</f>
        <v/>
      </c>
      <c r="BS47" s="676">
        <f>IFERROR(BS37/BN37-1,"n/a")</f>
        <v/>
      </c>
      <c r="BT47" s="1267">
        <f>IFERROR(BT37/BO37-1,"n/a")</f>
        <v/>
      </c>
      <c r="BU47" s="676">
        <f>IFERROR(BU37/BP37-1,"n/a")</f>
        <v/>
      </c>
      <c r="BV47" s="676">
        <f>IFERROR(BV37/BQ37-1,"n/a")</f>
        <v/>
      </c>
      <c r="BW47" s="676">
        <f>IFERROR(BW37/BR37-1,"n/a")</f>
        <v/>
      </c>
      <c r="BX47" s="676">
        <f>IFERROR(BX37/BS37-1,"n/a")</f>
        <v/>
      </c>
      <c r="BY47" s="1267">
        <f>IFERROR(BY37/BT37-1,"n/a")</f>
        <v/>
      </c>
      <c r="BZ47" s="1267">
        <f>IFERROR(BZ37/BY37-1,"n/a")</f>
        <v/>
      </c>
      <c r="CA47" s="1267">
        <f>IFERROR(CA37/BZ37-1,"n/a")</f>
        <v/>
      </c>
      <c r="CB47" s="1267">
        <f>IFERROR(CB37/CA37-1,"n/a")</f>
        <v/>
      </c>
      <c r="CC47" s="715" t="n"/>
    </row>
    <row r="48" ht="15" customFormat="1" customHeight="1" s="602">
      <c r="A48" s="497" t="inlineStr">
        <is>
          <t>Y/Y Metrology &amp; Inspection sales growth, %</t>
        </is>
      </c>
      <c r="B48" s="395" t="n"/>
      <c r="C48" s="1268" t="n"/>
      <c r="D48" s="1268" t="n"/>
      <c r="E48" s="1268" t="n"/>
      <c r="F48" s="1268" t="n"/>
      <c r="G48" s="1268" t="n"/>
      <c r="H48" s="575" t="n"/>
      <c r="I48" s="575" t="n"/>
      <c r="J48" s="575" t="n"/>
      <c r="K48" s="575" t="n"/>
      <c r="L48" s="1268" t="n"/>
      <c r="M48" s="575" t="n"/>
      <c r="N48" s="575" t="n"/>
      <c r="O48" s="575" t="n"/>
      <c r="P48" s="575" t="n"/>
      <c r="Q48" s="1268" t="n"/>
      <c r="R48" s="575" t="n"/>
      <c r="S48" s="575" t="n"/>
      <c r="T48" s="575" t="n"/>
      <c r="U48" s="575" t="n"/>
      <c r="V48" s="1268" t="n"/>
      <c r="W48" s="575" t="n"/>
      <c r="X48" s="575" t="n"/>
      <c r="Y48" s="575" t="n"/>
      <c r="Z48" s="575">
        <f>IFERROR(Z38/U38-1,"n/a")</f>
        <v/>
      </c>
      <c r="AA48" s="1268">
        <f>IFERROR(AA38/V38-1,"n/a")</f>
        <v/>
      </c>
      <c r="AB48" s="575">
        <f>IFERROR(AB38/W38-1,"n/a")</f>
        <v/>
      </c>
      <c r="AC48" s="575">
        <f>IFERROR(AC38/X38-1,"n/a")</f>
        <v/>
      </c>
      <c r="AD48" s="575">
        <f>IFERROR(AD38/Y38-1,"n/a")</f>
        <v/>
      </c>
      <c r="AE48" s="575">
        <f>IFERROR(AE38/Z38-1,"n/a")</f>
        <v/>
      </c>
      <c r="AF48" s="1268">
        <f>IFERROR(AF38/AA38-1,"n/a")</f>
        <v/>
      </c>
      <c r="AG48" s="575">
        <f>IFERROR(AG38/AB38-1,"n/a")</f>
        <v/>
      </c>
      <c r="AH48" s="575">
        <f>IFERROR(AH38/AC38-1,"n/a")</f>
        <v/>
      </c>
      <c r="AI48" s="575">
        <f>IFERROR(AI38/AD38-1,"n/a")</f>
        <v/>
      </c>
      <c r="AJ48" s="575">
        <f>IFERROR(AJ38/AE38-1,"n/a")</f>
        <v/>
      </c>
      <c r="AK48" s="1268">
        <f>IFERROR(AK38/AF38-1,"n/a")</f>
        <v/>
      </c>
      <c r="AL48" s="575">
        <f>IFERROR(AL38/AG38-1,"n/a")</f>
        <v/>
      </c>
      <c r="AM48" s="575">
        <f>IFERROR(AM38/AH38-1,"n/a")</f>
        <v/>
      </c>
      <c r="AN48" s="575">
        <f>IFERROR(AN38/AI38-1,"n/a")</f>
        <v/>
      </c>
      <c r="AO48" s="575">
        <f>IFERROR(AO38/AJ38-1,"n/a")</f>
        <v/>
      </c>
      <c r="AP48" s="1268">
        <f>IFERROR(AP38/AK38-1,"n/a")</f>
        <v/>
      </c>
      <c r="AQ48" s="575">
        <f>IFERROR(AQ38/AL38-1,"n/a")</f>
        <v/>
      </c>
      <c r="AR48" s="575">
        <f>IFERROR(AR38/AM38-1,"n/a")</f>
        <v/>
      </c>
      <c r="AS48" s="575">
        <f>IFERROR(AS38/AN38-1,"n/a")</f>
        <v/>
      </c>
      <c r="AT48" s="575">
        <f>IFERROR(AT38/AO38-1,"n/a")</f>
        <v/>
      </c>
      <c r="AU48" s="1268">
        <f>IFERROR(AU38/AP38-1,"n/a")</f>
        <v/>
      </c>
      <c r="AV48" s="575">
        <f>IFERROR(AV38/AQ38-1,"n/a")</f>
        <v/>
      </c>
      <c r="AW48" s="575">
        <f>IFERROR(AW38/AR38-1,"n/a")</f>
        <v/>
      </c>
      <c r="AX48" s="575">
        <f>IFERROR(AX38/AS38-1,"n/a")</f>
        <v/>
      </c>
      <c r="AY48" s="575">
        <f>IFERROR(AY38/AT38-1,"n/a")</f>
        <v/>
      </c>
      <c r="AZ48" s="1268">
        <f>IFERROR(AZ38/AU38-1,"n/a")</f>
        <v/>
      </c>
      <c r="BA48" s="575">
        <f>IFERROR(BA38/AV38-1,"n/a")</f>
        <v/>
      </c>
      <c r="BB48" s="575">
        <f>IFERROR(BB38/AW38-1,"n/a")</f>
        <v/>
      </c>
      <c r="BC48" s="575">
        <f>IFERROR(BC38/AX38-1,"n/a")</f>
        <v/>
      </c>
      <c r="BD48" s="575">
        <f>IFERROR(BD38/AY38-1,"n/a")</f>
        <v/>
      </c>
      <c r="BE48" s="1268">
        <f>IFERROR(BE38/AZ38-1,"n/a")</f>
        <v/>
      </c>
      <c r="BF48" s="575">
        <f>IFERROR(BF38/BA38-1,"n/a")</f>
        <v/>
      </c>
      <c r="BG48" s="575">
        <f>IFERROR(BG38/BB38-1,"n/a")</f>
        <v/>
      </c>
      <c r="BH48" s="575">
        <f>IFERROR(BH38/BC38-1,"n/a")</f>
        <v/>
      </c>
      <c r="BI48" s="575">
        <f>IFERROR(BI38/BD38-1,"n/a")</f>
        <v/>
      </c>
      <c r="BJ48" s="1268">
        <f>IFERROR(BJ38/BE38-1,"n/a")</f>
        <v/>
      </c>
      <c r="BK48" s="575">
        <f>IFERROR(BK38/BF38-1,"n/a")</f>
        <v/>
      </c>
      <c r="BL48" s="575">
        <f>IFERROR(BL38/BG38-1,"n/a")</f>
        <v/>
      </c>
      <c r="BM48" s="575">
        <f>IFERROR(BM38/BH38-1,"n/a")</f>
        <v/>
      </c>
      <c r="BN48" s="575">
        <f>IFERROR(BN38/BI38-1,"n/a")</f>
        <v/>
      </c>
      <c r="BO48" s="1269">
        <f>IFERROR(BO38/BJ38-1,"n/a")</f>
        <v/>
      </c>
      <c r="BP48" s="575">
        <f>IFERROR(BP38/BK38-1,"n/a")</f>
        <v/>
      </c>
      <c r="BQ48" s="575">
        <f>IFERROR(BQ38/BL38-1,"n/a")</f>
        <v/>
      </c>
      <c r="BR48" s="575">
        <f>IFERROR(BR38/BM38-1,"n/a")</f>
        <v/>
      </c>
      <c r="BS48" s="575">
        <f>IFERROR(BS38/BN38-1,"n/a")</f>
        <v/>
      </c>
      <c r="BT48" s="1268">
        <f>IFERROR(BT38/BO38-1,"n/a")</f>
        <v/>
      </c>
      <c r="BU48" s="575">
        <f>IFERROR(BU38/BP38-1,"n/a")</f>
        <v/>
      </c>
      <c r="BV48" s="575">
        <f>IFERROR(BV38/BQ38-1,"n/a")</f>
        <v/>
      </c>
      <c r="BW48" s="575">
        <f>IFERROR(BW38/BR38-1,"n/a")</f>
        <v/>
      </c>
      <c r="BX48" s="575">
        <f>IFERROR(BX38/BS38-1,"n/a")</f>
        <v/>
      </c>
      <c r="BY48" s="1268">
        <f>IFERROR(BY38/BT38-1,"n/a")</f>
        <v/>
      </c>
      <c r="BZ48" s="1268">
        <f>IFERROR(BZ38/BY38-1,"n/a")</f>
        <v/>
      </c>
      <c r="CA48" s="1268">
        <f>IFERROR(CA38/BZ38-1,"n/a")</f>
        <v/>
      </c>
      <c r="CB48" s="1268">
        <f>IFERROR(CB38/CA38-1,"n/a")</f>
        <v/>
      </c>
      <c r="CC48" s="715" t="n"/>
    </row>
    <row r="49" ht="15" customFormat="1" customHeight="1" s="604">
      <c r="A49" s="498" t="inlineStr">
        <is>
          <t>Y/Y Total net system sales growth, %</t>
        </is>
      </c>
      <c r="B49" s="499" t="n"/>
      <c r="C49" s="1272" t="n"/>
      <c r="D49" s="1272">
        <f>IFERROR(D39/C39-1,"n/a")</f>
        <v/>
      </c>
      <c r="E49" s="1272">
        <f>IFERROR(E39/D39-1,"n/a")</f>
        <v/>
      </c>
      <c r="F49" s="1272">
        <f>IFERROR(F39/E39-1,"n/a")</f>
        <v/>
      </c>
      <c r="G49" s="1272">
        <f>IFERROR(G39/F39-1,"n/a")</f>
        <v/>
      </c>
      <c r="H49" s="678" t="n"/>
      <c r="I49" s="678" t="n"/>
      <c r="J49" s="678" t="n"/>
      <c r="K49" s="678" t="n"/>
      <c r="L49" s="1272">
        <f>IFERROR(L39/G39-1,"n/a")</f>
        <v/>
      </c>
      <c r="M49" s="678">
        <f>IFERROR(M39/H39-1,"n/a")</f>
        <v/>
      </c>
      <c r="N49" s="678">
        <f>IFERROR(N39/I39-1,"n/a")</f>
        <v/>
      </c>
      <c r="O49" s="678">
        <f>IFERROR(O39/J39-1,"n/a")</f>
        <v/>
      </c>
      <c r="P49" s="678">
        <f>IFERROR(P39/K39-1,"n/a")</f>
        <v/>
      </c>
      <c r="Q49" s="1272">
        <f>IFERROR(Q39/L39-1,"n/a")</f>
        <v/>
      </c>
      <c r="R49" s="678">
        <f>IFERROR(R39/M39-1,"n/a")</f>
        <v/>
      </c>
      <c r="S49" s="678">
        <f>IFERROR(S39/N39-1,"n/a")</f>
        <v/>
      </c>
      <c r="T49" s="678">
        <f>IFERROR(T39/O39-1,"n/a")</f>
        <v/>
      </c>
      <c r="U49" s="678">
        <f>IFERROR(U39/P39-1,"n/a")</f>
        <v/>
      </c>
      <c r="V49" s="1272">
        <f>IFERROR(V39/Q39-1,"n/a")</f>
        <v/>
      </c>
      <c r="W49" s="678">
        <f>IFERROR(W39/R39-1,"n/a")</f>
        <v/>
      </c>
      <c r="X49" s="678">
        <f>IFERROR(X39/S39-1,"n/a")</f>
        <v/>
      </c>
      <c r="Y49" s="678">
        <f>IFERROR(Y39/T39-1,"n/a")</f>
        <v/>
      </c>
      <c r="Z49" s="678">
        <f>IFERROR(Z39/U39-1,"n/a")</f>
        <v/>
      </c>
      <c r="AA49" s="1272">
        <f>IFERROR(AA39/V39-1,"n/a")</f>
        <v/>
      </c>
      <c r="AB49" s="678">
        <f>IFERROR(AB39/W39-1,"n/a")</f>
        <v/>
      </c>
      <c r="AC49" s="678">
        <f>IFERROR(AC39/X39-1,"n/a")</f>
        <v/>
      </c>
      <c r="AD49" s="678">
        <f>IFERROR(AD39/Y39-1,"n/a")</f>
        <v/>
      </c>
      <c r="AE49" s="678">
        <f>IFERROR(AE39/Z39-1,"n/a")</f>
        <v/>
      </c>
      <c r="AF49" s="1272">
        <f>IFERROR(AF39/AA39-1,"n/a")</f>
        <v/>
      </c>
      <c r="AG49" s="678">
        <f>IFERROR(AG39/AB39-1,"n/a")</f>
        <v/>
      </c>
      <c r="AH49" s="678">
        <f>IFERROR(AH39/AC39-1,"n/a")</f>
        <v/>
      </c>
      <c r="AI49" s="678">
        <f>IFERROR(AI39/AD39-1,"n/a")</f>
        <v/>
      </c>
      <c r="AJ49" s="678">
        <f>IFERROR(AJ39/AE39-1,"n/a")</f>
        <v/>
      </c>
      <c r="AK49" s="1272">
        <f>IFERROR(AK39/AF39-1,"n/a")</f>
        <v/>
      </c>
      <c r="AL49" s="678">
        <f>IFERROR(AL39/AG39-1,"n/a")</f>
        <v/>
      </c>
      <c r="AM49" s="678">
        <f>IFERROR(AM39/AH39-1,"n/a")</f>
        <v/>
      </c>
      <c r="AN49" s="678">
        <f>IFERROR(AN39/AI39-1,"n/a")</f>
        <v/>
      </c>
      <c r="AO49" s="678">
        <f>IFERROR(AO39/AJ39-1,"n/a")</f>
        <v/>
      </c>
      <c r="AP49" s="1272">
        <f>IFERROR(AP39/AK39-1,"n/a")</f>
        <v/>
      </c>
      <c r="AQ49" s="678">
        <f>IFERROR(AQ39/AL39-1,"n/a")</f>
        <v/>
      </c>
      <c r="AR49" s="678">
        <f>IFERROR(AR39/AM39-1,"n/a")</f>
        <v/>
      </c>
      <c r="AS49" s="678">
        <f>IFERROR(AS39/AN39-1,"n/a")</f>
        <v/>
      </c>
      <c r="AT49" s="678">
        <f>IFERROR(AT39/AO39-1,"n/a")</f>
        <v/>
      </c>
      <c r="AU49" s="1272">
        <f>IFERROR(AU39/AP39-1,"n/a")</f>
        <v/>
      </c>
      <c r="AV49" s="678">
        <f>IFERROR(AV39/AQ39-1,"n/a")</f>
        <v/>
      </c>
      <c r="AW49" s="678">
        <f>IFERROR(AW39/AR39-1,"n/a")</f>
        <v/>
      </c>
      <c r="AX49" s="678">
        <f>IFERROR(AX39/AS39-1,"n/a")</f>
        <v/>
      </c>
      <c r="AY49" s="678">
        <f>IFERROR(AY39/AT39-1,"n/a")</f>
        <v/>
      </c>
      <c r="AZ49" s="1272">
        <f>IFERROR(AZ39/AU39-1,"n/a")</f>
        <v/>
      </c>
      <c r="BA49" s="678">
        <f>IFERROR(BA39/AV39-1,"n/a")</f>
        <v/>
      </c>
      <c r="BB49" s="678">
        <f>IFERROR(BB39/AW39-1,"n/a")</f>
        <v/>
      </c>
      <c r="BC49" s="678">
        <f>IFERROR(BC39/AX39-1,"n/a")</f>
        <v/>
      </c>
      <c r="BD49" s="678">
        <f>IFERROR(BD39/AY39-1,"n/a")</f>
        <v/>
      </c>
      <c r="BE49" s="1272">
        <f>IFERROR(BE39/AZ39-1,"n/a")</f>
        <v/>
      </c>
      <c r="BF49" s="678">
        <f>IFERROR(BF39/BA39-1,"n/a")</f>
        <v/>
      </c>
      <c r="BG49" s="678">
        <f>IFERROR(BG39/BB39-1,"n/a")</f>
        <v/>
      </c>
      <c r="BH49" s="678">
        <f>IFERROR(BH39/BC39-1,"n/a")</f>
        <v/>
      </c>
      <c r="BI49" s="678">
        <f>IFERROR(BI39/BD39-1,"n/a")</f>
        <v/>
      </c>
      <c r="BJ49" s="1272">
        <f>IFERROR(BJ39/BE39-1,"n/a")</f>
        <v/>
      </c>
      <c r="BK49" s="678">
        <f>IFERROR(BK39/BF39-1,"n/a")</f>
        <v/>
      </c>
      <c r="BL49" s="678">
        <f>IFERROR(BL39/BG39-1,"n/a")</f>
        <v/>
      </c>
      <c r="BM49" s="678">
        <f>IFERROR(BM39/BH39-1,"n/a")</f>
        <v/>
      </c>
      <c r="BN49" s="678">
        <f>IFERROR(BN39/BI39-1,"n/a")</f>
        <v/>
      </c>
      <c r="BO49" s="1271">
        <f>IFERROR(BO39/BJ39-1,"n/a")</f>
        <v/>
      </c>
      <c r="BP49" s="678">
        <f>IFERROR(BP39/BK39-1,"n/a")</f>
        <v/>
      </c>
      <c r="BQ49" s="678">
        <f>IFERROR(BQ39/BL39-1,"n/a")</f>
        <v/>
      </c>
      <c r="BR49" s="678">
        <f>IFERROR(BR39/BM39-1,"n/a")</f>
        <v/>
      </c>
      <c r="BS49" s="678">
        <f>IFERROR(BS39/BN39-1,"n/a")</f>
        <v/>
      </c>
      <c r="BT49" s="1272">
        <f>IFERROR(BT39/BO39-1,"n/a")</f>
        <v/>
      </c>
      <c r="BU49" s="678">
        <f>IFERROR(BU39/BP39-1,"n/a")</f>
        <v/>
      </c>
      <c r="BV49" s="678">
        <f>IFERROR(BV39/BQ39-1,"n/a")</f>
        <v/>
      </c>
      <c r="BW49" s="678">
        <f>IFERROR(BW39/BR39-1,"n/a")</f>
        <v/>
      </c>
      <c r="BX49" s="678">
        <f>IFERROR(BX39/BS39-1,"n/a")</f>
        <v/>
      </c>
      <c r="BY49" s="1272">
        <f>IFERROR(BY39/BT39-1,"n/a")</f>
        <v/>
      </c>
      <c r="BZ49" s="1272">
        <f>IFERROR(BZ39/BY39-1,"n/a")</f>
        <v/>
      </c>
      <c r="CA49" s="1272">
        <f>IFERROR(CA39/BZ39-1,"n/a")</f>
        <v/>
      </c>
      <c r="CB49" s="1272">
        <f>IFERROR(CB39/CA39-1,"n/a")</f>
        <v/>
      </c>
      <c r="CC49" s="754" t="n"/>
    </row>
    <row r="50" ht="15" customFormat="1" customHeight="1" s="602">
      <c r="A50" s="500" t="inlineStr">
        <is>
          <t>Y/Y Net service and field option sales growth, %</t>
        </is>
      </c>
      <c r="B50" s="395" t="n"/>
      <c r="C50" s="1268" t="n"/>
      <c r="D50" s="1268">
        <f>IFERROR(D40/C40-1,"n/a")</f>
        <v/>
      </c>
      <c r="E50" s="1268">
        <f>IFERROR(E40/D40-1,"n/a")</f>
        <v/>
      </c>
      <c r="F50" s="1268">
        <f>IFERROR(F40/E40-1,"n/a")</f>
        <v/>
      </c>
      <c r="G50" s="1268">
        <f>IFERROR(G40/F40-1,"n/a")</f>
        <v/>
      </c>
      <c r="H50" s="575" t="n"/>
      <c r="I50" s="575" t="n"/>
      <c r="J50" s="575" t="n"/>
      <c r="K50" s="575" t="n"/>
      <c r="L50" s="1268">
        <f>IFERROR(L40/G40-1,"n/a")</f>
        <v/>
      </c>
      <c r="M50" s="575">
        <f>IFERROR(M40/H40-1,"n/a")</f>
        <v/>
      </c>
      <c r="N50" s="575">
        <f>IFERROR(N40/I40-1,"n/a")</f>
        <v/>
      </c>
      <c r="O50" s="575">
        <f>IFERROR(O40/J40-1,"n/a")</f>
        <v/>
      </c>
      <c r="P50" s="575">
        <f>IFERROR(P40/K40-1,"n/a")</f>
        <v/>
      </c>
      <c r="Q50" s="1268">
        <f>IFERROR(Q40/L40-1,"n/a")</f>
        <v/>
      </c>
      <c r="R50" s="575">
        <f>IFERROR(R40/M40-1,"n/a")</f>
        <v/>
      </c>
      <c r="S50" s="575">
        <f>IFERROR(S40/N40-1,"n/a")</f>
        <v/>
      </c>
      <c r="T50" s="575">
        <f>IFERROR(T40/O40-1,"n/a")</f>
        <v/>
      </c>
      <c r="U50" s="575">
        <f>IFERROR(U40/P40-1,"n/a")</f>
        <v/>
      </c>
      <c r="V50" s="1268">
        <f>IFERROR(V40/Q40-1,"n/a")</f>
        <v/>
      </c>
      <c r="W50" s="575">
        <f>IFERROR(W40/R40-1,"n/a")</f>
        <v/>
      </c>
      <c r="X50" s="575">
        <f>IFERROR(X40/S40-1,"n/a")</f>
        <v/>
      </c>
      <c r="Y50" s="575">
        <f>IFERROR(Y40/T40-1,"n/a")</f>
        <v/>
      </c>
      <c r="Z50" s="575">
        <f>IFERROR(Z40/U40-1,"n/a")</f>
        <v/>
      </c>
      <c r="AA50" s="1268">
        <f>IFERROR(AA40/V40-1,"n/a")</f>
        <v/>
      </c>
      <c r="AB50" s="575">
        <f>IFERROR(AB40/W40-1,"n/a")</f>
        <v/>
      </c>
      <c r="AC50" s="575">
        <f>IFERROR(AC40/X40-1,"n/a")</f>
        <v/>
      </c>
      <c r="AD50" s="575">
        <f>IFERROR(AD40/Y40-1,"n/a")</f>
        <v/>
      </c>
      <c r="AE50" s="575">
        <f>IFERROR(AE40/Z40-1,"n/a")</f>
        <v/>
      </c>
      <c r="AF50" s="1268">
        <f>IFERROR(AF40/AA40-1,"n/a")</f>
        <v/>
      </c>
      <c r="AG50" s="575">
        <f>IFERROR(AG40/AB40-1,"n/a")</f>
        <v/>
      </c>
      <c r="AH50" s="575">
        <f>IFERROR(AH40/AC40-1,"n/a")</f>
        <v/>
      </c>
      <c r="AI50" s="575">
        <f>IFERROR(AI40/AD40-1,"n/a")</f>
        <v/>
      </c>
      <c r="AJ50" s="575">
        <f>IFERROR(AJ40/AE40-1,"n/a")</f>
        <v/>
      </c>
      <c r="AK50" s="1268">
        <f>IFERROR(AK40/AF40-1,"n/a")</f>
        <v/>
      </c>
      <c r="AL50" s="575">
        <f>IFERROR(AL40/AG40-1,"n/a")</f>
        <v/>
      </c>
      <c r="AM50" s="575">
        <f>IFERROR(AM40/AH40-1,"n/a")</f>
        <v/>
      </c>
      <c r="AN50" s="575">
        <f>IFERROR(AN40/AI40-1,"n/a")</f>
        <v/>
      </c>
      <c r="AO50" s="575">
        <f>IFERROR(AO40/AJ40-1,"n/a")</f>
        <v/>
      </c>
      <c r="AP50" s="1268">
        <f>IFERROR(AP40/AK40-1,"n/a")</f>
        <v/>
      </c>
      <c r="AQ50" s="575">
        <f>IFERROR(AQ40/AL40-1,"n/a")</f>
        <v/>
      </c>
      <c r="AR50" s="575">
        <f>IFERROR(AR40/AM40-1,"n/a")</f>
        <v/>
      </c>
      <c r="AS50" s="575">
        <f>IFERROR(AS40/AN40-1,"n/a")</f>
        <v/>
      </c>
      <c r="AT50" s="575">
        <f>IFERROR(AT40/AO40-1,"n/a")</f>
        <v/>
      </c>
      <c r="AU50" s="1268">
        <f>IFERROR(AU40/AP40-1,"n/a")</f>
        <v/>
      </c>
      <c r="AV50" s="575">
        <f>IFERROR(AV40/AQ40-1,"n/a")</f>
        <v/>
      </c>
      <c r="AW50" s="575">
        <f>IFERROR(AW40/AR40-1,"n/a")</f>
        <v/>
      </c>
      <c r="AX50" s="575">
        <f>IFERROR(AX40/AS40-1,"n/a")</f>
        <v/>
      </c>
      <c r="AY50" s="575">
        <f>IFERROR(AY40/AT40-1,"n/a")</f>
        <v/>
      </c>
      <c r="AZ50" s="1268">
        <f>IFERROR(AZ40/AU40-1,"n/a")</f>
        <v/>
      </c>
      <c r="BA50" s="575">
        <f>IFERROR(BA40/AV40-1,"n/a")</f>
        <v/>
      </c>
      <c r="BB50" s="575">
        <f>IFERROR(BB40/AW40-1,"n/a")</f>
        <v/>
      </c>
      <c r="BC50" s="575">
        <f>IFERROR(BC40/AX40-1,"n/a")</f>
        <v/>
      </c>
      <c r="BD50" s="575">
        <f>IFERROR(BD40/AY40-1,"n/a")</f>
        <v/>
      </c>
      <c r="BE50" s="1268">
        <f>IFERROR(BE40/AZ40-1,"n/a")</f>
        <v/>
      </c>
      <c r="BF50" s="575">
        <f>IFERROR(BF40/BA40-1,"n/a")</f>
        <v/>
      </c>
      <c r="BG50" s="575">
        <f>IFERROR(BG40/BB40-1,"n/a")</f>
        <v/>
      </c>
      <c r="BH50" s="575">
        <f>IFERROR(BH40/BC40-1,"n/a")</f>
        <v/>
      </c>
      <c r="BI50" s="575">
        <f>IFERROR(BI40/BD40-1,"n/a")</f>
        <v/>
      </c>
      <c r="BJ50" s="1268">
        <f>IFERROR(BJ40/BE40-1,"n/a")</f>
        <v/>
      </c>
      <c r="BK50" s="575">
        <f>IFERROR(BK40/BF40-1,"n/a")</f>
        <v/>
      </c>
      <c r="BL50" s="575">
        <f>IFERROR(BL40/BG40-1,"n/a")</f>
        <v/>
      </c>
      <c r="BM50" s="575">
        <f>IFERROR(BM40/BH40-1,"n/a")</f>
        <v/>
      </c>
      <c r="BN50" s="575">
        <f>IFERROR(BN40/BI40-1,"n/a")</f>
        <v/>
      </c>
      <c r="BO50" s="1269">
        <f>IFERROR(BO40/BJ40-1,"n/a")</f>
        <v/>
      </c>
      <c r="BP50" s="1125" t="n">
        <v>0.2</v>
      </c>
      <c r="BQ50" s="1125" t="n">
        <v>0.05</v>
      </c>
      <c r="BR50" s="1125" t="n">
        <v>0.05</v>
      </c>
      <c r="BS50" s="1125" t="n">
        <v>0.05</v>
      </c>
      <c r="BT50" s="1268">
        <f>IFERROR(BT40/BO40-1,"n/a")</f>
        <v/>
      </c>
      <c r="BU50" s="1125" t="n">
        <v>0.01</v>
      </c>
      <c r="BV50" s="1125" t="n">
        <v>0.01</v>
      </c>
      <c r="BW50" s="1125" t="n">
        <v>0.01</v>
      </c>
      <c r="BX50" s="1125" t="n">
        <v>0.01</v>
      </c>
      <c r="BY50" s="1268">
        <f>IFERROR(BY40/BT40-1,"n/a")</f>
        <v/>
      </c>
      <c r="BZ50" s="1273" t="n">
        <v>0.02</v>
      </c>
      <c r="CA50" s="1273" t="n">
        <v>0.02</v>
      </c>
      <c r="CB50" s="1273" t="n">
        <v>0.02</v>
      </c>
      <c r="CC50" s="715" t="n"/>
    </row>
    <row r="51" ht="15" customFormat="1" customHeight="1" s="604">
      <c r="A51" s="498" t="inlineStr">
        <is>
          <t>Y/Y Total revenue growth, %</t>
        </is>
      </c>
      <c r="B51" s="499" t="n"/>
      <c r="C51" s="1272" t="n"/>
      <c r="D51" s="1272">
        <f>D41/C41-1</f>
        <v/>
      </c>
      <c r="E51" s="1272">
        <f>E41/D41-1</f>
        <v/>
      </c>
      <c r="F51" s="1272">
        <f>F41/E41-1</f>
        <v/>
      </c>
      <c r="G51" s="1272">
        <f>G41/F41-1</f>
        <v/>
      </c>
      <c r="H51" s="678" t="n"/>
      <c r="I51" s="678" t="n"/>
      <c r="J51" s="678" t="n"/>
      <c r="K51" s="678" t="n"/>
      <c r="L51" s="1272">
        <f>L41/G41-1</f>
        <v/>
      </c>
      <c r="M51" s="678">
        <f>M41/H41-1</f>
        <v/>
      </c>
      <c r="N51" s="678">
        <f>N41/I41-1</f>
        <v/>
      </c>
      <c r="O51" s="678">
        <f>O41/J41-1</f>
        <v/>
      </c>
      <c r="P51" s="678">
        <f>P41/K41-1</f>
        <v/>
      </c>
      <c r="Q51" s="1272">
        <f>Q41/L41-1</f>
        <v/>
      </c>
      <c r="R51" s="678">
        <f>R41/M41-1</f>
        <v/>
      </c>
      <c r="S51" s="678">
        <f>S41/N41-1</f>
        <v/>
      </c>
      <c r="T51" s="678">
        <f>T41/O41-1</f>
        <v/>
      </c>
      <c r="U51" s="678">
        <f>U41/P41-1</f>
        <v/>
      </c>
      <c r="V51" s="1272">
        <f>V41/Q41-1</f>
        <v/>
      </c>
      <c r="W51" s="678">
        <f>W41/R41-1</f>
        <v/>
      </c>
      <c r="X51" s="678">
        <f>X41/S41-1</f>
        <v/>
      </c>
      <c r="Y51" s="678">
        <f>Y41/T41-1</f>
        <v/>
      </c>
      <c r="Z51" s="678">
        <f>Z41/U41-1</f>
        <v/>
      </c>
      <c r="AA51" s="1272">
        <f>AA41/V41-1</f>
        <v/>
      </c>
      <c r="AB51" s="678">
        <f>AB41/W41-1</f>
        <v/>
      </c>
      <c r="AC51" s="678">
        <f>AC41/X41-1</f>
        <v/>
      </c>
      <c r="AD51" s="678">
        <f>AD41/Y41-1</f>
        <v/>
      </c>
      <c r="AE51" s="678">
        <f>AE41/Z41-1</f>
        <v/>
      </c>
      <c r="AF51" s="1272">
        <f>AF41/AA41-1</f>
        <v/>
      </c>
      <c r="AG51" s="678">
        <f>AG41/AB41-1</f>
        <v/>
      </c>
      <c r="AH51" s="678">
        <f>AH41/AC41-1</f>
        <v/>
      </c>
      <c r="AI51" s="678">
        <f>AI41/AD41-1</f>
        <v/>
      </c>
      <c r="AJ51" s="678">
        <f>AJ41/AE41-1</f>
        <v/>
      </c>
      <c r="AK51" s="1272">
        <f>AK41/AF41-1</f>
        <v/>
      </c>
      <c r="AL51" s="678">
        <f>AL41/AG41-1</f>
        <v/>
      </c>
      <c r="AM51" s="678">
        <f>AM41/AH41-1</f>
        <v/>
      </c>
      <c r="AN51" s="678">
        <f>AN41/AI41-1</f>
        <v/>
      </c>
      <c r="AO51" s="678">
        <f>AO41/AJ41-1</f>
        <v/>
      </c>
      <c r="AP51" s="1272">
        <f>AP41/AK41-1</f>
        <v/>
      </c>
      <c r="AQ51" s="678">
        <f>AQ41/AL41-1</f>
        <v/>
      </c>
      <c r="AR51" s="678">
        <f>AR41/AM41-1</f>
        <v/>
      </c>
      <c r="AS51" s="678">
        <f>AS41/AN41-1</f>
        <v/>
      </c>
      <c r="AT51" s="678">
        <f>AT41/AO41-1</f>
        <v/>
      </c>
      <c r="AU51" s="1272">
        <f>AU41/AP41-1</f>
        <v/>
      </c>
      <c r="AV51" s="678">
        <f>AV41/AQ41-1</f>
        <v/>
      </c>
      <c r="AW51" s="678">
        <f>AW41/AR41-1</f>
        <v/>
      </c>
      <c r="AX51" s="678">
        <f>AX41/AS41-1</f>
        <v/>
      </c>
      <c r="AY51" s="678">
        <f>AY41/AT41-1</f>
        <v/>
      </c>
      <c r="AZ51" s="1272">
        <f>AZ41/AU41-1</f>
        <v/>
      </c>
      <c r="BA51" s="678">
        <f>BA41/AV41-1</f>
        <v/>
      </c>
      <c r="BB51" s="678">
        <f>BB41/AW41-1</f>
        <v/>
      </c>
      <c r="BC51" s="678">
        <f>BC41/AX41-1</f>
        <v/>
      </c>
      <c r="BD51" s="678">
        <f>BD41/AY41-1</f>
        <v/>
      </c>
      <c r="BE51" s="1272">
        <f>BE41/AZ41-1</f>
        <v/>
      </c>
      <c r="BF51" s="678">
        <f>BF41/BA41-1</f>
        <v/>
      </c>
      <c r="BG51" s="678">
        <f>BG41/BB41-1</f>
        <v/>
      </c>
      <c r="BH51" s="678">
        <f>BH41/BC41-1</f>
        <v/>
      </c>
      <c r="BI51" s="678">
        <f>BI41/BD41-1</f>
        <v/>
      </c>
      <c r="BJ51" s="1272">
        <f>BJ41/BE41-1</f>
        <v/>
      </c>
      <c r="BK51" s="678">
        <f>BK41/BF41-1</f>
        <v/>
      </c>
      <c r="BL51" s="678">
        <f>BL41/BG41-1</f>
        <v/>
      </c>
      <c r="BM51" s="678">
        <f>BM41/BH41-1</f>
        <v/>
      </c>
      <c r="BN51" s="678">
        <f>BN41/BI41-1</f>
        <v/>
      </c>
      <c r="BO51" s="1271">
        <f>BO41/BJ41-1</f>
        <v/>
      </c>
      <c r="BP51" s="678">
        <f>BP41/BK41-1</f>
        <v/>
      </c>
      <c r="BQ51" s="678">
        <f>BQ41/BL41-1</f>
        <v/>
      </c>
      <c r="BR51" s="678">
        <f>BR41/BM41-1</f>
        <v/>
      </c>
      <c r="BS51" s="678">
        <f>BS41/BN41-1</f>
        <v/>
      </c>
      <c r="BT51" s="1272">
        <f>BT41/BO41-1</f>
        <v/>
      </c>
      <c r="BU51" s="678">
        <f>BU41/BP41-1</f>
        <v/>
      </c>
      <c r="BV51" s="678">
        <f>BV41/BQ41-1</f>
        <v/>
      </c>
      <c r="BW51" s="678">
        <f>BW41/BR41-1</f>
        <v/>
      </c>
      <c r="BX51" s="678">
        <f>BX41/BS41-1</f>
        <v/>
      </c>
      <c r="BY51" s="1272">
        <f>BY41/BT41-1</f>
        <v/>
      </c>
      <c r="BZ51" s="1272">
        <f>BZ41/BY41-1</f>
        <v/>
      </c>
      <c r="CA51" s="1272">
        <f>CA41/BZ41-1</f>
        <v/>
      </c>
      <c r="CB51" s="1272">
        <f>CB41/CA41-1</f>
        <v/>
      </c>
      <c r="CC51" s="754" t="n"/>
    </row>
    <row r="52" hidden="1" outlineLevel="1" ht="15" customFormat="1" customHeight="1" s="602">
      <c r="A52" s="94" t="n"/>
      <c r="B52" s="394" t="n"/>
      <c r="C52" s="1267" t="n"/>
      <c r="D52" s="1267" t="n"/>
      <c r="E52" s="1267" t="n"/>
      <c r="F52" s="1267" t="n"/>
      <c r="G52" s="1267" t="n"/>
      <c r="H52" s="676" t="n"/>
      <c r="I52" s="676" t="n"/>
      <c r="J52" s="676" t="n"/>
      <c r="K52" s="676" t="n"/>
      <c r="L52" s="1267" t="n"/>
      <c r="M52" s="676" t="n"/>
      <c r="N52" s="676" t="n"/>
      <c r="O52" s="676" t="n"/>
      <c r="P52" s="676" t="n"/>
      <c r="Q52" s="1267" t="n"/>
      <c r="R52" s="676" t="n"/>
      <c r="S52" s="676" t="n"/>
      <c r="T52" s="676" t="n"/>
      <c r="U52" s="676" t="n"/>
      <c r="V52" s="1267" t="n"/>
      <c r="W52" s="676" t="n"/>
      <c r="X52" s="676" t="n"/>
      <c r="Y52" s="676" t="n"/>
      <c r="Z52" s="676" t="n"/>
      <c r="AA52" s="1267" t="n"/>
      <c r="AB52" s="676" t="n"/>
      <c r="AC52" s="676" t="n"/>
      <c r="AD52" s="676" t="n"/>
      <c r="AE52" s="676" t="n"/>
      <c r="AF52" s="1267" t="n"/>
      <c r="AG52" s="676" t="n"/>
      <c r="AH52" s="676" t="n"/>
      <c r="AI52" s="676" t="n"/>
      <c r="AJ52" s="676" t="n"/>
      <c r="AK52" s="1267" t="n"/>
      <c r="AL52" s="676" t="n"/>
      <c r="AM52" s="676" t="n"/>
      <c r="AN52" s="676" t="n"/>
      <c r="AO52" s="676" t="n"/>
      <c r="AP52" s="1267" t="n"/>
      <c r="AQ52" s="676" t="n"/>
      <c r="AR52" s="676" t="n"/>
      <c r="AS52" s="676" t="n"/>
      <c r="AT52" s="676" t="n"/>
      <c r="AU52" s="1267" t="n"/>
      <c r="AV52" s="676" t="n"/>
      <c r="AW52" s="676" t="n"/>
      <c r="AX52" s="676" t="n"/>
      <c r="AY52" s="676" t="n"/>
      <c r="AZ52" s="1267" t="n"/>
      <c r="BA52" s="676" t="n"/>
      <c r="BB52" s="676" t="n"/>
      <c r="BC52" s="676" t="n"/>
      <c r="BD52" s="676" t="n"/>
      <c r="BE52" s="1267" t="n"/>
      <c r="BF52" s="676" t="n"/>
      <c r="BG52" s="676" t="n"/>
      <c r="BH52" s="676" t="n"/>
      <c r="BI52" s="676" t="n"/>
      <c r="BJ52" s="1267" t="n"/>
      <c r="BK52" s="676" t="n"/>
      <c r="BL52" s="676" t="n"/>
      <c r="BM52" s="676" t="n"/>
      <c r="BN52" s="676" t="n"/>
      <c r="BO52" s="1266" t="n"/>
      <c r="BP52" s="676" t="n"/>
      <c r="BQ52" s="676" t="n"/>
      <c r="BR52" s="676" t="n"/>
      <c r="BS52" s="676" t="n"/>
      <c r="BT52" s="1267" t="n"/>
      <c r="BU52" s="676" t="n"/>
      <c r="BV52" s="676" t="n"/>
      <c r="BW52" s="676" t="n"/>
      <c r="BX52" s="676" t="n"/>
      <c r="BY52" s="1267" t="n"/>
      <c r="BZ52" s="1267" t="n"/>
      <c r="CA52" s="1267" t="n"/>
      <c r="CB52" s="1267" t="n"/>
      <c r="CC52" s="715" t="n"/>
    </row>
    <row r="53" hidden="1" outlineLevel="1" ht="15" customFormat="1" customHeight="1" s="1644">
      <c r="A53" s="1645" t="inlineStr">
        <is>
          <t>EUV sales as % of total net system sales, %</t>
        </is>
      </c>
      <c r="B53" s="1646" t="n"/>
      <c r="C53" s="1647" t="n"/>
      <c r="D53" s="1647" t="n"/>
      <c r="E53" s="1648">
        <f>E33/E$39</f>
        <v/>
      </c>
      <c r="F53" s="1648">
        <f>F33/F$39</f>
        <v/>
      </c>
      <c r="G53" s="1648">
        <f>G33/G$39</f>
        <v/>
      </c>
      <c r="H53" s="1649" t="n">
        <v>0.06</v>
      </c>
      <c r="I53" s="1649" t="n">
        <v>0.05</v>
      </c>
      <c r="J53" s="1649" t="n">
        <v>0.14</v>
      </c>
      <c r="K53" s="1649" t="n">
        <v>0.06</v>
      </c>
      <c r="L53" s="1648">
        <f>L33/L$39</f>
        <v/>
      </c>
      <c r="M53" s="1649" t="n">
        <v>0</v>
      </c>
      <c r="N53" s="1649" t="n">
        <v>0.06</v>
      </c>
      <c r="O53" s="1649" t="n">
        <v>0</v>
      </c>
      <c r="P53" s="1649" t="n">
        <v>0</v>
      </c>
      <c r="Q53" s="1648">
        <f>Q33/Q$39</f>
        <v/>
      </c>
      <c r="R53" s="1649" t="n">
        <v>0</v>
      </c>
      <c r="S53" s="1649" t="n">
        <v>0.08</v>
      </c>
      <c r="T53" s="1649" t="n">
        <v>0.07000000000000001</v>
      </c>
      <c r="U53" s="1649" t="n">
        <v>0.11</v>
      </c>
      <c r="V53" s="1648">
        <f>V33/V$39</f>
        <v/>
      </c>
      <c r="W53" s="1649" t="n">
        <v>0</v>
      </c>
      <c r="X53" s="1649" t="n">
        <v>0.16</v>
      </c>
      <c r="Y53" s="1649" t="n">
        <v>0.21</v>
      </c>
      <c r="Z53" s="1649" t="n">
        <v>0.25</v>
      </c>
      <c r="AA53" s="1648">
        <f>AA33/AA$39</f>
        <v/>
      </c>
      <c r="AB53" s="1649" t="n">
        <v>0.07000000000000001</v>
      </c>
      <c r="AC53" s="1649" t="n">
        <v>0.32</v>
      </c>
      <c r="AD53" s="1649" t="n">
        <v>0.25</v>
      </c>
      <c r="AE53" s="1649" t="n">
        <v>0.24</v>
      </c>
      <c r="AF53" s="1648">
        <f>AF33/AF$39</f>
        <v/>
      </c>
      <c r="AG53" s="1649" t="n">
        <v>0.22</v>
      </c>
      <c r="AH53" s="1649" t="n">
        <v>0.41</v>
      </c>
      <c r="AI53" s="1649" t="n">
        <v>0.32</v>
      </c>
      <c r="AJ53" s="1649" t="n">
        <v>0.29</v>
      </c>
      <c r="AK53" s="1648">
        <f>AK33/AK39</f>
        <v/>
      </c>
      <c r="AL53" s="1649" t="n">
        <v>0.22</v>
      </c>
      <c r="AM53" s="1649" t="n">
        <v>0.39</v>
      </c>
      <c r="AN53" s="1649" t="n">
        <v>0.66</v>
      </c>
      <c r="AO53" s="1649" t="n">
        <v>0.36</v>
      </c>
      <c r="AP53" s="1648">
        <f>AP33/AP39</f>
        <v/>
      </c>
      <c r="AQ53" s="1649" t="n">
        <v>0.36</v>
      </c>
      <c r="AR53" s="1649" t="n">
        <v>0.45</v>
      </c>
      <c r="AS53" s="1649" t="n">
        <v>0.54</v>
      </c>
      <c r="AT53" s="1649" t="n">
        <v>0.46</v>
      </c>
      <c r="AU53" s="1648">
        <f>AU33/AU39</f>
        <v/>
      </c>
      <c r="AV53" s="1649" t="n">
        <v>0.26</v>
      </c>
      <c r="AW53" s="1649" t="n">
        <v>0.48</v>
      </c>
      <c r="AX53" s="1649" t="n">
        <v>0.51</v>
      </c>
      <c r="AY53" s="1649" t="n">
        <v>0.49</v>
      </c>
      <c r="AZ53" s="1648">
        <f>AZ33/AZ39</f>
        <v/>
      </c>
      <c r="BA53" s="1649" t="n">
        <v>0.54</v>
      </c>
      <c r="BB53" s="1649" t="n">
        <v>0.37</v>
      </c>
      <c r="BC53" s="1649" t="n">
        <v>0.35</v>
      </c>
      <c r="BD53" s="1649" t="n">
        <v>0.4</v>
      </c>
      <c r="BE53" s="1648">
        <f>BE33/BE39</f>
        <v/>
      </c>
      <c r="BF53" s="1649" t="n">
        <v>0.46</v>
      </c>
      <c r="BG53" s="1649" t="n">
        <v>0.31</v>
      </c>
      <c r="BH53" s="1649" t="n">
        <v>0.35</v>
      </c>
      <c r="BI53" s="1649" t="n">
        <v>0.42</v>
      </c>
      <c r="BJ53" s="1648">
        <f>BJ33/BJ39</f>
        <v/>
      </c>
      <c r="BK53" s="1649" t="n">
        <v>0.5600000000000001</v>
      </c>
      <c r="BL53" s="1649" t="n">
        <v>0.48</v>
      </c>
      <c r="BM53" s="1649" t="n">
        <v>0.38</v>
      </c>
      <c r="BN53" s="1649" t="n">
        <v>0.48</v>
      </c>
      <c r="BO53" s="1650">
        <f>BO33/BO39</f>
        <v/>
      </c>
      <c r="BP53" s="1651">
        <f>+BP33/BP$39</f>
        <v/>
      </c>
      <c r="BQ53" s="1651">
        <f>+BQ33/BQ$39</f>
        <v/>
      </c>
      <c r="BR53" s="1651">
        <f>+BR33/BR$39</f>
        <v/>
      </c>
      <c r="BS53" s="1651">
        <f>+BS33/BS$39</f>
        <v/>
      </c>
      <c r="BT53" s="1647">
        <f>+BT33/BT$39</f>
        <v/>
      </c>
      <c r="BU53" s="1651">
        <f>+BU33/BU$39</f>
        <v/>
      </c>
      <c r="BV53" s="1651">
        <f>+BV33/BV$39</f>
        <v/>
      </c>
      <c r="BW53" s="1651">
        <f>+BW33/BW$39</f>
        <v/>
      </c>
      <c r="BX53" s="1651">
        <f>+BX33/BX$39</f>
        <v/>
      </c>
      <c r="BY53" s="1647">
        <f>+BY33/BY$39</f>
        <v/>
      </c>
      <c r="BZ53" s="1647">
        <f>+BZ33/BZ39</f>
        <v/>
      </c>
      <c r="CA53" s="1647">
        <f>+CA33/CA39</f>
        <v/>
      </c>
      <c r="CB53" s="1647">
        <f>+CB33/CB39</f>
        <v/>
      </c>
      <c r="CC53" s="1652" t="n"/>
    </row>
    <row r="54" hidden="1" outlineLevel="1" ht="15" customFormat="1" customHeight="1" s="1644">
      <c r="A54" s="1645" t="inlineStr">
        <is>
          <t>ArFi sales as % of total net system sales, %</t>
        </is>
      </c>
      <c r="B54" s="1646" t="n"/>
      <c r="C54" s="1647" t="n"/>
      <c r="D54" s="1647" t="n"/>
      <c r="E54" s="1648">
        <f>E34/E$39</f>
        <v/>
      </c>
      <c r="F54" s="1648">
        <f>F34/F$39</f>
        <v/>
      </c>
      <c r="G54" s="1648">
        <f>G34/G$39</f>
        <v/>
      </c>
      <c r="H54" s="1649" t="n">
        <v>0.76</v>
      </c>
      <c r="I54" s="1649" t="n">
        <v>0.91</v>
      </c>
      <c r="J54" s="1649" t="n">
        <v>0.72</v>
      </c>
      <c r="K54" s="1649" t="n">
        <v>0.83</v>
      </c>
      <c r="L54" s="1648">
        <f>L34/L$39</f>
        <v/>
      </c>
      <c r="M54" s="1649" t="n">
        <v>0.83</v>
      </c>
      <c r="N54" s="1649" t="n">
        <v>0.79</v>
      </c>
      <c r="O54" s="1649" t="n">
        <v>0.68</v>
      </c>
      <c r="P54" s="1649" t="n">
        <v>0.72</v>
      </c>
      <c r="Q54" s="1648">
        <f>Q34/Q$39</f>
        <v/>
      </c>
      <c r="R54" s="1649" t="n">
        <v>0.79</v>
      </c>
      <c r="S54" s="1649" t="n">
        <v>0.76</v>
      </c>
      <c r="T54" s="1649" t="n">
        <v>0.77</v>
      </c>
      <c r="U54" s="1649" t="n">
        <v>0.71</v>
      </c>
      <c r="V54" s="1648">
        <f>V34/V$39</f>
        <v/>
      </c>
      <c r="W54" s="1649" t="n">
        <v>0.74</v>
      </c>
      <c r="X54" s="1649" t="n">
        <v>0.64</v>
      </c>
      <c r="Y54" s="1649" t="n">
        <v>0.63</v>
      </c>
      <c r="Z54" s="1649" t="n">
        <v>0.5600000000000001</v>
      </c>
      <c r="AA54" s="1648">
        <f>AA34/AA$39</f>
        <v/>
      </c>
      <c r="AB54" s="1649" t="n">
        <v>0.72</v>
      </c>
      <c r="AC54" s="1649" t="n">
        <v>0.49</v>
      </c>
      <c r="AD54" s="1649" t="n">
        <v>0.58</v>
      </c>
      <c r="AE54" s="1649" t="n">
        <v>0.57</v>
      </c>
      <c r="AF54" s="1648">
        <f>AF34/AF$39</f>
        <v/>
      </c>
      <c r="AG54" s="1649" t="n">
        <v>0.6</v>
      </c>
      <c r="AH54" s="1649" t="n">
        <v>0.41</v>
      </c>
      <c r="AI54" s="1649" t="n">
        <v>0.51</v>
      </c>
      <c r="AJ54" s="1649" t="n">
        <v>0.5600000000000001</v>
      </c>
      <c r="AK54" s="1648">
        <f>AK34/AK39</f>
        <v/>
      </c>
      <c r="AL54" s="1649" t="n">
        <v>0.52</v>
      </c>
      <c r="AM54" s="1649" t="n">
        <v>0.41</v>
      </c>
      <c r="AN54" s="1649" t="n">
        <v>0.21</v>
      </c>
      <c r="AO54" s="1649" t="n">
        <v>0.45</v>
      </c>
      <c r="AP54" s="1648">
        <f>AP34/AP39</f>
        <v/>
      </c>
      <c r="AQ54" s="1649" t="n">
        <v>0.47</v>
      </c>
      <c r="AR54" s="1649" t="n">
        <v>0.34</v>
      </c>
      <c r="AS54" s="1649" t="n">
        <v>0.32</v>
      </c>
      <c r="AT54" s="1649" t="n">
        <v>0.35</v>
      </c>
      <c r="AU54" s="1648">
        <f>AU34/AU39</f>
        <v/>
      </c>
      <c r="AV54" s="1649" t="n">
        <v>0.47</v>
      </c>
      <c r="AW54" s="1649" t="n">
        <v>0.33</v>
      </c>
      <c r="AX54" s="1649" t="n">
        <v>0.31</v>
      </c>
      <c r="AY54" s="1649" t="n">
        <v>0.31</v>
      </c>
      <c r="AZ54" s="1648">
        <f>AZ34/AZ39</f>
        <v/>
      </c>
      <c r="BA54" s="1649" t="n">
        <v>0.3</v>
      </c>
      <c r="BB54" s="1649" t="n">
        <v>0.49</v>
      </c>
      <c r="BC54" s="1649" t="n">
        <v>0.48</v>
      </c>
      <c r="BD54" s="1649" t="n">
        <v>0.38</v>
      </c>
      <c r="BE54" s="1648">
        <f>BE34/BE39</f>
        <v/>
      </c>
      <c r="BF54" s="1649" t="n">
        <v>0.39</v>
      </c>
      <c r="BG54" s="1649" t="n">
        <v>0.5</v>
      </c>
      <c r="BH54" s="1649" t="n">
        <v>0.48</v>
      </c>
      <c r="BI54" s="1649" t="n">
        <v>0.41</v>
      </c>
      <c r="BJ54" s="1648">
        <f>BJ34/BJ39</f>
        <v/>
      </c>
      <c r="BK54" s="1649" t="n">
        <v>0.33</v>
      </c>
      <c r="BL54" s="1649" t="n">
        <v>0.43</v>
      </c>
      <c r="BM54" s="1649" t="n">
        <v>0.52</v>
      </c>
      <c r="BN54" s="1649" t="n">
        <v>0.4</v>
      </c>
      <c r="BO54" s="1650">
        <f>BO34/BO39</f>
        <v/>
      </c>
      <c r="BP54" s="1651">
        <f>+BP34/BP$39</f>
        <v/>
      </c>
      <c r="BQ54" s="1651">
        <f>+BQ34/BQ$39</f>
        <v/>
      </c>
      <c r="BR54" s="1651">
        <f>+BR34/BR$39</f>
        <v/>
      </c>
      <c r="BS54" s="1651">
        <f>+BS34/BS$39</f>
        <v/>
      </c>
      <c r="BT54" s="1647">
        <f>+BT34/BT$39</f>
        <v/>
      </c>
      <c r="BU54" s="1651">
        <f>+BU34/BU$39</f>
        <v/>
      </c>
      <c r="BV54" s="1651">
        <f>+BV34/BV$39</f>
        <v/>
      </c>
      <c r="BW54" s="1651">
        <f>+BW34/BW$39</f>
        <v/>
      </c>
      <c r="BX54" s="1651">
        <f>+BX34/BX$39</f>
        <v/>
      </c>
      <c r="BY54" s="1647">
        <f>+BY34/BY$39</f>
        <v/>
      </c>
      <c r="BZ54" s="1647">
        <f>+BZ34/BZ39</f>
        <v/>
      </c>
      <c r="CA54" s="1647">
        <f>+CA34/CA39</f>
        <v/>
      </c>
      <c r="CB54" s="1647">
        <f>+CB34/CB39</f>
        <v/>
      </c>
      <c r="CC54" s="1652" t="n"/>
    </row>
    <row r="55" hidden="1" outlineLevel="1" ht="15" customFormat="1" customHeight="1" s="1644">
      <c r="A55" s="1645" t="inlineStr">
        <is>
          <t>ArF sales as % of total net system sales, %</t>
        </is>
      </c>
      <c r="B55" s="1646" t="n"/>
      <c r="C55" s="1647" t="n"/>
      <c r="D55" s="1647" t="n"/>
      <c r="E55" s="1648">
        <f>E35/E$39</f>
        <v/>
      </c>
      <c r="F55" s="1648">
        <f>F35/F$39</f>
        <v/>
      </c>
      <c r="G55" s="1648">
        <f>G35/G$39</f>
        <v/>
      </c>
      <c r="H55" s="1649" t="n">
        <v>0</v>
      </c>
      <c r="I55" s="1649" t="n">
        <v>0.01</v>
      </c>
      <c r="J55" s="1649" t="n">
        <v>0</v>
      </c>
      <c r="K55" s="1649" t="n">
        <v>0.01</v>
      </c>
      <c r="L55" s="1648">
        <f>L35/L$39</f>
        <v/>
      </c>
      <c r="M55" s="1649" t="n">
        <v>0.03</v>
      </c>
      <c r="N55" s="1649" t="n">
        <v>0.01</v>
      </c>
      <c r="O55" s="1649" t="n">
        <v>0.03</v>
      </c>
      <c r="P55" s="1649" t="n">
        <v>0.03</v>
      </c>
      <c r="Q55" s="1648">
        <f>Q35/Q$39</f>
        <v/>
      </c>
      <c r="R55" s="1649" t="n">
        <v>0.05</v>
      </c>
      <c r="S55" s="1649" t="n">
        <v>0.03</v>
      </c>
      <c r="T55" s="1649" t="n">
        <v>0.02</v>
      </c>
      <c r="U55" s="1649" t="n">
        <v>0.02</v>
      </c>
      <c r="V55" s="1648">
        <f>V35/V$39</f>
        <v/>
      </c>
      <c r="W55" s="1649" t="n">
        <v>0.05</v>
      </c>
      <c r="X55" s="1649" t="n">
        <v>0.03</v>
      </c>
      <c r="Y55" s="1649" t="n">
        <v>0.02</v>
      </c>
      <c r="Z55" s="1649" t="n">
        <v>0.04</v>
      </c>
      <c r="AA55" s="1648">
        <f>AA35/AA$39</f>
        <v/>
      </c>
      <c r="AB55" s="1649" t="n">
        <v>0.04</v>
      </c>
      <c r="AC55" s="1649" t="n">
        <v>0.04</v>
      </c>
      <c r="AD55" s="1649" t="n">
        <v>0.03</v>
      </c>
      <c r="AE55" s="1649" t="n">
        <v>0.03</v>
      </c>
      <c r="AF55" s="1648">
        <f>AF35/AF$39</f>
        <v/>
      </c>
      <c r="AG55" s="1649" t="n">
        <v>0.04</v>
      </c>
      <c r="AH55" s="1649" t="n">
        <v>0.02</v>
      </c>
      <c r="AI55" s="1649" t="n">
        <v>0.07000000000000001</v>
      </c>
      <c r="AJ55" s="1649" t="n">
        <v>0.04</v>
      </c>
      <c r="AK55" s="1648">
        <f>AK35/AK39</f>
        <v/>
      </c>
      <c r="AL55" s="1649" t="n">
        <v>0.07000000000000001</v>
      </c>
      <c r="AM55" s="1649" t="n">
        <v>0.05</v>
      </c>
      <c r="AN55" s="1649" t="n">
        <v>0.01</v>
      </c>
      <c r="AO55" s="1649" t="n">
        <v>0.04</v>
      </c>
      <c r="AP55" s="1648">
        <f>AP35/AP39</f>
        <v/>
      </c>
      <c r="AQ55" s="1649" t="n">
        <v>0.02</v>
      </c>
      <c r="AR55" s="1649" t="n">
        <v>0.05</v>
      </c>
      <c r="AS55" s="1649" t="n">
        <v>0.03</v>
      </c>
      <c r="AT55" s="1649" t="n">
        <v>0.03</v>
      </c>
      <c r="AU55" s="1648">
        <f>AU35/AU39</f>
        <v/>
      </c>
      <c r="AV55" s="1649" t="n">
        <v>0.06</v>
      </c>
      <c r="AW55" s="1649" t="n">
        <v>0.04</v>
      </c>
      <c r="AX55" s="1649" t="n">
        <v>0.03</v>
      </c>
      <c r="AY55" s="1649" t="n">
        <v>0.04</v>
      </c>
      <c r="AZ55" s="1648">
        <f>AZ35/AZ39</f>
        <v/>
      </c>
      <c r="BA55" s="1649" t="n">
        <v>0.03</v>
      </c>
      <c r="BB55" s="1649" t="n">
        <v>0.02</v>
      </c>
      <c r="BC55" s="1649" t="n">
        <v>0.04</v>
      </c>
      <c r="BD55" s="1649" t="n">
        <v>0.05</v>
      </c>
      <c r="BE55" s="1648">
        <f>BE35/BE39</f>
        <v/>
      </c>
      <c r="BF55" s="1649" t="n">
        <v>0.03</v>
      </c>
      <c r="BG55" s="1649" t="n">
        <v>0.07000000000000001</v>
      </c>
      <c r="BH55" s="1649" t="n">
        <v>0.03</v>
      </c>
      <c r="BI55" s="1649" t="n">
        <v>0.02</v>
      </c>
      <c r="BJ55" s="1648">
        <f>BJ35/BJ39</f>
        <v/>
      </c>
      <c r="BK55" s="1649" t="n">
        <v>0.02</v>
      </c>
      <c r="BL55" s="1649" t="n">
        <v>0.02</v>
      </c>
      <c r="BM55" s="1649" t="n">
        <v>0.02</v>
      </c>
      <c r="BN55" s="1649" t="n">
        <v>0.02</v>
      </c>
      <c r="BO55" s="1650">
        <f>BO35/BO39</f>
        <v/>
      </c>
      <c r="BP55" s="1651">
        <f>+BP35/BP$39</f>
        <v/>
      </c>
      <c r="BQ55" s="1651">
        <f>+BQ35/BQ$39</f>
        <v/>
      </c>
      <c r="BR55" s="1651">
        <f>+BR35/BR$39</f>
        <v/>
      </c>
      <c r="BS55" s="1651">
        <f>+BS35/BS$39</f>
        <v/>
      </c>
      <c r="BT55" s="1647">
        <f>+BT35/BT$39</f>
        <v/>
      </c>
      <c r="BU55" s="1651">
        <f>+BU35/BU$39</f>
        <v/>
      </c>
      <c r="BV55" s="1651">
        <f>+BV35/BV$39</f>
        <v/>
      </c>
      <c r="BW55" s="1651">
        <f>+BW35/BW$39</f>
        <v/>
      </c>
      <c r="BX55" s="1651">
        <f>+BX35/BX$39</f>
        <v/>
      </c>
      <c r="BY55" s="1647">
        <f>+BY35/BY$39</f>
        <v/>
      </c>
      <c r="BZ55" s="1647">
        <f>+BZ35/BZ39</f>
        <v/>
      </c>
      <c r="CA55" s="1647">
        <f>+CA35/CA39</f>
        <v/>
      </c>
      <c r="CB55" s="1647">
        <f>+CB35/CB39</f>
        <v/>
      </c>
      <c r="CC55" s="1652" t="n"/>
    </row>
    <row r="56" hidden="1" outlineLevel="1" ht="15" customFormat="1" customHeight="1" s="1644">
      <c r="A56" s="1645" t="inlineStr">
        <is>
          <t>KrF sales as % of total net system sales, %</t>
        </is>
      </c>
      <c r="B56" s="1646" t="n"/>
      <c r="C56" s="1647" t="n"/>
      <c r="D56" s="1647" t="n"/>
      <c r="E56" s="1648">
        <f>E36/E$39</f>
        <v/>
      </c>
      <c r="F56" s="1648">
        <f>F36/F$39</f>
        <v/>
      </c>
      <c r="G56" s="1648">
        <f>G36/G$39</f>
        <v/>
      </c>
      <c r="H56" s="1649" t="n">
        <v>0.17</v>
      </c>
      <c r="I56" s="1649" t="n">
        <v>0.02</v>
      </c>
      <c r="J56" s="1649" t="n">
        <v>0.12</v>
      </c>
      <c r="K56" s="1649" t="n">
        <v>0.09</v>
      </c>
      <c r="L56" s="1648">
        <f>L36/L$39</f>
        <v/>
      </c>
      <c r="M56" s="1649" t="n">
        <v>0.12</v>
      </c>
      <c r="N56" s="1649" t="n">
        <v>0.12</v>
      </c>
      <c r="O56" s="1649" t="n">
        <v>0.27</v>
      </c>
      <c r="P56" s="1649" t="n">
        <v>0.23</v>
      </c>
      <c r="Q56" s="1648">
        <f>Q36/Q$39</f>
        <v/>
      </c>
      <c r="R56" s="1649" t="n">
        <v>0.14</v>
      </c>
      <c r="S56" s="1649" t="n">
        <v>0.11</v>
      </c>
      <c r="T56" s="1649" t="n">
        <v>0.12</v>
      </c>
      <c r="U56" s="1649" t="n">
        <v>0.1</v>
      </c>
      <c r="V56" s="1648">
        <f>V36/V$39</f>
        <v/>
      </c>
      <c r="W56" s="1649" t="n">
        <v>0.15</v>
      </c>
      <c r="X56" s="1649" t="n">
        <v>0.09</v>
      </c>
      <c r="Y56" s="1649" t="n">
        <v>0.1</v>
      </c>
      <c r="Z56" s="1649" t="n">
        <v>0.1</v>
      </c>
      <c r="AA56" s="1648">
        <f>AA36/AA$39</f>
        <v/>
      </c>
      <c r="AB56" s="1649" t="n">
        <v>0.14</v>
      </c>
      <c r="AC56" s="1649" t="n">
        <v>0.1</v>
      </c>
      <c r="AD56" s="1649" t="n">
        <v>0.09</v>
      </c>
      <c r="AE56" s="1649" t="n">
        <v>0.1</v>
      </c>
      <c r="AF56" s="1648">
        <f>AF36/AF$39</f>
        <v/>
      </c>
      <c r="AG56" s="1649" t="n">
        <v>0.09</v>
      </c>
      <c r="AH56" s="1649" t="n">
        <v>0.11</v>
      </c>
      <c r="AI56" s="1649" t="n">
        <v>0.06</v>
      </c>
      <c r="AJ56" s="1649" t="n">
        <v>0.06</v>
      </c>
      <c r="AK56" s="1648">
        <f>AK36/AK39</f>
        <v/>
      </c>
      <c r="AL56" s="1649" t="n">
        <v>0.13</v>
      </c>
      <c r="AM56" s="1649" t="n">
        <v>0.1</v>
      </c>
      <c r="AN56" s="1649" t="n">
        <v>0.08</v>
      </c>
      <c r="AO56" s="1649" t="n">
        <v>0.11</v>
      </c>
      <c r="AP56" s="1648">
        <f>AP36/AP39</f>
        <v/>
      </c>
      <c r="AQ56" s="1649" t="n">
        <v>0.11</v>
      </c>
      <c r="AR56" s="1649" t="n">
        <v>0.11</v>
      </c>
      <c r="AS56" s="1649" t="n">
        <v>0.07000000000000001</v>
      </c>
      <c r="AT56" s="1649" t="n">
        <v>0.1</v>
      </c>
      <c r="AU56" s="1648">
        <f>AU36/AU39</f>
        <v/>
      </c>
      <c r="AV56" s="1649" t="n">
        <v>0.12</v>
      </c>
      <c r="AW56" s="1649" t="n">
        <v>0.1</v>
      </c>
      <c r="AX56" s="1649" t="n">
        <v>0.1</v>
      </c>
      <c r="AY56" s="1649" t="n">
        <v>0.12</v>
      </c>
      <c r="AZ56" s="1648">
        <f>AZ36/AZ39</f>
        <v/>
      </c>
      <c r="BA56" s="1649" t="n">
        <v>0.09</v>
      </c>
      <c r="BB56" s="1649" t="n">
        <v>0.09</v>
      </c>
      <c r="BC56" s="1649" t="n">
        <v>0.1</v>
      </c>
      <c r="BD56" s="1649" t="n">
        <v>0.12</v>
      </c>
      <c r="BE56" s="1648">
        <f>BE36/BE39</f>
        <v/>
      </c>
      <c r="BF56" s="1649" t="n">
        <v>0.08</v>
      </c>
      <c r="BG56" s="1649" t="n">
        <v>0.09</v>
      </c>
      <c r="BH56" s="1649" t="n">
        <v>0.1</v>
      </c>
      <c r="BI56" s="1649" t="n">
        <v>0.09</v>
      </c>
      <c r="BJ56" s="1648">
        <f>BJ36/BJ39</f>
        <v/>
      </c>
      <c r="BK56" s="1649" t="n">
        <v>0.05</v>
      </c>
      <c r="BL56" s="1649" t="n">
        <v>0.04</v>
      </c>
      <c r="BM56" s="1649" t="n">
        <v>0.03</v>
      </c>
      <c r="BN56" s="1649" t="n">
        <v>0.05</v>
      </c>
      <c r="BO56" s="1650">
        <f>BO36/BO39</f>
        <v/>
      </c>
      <c r="BP56" s="1651">
        <f>+BP36/BP$39</f>
        <v/>
      </c>
      <c r="BQ56" s="1651">
        <f>+BQ36/BQ$39</f>
        <v/>
      </c>
      <c r="BR56" s="1651">
        <f>+BR36/BR$39</f>
        <v/>
      </c>
      <c r="BS56" s="1651">
        <f>+BS36/BS$39</f>
        <v/>
      </c>
      <c r="BT56" s="1647">
        <f>+BT36/BT$39</f>
        <v/>
      </c>
      <c r="BU56" s="1651">
        <f>+BU36/BU$39</f>
        <v/>
      </c>
      <c r="BV56" s="1651">
        <f>+BV36/BV$39</f>
        <v/>
      </c>
      <c r="BW56" s="1651">
        <f>+BW36/BW$39</f>
        <v/>
      </c>
      <c r="BX56" s="1651">
        <f>+BX36/BX$39</f>
        <v/>
      </c>
      <c r="BY56" s="1647">
        <f>+BY36/BY$39</f>
        <v/>
      </c>
      <c r="BZ56" s="1647">
        <f>+BZ36/BZ39</f>
        <v/>
      </c>
      <c r="CA56" s="1647">
        <f>+CA36/CA39</f>
        <v/>
      </c>
      <c r="CB56" s="1647">
        <f>+CB36/CB39</f>
        <v/>
      </c>
      <c r="CC56" s="1652" t="n"/>
    </row>
    <row r="57" hidden="1" outlineLevel="1" ht="15" customFormat="1" customHeight="1" s="1644">
      <c r="A57" s="1645" t="inlineStr">
        <is>
          <t>i-line sales as % of total net system sales, %</t>
        </is>
      </c>
      <c r="B57" s="1646" t="n"/>
      <c r="C57" s="1647" t="n"/>
      <c r="D57" s="1647" t="n"/>
      <c r="E57" s="1648">
        <f>E37/E$39</f>
        <v/>
      </c>
      <c r="F57" s="1648">
        <f>F37/F$39</f>
        <v/>
      </c>
      <c r="G57" s="1648">
        <f>G37/G$39</f>
        <v/>
      </c>
      <c r="H57" s="1649" t="n">
        <v>0.01</v>
      </c>
      <c r="I57" s="1649" t="n">
        <v>0.01</v>
      </c>
      <c r="J57" s="1649" t="n">
        <v>0.02</v>
      </c>
      <c r="K57" s="1649" t="n">
        <v>0.01</v>
      </c>
      <c r="L57" s="1648">
        <f>L37/L$39</f>
        <v/>
      </c>
      <c r="M57" s="1649" t="n">
        <v>0.02</v>
      </c>
      <c r="N57" s="1649" t="n">
        <v>0.02</v>
      </c>
      <c r="O57" s="1649" t="n">
        <v>0.02</v>
      </c>
      <c r="P57" s="1649" t="n">
        <v>0.02</v>
      </c>
      <c r="Q57" s="1648">
        <f>Q37/Q$39</f>
        <v/>
      </c>
      <c r="R57" s="1649" t="n">
        <v>0.02</v>
      </c>
      <c r="S57" s="1649" t="n">
        <v>0.02</v>
      </c>
      <c r="T57" s="1649" t="n">
        <v>0.02</v>
      </c>
      <c r="U57" s="1649" t="n">
        <v>0.01</v>
      </c>
      <c r="V57" s="1648">
        <f>V37/V$39</f>
        <v/>
      </c>
      <c r="W57" s="1649" t="n">
        <v>0.01</v>
      </c>
      <c r="X57" s="1649" t="n">
        <v>0.02</v>
      </c>
      <c r="Y57" s="1649" t="n">
        <v>0.01</v>
      </c>
      <c r="Z57" s="1649" t="n">
        <v>0.01</v>
      </c>
      <c r="AA57" s="1648">
        <f>AA37/AA$39</f>
        <v/>
      </c>
      <c r="AB57" s="1649" t="n">
        <v>0.01</v>
      </c>
      <c r="AC57" s="1649" t="n">
        <v>0.01</v>
      </c>
      <c r="AD57" s="1649" t="n">
        <v>0.01</v>
      </c>
      <c r="AE57" s="1649" t="n">
        <v>0.01</v>
      </c>
      <c r="AF57" s="1648">
        <f>AF37/AF$39</f>
        <v/>
      </c>
      <c r="AG57" s="1649" t="n">
        <v>0.02</v>
      </c>
      <c r="AH57" s="1649" t="n">
        <v>0.01</v>
      </c>
      <c r="AI57" s="1649" t="n">
        <v>0.01</v>
      </c>
      <c r="AJ57" s="1649" t="n">
        <v>0.02</v>
      </c>
      <c r="AK57" s="1648">
        <f>AK37/AK39</f>
        <v/>
      </c>
      <c r="AL57" s="1649" t="n">
        <v>0.03</v>
      </c>
      <c r="AM57" s="1649" t="n">
        <v>0.01</v>
      </c>
      <c r="AN57" s="1649" t="n">
        <v>0.01</v>
      </c>
      <c r="AO57" s="1649" t="n">
        <v>0.01</v>
      </c>
      <c r="AP57" s="1648">
        <f>AP37/AP39</f>
        <v/>
      </c>
      <c r="AQ57" s="1649" t="n">
        <v>0.01</v>
      </c>
      <c r="AR57" s="1649" t="n">
        <v>0.01</v>
      </c>
      <c r="AS57" s="1649" t="n">
        <v>0.01</v>
      </c>
      <c r="AT57" s="1649" t="n">
        <v>0.01</v>
      </c>
      <c r="AU57" s="1648">
        <f>AU37/AU39</f>
        <v/>
      </c>
      <c r="AV57" s="1649" t="n">
        <v>0.02</v>
      </c>
      <c r="AW57" s="1649" t="n">
        <v>0.01</v>
      </c>
      <c r="AX57" s="1649" t="n">
        <v>0.01</v>
      </c>
      <c r="AY57" s="1649" t="n">
        <v>0.01</v>
      </c>
      <c r="AZ57" s="1648">
        <f>AZ37/AZ39</f>
        <v/>
      </c>
      <c r="BA57" s="1649" t="n">
        <v>0.01</v>
      </c>
      <c r="BB57" s="1649" t="n">
        <v>0.01</v>
      </c>
      <c r="BC57" s="1649" t="n">
        <v>0.01</v>
      </c>
      <c r="BD57" s="1649" t="n">
        <v>0.02</v>
      </c>
      <c r="BE57" s="1648">
        <f>BE37/BE39</f>
        <v/>
      </c>
      <c r="BF57" s="1649" t="n">
        <v>0.01</v>
      </c>
      <c r="BG57" s="1649" t="n">
        <v>0.02</v>
      </c>
      <c r="BH57" s="1649" t="n">
        <v>0.02</v>
      </c>
      <c r="BI57" s="1649" t="n">
        <v>0.02</v>
      </c>
      <c r="BJ57" s="1648">
        <f>BJ37/BJ39</f>
        <v/>
      </c>
      <c r="BK57" s="1649" t="n">
        <v>0.01</v>
      </c>
      <c r="BL57" s="1649" t="n">
        <v>0.01</v>
      </c>
      <c r="BM57" s="1649" t="n">
        <v>0.01</v>
      </c>
      <c r="BN57" s="1649" t="n">
        <v>0.01</v>
      </c>
      <c r="BO57" s="1650">
        <f>BO37/BO39</f>
        <v/>
      </c>
      <c r="BP57" s="1651">
        <f>+BP37/BP$39</f>
        <v/>
      </c>
      <c r="BQ57" s="1651">
        <f>+BQ37/BQ$39</f>
        <v/>
      </c>
      <c r="BR57" s="1651">
        <f>+BR37/BR$39</f>
        <v/>
      </c>
      <c r="BS57" s="1651">
        <f>+BS37/BS$39</f>
        <v/>
      </c>
      <c r="BT57" s="1647">
        <f>+BT37/BT$39</f>
        <v/>
      </c>
      <c r="BU57" s="1651">
        <f>+BU37/BU$39</f>
        <v/>
      </c>
      <c r="BV57" s="1651">
        <f>+BV37/BV$39</f>
        <v/>
      </c>
      <c r="BW57" s="1651">
        <f>+BW37/BW$39</f>
        <v/>
      </c>
      <c r="BX57" s="1651">
        <f>+BX37/BX$39</f>
        <v/>
      </c>
      <c r="BY57" s="1647">
        <f>+BY37/BY$39</f>
        <v/>
      </c>
      <c r="BZ57" s="1647">
        <f>+BZ37/BZ39</f>
        <v/>
      </c>
      <c r="CA57" s="1647">
        <f>+CA37/CA39</f>
        <v/>
      </c>
      <c r="CB57" s="1647">
        <f>+CB37/CB39</f>
        <v/>
      </c>
      <c r="CC57" s="1652" t="n"/>
    </row>
    <row r="58" hidden="1" outlineLevel="1" ht="15" customFormat="1" customHeight="1" s="1644">
      <c r="A58" s="1653" t="inlineStr">
        <is>
          <t>Metrology &amp; Inspection sales as % of total net system sales, %</t>
        </is>
      </c>
      <c r="B58" s="1654" t="n"/>
      <c r="C58" s="1655" t="n"/>
      <c r="D58" s="1655" t="n"/>
      <c r="E58" s="1656">
        <f>E38/E$39</f>
        <v/>
      </c>
      <c r="F58" s="1656">
        <f>F38/F$39</f>
        <v/>
      </c>
      <c r="G58" s="1656">
        <f>G38/G$39</f>
        <v/>
      </c>
      <c r="H58" s="1657" t="n">
        <v>0</v>
      </c>
      <c r="I58" s="1657" t="n">
        <v>0</v>
      </c>
      <c r="J58" s="1657" t="n">
        <v>0</v>
      </c>
      <c r="K58" s="1657" t="n">
        <v>0</v>
      </c>
      <c r="L58" s="1656">
        <f>L38/L$39</f>
        <v/>
      </c>
      <c r="M58" s="1657" t="n">
        <v>0</v>
      </c>
      <c r="N58" s="1657" t="n">
        <v>0</v>
      </c>
      <c r="O58" s="1657" t="n">
        <v>0</v>
      </c>
      <c r="P58" s="1657" t="n">
        <v>0</v>
      </c>
      <c r="Q58" s="1656">
        <f>Q38/Q$39</f>
        <v/>
      </c>
      <c r="R58" s="1657" t="n">
        <v>0</v>
      </c>
      <c r="S58" s="1657" t="n">
        <v>0</v>
      </c>
      <c r="T58" s="1657" t="n">
        <v>0</v>
      </c>
      <c r="U58" s="1657" t="n">
        <v>0</v>
      </c>
      <c r="V58" s="1656">
        <f>V38/V$39</f>
        <v/>
      </c>
      <c r="W58" s="1657" t="n">
        <v>0.05</v>
      </c>
      <c r="X58" s="1657" t="n">
        <v>0.06</v>
      </c>
      <c r="Y58" s="1657" t="n">
        <v>0.03</v>
      </c>
      <c r="Z58" s="1657" t="n">
        <v>0.04</v>
      </c>
      <c r="AA58" s="1656">
        <f>AA38/AA$39</f>
        <v/>
      </c>
      <c r="AB58" s="1657" t="n">
        <v>0.02</v>
      </c>
      <c r="AC58" s="1657" t="n">
        <v>0.04</v>
      </c>
      <c r="AD58" s="1657" t="n">
        <v>0.04</v>
      </c>
      <c r="AE58" s="1657" t="n">
        <v>0.05</v>
      </c>
      <c r="AF58" s="1656">
        <f>AF38/AF$39</f>
        <v/>
      </c>
      <c r="AG58" s="1657" t="n">
        <v>0.03</v>
      </c>
      <c r="AH58" s="1657" t="n">
        <v>0.04</v>
      </c>
      <c r="AI58" s="1657" t="n">
        <v>0.03</v>
      </c>
      <c r="AJ58" s="1657" t="n">
        <v>0.03</v>
      </c>
      <c r="AK58" s="1656">
        <f>AK38/AK39</f>
        <v/>
      </c>
      <c r="AL58" s="1657" t="n">
        <v>0.03</v>
      </c>
      <c r="AM58" s="1657" t="n">
        <v>0.04</v>
      </c>
      <c r="AN58" s="1657" t="n">
        <v>0.03</v>
      </c>
      <c r="AO58" s="1657" t="n">
        <v>0.03</v>
      </c>
      <c r="AP58" s="1656">
        <f>AP38/AP39</f>
        <v/>
      </c>
      <c r="AQ58" s="1657" t="n">
        <v>0.03</v>
      </c>
      <c r="AR58" s="1657" t="n">
        <v>0.04</v>
      </c>
      <c r="AS58" s="1657" t="n">
        <v>0.03</v>
      </c>
      <c r="AT58" s="1657" t="n">
        <v>0.05</v>
      </c>
      <c r="AU58" s="1656">
        <f>AU38/AU39</f>
        <v/>
      </c>
      <c r="AV58" s="1657" t="n">
        <v>0.07000000000000001</v>
      </c>
      <c r="AW58" s="1657" t="n">
        <v>0.04</v>
      </c>
      <c r="AX58" s="1657" t="n">
        <v>0.04</v>
      </c>
      <c r="AY58" s="1657" t="n">
        <v>0.03</v>
      </c>
      <c r="AZ58" s="1656">
        <f>AZ38/AZ39</f>
        <v/>
      </c>
      <c r="BA58" s="1657" t="n">
        <v>0.03</v>
      </c>
      <c r="BB58" s="1657" t="n">
        <v>0.02</v>
      </c>
      <c r="BC58" s="1657" t="n">
        <v>0.02</v>
      </c>
      <c r="BD58" s="1657" t="n">
        <v>0.03</v>
      </c>
      <c r="BE58" s="1656">
        <f>BE38/BE39</f>
        <v/>
      </c>
      <c r="BF58" s="1657" t="n">
        <v>0.03</v>
      </c>
      <c r="BG58" s="1657" t="n">
        <v>0.01</v>
      </c>
      <c r="BH58" s="1657" t="n">
        <v>0.02</v>
      </c>
      <c r="BI58" s="1657" t="n">
        <v>0.04</v>
      </c>
      <c r="BJ58" s="1656">
        <f>BJ38/BJ39</f>
        <v/>
      </c>
      <c r="BK58" s="1657" t="n">
        <v>0.03</v>
      </c>
      <c r="BL58" s="1657" t="n">
        <v>0.02</v>
      </c>
      <c r="BM58" s="1657" t="n">
        <v>0.04</v>
      </c>
      <c r="BN58" s="1657" t="n">
        <v>0.04</v>
      </c>
      <c r="BO58" s="1658">
        <f>BO38/BO39</f>
        <v/>
      </c>
      <c r="BP58" s="1659">
        <f>+BP38/BP$39</f>
        <v/>
      </c>
      <c r="BQ58" s="1659">
        <f>+BQ38/BQ$39</f>
        <v/>
      </c>
      <c r="BR58" s="1659">
        <f>+BR38/BR$39</f>
        <v/>
      </c>
      <c r="BS58" s="1659">
        <f>+BS38/BS$39</f>
        <v/>
      </c>
      <c r="BT58" s="1655">
        <f>+BT38/BT$39</f>
        <v/>
      </c>
      <c r="BU58" s="1659">
        <f>+BU38/BU$39</f>
        <v/>
      </c>
      <c r="BV58" s="1659">
        <f>+BV38/BV$39</f>
        <v/>
      </c>
      <c r="BW58" s="1659">
        <f>+BW38/BW$39</f>
        <v/>
      </c>
      <c r="BX58" s="1659">
        <f>+BX38/BX$39</f>
        <v/>
      </c>
      <c r="BY58" s="1655">
        <f>+BY38/BY$39</f>
        <v/>
      </c>
      <c r="BZ58" s="1655">
        <f>+BZ38/BZ39</f>
        <v/>
      </c>
      <c r="CA58" s="1655">
        <f>+CA38/CA39</f>
        <v/>
      </c>
      <c r="CB58" s="1655">
        <f>+CB38/CB39</f>
        <v/>
      </c>
      <c r="CC58" s="1652" t="n"/>
    </row>
    <row r="59" hidden="1" outlineLevel="1" ht="15" customFormat="1" customHeight="1" s="1660">
      <c r="A59" s="1661" t="inlineStr">
        <is>
          <t>Total net system sales, %</t>
        </is>
      </c>
      <c r="B59" s="1662" t="n"/>
      <c r="C59" s="1663" t="n"/>
      <c r="D59" s="1663" t="n"/>
      <c r="E59" s="1664">
        <f>SUM(E53:E58)</f>
        <v/>
      </c>
      <c r="F59" s="1664">
        <f>SUM(F53:F58)</f>
        <v/>
      </c>
      <c r="G59" s="1664">
        <f>SUM(G53:G58)</f>
        <v/>
      </c>
      <c r="H59" s="1665">
        <f>SUM(H53:H58)</f>
        <v/>
      </c>
      <c r="I59" s="1665">
        <f>SUM(I53:I58)</f>
        <v/>
      </c>
      <c r="J59" s="1665">
        <f>SUM(J53:J58)</f>
        <v/>
      </c>
      <c r="K59" s="1665">
        <f>SUM(K53:K58)</f>
        <v/>
      </c>
      <c r="L59" s="1664">
        <f>SUM(L53:L58)</f>
        <v/>
      </c>
      <c r="M59" s="1665">
        <f>SUM(M53:M58)</f>
        <v/>
      </c>
      <c r="N59" s="1665">
        <f>SUM(N53:N58)</f>
        <v/>
      </c>
      <c r="O59" s="1665">
        <f>SUM(O53:O58)</f>
        <v/>
      </c>
      <c r="P59" s="1665">
        <f>SUM(P53:P58)</f>
        <v/>
      </c>
      <c r="Q59" s="1664">
        <f>SUM(Q53:Q58)</f>
        <v/>
      </c>
      <c r="R59" s="1665">
        <f>SUM(R53:R58)</f>
        <v/>
      </c>
      <c r="S59" s="1665">
        <f>SUM(S53:S58)</f>
        <v/>
      </c>
      <c r="T59" s="1665">
        <f>SUM(T53:T58)</f>
        <v/>
      </c>
      <c r="U59" s="1665">
        <f>SUM(U53:U58)</f>
        <v/>
      </c>
      <c r="V59" s="1664">
        <f>SUM(V53:V58)</f>
        <v/>
      </c>
      <c r="W59" s="1665">
        <f>SUM(W53:W58)</f>
        <v/>
      </c>
      <c r="X59" s="1665">
        <f>SUM(X53:X58)</f>
        <v/>
      </c>
      <c r="Y59" s="1665">
        <f>SUM(Y53:Y58)</f>
        <v/>
      </c>
      <c r="Z59" s="1665">
        <f>SUM(Z53:Z58)</f>
        <v/>
      </c>
      <c r="AA59" s="1664">
        <f>SUM(AA53:AA58)</f>
        <v/>
      </c>
      <c r="AB59" s="1665">
        <f>SUM(AB53:AB58)</f>
        <v/>
      </c>
      <c r="AC59" s="1665">
        <f>SUM(AC53:AC58)</f>
        <v/>
      </c>
      <c r="AD59" s="1665">
        <f>SUM(AD53:AD58)</f>
        <v/>
      </c>
      <c r="AE59" s="1665">
        <f>SUM(AE53:AE58)</f>
        <v/>
      </c>
      <c r="AF59" s="1664">
        <f>SUM(AF53:AF58)</f>
        <v/>
      </c>
      <c r="AG59" s="1665">
        <f>SUM(AG53:AG58)</f>
        <v/>
      </c>
      <c r="AH59" s="1665">
        <f>SUM(AH53:AH58)</f>
        <v/>
      </c>
      <c r="AI59" s="1665">
        <f>SUM(AI53:AI58)</f>
        <v/>
      </c>
      <c r="AJ59" s="1665">
        <f>SUM(AJ53:AJ58)</f>
        <v/>
      </c>
      <c r="AK59" s="1664">
        <f>SUM(AK53:AK58)</f>
        <v/>
      </c>
      <c r="AL59" s="1665">
        <f>SUM(AL53:AL58)</f>
        <v/>
      </c>
      <c r="AM59" s="1665">
        <f>SUM(AM53:AM58)</f>
        <v/>
      </c>
      <c r="AN59" s="1665">
        <f>SUM(AN53:AN58)</f>
        <v/>
      </c>
      <c r="AO59" s="1665">
        <f>SUM(AO53:AO58)</f>
        <v/>
      </c>
      <c r="AP59" s="1664">
        <f>SUM(AP53:AP58)</f>
        <v/>
      </c>
      <c r="AQ59" s="1665">
        <f>SUM(AQ53:AQ58)</f>
        <v/>
      </c>
      <c r="AR59" s="1665">
        <f>SUM(AR53:AR58)</f>
        <v/>
      </c>
      <c r="AS59" s="1665">
        <f>SUM(AS53:AS58)</f>
        <v/>
      </c>
      <c r="AT59" s="1665">
        <f>SUM(AT53:AT58)</f>
        <v/>
      </c>
      <c r="AU59" s="1664">
        <f>SUM(AU53:AU58)</f>
        <v/>
      </c>
      <c r="AV59" s="1665">
        <f>SUM(AV53:AV58)</f>
        <v/>
      </c>
      <c r="AW59" s="1665">
        <f>SUM(AW53:AW58)</f>
        <v/>
      </c>
      <c r="AX59" s="1665">
        <f>SUM(AX53:AX58)</f>
        <v/>
      </c>
      <c r="AY59" s="1665">
        <f>SUM(AY53:AY58)</f>
        <v/>
      </c>
      <c r="AZ59" s="1664">
        <f>SUM(AZ53:AZ58)</f>
        <v/>
      </c>
      <c r="BA59" s="1665">
        <f>SUM(BA53:BA58)</f>
        <v/>
      </c>
      <c r="BB59" s="1665">
        <f>SUM(BB53:BB58)</f>
        <v/>
      </c>
      <c r="BC59" s="1665">
        <f>SUM(BC53:BC58)</f>
        <v/>
      </c>
      <c r="BD59" s="1665">
        <f>SUM(BD53:BD58)</f>
        <v/>
      </c>
      <c r="BE59" s="1664">
        <f>SUM(BE53:BE58)</f>
        <v/>
      </c>
      <c r="BF59" s="1665">
        <f>SUM(BF53:BF58)</f>
        <v/>
      </c>
      <c r="BG59" s="1665">
        <f>SUM(BG53:BG58)</f>
        <v/>
      </c>
      <c r="BH59" s="1665">
        <f>SUM(BH53:BH58)</f>
        <v/>
      </c>
      <c r="BI59" s="1665">
        <f>SUM(BI53:BI58)</f>
        <v/>
      </c>
      <c r="BJ59" s="1664">
        <f>SUM(BJ53:BJ58)</f>
        <v/>
      </c>
      <c r="BK59" s="1665">
        <f>SUM(BK53:BK58)</f>
        <v/>
      </c>
      <c r="BL59" s="1665">
        <f>SUM(BL53:BL58)</f>
        <v/>
      </c>
      <c r="BM59" s="1665">
        <f>SUM(BM53:BM58)</f>
        <v/>
      </c>
      <c r="BN59" s="1665">
        <f>SUM(BN53:BN58)</f>
        <v/>
      </c>
      <c r="BO59" s="1666">
        <f>SUM(BO53:BO58)</f>
        <v/>
      </c>
      <c r="BP59" s="1667">
        <f>SUM(BP53:BP58)</f>
        <v/>
      </c>
      <c r="BQ59" s="1667">
        <f>SUM(BQ53:BQ58)</f>
        <v/>
      </c>
      <c r="BR59" s="1667">
        <f>SUM(BR53:BR58)</f>
        <v/>
      </c>
      <c r="BS59" s="1667">
        <f>SUM(BS53:BS58)</f>
        <v/>
      </c>
      <c r="BT59" s="1663">
        <f>SUM(BT53:BT58)</f>
        <v/>
      </c>
      <c r="BU59" s="1667">
        <f>SUM(BU53:BU58)</f>
        <v/>
      </c>
      <c r="BV59" s="1667">
        <f>SUM(BV53:BV58)</f>
        <v/>
      </c>
      <c r="BW59" s="1667">
        <f>SUM(BW53:BW58)</f>
        <v/>
      </c>
      <c r="BX59" s="1667">
        <f>SUM(BX53:BX58)</f>
        <v/>
      </c>
      <c r="BY59" s="1663">
        <f>SUM(BY53:BY58)</f>
        <v/>
      </c>
      <c r="BZ59" s="1663">
        <f>SUM(BZ53:BZ58)</f>
        <v/>
      </c>
      <c r="CA59" s="1663">
        <f>SUM(CA53:CA58)</f>
        <v/>
      </c>
      <c r="CB59" s="1663">
        <f>SUM(CB53:CB58)</f>
        <v/>
      </c>
      <c r="CC59" s="1668" t="n"/>
    </row>
    <row r="60" collapsed="1" ht="15" customFormat="1" customHeight="1" s="598">
      <c r="A60" s="294" t="n"/>
      <c r="B60" s="64" t="n"/>
      <c r="C60" s="1254" t="n"/>
      <c r="D60" s="1254" t="n"/>
      <c r="E60" s="1254" t="n"/>
      <c r="F60" s="1254" t="n"/>
      <c r="G60" s="1254" t="n"/>
      <c r="H60" s="674" t="n"/>
      <c r="I60" s="674" t="n"/>
      <c r="J60" s="674" t="n"/>
      <c r="K60" s="674" t="n"/>
      <c r="L60" s="1254" t="n"/>
      <c r="M60" s="674" t="n"/>
      <c r="N60" s="674" t="n"/>
      <c r="O60" s="674" t="n"/>
      <c r="P60" s="674" t="n"/>
      <c r="Q60" s="1254" t="n"/>
      <c r="R60" s="674" t="n"/>
      <c r="S60" s="674" t="n"/>
      <c r="T60" s="674" t="n"/>
      <c r="U60" s="674" t="n"/>
      <c r="V60" s="1254" t="n"/>
      <c r="W60" s="674" t="n"/>
      <c r="X60" s="674" t="n"/>
      <c r="Y60" s="674" t="n"/>
      <c r="Z60" s="674" t="n"/>
      <c r="AA60" s="1254" t="n"/>
      <c r="AB60" s="674" t="n"/>
      <c r="AC60" s="674" t="n"/>
      <c r="AD60" s="674" t="n"/>
      <c r="AE60" s="674" t="n"/>
      <c r="AF60" s="1254" t="n"/>
      <c r="AG60" s="674" t="n"/>
      <c r="AH60" s="674" t="n"/>
      <c r="AI60" s="674" t="n"/>
      <c r="AJ60" s="674" t="n"/>
      <c r="AK60" s="1254" t="n"/>
      <c r="AL60" s="674" t="n"/>
      <c r="AM60" s="674" t="n"/>
      <c r="AN60" s="674" t="n"/>
      <c r="AO60" s="674" t="n"/>
      <c r="AP60" s="1254" t="n"/>
      <c r="AQ60" s="674" t="n"/>
      <c r="AR60" s="674" t="n"/>
      <c r="AS60" s="674" t="n"/>
      <c r="AT60" s="674" t="n"/>
      <c r="AU60" s="1254" t="n"/>
      <c r="AV60" s="674" t="n"/>
      <c r="AW60" s="674" t="n"/>
      <c r="AX60" s="674" t="n"/>
      <c r="AY60" s="674" t="n"/>
      <c r="AZ60" s="1254" t="n"/>
      <c r="BA60" s="674" t="n"/>
      <c r="BB60" s="674" t="n"/>
      <c r="BC60" s="674" t="n"/>
      <c r="BD60" s="674" t="n"/>
      <c r="BE60" s="1254" t="n"/>
      <c r="BF60" s="674" t="n"/>
      <c r="BG60" s="674" t="n"/>
      <c r="BH60" s="674" t="n"/>
      <c r="BI60" s="674" t="n"/>
      <c r="BJ60" s="1254" t="n"/>
      <c r="BK60" s="674" t="n"/>
      <c r="BL60" s="674" t="n"/>
      <c r="BM60" s="674" t="n"/>
      <c r="BN60" s="674" t="n"/>
      <c r="BO60" s="1253" t="n"/>
      <c r="BP60" s="674" t="n"/>
      <c r="BQ60" s="674" t="n"/>
      <c r="BR60" s="674" t="n"/>
      <c r="BS60" s="674" t="n"/>
      <c r="BT60" s="1254" t="n"/>
      <c r="BU60" s="674" t="n"/>
      <c r="BV60" s="674" t="n"/>
      <c r="BW60" s="674" t="n"/>
      <c r="BX60" s="674" t="n"/>
      <c r="BY60" s="1254" t="n"/>
      <c r="BZ60" s="1254" t="n"/>
      <c r="CA60" s="1254" t="n"/>
      <c r="CB60" s="1254" t="n"/>
      <c r="CC60" s="750" t="n"/>
    </row>
    <row r="61" ht="15" customFormat="1" customHeight="1" s="1561">
      <c r="A61" s="1669" t="inlineStr">
        <is>
          <t>EUV sales, mm</t>
        </is>
      </c>
      <c r="B61" s="1623" t="n"/>
      <c r="C61" s="1624" t="n"/>
      <c r="D61" s="1624" t="n"/>
      <c r="E61" s="1624">
        <f>E33</f>
        <v/>
      </c>
      <c r="F61" s="1624">
        <f>F33</f>
        <v/>
      </c>
      <c r="G61" s="1624">
        <f>G33</f>
        <v/>
      </c>
      <c r="H61" s="1626">
        <f>H33</f>
        <v/>
      </c>
      <c r="I61" s="1626">
        <f>I33</f>
        <v/>
      </c>
      <c r="J61" s="1626">
        <f>J33</f>
        <v/>
      </c>
      <c r="K61" s="1626">
        <f>K33</f>
        <v/>
      </c>
      <c r="L61" s="1624">
        <f>L33</f>
        <v/>
      </c>
      <c r="M61" s="1626">
        <f>M33</f>
        <v/>
      </c>
      <c r="N61" s="1626">
        <f>N33</f>
        <v/>
      </c>
      <c r="O61" s="1626">
        <f>O33</f>
        <v/>
      </c>
      <c r="P61" s="1626">
        <f>P33</f>
        <v/>
      </c>
      <c r="Q61" s="1624">
        <f>Q33</f>
        <v/>
      </c>
      <c r="R61" s="1626">
        <f>R33</f>
        <v/>
      </c>
      <c r="S61" s="1626">
        <f>S33</f>
        <v/>
      </c>
      <c r="T61" s="1626">
        <f>T33</f>
        <v/>
      </c>
      <c r="U61" s="1626">
        <f>U33</f>
        <v/>
      </c>
      <c r="V61" s="1624">
        <f>V33</f>
        <v/>
      </c>
      <c r="W61" s="1626">
        <f>W33</f>
        <v/>
      </c>
      <c r="X61" s="1626">
        <f>X33</f>
        <v/>
      </c>
      <c r="Y61" s="1626">
        <f>Y33</f>
        <v/>
      </c>
      <c r="Z61" s="1626">
        <f>Z33</f>
        <v/>
      </c>
      <c r="AA61" s="1624">
        <f>AA33</f>
        <v/>
      </c>
      <c r="AB61" s="1626">
        <f>AB33</f>
        <v/>
      </c>
      <c r="AC61" s="1626">
        <f>AC33</f>
        <v/>
      </c>
      <c r="AD61" s="1626">
        <f>AD33</f>
        <v/>
      </c>
      <c r="AE61" s="1626">
        <f>AE33</f>
        <v/>
      </c>
      <c r="AF61" s="1624">
        <f>AF33</f>
        <v/>
      </c>
      <c r="AG61" s="1626">
        <f>AG33</f>
        <v/>
      </c>
      <c r="AH61" s="1626">
        <f>AH33</f>
        <v/>
      </c>
      <c r="AI61" s="1626">
        <f>AI33</f>
        <v/>
      </c>
      <c r="AJ61" s="1626">
        <f>AJ33</f>
        <v/>
      </c>
      <c r="AK61" s="1624">
        <f>AK33</f>
        <v/>
      </c>
      <c r="AL61" s="1626">
        <f>AL33</f>
        <v/>
      </c>
      <c r="AM61" s="1626">
        <f>AM33</f>
        <v/>
      </c>
      <c r="AN61" s="1626">
        <f>AN33</f>
        <v/>
      </c>
      <c r="AO61" s="1626">
        <f>AO33</f>
        <v/>
      </c>
      <c r="AP61" s="1624">
        <f>AP33</f>
        <v/>
      </c>
      <c r="AQ61" s="1626">
        <f>AQ33</f>
        <v/>
      </c>
      <c r="AR61" s="1626">
        <f>AR33</f>
        <v/>
      </c>
      <c r="AS61" s="1626">
        <f>AS33</f>
        <v/>
      </c>
      <c r="AT61" s="1626">
        <f>AT33</f>
        <v/>
      </c>
      <c r="AU61" s="1624">
        <f>AU33</f>
        <v/>
      </c>
      <c r="AV61" s="1626">
        <f>AV33</f>
        <v/>
      </c>
      <c r="AW61" s="1626">
        <f>AW33</f>
        <v/>
      </c>
      <c r="AX61" s="1626">
        <f>AX33</f>
        <v/>
      </c>
      <c r="AY61" s="1626">
        <f>AY33</f>
        <v/>
      </c>
      <c r="AZ61" s="1624">
        <f>AZ33</f>
        <v/>
      </c>
      <c r="BA61" s="1626">
        <f>BA33</f>
        <v/>
      </c>
      <c r="BB61" s="1626">
        <f>BB33</f>
        <v/>
      </c>
      <c r="BC61" s="1626">
        <f>BC33</f>
        <v/>
      </c>
      <c r="BD61" s="1626">
        <f>BD33</f>
        <v/>
      </c>
      <c r="BE61" s="1624">
        <f>BE33</f>
        <v/>
      </c>
      <c r="BF61" s="1626">
        <f>BF33</f>
        <v/>
      </c>
      <c r="BG61" s="1626">
        <f>BG33</f>
        <v/>
      </c>
      <c r="BH61" s="1626">
        <f>BH33</f>
        <v/>
      </c>
      <c r="BI61" s="1626">
        <f>BI33</f>
        <v/>
      </c>
      <c r="BJ61" s="1624">
        <f>BJ33</f>
        <v/>
      </c>
      <c r="BK61" s="1626">
        <f>BK33</f>
        <v/>
      </c>
      <c r="BL61" s="1626">
        <f>BL33</f>
        <v/>
      </c>
      <c r="BM61" s="1626">
        <f>BM33</f>
        <v/>
      </c>
      <c r="BN61" s="1626">
        <f>BN33</f>
        <v/>
      </c>
      <c r="BO61" s="1627">
        <f>BO33</f>
        <v/>
      </c>
      <c r="BP61" s="1626">
        <f>BP33</f>
        <v/>
      </c>
      <c r="BQ61" s="1626">
        <f>BQ33</f>
        <v/>
      </c>
      <c r="BR61" s="1626">
        <f>BR33</f>
        <v/>
      </c>
      <c r="BS61" s="1626">
        <f>BS33</f>
        <v/>
      </c>
      <c r="BT61" s="1624">
        <f>BT33</f>
        <v/>
      </c>
      <c r="BU61" s="1626">
        <f>BU33</f>
        <v/>
      </c>
      <c r="BV61" s="1626">
        <f>BV33</f>
        <v/>
      </c>
      <c r="BW61" s="1626">
        <f>BW33</f>
        <v/>
      </c>
      <c r="BX61" s="1626">
        <f>BX33</f>
        <v/>
      </c>
      <c r="BY61" s="1624">
        <f>BY33</f>
        <v/>
      </c>
      <c r="BZ61" s="1624">
        <f>BZ33</f>
        <v/>
      </c>
      <c r="CA61" s="1624">
        <f>CA33</f>
        <v/>
      </c>
      <c r="CB61" s="1624">
        <f>CB33</f>
        <v/>
      </c>
      <c r="CC61" s="1564" t="n"/>
    </row>
    <row r="62" ht="15" customFormat="1" customHeight="1" s="1561">
      <c r="A62" s="1670" t="inlineStr">
        <is>
          <t>Y/Y EUV sales growth, %</t>
        </is>
      </c>
      <c r="B62" s="1671" t="n"/>
      <c r="C62" s="1249" t="n"/>
      <c r="D62" s="1249" t="n"/>
      <c r="E62" s="1249" t="n"/>
      <c r="F62" s="1249">
        <f>F61/E61-1</f>
        <v/>
      </c>
      <c r="G62" s="1249">
        <f>G61/F61-1</f>
        <v/>
      </c>
      <c r="H62" s="672" t="n"/>
      <c r="I62" s="672" t="n"/>
      <c r="J62" s="672" t="n"/>
      <c r="K62" s="672" t="n"/>
      <c r="L62" s="1249">
        <f>IFERROR(L61/G61-1,"N/A")</f>
        <v/>
      </c>
      <c r="M62" s="672">
        <f>IFERROR(M61/H61-1,"N/A")</f>
        <v/>
      </c>
      <c r="N62" s="672">
        <f>IFERROR(N61/I61-1,"N/A")</f>
        <v/>
      </c>
      <c r="O62" s="672">
        <f>IFERROR(O61/J61-1,"N/A")</f>
        <v/>
      </c>
      <c r="P62" s="672">
        <f>IFERROR(P61/K61-1,"N/A")</f>
        <v/>
      </c>
      <c r="Q62" s="1249">
        <f>IFERROR(Q61/L61-1,"N/A")</f>
        <v/>
      </c>
      <c r="R62" s="672">
        <f>IFERROR(R61/M61-1,"N/A")</f>
        <v/>
      </c>
      <c r="S62" s="672">
        <f>IFERROR(S61/N61-1,"N/A")</f>
        <v/>
      </c>
      <c r="T62" s="672">
        <f>IFERROR(T61/O61-1,"N/A")</f>
        <v/>
      </c>
      <c r="U62" s="672">
        <f>IFERROR(U61/P61-1,"N/A")</f>
        <v/>
      </c>
      <c r="V62" s="1249">
        <f>IFERROR(V61/Q61-1,"N/A")</f>
        <v/>
      </c>
      <c r="W62" s="672">
        <f>IFERROR(W61/R61-1,"N/A")</f>
        <v/>
      </c>
      <c r="X62" s="672">
        <f>IFERROR(X61/S61-1,"N/A")</f>
        <v/>
      </c>
      <c r="Y62" s="672">
        <f>IFERROR(Y61/T61-1,"N/A")</f>
        <v/>
      </c>
      <c r="Z62" s="672">
        <f>IFERROR(Z61/U61-1,"N/A")</f>
        <v/>
      </c>
      <c r="AA62" s="1249">
        <f>IFERROR(AA61/V61-1,"N/A")</f>
        <v/>
      </c>
      <c r="AB62" s="672">
        <f>IFERROR(AB61/W61-1,"N/A")</f>
        <v/>
      </c>
      <c r="AC62" s="672">
        <f>IFERROR(AC61/X61-1,"N/A")</f>
        <v/>
      </c>
      <c r="AD62" s="672">
        <f>IFERROR(AD61/Y61-1,"N/A")</f>
        <v/>
      </c>
      <c r="AE62" s="672">
        <f>IFERROR(AE61/Z61-1,"N/A")</f>
        <v/>
      </c>
      <c r="AF62" s="1249">
        <f>IFERROR(AF61/AA61-1,"N/A")</f>
        <v/>
      </c>
      <c r="AG62" s="672">
        <f>AG61/AB61-1</f>
        <v/>
      </c>
      <c r="AH62" s="672">
        <f>AH61/AC61-1</f>
        <v/>
      </c>
      <c r="AI62" s="672">
        <f>AI61/AD61-1</f>
        <v/>
      </c>
      <c r="AJ62" s="672">
        <f>AJ61/AE61-1</f>
        <v/>
      </c>
      <c r="AK62" s="1249">
        <f>AK61/AF61-1</f>
        <v/>
      </c>
      <c r="AL62" s="672">
        <f>AL61/AG61-1</f>
        <v/>
      </c>
      <c r="AM62" s="672">
        <f>AM61/AH61-1</f>
        <v/>
      </c>
      <c r="AN62" s="672">
        <f>AN61/AI61-1</f>
        <v/>
      </c>
      <c r="AO62" s="672">
        <f>AO61/AJ61-1</f>
        <v/>
      </c>
      <c r="AP62" s="1249">
        <f>AP61/AK61-1</f>
        <v/>
      </c>
      <c r="AQ62" s="672">
        <f>AQ61/AL61-1</f>
        <v/>
      </c>
      <c r="AR62" s="672">
        <f>AR61/AM61-1</f>
        <v/>
      </c>
      <c r="AS62" s="672">
        <f>AS61/AN61-1</f>
        <v/>
      </c>
      <c r="AT62" s="672">
        <f>AT61/AO61-1</f>
        <v/>
      </c>
      <c r="AU62" s="1249">
        <f>AU61/AP61-1</f>
        <v/>
      </c>
      <c r="AV62" s="672">
        <f>AV61/AQ61-1</f>
        <v/>
      </c>
      <c r="AW62" s="672">
        <f>AW61/AR61-1</f>
        <v/>
      </c>
      <c r="AX62" s="672">
        <f>AX61/AS61-1</f>
        <v/>
      </c>
      <c r="AY62" s="672">
        <f>AY61/AT61-1</f>
        <v/>
      </c>
      <c r="AZ62" s="1249">
        <f>AZ61/AU61-1</f>
        <v/>
      </c>
      <c r="BA62" s="672">
        <f>BA61/AV61-1</f>
        <v/>
      </c>
      <c r="BB62" s="672">
        <f>BB61/AW61-1</f>
        <v/>
      </c>
      <c r="BC62" s="672">
        <f>BC61/AX61-1</f>
        <v/>
      </c>
      <c r="BD62" s="672">
        <f>BD61/AY61-1</f>
        <v/>
      </c>
      <c r="BE62" s="1249">
        <f>BE61/AZ61-1</f>
        <v/>
      </c>
      <c r="BF62" s="672">
        <f>BF61/BA61-1</f>
        <v/>
      </c>
      <c r="BG62" s="672">
        <f>BG61/BB61-1</f>
        <v/>
      </c>
      <c r="BH62" s="672">
        <f>BH61/BC61-1</f>
        <v/>
      </c>
      <c r="BI62" s="672">
        <f>BI61/BD61-1</f>
        <v/>
      </c>
      <c r="BJ62" s="1249">
        <f>BJ61/BE61-1</f>
        <v/>
      </c>
      <c r="BK62" s="672">
        <f>BK61/BF61-1</f>
        <v/>
      </c>
      <c r="BL62" s="672">
        <f>BL61/BG61-1</f>
        <v/>
      </c>
      <c r="BM62" s="672">
        <f>BM61/BH61-1</f>
        <v/>
      </c>
      <c r="BN62" s="672">
        <f>BN61/BI61-1</f>
        <v/>
      </c>
      <c r="BO62" s="1248">
        <f>BO61/BJ61-1</f>
        <v/>
      </c>
      <c r="BP62" s="672">
        <f>BP61/BK61-1</f>
        <v/>
      </c>
      <c r="BQ62" s="672">
        <f>BQ61/BL61-1</f>
        <v/>
      </c>
      <c r="BR62" s="672">
        <f>BR61/BM61-1</f>
        <v/>
      </c>
      <c r="BS62" s="672">
        <f>BS61/BN61-1</f>
        <v/>
      </c>
      <c r="BT62" s="1249">
        <f>BT61/BO61-1</f>
        <v/>
      </c>
      <c r="BU62" s="672">
        <f>BU61/BP61-1</f>
        <v/>
      </c>
      <c r="BV62" s="672">
        <f>BV61/BQ61-1</f>
        <v/>
      </c>
      <c r="BW62" s="672">
        <f>BW61/BR61-1</f>
        <v/>
      </c>
      <c r="BX62" s="672">
        <f>BX61/BS61-1</f>
        <v/>
      </c>
      <c r="BY62" s="1249">
        <f>BY61/BT61-1</f>
        <v/>
      </c>
      <c r="BZ62" s="1249">
        <f>BZ61/BY61-1</f>
        <v/>
      </c>
      <c r="CA62" s="1249">
        <f>CA61/BZ61-1</f>
        <v/>
      </c>
      <c r="CB62" s="1249">
        <f>CB61/CA61-1</f>
        <v/>
      </c>
      <c r="CC62" s="1564" t="n"/>
    </row>
    <row r="63" ht="15" customFormat="1" customHeight="1" s="1561">
      <c r="A63" s="1669" t="inlineStr">
        <is>
          <t>DUV sales, mm</t>
        </is>
      </c>
      <c r="B63" s="1623" t="n"/>
      <c r="C63" s="1624" t="n"/>
      <c r="D63" s="1624" t="n"/>
      <c r="E63" s="1624">
        <f>E34+E35+E36+E37</f>
        <v/>
      </c>
      <c r="F63" s="1624">
        <f>F34+F35+F36+F37</f>
        <v/>
      </c>
      <c r="G63" s="1624">
        <f>G34+G35+G36+G37</f>
        <v/>
      </c>
      <c r="H63" s="1626">
        <f>H34+H35+H36+H37</f>
        <v/>
      </c>
      <c r="I63" s="1626">
        <f>I34+I35+I36+I37</f>
        <v/>
      </c>
      <c r="J63" s="1626">
        <f>J34+J35+J36+J37</f>
        <v/>
      </c>
      <c r="K63" s="1626">
        <f>K34+K35+K36+K37</f>
        <v/>
      </c>
      <c r="L63" s="1624">
        <f>L34+L35+L36+L37</f>
        <v/>
      </c>
      <c r="M63" s="1626">
        <f>M34+M35+M36+M37</f>
        <v/>
      </c>
      <c r="N63" s="1626">
        <f>N34+N35+N36+N37</f>
        <v/>
      </c>
      <c r="O63" s="1626">
        <f>O34+O35+O36+O37</f>
        <v/>
      </c>
      <c r="P63" s="1626">
        <f>P34+P35+P36+P37</f>
        <v/>
      </c>
      <c r="Q63" s="1624">
        <f>Q34+Q35+Q36+Q37</f>
        <v/>
      </c>
      <c r="R63" s="1626">
        <f>R34+R35+R36+R37</f>
        <v/>
      </c>
      <c r="S63" s="1626">
        <f>S34+S35+S36+S37</f>
        <v/>
      </c>
      <c r="T63" s="1626">
        <f>T34+T35+T36+T37</f>
        <v/>
      </c>
      <c r="U63" s="1626">
        <f>U34+U35+U36+U37</f>
        <v/>
      </c>
      <c r="V63" s="1624">
        <f>V34+V35+V36+V37</f>
        <v/>
      </c>
      <c r="W63" s="1626">
        <f>W34+W35+W36+W37</f>
        <v/>
      </c>
      <c r="X63" s="1626">
        <f>X34+X35+X36+X37</f>
        <v/>
      </c>
      <c r="Y63" s="1626">
        <f>Y34+Y35+Y36+Y37</f>
        <v/>
      </c>
      <c r="Z63" s="1626">
        <f>Z34+Z35+Z36+Z37</f>
        <v/>
      </c>
      <c r="AA63" s="1624">
        <f>AA34+AA35+AA36+AA37</f>
        <v/>
      </c>
      <c r="AB63" s="1626">
        <f>AB34+AB35+AB36+AB37</f>
        <v/>
      </c>
      <c r="AC63" s="1626">
        <f>AC34+AC35+AC36+AC37</f>
        <v/>
      </c>
      <c r="AD63" s="1626">
        <f>AD34+AD35+AD36+AD37</f>
        <v/>
      </c>
      <c r="AE63" s="1626">
        <f>AE34+AE35+AE36+AE37</f>
        <v/>
      </c>
      <c r="AF63" s="1624">
        <f>AF34+AF35+AF36+AF37</f>
        <v/>
      </c>
      <c r="AG63" s="1626">
        <f>AG34+AG35+AG36+AG37</f>
        <v/>
      </c>
      <c r="AH63" s="1626">
        <f>AH34+AH35+AH36+AH37</f>
        <v/>
      </c>
      <c r="AI63" s="1626">
        <f>AI34+AI35+AI36+AI37</f>
        <v/>
      </c>
      <c r="AJ63" s="1626">
        <f>AJ34+AJ35+AJ36+AJ37</f>
        <v/>
      </c>
      <c r="AK63" s="1624">
        <f>AK34+AK35+AK36+AK37</f>
        <v/>
      </c>
      <c r="AL63" s="1626">
        <f>AL34+AL35+AL36+AL37</f>
        <v/>
      </c>
      <c r="AM63" s="1626">
        <f>AM34+AM35+AM36+AM37</f>
        <v/>
      </c>
      <c r="AN63" s="1626">
        <f>AN34+AN35+AN36+AN37</f>
        <v/>
      </c>
      <c r="AO63" s="1626">
        <f>AO34+AO35+AO36+AO37</f>
        <v/>
      </c>
      <c r="AP63" s="1624">
        <f>AP34+AP35+AP36+AP37</f>
        <v/>
      </c>
      <c r="AQ63" s="1626">
        <f>AQ34+AQ35+AQ36+AQ37</f>
        <v/>
      </c>
      <c r="AR63" s="1626">
        <f>AR34+AR35+AR36+AR37</f>
        <v/>
      </c>
      <c r="AS63" s="1626">
        <f>AS34+AS35+AS36+AS37</f>
        <v/>
      </c>
      <c r="AT63" s="1626">
        <f>AT34+AT35+AT36+AT37</f>
        <v/>
      </c>
      <c r="AU63" s="1624">
        <f>AU34+AU35+AU36+AU37</f>
        <v/>
      </c>
      <c r="AV63" s="1626">
        <f>AV34+AV35+AV36+AV37</f>
        <v/>
      </c>
      <c r="AW63" s="1626">
        <f>AW34+AW35+AW36+AW37</f>
        <v/>
      </c>
      <c r="AX63" s="1626">
        <f>AX34+AX35+AX36+AX37</f>
        <v/>
      </c>
      <c r="AY63" s="1626">
        <f>AY34+AY35+AY36+AY37</f>
        <v/>
      </c>
      <c r="AZ63" s="1624">
        <f>AZ34+AZ35+AZ36+AZ37</f>
        <v/>
      </c>
      <c r="BA63" s="1626">
        <f>BA34+BA35+BA36+BA37</f>
        <v/>
      </c>
      <c r="BB63" s="1626">
        <f>BB34+BB35+BB36+BB37</f>
        <v/>
      </c>
      <c r="BC63" s="1626">
        <f>BC34+BC35+BC36+BC37</f>
        <v/>
      </c>
      <c r="BD63" s="1626">
        <f>BD34+BD35+BD36+BD37</f>
        <v/>
      </c>
      <c r="BE63" s="1624">
        <f>BE34+BE35+BE36+BE37</f>
        <v/>
      </c>
      <c r="BF63" s="1626">
        <f>BF34+BF35+BF36+BF37</f>
        <v/>
      </c>
      <c r="BG63" s="1626">
        <f>BG34+BG35+BG36+BG37</f>
        <v/>
      </c>
      <c r="BH63" s="1626">
        <f>BH34+BH35+BH36+BH37</f>
        <v/>
      </c>
      <c r="BI63" s="1626">
        <f>BI34+BI35+BI36+BI37</f>
        <v/>
      </c>
      <c r="BJ63" s="1624">
        <f>BJ34+BJ35+BJ36+BJ37</f>
        <v/>
      </c>
      <c r="BK63" s="1626">
        <f>BK34+BK35+BK36+BK37</f>
        <v/>
      </c>
      <c r="BL63" s="1626">
        <f>BL34+BL35+BL36+BL37</f>
        <v/>
      </c>
      <c r="BM63" s="1626">
        <f>BM34+BM35+BM36+BM37</f>
        <v/>
      </c>
      <c r="BN63" s="1626">
        <f>BN34+BN35+BN36+BN37</f>
        <v/>
      </c>
      <c r="BO63" s="1627">
        <f>BO34+BO35+BO36+BO37</f>
        <v/>
      </c>
      <c r="BP63" s="1626">
        <f>BP34+BP35+BP36+BP37</f>
        <v/>
      </c>
      <c r="BQ63" s="1626">
        <f>BQ34+BQ35+BQ36+BQ37</f>
        <v/>
      </c>
      <c r="BR63" s="1626">
        <f>BR34+BR35+BR36+BR37</f>
        <v/>
      </c>
      <c r="BS63" s="1626">
        <f>BS34+BS35+BS36+BS37</f>
        <v/>
      </c>
      <c r="BT63" s="1624">
        <f>BT34+BT35+BT36+BT37</f>
        <v/>
      </c>
      <c r="BU63" s="1626">
        <f>BU34+BU35+BU36+BU37</f>
        <v/>
      </c>
      <c r="BV63" s="1626">
        <f>BV34+BV35+BV36+BV37</f>
        <v/>
      </c>
      <c r="BW63" s="1626">
        <f>BW34+BW35+BW36+BW37</f>
        <v/>
      </c>
      <c r="BX63" s="1626">
        <f>BX34+BX35+BX36+BX37</f>
        <v/>
      </c>
      <c r="BY63" s="1624">
        <f>BY34+BY35+BY36+BY37</f>
        <v/>
      </c>
      <c r="BZ63" s="1624">
        <f>BZ34+BZ35+BZ36+BZ37</f>
        <v/>
      </c>
      <c r="CA63" s="1624">
        <f>CA34+CA35+CA36+CA37</f>
        <v/>
      </c>
      <c r="CB63" s="1624">
        <f>CB34+CB35+CB36+CB37</f>
        <v/>
      </c>
      <c r="CC63" s="1564" t="n"/>
    </row>
    <row r="64" ht="15" customFormat="1" customHeight="1" s="1561">
      <c r="A64" s="1670" t="inlineStr">
        <is>
          <t>Y/Y DUV sales growth, %</t>
        </is>
      </c>
      <c r="B64" s="1671" t="n"/>
      <c r="C64" s="1249" t="n"/>
      <c r="D64" s="1249" t="n"/>
      <c r="E64" s="1249" t="n"/>
      <c r="F64" s="1249">
        <f>F63/E63-1</f>
        <v/>
      </c>
      <c r="G64" s="1249">
        <f>G63/F63-1</f>
        <v/>
      </c>
      <c r="H64" s="672" t="n"/>
      <c r="I64" s="672" t="n"/>
      <c r="J64" s="672" t="n"/>
      <c r="K64" s="672" t="n"/>
      <c r="L64" s="1249">
        <f>L63/G63-1</f>
        <v/>
      </c>
      <c r="M64" s="672">
        <f>M63/H63-1</f>
        <v/>
      </c>
      <c r="N64" s="672">
        <f>N63/I63-1</f>
        <v/>
      </c>
      <c r="O64" s="672">
        <f>O63/J63-1</f>
        <v/>
      </c>
      <c r="P64" s="672">
        <f>P63/K63-1</f>
        <v/>
      </c>
      <c r="Q64" s="1249">
        <f>Q63/L63-1</f>
        <v/>
      </c>
      <c r="R64" s="672">
        <f>R63/M63-1</f>
        <v/>
      </c>
      <c r="S64" s="672">
        <f>S63/N63-1</f>
        <v/>
      </c>
      <c r="T64" s="672">
        <f>T63/O63-1</f>
        <v/>
      </c>
      <c r="U64" s="672">
        <f>U63/P63-1</f>
        <v/>
      </c>
      <c r="V64" s="1249">
        <f>V63/Q63-1</f>
        <v/>
      </c>
      <c r="W64" s="672">
        <f>W63/R63-1</f>
        <v/>
      </c>
      <c r="X64" s="672">
        <f>X63/S63-1</f>
        <v/>
      </c>
      <c r="Y64" s="672">
        <f>Y63/T63-1</f>
        <v/>
      </c>
      <c r="Z64" s="672">
        <f>Z63/U63-1</f>
        <v/>
      </c>
      <c r="AA64" s="1249">
        <f>AA63/V63-1</f>
        <v/>
      </c>
      <c r="AB64" s="672">
        <f>AB63/W63-1</f>
        <v/>
      </c>
      <c r="AC64" s="672">
        <f>AC63/X63-1</f>
        <v/>
      </c>
      <c r="AD64" s="672">
        <f>AD63/Y63-1</f>
        <v/>
      </c>
      <c r="AE64" s="672">
        <f>AE63/Z63-1</f>
        <v/>
      </c>
      <c r="AF64" s="1249">
        <f>AF63/AA63-1</f>
        <v/>
      </c>
      <c r="AG64" s="672">
        <f>AG63/AB63-1</f>
        <v/>
      </c>
      <c r="AH64" s="672">
        <f>AH63/AC63-1</f>
        <v/>
      </c>
      <c r="AI64" s="672">
        <f>AI63/AD63-1</f>
        <v/>
      </c>
      <c r="AJ64" s="672">
        <f>AJ63/AE63-1</f>
        <v/>
      </c>
      <c r="AK64" s="1249">
        <f>AK63/AF63-1</f>
        <v/>
      </c>
      <c r="AL64" s="672">
        <f>AL63/AG63-1</f>
        <v/>
      </c>
      <c r="AM64" s="672">
        <f>AM63/AH63-1</f>
        <v/>
      </c>
      <c r="AN64" s="672">
        <f>AN63/AI63-1</f>
        <v/>
      </c>
      <c r="AO64" s="672">
        <f>AO63/AJ63-1</f>
        <v/>
      </c>
      <c r="AP64" s="1249">
        <f>AP63/AK63-1</f>
        <v/>
      </c>
      <c r="AQ64" s="672">
        <f>AQ63/AL63-1</f>
        <v/>
      </c>
      <c r="AR64" s="672">
        <f>AR63/AM63-1</f>
        <v/>
      </c>
      <c r="AS64" s="672">
        <f>AS63/AN63-1</f>
        <v/>
      </c>
      <c r="AT64" s="672">
        <f>AT63/AO63-1</f>
        <v/>
      </c>
      <c r="AU64" s="1249">
        <f>AU63/AP63-1</f>
        <v/>
      </c>
      <c r="AV64" s="672">
        <f>AV63/AQ63-1</f>
        <v/>
      </c>
      <c r="AW64" s="672">
        <f>AW63/AR63-1</f>
        <v/>
      </c>
      <c r="AX64" s="672">
        <f>AX63/AS63-1</f>
        <v/>
      </c>
      <c r="AY64" s="672">
        <f>AY63/AT63-1</f>
        <v/>
      </c>
      <c r="AZ64" s="1249">
        <f>AZ63/AU63-1</f>
        <v/>
      </c>
      <c r="BA64" s="672">
        <f>BA63/AV63-1</f>
        <v/>
      </c>
      <c r="BB64" s="672">
        <f>BB63/AW63-1</f>
        <v/>
      </c>
      <c r="BC64" s="672">
        <f>BC63/AX63-1</f>
        <v/>
      </c>
      <c r="BD64" s="672">
        <f>BD63/AY63-1</f>
        <v/>
      </c>
      <c r="BE64" s="1249">
        <f>BE63/AZ63-1</f>
        <v/>
      </c>
      <c r="BF64" s="672">
        <f>BF63/BA63-1</f>
        <v/>
      </c>
      <c r="BG64" s="672">
        <f>BG63/BB63-1</f>
        <v/>
      </c>
      <c r="BH64" s="672">
        <f>BH63/BC63-1</f>
        <v/>
      </c>
      <c r="BI64" s="672">
        <f>BI63/BD63-1</f>
        <v/>
      </c>
      <c r="BJ64" s="1249">
        <f>BJ63/BE63-1</f>
        <v/>
      </c>
      <c r="BK64" s="672">
        <f>BK63/BF63-1</f>
        <v/>
      </c>
      <c r="BL64" s="672">
        <f>BL63/BG63-1</f>
        <v/>
      </c>
      <c r="BM64" s="672">
        <f>BM63/BH63-1</f>
        <v/>
      </c>
      <c r="BN64" s="672">
        <f>BN63/BI63-1</f>
        <v/>
      </c>
      <c r="BO64" s="1248">
        <f>BO63/BJ63-1</f>
        <v/>
      </c>
      <c r="BP64" s="672">
        <f>BP63/BK63-1</f>
        <v/>
      </c>
      <c r="BQ64" s="672">
        <f>BQ63/BL63-1</f>
        <v/>
      </c>
      <c r="BR64" s="672">
        <f>BR63/BM63-1</f>
        <v/>
      </c>
      <c r="BS64" s="672">
        <f>BS63/BN63-1</f>
        <v/>
      </c>
      <c r="BT64" s="1249">
        <f>BT63/BO63-1</f>
        <v/>
      </c>
      <c r="BU64" s="672">
        <f>BU63/BP63-1</f>
        <v/>
      </c>
      <c r="BV64" s="672">
        <f>BV63/BQ63-1</f>
        <v/>
      </c>
      <c r="BW64" s="672">
        <f>BW63/BR63-1</f>
        <v/>
      </c>
      <c r="BX64" s="672">
        <f>BX63/BS63-1</f>
        <v/>
      </c>
      <c r="BY64" s="1249">
        <f>BY63/BT63-1</f>
        <v/>
      </c>
      <c r="BZ64" s="1249">
        <f>BZ63/BY63-1</f>
        <v/>
      </c>
      <c r="CA64" s="1249">
        <f>CA63/BZ63-1</f>
        <v/>
      </c>
      <c r="CB64" s="1249">
        <f>CB63/CA63-1</f>
        <v/>
      </c>
      <c r="CC64" s="1564" t="n"/>
    </row>
    <row r="65" ht="15" customFormat="1" customHeight="1" s="598">
      <c r="A65" s="294" t="n"/>
      <c r="B65" s="64" t="n"/>
      <c r="C65" s="1254" t="n"/>
      <c r="D65" s="1254" t="n"/>
      <c r="E65" s="1254" t="n"/>
      <c r="F65" s="1254" t="n"/>
      <c r="G65" s="1254" t="n"/>
      <c r="H65" s="674" t="n"/>
      <c r="I65" s="674" t="n"/>
      <c r="J65" s="674" t="n"/>
      <c r="K65" s="674" t="n"/>
      <c r="L65" s="1254" t="n"/>
      <c r="M65" s="674" t="n"/>
      <c r="N65" s="674" t="n"/>
      <c r="O65" s="674" t="n"/>
      <c r="P65" s="674" t="n"/>
      <c r="Q65" s="1254" t="n"/>
      <c r="R65" s="674" t="n"/>
      <c r="S65" s="674" t="n"/>
      <c r="T65" s="674" t="n"/>
      <c r="U65" s="674" t="n"/>
      <c r="V65" s="1254" t="n"/>
      <c r="W65" s="674" t="n"/>
      <c r="X65" s="674" t="n"/>
      <c r="Y65" s="674" t="n"/>
      <c r="Z65" s="674" t="n"/>
      <c r="AA65" s="1254" t="n"/>
      <c r="AB65" s="674" t="n"/>
      <c r="AC65" s="674" t="n"/>
      <c r="AD65" s="674" t="n"/>
      <c r="AE65" s="674" t="n"/>
      <c r="AF65" s="1254" t="n"/>
      <c r="AG65" s="674" t="n"/>
      <c r="AH65" s="674" t="n"/>
      <c r="AI65" s="674" t="n"/>
      <c r="AJ65" s="674" t="n"/>
      <c r="AK65" s="1254" t="n"/>
      <c r="AL65" s="674" t="n"/>
      <c r="AM65" s="674" t="n"/>
      <c r="AN65" s="674" t="n"/>
      <c r="AO65" s="674" t="n"/>
      <c r="AP65" s="1254" t="n"/>
      <c r="AQ65" s="674" t="n"/>
      <c r="AR65" s="674" t="n"/>
      <c r="AS65" s="674" t="n"/>
      <c r="AT65" s="674" t="n"/>
      <c r="AU65" s="1254" t="n"/>
      <c r="AV65" s="674" t="n"/>
      <c r="AW65" s="674" t="n"/>
      <c r="AX65" s="674" t="n"/>
      <c r="AY65" s="674" t="n"/>
      <c r="AZ65" s="1254" t="n"/>
      <c r="BA65" s="674" t="n"/>
      <c r="BB65" s="674" t="n"/>
      <c r="BC65" s="674" t="n"/>
      <c r="BD65" s="674" t="n"/>
      <c r="BE65" s="1254" t="n"/>
      <c r="BF65" s="674" t="n"/>
      <c r="BG65" s="674" t="n"/>
      <c r="BH65" s="674" t="n"/>
      <c r="BI65" s="674" t="n"/>
      <c r="BJ65" s="1254" t="n"/>
      <c r="BK65" s="674" t="n"/>
      <c r="BL65" s="674" t="n"/>
      <c r="BM65" s="674" t="n"/>
      <c r="BN65" s="674" t="n"/>
      <c r="BO65" s="1253" t="n"/>
      <c r="BP65" s="674" t="n"/>
      <c r="BQ65" s="674" t="n"/>
      <c r="BR65" s="674" t="n"/>
      <c r="BS65" s="674" t="n"/>
      <c r="BT65" s="1254" t="n"/>
      <c r="BU65" s="674" t="n"/>
      <c r="BV65" s="674" t="n"/>
      <c r="BW65" s="674" t="n"/>
      <c r="BX65" s="674" t="n"/>
      <c r="BY65" s="1254" t="n"/>
      <c r="BZ65" s="1254" t="n"/>
      <c r="CA65" s="1254" t="n"/>
      <c r="CB65" s="1254" t="n"/>
      <c r="CC65" s="750" t="n"/>
    </row>
    <row r="66" ht="15" customFormat="1" customHeight="1" s="1574">
      <c r="A66" s="1672" t="inlineStr">
        <is>
          <t>Net deferred revenue from fast shipment, mm</t>
        </is>
      </c>
      <c r="B66" s="1673" t="n"/>
      <c r="C66" s="1674" t="n"/>
      <c r="D66" s="1674" t="n"/>
      <c r="E66" s="1674" t="n"/>
      <c r="F66" s="1674" t="n"/>
      <c r="G66" s="1674" t="n"/>
      <c r="H66" s="1675" t="n"/>
      <c r="I66" s="1675" t="n"/>
      <c r="J66" s="1675" t="n"/>
      <c r="K66" s="1675" t="n"/>
      <c r="L66" s="1674" t="n"/>
      <c r="M66" s="1675" t="n"/>
      <c r="N66" s="1675" t="n"/>
      <c r="O66" s="1675" t="n"/>
      <c r="P66" s="1675" t="n"/>
      <c r="Q66" s="1674" t="n"/>
      <c r="R66" s="1675" t="n"/>
      <c r="S66" s="1675" t="n"/>
      <c r="T66" s="1675" t="n"/>
      <c r="U66" s="1675" t="n"/>
      <c r="V66" s="1674" t="n"/>
      <c r="W66" s="1675" t="n"/>
      <c r="X66" s="1675" t="n"/>
      <c r="Y66" s="1675" t="n"/>
      <c r="Z66" s="1675" t="n"/>
      <c r="AA66" s="1674" t="n"/>
      <c r="AB66" s="1675" t="n"/>
      <c r="AC66" s="1675" t="n"/>
      <c r="AD66" s="1675" t="n"/>
      <c r="AE66" s="1675" t="n"/>
      <c r="AF66" s="1674" t="n"/>
      <c r="AG66" s="1675" t="n"/>
      <c r="AH66" s="1675" t="n"/>
      <c r="AI66" s="1675" t="n"/>
      <c r="AJ66" s="1675" t="n"/>
      <c r="AK66" s="1674" t="n"/>
      <c r="AL66" s="1675" t="n"/>
      <c r="AM66" s="1675" t="n"/>
      <c r="AN66" s="1675" t="n"/>
      <c r="AO66" s="1675" t="n"/>
      <c r="AP66" s="1674" t="n"/>
      <c r="AQ66" s="1675" t="n"/>
      <c r="AR66" s="1675" t="n"/>
      <c r="AS66" s="1675" t="n"/>
      <c r="AT66" s="1675" t="n"/>
      <c r="AU66" s="1674" t="n"/>
      <c r="AV66" s="1676" t="n">
        <v>1400</v>
      </c>
      <c r="AW66" s="1676" t="n">
        <v>300</v>
      </c>
      <c r="AX66" s="1676" t="n">
        <v>200</v>
      </c>
      <c r="AY66" s="1676" t="n">
        <v>1000</v>
      </c>
      <c r="AZ66" s="1677" t="n">
        <v>2800</v>
      </c>
      <c r="BA66" s="1675" t="n"/>
      <c r="BB66" s="1675" t="n"/>
      <c r="BC66" s="1675" t="n"/>
      <c r="BD66" s="1675" t="n"/>
      <c r="BE66" s="1674" t="n"/>
      <c r="BF66" s="1675" t="n"/>
      <c r="BG66" s="1675" t="n"/>
      <c r="BH66" s="1675" t="n"/>
      <c r="BI66" s="1675" t="n"/>
      <c r="BJ66" s="1674" t="n"/>
      <c r="BK66" s="1675" t="n"/>
      <c r="BL66" s="1675" t="n"/>
      <c r="BM66" s="1675" t="n"/>
      <c r="BN66" s="1675" t="n"/>
      <c r="BO66" s="1678" t="n"/>
      <c r="BP66" s="1675" t="n"/>
      <c r="BQ66" s="1675" t="n"/>
      <c r="BR66" s="1675" t="n"/>
      <c r="BS66" s="1675" t="n"/>
      <c r="BT66" s="1674" t="n"/>
      <c r="BU66" s="1675" t="n"/>
      <c r="BV66" s="1675" t="n"/>
      <c r="BW66" s="1675" t="n"/>
      <c r="BX66" s="1675" t="n"/>
      <c r="BY66" s="1674" t="n"/>
      <c r="BZ66" s="1674" t="n"/>
      <c r="CA66" s="1674" t="n"/>
      <c r="CB66" s="1674" t="n"/>
      <c r="CC66" s="1582" t="n"/>
    </row>
    <row r="67" ht="15" customFormat="1" customHeight="1" s="1574">
      <c r="A67" s="1672" t="inlineStr">
        <is>
          <t>Normalized revenue, mm</t>
        </is>
      </c>
      <c r="B67" s="1673" t="n"/>
      <c r="C67" s="1674" t="n"/>
      <c r="D67" s="1674" t="n"/>
      <c r="E67" s="1674" t="n"/>
      <c r="F67" s="1674" t="n"/>
      <c r="G67" s="1674" t="n"/>
      <c r="H67" s="1675" t="n"/>
      <c r="I67" s="1675" t="n"/>
      <c r="J67" s="1675" t="n"/>
      <c r="K67" s="1675" t="n"/>
      <c r="L67" s="1674" t="n"/>
      <c r="M67" s="1675" t="n"/>
      <c r="N67" s="1675" t="n"/>
      <c r="O67" s="1675" t="n"/>
      <c r="P67" s="1675" t="n"/>
      <c r="Q67" s="1674" t="n"/>
      <c r="R67" s="1675" t="n"/>
      <c r="S67" s="1675" t="n"/>
      <c r="T67" s="1675" t="n"/>
      <c r="U67" s="1675" t="n"/>
      <c r="V67" s="1674" t="n"/>
      <c r="W67" s="1675" t="n"/>
      <c r="X67" s="1675" t="n"/>
      <c r="Y67" s="1675" t="n"/>
      <c r="Z67" s="1675" t="n"/>
      <c r="AA67" s="1674" t="n"/>
      <c r="AB67" s="1675" t="n"/>
      <c r="AC67" s="1675" t="n"/>
      <c r="AD67" s="1675" t="n"/>
      <c r="AE67" s="1675" t="n"/>
      <c r="AF67" s="1674" t="n"/>
      <c r="AG67" s="1675" t="n"/>
      <c r="AH67" s="1675" t="n"/>
      <c r="AI67" s="1675" t="n"/>
      <c r="AJ67" s="1675" t="n"/>
      <c r="AK67" s="1674" t="n"/>
      <c r="AL67" s="1675" t="n"/>
      <c r="AM67" s="1675" t="n"/>
      <c r="AN67" s="1675" t="n"/>
      <c r="AO67" s="1675" t="n"/>
      <c r="AP67" s="1674" t="n"/>
      <c r="AQ67" s="1675" t="n"/>
      <c r="AR67" s="1675" t="n"/>
      <c r="AS67" s="1675" t="n"/>
      <c r="AT67" s="1675" t="n"/>
      <c r="AU67" s="1674" t="n"/>
      <c r="AV67" s="1676" t="n">
        <v>4900</v>
      </c>
      <c r="AW67" s="1676" t="n">
        <v>5700</v>
      </c>
      <c r="AX67" s="1676" t="n">
        <v>6000</v>
      </c>
      <c r="AY67" s="1676" t="n">
        <v>7400</v>
      </c>
      <c r="AZ67" s="1677" t="n">
        <v>24000</v>
      </c>
      <c r="BA67" s="1675" t="n"/>
      <c r="BB67" s="1675" t="n"/>
      <c r="BC67" s="1675" t="n"/>
      <c r="BD67" s="1675" t="n"/>
      <c r="BE67" s="1674" t="n"/>
      <c r="BF67" s="1675" t="n"/>
      <c r="BG67" s="1675" t="n"/>
      <c r="BH67" s="1675" t="n"/>
      <c r="BI67" s="1675" t="n"/>
      <c r="BJ67" s="1674" t="n"/>
      <c r="BK67" s="1675" t="n"/>
      <c r="BL67" s="1675" t="n"/>
      <c r="BM67" s="1675" t="n"/>
      <c r="BN67" s="1675" t="n"/>
      <c r="BO67" s="1678" t="n"/>
      <c r="BP67" s="1675" t="n"/>
      <c r="BQ67" s="1675" t="n"/>
      <c r="BR67" s="1675" t="n"/>
      <c r="BS67" s="1675" t="n"/>
      <c r="BT67" s="1674" t="n"/>
      <c r="BU67" s="1675" t="n"/>
      <c r="BV67" s="1675" t="n"/>
      <c r="BW67" s="1675" t="n"/>
      <c r="BX67" s="1675" t="n"/>
      <c r="BY67" s="1674" t="n"/>
      <c r="BZ67" s="1674" t="n"/>
      <c r="CA67" s="1674" t="n"/>
      <c r="CB67" s="1674" t="n"/>
      <c r="CC67" s="1582" t="n"/>
    </row>
    <row r="68" ht="15" customFormat="1" customHeight="1" s="1574">
      <c r="A68" s="1672" t="n"/>
      <c r="B68" s="1673" t="n"/>
      <c r="C68" s="1674" t="n"/>
      <c r="D68" s="1674" t="n"/>
      <c r="E68" s="1674" t="n"/>
      <c r="F68" s="1674" t="n"/>
      <c r="G68" s="1674" t="n"/>
      <c r="H68" s="1675" t="n"/>
      <c r="I68" s="1675" t="n"/>
      <c r="J68" s="1675" t="n"/>
      <c r="K68" s="1675" t="n"/>
      <c r="L68" s="1674" t="n"/>
      <c r="M68" s="1675" t="n"/>
      <c r="N68" s="1675" t="n"/>
      <c r="O68" s="1675" t="n"/>
      <c r="P68" s="1675" t="n"/>
      <c r="Q68" s="1674" t="n"/>
      <c r="R68" s="1675" t="n"/>
      <c r="S68" s="1675" t="n"/>
      <c r="T68" s="1675" t="n"/>
      <c r="U68" s="1675" t="n"/>
      <c r="V68" s="1674" t="n"/>
      <c r="W68" s="1675" t="n"/>
      <c r="X68" s="1675" t="n"/>
      <c r="Y68" s="1675" t="n"/>
      <c r="Z68" s="1675" t="n"/>
      <c r="AA68" s="1674" t="n"/>
      <c r="AB68" s="1675" t="n"/>
      <c r="AC68" s="1675" t="n"/>
      <c r="AD68" s="1675" t="n"/>
      <c r="AE68" s="1675" t="n"/>
      <c r="AF68" s="1674" t="n"/>
      <c r="AG68" s="1675" t="n"/>
      <c r="AH68" s="1675" t="n"/>
      <c r="AI68" s="1675" t="n"/>
      <c r="AJ68" s="1675" t="n"/>
      <c r="AK68" s="1674" t="n"/>
      <c r="AL68" s="1675" t="n"/>
      <c r="AM68" s="1675" t="n"/>
      <c r="AN68" s="1675" t="n"/>
      <c r="AO68" s="1675" t="n"/>
      <c r="AP68" s="1674" t="n"/>
      <c r="AQ68" s="1675" t="n"/>
      <c r="AR68" s="1675" t="n"/>
      <c r="AS68" s="1675" t="n"/>
      <c r="AT68" s="1675" t="n"/>
      <c r="AU68" s="1674" t="n"/>
      <c r="AV68" s="1675" t="n"/>
      <c r="AW68" s="1675" t="n"/>
      <c r="AX68" s="1675" t="n"/>
      <c r="AY68" s="1675" t="n"/>
      <c r="AZ68" s="1674" t="n"/>
      <c r="BA68" s="1675" t="n"/>
      <c r="BB68" s="1675" t="n"/>
      <c r="BC68" s="1675" t="n"/>
      <c r="BD68" s="1675" t="n"/>
      <c r="BE68" s="1674" t="n"/>
      <c r="BF68" s="1675" t="n"/>
      <c r="BG68" s="1675" t="n"/>
      <c r="BH68" s="1675" t="n"/>
      <c r="BI68" s="1675" t="n"/>
      <c r="BJ68" s="1674" t="n"/>
      <c r="BK68" s="1675" t="n"/>
      <c r="BL68" s="1675" t="n"/>
      <c r="BM68" s="1675" t="n"/>
      <c r="BN68" s="1675" t="n"/>
      <c r="BO68" s="1678" t="n"/>
      <c r="BP68" s="1675" t="n"/>
      <c r="BQ68" s="1675" t="n"/>
      <c r="BR68" s="1675" t="n"/>
      <c r="BS68" s="1675" t="n"/>
      <c r="BT68" s="1674" t="n"/>
      <c r="BU68" s="1675" t="n"/>
      <c r="BV68" s="1675" t="n"/>
      <c r="BW68" s="1675" t="n"/>
      <c r="BX68" s="1675" t="n"/>
      <c r="BY68" s="1674" t="n"/>
      <c r="BZ68" s="1674" t="n"/>
      <c r="CA68" s="1674" t="n"/>
      <c r="CB68" s="1674" t="n"/>
      <c r="CC68" s="1582" t="n"/>
    </row>
    <row r="69" ht="15" customFormat="1" customHeight="1" s="1628">
      <c r="A69" s="1679" t="inlineStr">
        <is>
          <t>Operating Expense Forecasting</t>
        </is>
      </c>
      <c r="B69" s="1679" t="n"/>
      <c r="C69" s="1679" t="n"/>
      <c r="D69" s="1679" t="n"/>
      <c r="E69" s="1679" t="n"/>
      <c r="F69" s="1679" t="n"/>
      <c r="G69" s="1679" t="n"/>
      <c r="H69" s="1679" t="n"/>
      <c r="I69" s="1679" t="n"/>
      <c r="J69" s="1679" t="n"/>
      <c r="K69" s="1679" t="n"/>
      <c r="L69" s="1679" t="n"/>
      <c r="M69" s="1679" t="n"/>
      <c r="N69" s="1679" t="n"/>
      <c r="O69" s="1679" t="n"/>
      <c r="P69" s="1679" t="n"/>
      <c r="Q69" s="1679" t="n"/>
      <c r="R69" s="1679" t="n"/>
      <c r="S69" s="1679" t="n"/>
      <c r="T69" s="1679" t="n"/>
      <c r="U69" s="1679" t="n"/>
      <c r="V69" s="1679" t="n"/>
      <c r="W69" s="1679" t="n"/>
      <c r="X69" s="1679" t="n"/>
      <c r="Y69" s="1679" t="n"/>
      <c r="Z69" s="1679" t="n"/>
      <c r="AA69" s="1679" t="n"/>
      <c r="AB69" s="1679" t="n"/>
      <c r="AC69" s="1679" t="n"/>
      <c r="AD69" s="1679" t="n"/>
      <c r="AE69" s="1679" t="n"/>
      <c r="AF69" s="1679" t="n"/>
      <c r="AG69" s="1679" t="n"/>
      <c r="AH69" s="1679" t="n"/>
      <c r="AI69" s="1679" t="n"/>
      <c r="AJ69" s="1679" t="n"/>
      <c r="AK69" s="1679" t="n"/>
      <c r="AL69" s="1679" t="n"/>
      <c r="AM69" s="1679" t="n"/>
      <c r="AN69" s="1679" t="n"/>
      <c r="AO69" s="1679" t="n"/>
      <c r="AP69" s="1679" t="n"/>
      <c r="AQ69" s="1679" t="n"/>
      <c r="AR69" s="1679" t="n"/>
      <c r="AS69" s="1679" t="n"/>
      <c r="AT69" s="1679" t="n"/>
      <c r="AU69" s="1679" t="n"/>
      <c r="AV69" s="1679" t="n"/>
      <c r="AW69" s="1679" t="n"/>
      <c r="AX69" s="1679" t="n"/>
      <c r="AY69" s="1679" t="n"/>
      <c r="AZ69" s="1679" t="n"/>
      <c r="BA69" s="1679" t="n"/>
      <c r="BB69" s="1679" t="n"/>
      <c r="BC69" s="1679" t="n"/>
      <c r="BD69" s="1679" t="n"/>
      <c r="BE69" s="1679" t="n"/>
      <c r="BF69" s="1679" t="n"/>
      <c r="BG69" s="1679" t="n"/>
      <c r="BH69" s="1679" t="n"/>
      <c r="BI69" s="1679" t="n"/>
      <c r="BJ69" s="1679" t="n"/>
      <c r="BK69" s="1679" t="n"/>
      <c r="BL69" s="1679" t="n"/>
      <c r="BM69" s="1679" t="n"/>
      <c r="BN69" s="1679" t="n"/>
      <c r="BO69" s="1680" t="n"/>
      <c r="BP69" s="1679" t="n"/>
      <c r="BQ69" s="1679" t="n"/>
      <c r="BR69" s="1679" t="n"/>
      <c r="BS69" s="1679" t="n"/>
      <c r="BT69" s="1679" t="n"/>
      <c r="BU69" s="1679" t="n"/>
      <c r="BV69" s="1679" t="n"/>
      <c r="BW69" s="1679" t="n"/>
      <c r="BX69" s="1679" t="n"/>
      <c r="BY69" s="1679" t="n"/>
      <c r="BZ69" s="1679" t="n"/>
      <c r="CA69" s="1679" t="n"/>
      <c r="CB69" s="1679" t="n"/>
      <c r="CC69" s="1634" t="n"/>
    </row>
    <row r="70" hidden="1" outlineLevel="1" ht="15" customFormat="1" customHeight="1" s="1628">
      <c r="A70" s="1681" t="inlineStr">
        <is>
          <t>Revenue, mm</t>
        </is>
      </c>
      <c r="B70" s="1682" t="n"/>
      <c r="C70" s="1683">
        <f>C329</f>
        <v/>
      </c>
      <c r="D70" s="1683">
        <f>D329</f>
        <v/>
      </c>
      <c r="E70" s="1683">
        <f>E329</f>
        <v/>
      </c>
      <c r="F70" s="1683">
        <f>F329</f>
        <v/>
      </c>
      <c r="G70" s="1683">
        <f>G329</f>
        <v/>
      </c>
      <c r="H70" s="1684">
        <f>H329</f>
        <v/>
      </c>
      <c r="I70" s="1684">
        <f>I329</f>
        <v/>
      </c>
      <c r="J70" s="1684">
        <f>J329</f>
        <v/>
      </c>
      <c r="K70" s="1684">
        <f>K329</f>
        <v/>
      </c>
      <c r="L70" s="1683">
        <f>L329</f>
        <v/>
      </c>
      <c r="M70" s="1684">
        <f>M329</f>
        <v/>
      </c>
      <c r="N70" s="1684">
        <f>N329</f>
        <v/>
      </c>
      <c r="O70" s="1684">
        <f>O329</f>
        <v/>
      </c>
      <c r="P70" s="1684">
        <f>P329</f>
        <v/>
      </c>
      <c r="Q70" s="1683">
        <f>Q329</f>
        <v/>
      </c>
      <c r="R70" s="1684">
        <f>R329</f>
        <v/>
      </c>
      <c r="S70" s="1684">
        <f>S329</f>
        <v/>
      </c>
      <c r="T70" s="1684">
        <f>T329</f>
        <v/>
      </c>
      <c r="U70" s="1684">
        <f>U329</f>
        <v/>
      </c>
      <c r="V70" s="1683">
        <f>V329</f>
        <v/>
      </c>
      <c r="W70" s="1684">
        <f>W329</f>
        <v/>
      </c>
      <c r="X70" s="1684">
        <f>X329</f>
        <v/>
      </c>
      <c r="Y70" s="1684">
        <f>Y329</f>
        <v/>
      </c>
      <c r="Z70" s="1684">
        <f>Z329</f>
        <v/>
      </c>
      <c r="AA70" s="1683">
        <f>AA329</f>
        <v/>
      </c>
      <c r="AB70" s="1684">
        <f>AB329</f>
        <v/>
      </c>
      <c r="AC70" s="1684">
        <f>AC329</f>
        <v/>
      </c>
      <c r="AD70" s="1684">
        <f>AD329</f>
        <v/>
      </c>
      <c r="AE70" s="1684">
        <f>AE329</f>
        <v/>
      </c>
      <c r="AF70" s="1683">
        <f>AF329</f>
        <v/>
      </c>
      <c r="AG70" s="1684">
        <f>AG329</f>
        <v/>
      </c>
      <c r="AH70" s="1684">
        <f>AH329</f>
        <v/>
      </c>
      <c r="AI70" s="1684">
        <f>AI329</f>
        <v/>
      </c>
      <c r="AJ70" s="1684">
        <f>AJ329</f>
        <v/>
      </c>
      <c r="AK70" s="1683">
        <f>AK329</f>
        <v/>
      </c>
      <c r="AL70" s="1684">
        <f>AL329</f>
        <v/>
      </c>
      <c r="AM70" s="1684">
        <f>AM329</f>
        <v/>
      </c>
      <c r="AN70" s="1684">
        <f>AN329</f>
        <v/>
      </c>
      <c r="AO70" s="1684">
        <f>AO329</f>
        <v/>
      </c>
      <c r="AP70" s="1683">
        <f>AP329</f>
        <v/>
      </c>
      <c r="AQ70" s="1684">
        <f>AQ329</f>
        <v/>
      </c>
      <c r="AR70" s="1684">
        <f>AR329</f>
        <v/>
      </c>
      <c r="AS70" s="1684">
        <f>AS329</f>
        <v/>
      </c>
      <c r="AT70" s="1684">
        <f>AT329</f>
        <v/>
      </c>
      <c r="AU70" s="1683">
        <f>AU329</f>
        <v/>
      </c>
      <c r="AV70" s="1684">
        <f>AV329</f>
        <v/>
      </c>
      <c r="AW70" s="1684">
        <f>AW329</f>
        <v/>
      </c>
      <c r="AX70" s="1684">
        <f>AX329</f>
        <v/>
      </c>
      <c r="AY70" s="1684">
        <f>AY329</f>
        <v/>
      </c>
      <c r="AZ70" s="1683">
        <f>AZ329</f>
        <v/>
      </c>
      <c r="BA70" s="1684">
        <f>BA329</f>
        <v/>
      </c>
      <c r="BB70" s="1684">
        <f>BB329</f>
        <v/>
      </c>
      <c r="BC70" s="1684">
        <f>BC329</f>
        <v/>
      </c>
      <c r="BD70" s="1684">
        <f>BD329</f>
        <v/>
      </c>
      <c r="BE70" s="1683">
        <f>BE329</f>
        <v/>
      </c>
      <c r="BF70" s="1684">
        <f>BF329</f>
        <v/>
      </c>
      <c r="BG70" s="1684">
        <f>BG329</f>
        <v/>
      </c>
      <c r="BH70" s="1684">
        <f>BH329</f>
        <v/>
      </c>
      <c r="BI70" s="1684">
        <f>BI329</f>
        <v/>
      </c>
      <c r="BJ70" s="1683">
        <f>BJ329</f>
        <v/>
      </c>
      <c r="BK70" s="1684">
        <f>BK329</f>
        <v/>
      </c>
      <c r="BL70" s="1684">
        <f>BL329</f>
        <v/>
      </c>
      <c r="BM70" s="1684">
        <f>BM329</f>
        <v/>
      </c>
      <c r="BN70" s="1684">
        <f>BN329</f>
        <v/>
      </c>
      <c r="BO70" s="1685">
        <f>BO329</f>
        <v/>
      </c>
      <c r="BP70" s="1684">
        <f>BP41</f>
        <v/>
      </c>
      <c r="BQ70" s="1684">
        <f>BQ41</f>
        <v/>
      </c>
      <c r="BR70" s="1684">
        <f>BR41</f>
        <v/>
      </c>
      <c r="BS70" s="1684">
        <f>BS41</f>
        <v/>
      </c>
      <c r="BT70" s="1683">
        <f>BT41</f>
        <v/>
      </c>
      <c r="BU70" s="1684">
        <f>BU41</f>
        <v/>
      </c>
      <c r="BV70" s="1684">
        <f>BV41</f>
        <v/>
      </c>
      <c r="BW70" s="1684">
        <f>BW41</f>
        <v/>
      </c>
      <c r="BX70" s="1684">
        <f>BX41</f>
        <v/>
      </c>
      <c r="BY70" s="1683">
        <f>BY41</f>
        <v/>
      </c>
      <c r="BZ70" s="1683">
        <f>BZ41</f>
        <v/>
      </c>
      <c r="CA70" s="1683">
        <f>CA41</f>
        <v/>
      </c>
      <c r="CB70" s="1683">
        <f>CB41</f>
        <v/>
      </c>
      <c r="CC70" s="1634" t="n"/>
    </row>
    <row r="71" hidden="1" outlineLevel="1" ht="15" customFormat="1" customHeight="1" s="1561">
      <c r="A71" s="1686" t="inlineStr">
        <is>
          <t>COGS, mm</t>
        </is>
      </c>
      <c r="B71" s="1687" t="n"/>
      <c r="C71" s="1688">
        <f>C70-C72</f>
        <v/>
      </c>
      <c r="D71" s="1688">
        <f>D70-D72</f>
        <v/>
      </c>
      <c r="E71" s="1688">
        <f>E70-E72</f>
        <v/>
      </c>
      <c r="F71" s="1688">
        <f>F70-F72</f>
        <v/>
      </c>
      <c r="G71" s="1688">
        <f>G70-G72</f>
        <v/>
      </c>
      <c r="H71" s="1689">
        <f>H70-H72</f>
        <v/>
      </c>
      <c r="I71" s="1689">
        <f>I70-I72</f>
        <v/>
      </c>
      <c r="J71" s="1689">
        <f>J70-J72</f>
        <v/>
      </c>
      <c r="K71" s="1689">
        <f>K70-K72</f>
        <v/>
      </c>
      <c r="L71" s="1688">
        <f>L70-L72</f>
        <v/>
      </c>
      <c r="M71" s="1689">
        <f>M70-M72</f>
        <v/>
      </c>
      <c r="N71" s="1689">
        <f>N70-N72</f>
        <v/>
      </c>
      <c r="O71" s="1689">
        <f>O70-O72</f>
        <v/>
      </c>
      <c r="P71" s="1689">
        <f>P70-P72</f>
        <v/>
      </c>
      <c r="Q71" s="1688">
        <f>Q70-Q72</f>
        <v/>
      </c>
      <c r="R71" s="1689">
        <f>R70-R72</f>
        <v/>
      </c>
      <c r="S71" s="1689">
        <f>S70-S72</f>
        <v/>
      </c>
      <c r="T71" s="1689">
        <f>T70-T72</f>
        <v/>
      </c>
      <c r="U71" s="1689">
        <f>U70-U72</f>
        <v/>
      </c>
      <c r="V71" s="1688">
        <f>V70-V72</f>
        <v/>
      </c>
      <c r="W71" s="1689">
        <f>W70-W72</f>
        <v/>
      </c>
      <c r="X71" s="1689">
        <f>X70-X72</f>
        <v/>
      </c>
      <c r="Y71" s="1689">
        <f>Y70-Y72</f>
        <v/>
      </c>
      <c r="Z71" s="1689">
        <f>Z70-Z72</f>
        <v/>
      </c>
      <c r="AA71" s="1688">
        <f>AA70-AA72</f>
        <v/>
      </c>
      <c r="AB71" s="1689">
        <f>AB70-AB72</f>
        <v/>
      </c>
      <c r="AC71" s="1689">
        <f>AC70-AC72</f>
        <v/>
      </c>
      <c r="AD71" s="1689">
        <f>AD70-AD72</f>
        <v/>
      </c>
      <c r="AE71" s="1689">
        <f>AE70-AE72</f>
        <v/>
      </c>
      <c r="AF71" s="1688">
        <f>AF70-AF72</f>
        <v/>
      </c>
      <c r="AG71" s="1689">
        <f>AG70-AG72</f>
        <v/>
      </c>
      <c r="AH71" s="1689">
        <f>AH70-AH72</f>
        <v/>
      </c>
      <c r="AI71" s="1689">
        <f>AI70-AI72</f>
        <v/>
      </c>
      <c r="AJ71" s="1689">
        <f>AJ70-AJ72</f>
        <v/>
      </c>
      <c r="AK71" s="1688">
        <f>AK70-AK72</f>
        <v/>
      </c>
      <c r="AL71" s="1689">
        <f>AL70-AL72</f>
        <v/>
      </c>
      <c r="AM71" s="1689">
        <f>AM70-AM72</f>
        <v/>
      </c>
      <c r="AN71" s="1689">
        <f>AN70-AN72</f>
        <v/>
      </c>
      <c r="AO71" s="1689">
        <f>AO70-AO72</f>
        <v/>
      </c>
      <c r="AP71" s="1688">
        <f>AP70-AP72</f>
        <v/>
      </c>
      <c r="AQ71" s="1689">
        <f>AQ70-AQ72</f>
        <v/>
      </c>
      <c r="AR71" s="1689">
        <f>AR70-AR72</f>
        <v/>
      </c>
      <c r="AS71" s="1689">
        <f>AS70-AS72</f>
        <v/>
      </c>
      <c r="AT71" s="1689">
        <f>AT70-AT72</f>
        <v/>
      </c>
      <c r="AU71" s="1688">
        <f>AU70-AU72</f>
        <v/>
      </c>
      <c r="AV71" s="1689">
        <f>AV70-AV72</f>
        <v/>
      </c>
      <c r="AW71" s="1689">
        <f>AW70-AW72</f>
        <v/>
      </c>
      <c r="AX71" s="1689">
        <f>AX70-AX72</f>
        <v/>
      </c>
      <c r="AY71" s="1689">
        <f>AY70-AY72</f>
        <v/>
      </c>
      <c r="AZ71" s="1688">
        <f>AZ70-AZ72</f>
        <v/>
      </c>
      <c r="BA71" s="1689">
        <f>BA70-BA72</f>
        <v/>
      </c>
      <c r="BB71" s="1689">
        <f>BB70-BB72</f>
        <v/>
      </c>
      <c r="BC71" s="1689">
        <f>BC70-BC72</f>
        <v/>
      </c>
      <c r="BD71" s="1689">
        <f>BD70-BD72</f>
        <v/>
      </c>
      <c r="BE71" s="1688">
        <f>BE70-BE72</f>
        <v/>
      </c>
      <c r="BF71" s="1689">
        <f>BF70-BF72</f>
        <v/>
      </c>
      <c r="BG71" s="1689">
        <f>BG70-BG72</f>
        <v/>
      </c>
      <c r="BH71" s="1689">
        <f>BH70-BH72</f>
        <v/>
      </c>
      <c r="BI71" s="1689">
        <f>BI70-BI72</f>
        <v/>
      </c>
      <c r="BJ71" s="1688">
        <f>BJ70-BJ72</f>
        <v/>
      </c>
      <c r="BK71" s="1689">
        <f>BK70-BK72</f>
        <v/>
      </c>
      <c r="BL71" s="1689">
        <f>BL70-BL72</f>
        <v/>
      </c>
      <c r="BM71" s="1689">
        <f>BM70-BM72</f>
        <v/>
      </c>
      <c r="BN71" s="1689">
        <f>BN70-BN72</f>
        <v/>
      </c>
      <c r="BO71" s="1690">
        <f>BO70-BO72</f>
        <v/>
      </c>
      <c r="BP71" s="1689">
        <f>BP70-BP72</f>
        <v/>
      </c>
      <c r="BQ71" s="1689">
        <f>BQ70-BQ72</f>
        <v/>
      </c>
      <c r="BR71" s="1689">
        <f>BR70-BR72</f>
        <v/>
      </c>
      <c r="BS71" s="1689">
        <f>BS70-BS72</f>
        <v/>
      </c>
      <c r="BT71" s="1688">
        <f>BT70-BT72</f>
        <v/>
      </c>
      <c r="BU71" s="1689">
        <f>BU70-BU72</f>
        <v/>
      </c>
      <c r="BV71" s="1689">
        <f>BV70-BV72</f>
        <v/>
      </c>
      <c r="BW71" s="1689">
        <f>BW70-BW72</f>
        <v/>
      </c>
      <c r="BX71" s="1689">
        <f>BX70-BX72</f>
        <v/>
      </c>
      <c r="BY71" s="1688">
        <f>BY70-BY72</f>
        <v/>
      </c>
      <c r="BZ71" s="1688">
        <f>BZ70-BZ72</f>
        <v/>
      </c>
      <c r="CA71" s="1688">
        <f>CA70-CA72</f>
        <v/>
      </c>
      <c r="CB71" s="1688">
        <f>CB70-CB72</f>
        <v/>
      </c>
      <c r="CC71" s="1564" t="n"/>
    </row>
    <row r="72" collapsed="1" ht="15" customFormat="1" customHeight="1" s="1628">
      <c r="A72" s="1681" t="inlineStr">
        <is>
          <t>Gross profit, mm</t>
        </is>
      </c>
      <c r="B72" s="1682" t="n"/>
      <c r="C72" s="1683">
        <f>C333</f>
        <v/>
      </c>
      <c r="D72" s="1683">
        <f>D333</f>
        <v/>
      </c>
      <c r="E72" s="1683">
        <f>E333</f>
        <v/>
      </c>
      <c r="F72" s="1683">
        <f>F333</f>
        <v/>
      </c>
      <c r="G72" s="1683">
        <f>G333</f>
        <v/>
      </c>
      <c r="H72" s="1684">
        <f>H333</f>
        <v/>
      </c>
      <c r="I72" s="1684">
        <f>I333</f>
        <v/>
      </c>
      <c r="J72" s="1684">
        <f>J333</f>
        <v/>
      </c>
      <c r="K72" s="1684">
        <f>K333</f>
        <v/>
      </c>
      <c r="L72" s="1683">
        <f>L333</f>
        <v/>
      </c>
      <c r="M72" s="1684">
        <f>M333</f>
        <v/>
      </c>
      <c r="N72" s="1684">
        <f>N333</f>
        <v/>
      </c>
      <c r="O72" s="1684">
        <f>O333</f>
        <v/>
      </c>
      <c r="P72" s="1684">
        <f>P333</f>
        <v/>
      </c>
      <c r="Q72" s="1683">
        <f>Q333</f>
        <v/>
      </c>
      <c r="R72" s="1684">
        <f>R333</f>
        <v/>
      </c>
      <c r="S72" s="1684">
        <f>S333</f>
        <v/>
      </c>
      <c r="T72" s="1684">
        <f>T333</f>
        <v/>
      </c>
      <c r="U72" s="1684">
        <f>U333</f>
        <v/>
      </c>
      <c r="V72" s="1683">
        <f>V333</f>
        <v/>
      </c>
      <c r="W72" s="1684">
        <f>W333</f>
        <v/>
      </c>
      <c r="X72" s="1684">
        <f>X333</f>
        <v/>
      </c>
      <c r="Y72" s="1684">
        <f>Y333</f>
        <v/>
      </c>
      <c r="Z72" s="1684">
        <f>Z333</f>
        <v/>
      </c>
      <c r="AA72" s="1683">
        <f>AA333</f>
        <v/>
      </c>
      <c r="AB72" s="1684">
        <f>AB333</f>
        <v/>
      </c>
      <c r="AC72" s="1684">
        <f>AC333</f>
        <v/>
      </c>
      <c r="AD72" s="1684">
        <f>AD333</f>
        <v/>
      </c>
      <c r="AE72" s="1684">
        <f>AE333</f>
        <v/>
      </c>
      <c r="AF72" s="1683">
        <f>AF333</f>
        <v/>
      </c>
      <c r="AG72" s="1684">
        <f>AG333</f>
        <v/>
      </c>
      <c r="AH72" s="1684">
        <f>AH333</f>
        <v/>
      </c>
      <c r="AI72" s="1684">
        <f>AI333</f>
        <v/>
      </c>
      <c r="AJ72" s="1684">
        <f>AJ333</f>
        <v/>
      </c>
      <c r="AK72" s="1683">
        <f>AK333</f>
        <v/>
      </c>
      <c r="AL72" s="1684">
        <f>AL333</f>
        <v/>
      </c>
      <c r="AM72" s="1684">
        <f>AM333</f>
        <v/>
      </c>
      <c r="AN72" s="1684">
        <f>AN333</f>
        <v/>
      </c>
      <c r="AO72" s="1684">
        <f>AO333</f>
        <v/>
      </c>
      <c r="AP72" s="1683">
        <f>AP333</f>
        <v/>
      </c>
      <c r="AQ72" s="1684">
        <f>AQ333</f>
        <v/>
      </c>
      <c r="AR72" s="1684">
        <f>AR333</f>
        <v/>
      </c>
      <c r="AS72" s="1684">
        <f>AS333</f>
        <v/>
      </c>
      <c r="AT72" s="1684">
        <f>AT333</f>
        <v/>
      </c>
      <c r="AU72" s="1683">
        <f>AU333</f>
        <v/>
      </c>
      <c r="AV72" s="1684">
        <f>AV333</f>
        <v/>
      </c>
      <c r="AW72" s="1684">
        <f>AW333</f>
        <v/>
      </c>
      <c r="AX72" s="1684">
        <f>AX333</f>
        <v/>
      </c>
      <c r="AY72" s="1684">
        <f>AY333</f>
        <v/>
      </c>
      <c r="AZ72" s="1683">
        <f>AZ333</f>
        <v/>
      </c>
      <c r="BA72" s="1684">
        <f>BA333</f>
        <v/>
      </c>
      <c r="BB72" s="1684">
        <f>BB333</f>
        <v/>
      </c>
      <c r="BC72" s="1684">
        <f>BC333</f>
        <v/>
      </c>
      <c r="BD72" s="1684">
        <f>BD333</f>
        <v/>
      </c>
      <c r="BE72" s="1683">
        <f>BE333</f>
        <v/>
      </c>
      <c r="BF72" s="1684">
        <f>BF333</f>
        <v/>
      </c>
      <c r="BG72" s="1684">
        <f>BG333</f>
        <v/>
      </c>
      <c r="BH72" s="1684">
        <f>BH333</f>
        <v/>
      </c>
      <c r="BI72" s="1684">
        <f>BI333</f>
        <v/>
      </c>
      <c r="BJ72" s="1683">
        <f>BJ333</f>
        <v/>
      </c>
      <c r="BK72" s="1684">
        <f>BK333</f>
        <v/>
      </c>
      <c r="BL72" s="1684">
        <f>BL333</f>
        <v/>
      </c>
      <c r="BM72" s="1684">
        <f>BM333</f>
        <v/>
      </c>
      <c r="BN72" s="1684">
        <f>BN333</f>
        <v/>
      </c>
      <c r="BO72" s="1685">
        <f>BO333</f>
        <v/>
      </c>
      <c r="BP72" s="1684">
        <f>BP70*BP74</f>
        <v/>
      </c>
      <c r="BQ72" s="1684">
        <f>BQ70*BQ74</f>
        <v/>
      </c>
      <c r="BR72" s="1684">
        <f>BR70*BR74</f>
        <v/>
      </c>
      <c r="BS72" s="1684">
        <f>BS70*BS74</f>
        <v/>
      </c>
      <c r="BT72" s="1683">
        <f>BS72+BR72+BQ72+BP72</f>
        <v/>
      </c>
      <c r="BU72" s="1684">
        <f>BU70*BU74</f>
        <v/>
      </c>
      <c r="BV72" s="1684">
        <f>BV70*BV74</f>
        <v/>
      </c>
      <c r="BW72" s="1684">
        <f>BW70*BW74</f>
        <v/>
      </c>
      <c r="BX72" s="1684">
        <f>BX70*BX74</f>
        <v/>
      </c>
      <c r="BY72" s="1683">
        <f>BX72+BW72+BV72+BU72</f>
        <v/>
      </c>
      <c r="BZ72" s="1683">
        <f>BZ70*BZ74</f>
        <v/>
      </c>
      <c r="CA72" s="1683">
        <f>CA70*CA74</f>
        <v/>
      </c>
      <c r="CB72" s="1683">
        <f>CB70*CB74</f>
        <v/>
      </c>
      <c r="CC72" s="1634" t="n"/>
    </row>
    <row r="73" ht="15" customFormat="1" customHeight="1" s="602">
      <c r="A73" s="94" t="inlineStr">
        <is>
          <t>Y/Y Gross Profit growth, %</t>
        </is>
      </c>
      <c r="B73" s="95" t="n"/>
      <c r="C73" s="1249" t="n"/>
      <c r="D73" s="1249">
        <f>D72/C72-1</f>
        <v/>
      </c>
      <c r="E73" s="1249">
        <f>E72/D72-1</f>
        <v/>
      </c>
      <c r="F73" s="1249">
        <f>F72/E72-1</f>
        <v/>
      </c>
      <c r="G73" s="1249">
        <f>G72/F72-1</f>
        <v/>
      </c>
      <c r="H73" s="672" t="n"/>
      <c r="I73" s="672" t="n"/>
      <c r="J73" s="672" t="n"/>
      <c r="K73" s="672" t="n"/>
      <c r="L73" s="1249">
        <f>L72/G72-1</f>
        <v/>
      </c>
      <c r="M73" s="672">
        <f>M72/H72-1</f>
        <v/>
      </c>
      <c r="N73" s="672">
        <f>N72/I72-1</f>
        <v/>
      </c>
      <c r="O73" s="672">
        <f>O72/J72-1</f>
        <v/>
      </c>
      <c r="P73" s="672">
        <f>P72/K72-1</f>
        <v/>
      </c>
      <c r="Q73" s="1249">
        <f>Q72/L72-1</f>
        <v/>
      </c>
      <c r="R73" s="672">
        <f>R72/M72-1</f>
        <v/>
      </c>
      <c r="S73" s="672">
        <f>S72/N72-1</f>
        <v/>
      </c>
      <c r="T73" s="672">
        <f>T72/O72-1</f>
        <v/>
      </c>
      <c r="U73" s="672">
        <f>U72/P72-1</f>
        <v/>
      </c>
      <c r="V73" s="1249">
        <f>V72/Q72-1</f>
        <v/>
      </c>
      <c r="W73" s="672">
        <f>W72/R72-1</f>
        <v/>
      </c>
      <c r="X73" s="672">
        <f>X72/S72-1</f>
        <v/>
      </c>
      <c r="Y73" s="672">
        <f>Y72/T72-1</f>
        <v/>
      </c>
      <c r="Z73" s="672">
        <f>Z72/U72-1</f>
        <v/>
      </c>
      <c r="AA73" s="1249">
        <f>AA72/V72-1</f>
        <v/>
      </c>
      <c r="AB73" s="672">
        <f>AB72/W72-1</f>
        <v/>
      </c>
      <c r="AC73" s="672">
        <f>AC72/X72-1</f>
        <v/>
      </c>
      <c r="AD73" s="672">
        <f>AD72/Y72-1</f>
        <v/>
      </c>
      <c r="AE73" s="672">
        <f>AE72/Z72-1</f>
        <v/>
      </c>
      <c r="AF73" s="1249">
        <f>AF72/AA72-1</f>
        <v/>
      </c>
      <c r="AG73" s="672">
        <f>AG72/AB72-1</f>
        <v/>
      </c>
      <c r="AH73" s="672">
        <f>AH72/AC72-1</f>
        <v/>
      </c>
      <c r="AI73" s="672">
        <f>AI72/AD72-1</f>
        <v/>
      </c>
      <c r="AJ73" s="672">
        <f>AJ72/AE72-1</f>
        <v/>
      </c>
      <c r="AK73" s="1249">
        <f>AK72/AF72-1</f>
        <v/>
      </c>
      <c r="AL73" s="672">
        <f>AL72/AG72-1</f>
        <v/>
      </c>
      <c r="AM73" s="672">
        <f>AM72/AH72-1</f>
        <v/>
      </c>
      <c r="AN73" s="672">
        <f>AN72/AI72-1</f>
        <v/>
      </c>
      <c r="AO73" s="672">
        <f>AO72/AJ72-1</f>
        <v/>
      </c>
      <c r="AP73" s="1249">
        <f>AP72/AK72-1</f>
        <v/>
      </c>
      <c r="AQ73" s="672">
        <f>AQ72/AL72-1</f>
        <v/>
      </c>
      <c r="AR73" s="672">
        <f>AR72/AM72-1</f>
        <v/>
      </c>
      <c r="AS73" s="672">
        <f>AS72/AN72-1</f>
        <v/>
      </c>
      <c r="AT73" s="672">
        <f>AT72/AO72-1</f>
        <v/>
      </c>
      <c r="AU73" s="1249">
        <f>AU72/AP72-1</f>
        <v/>
      </c>
      <c r="AV73" s="672">
        <f>AV72/AQ72-1</f>
        <v/>
      </c>
      <c r="AW73" s="672">
        <f>AW72/AR72-1</f>
        <v/>
      </c>
      <c r="AX73" s="672">
        <f>AX72/AS72-1</f>
        <v/>
      </c>
      <c r="AY73" s="672">
        <f>AY72/AT72-1</f>
        <v/>
      </c>
      <c r="AZ73" s="1249">
        <f>AZ72/AU72-1</f>
        <v/>
      </c>
      <c r="BA73" s="672">
        <f>BA72/AV72-1</f>
        <v/>
      </c>
      <c r="BB73" s="672">
        <f>BB72/AW72-1</f>
        <v/>
      </c>
      <c r="BC73" s="672">
        <f>BC72/AX72-1</f>
        <v/>
      </c>
      <c r="BD73" s="672">
        <f>BD72/AY72-1</f>
        <v/>
      </c>
      <c r="BE73" s="1249">
        <f>BE72/AZ72-1</f>
        <v/>
      </c>
      <c r="BF73" s="672">
        <f>BF72/BA72-1</f>
        <v/>
      </c>
      <c r="BG73" s="672">
        <f>BG72/BB72-1</f>
        <v/>
      </c>
      <c r="BH73" s="672">
        <f>BH72/BC72-1</f>
        <v/>
      </c>
      <c r="BI73" s="672">
        <f>BI72/BD72-1</f>
        <v/>
      </c>
      <c r="BJ73" s="1249">
        <f>BJ72/BE72-1</f>
        <v/>
      </c>
      <c r="BK73" s="672">
        <f>BK72/BF72-1</f>
        <v/>
      </c>
      <c r="BL73" s="672">
        <f>BL72/BG72-1</f>
        <v/>
      </c>
      <c r="BM73" s="672">
        <f>BM72/BH72-1</f>
        <v/>
      </c>
      <c r="BN73" s="672">
        <f>BN72/BI72-1</f>
        <v/>
      </c>
      <c r="BO73" s="1248">
        <f>BO72/BJ72-1</f>
        <v/>
      </c>
      <c r="BP73" s="672">
        <f>BP72/BK72-1</f>
        <v/>
      </c>
      <c r="BQ73" s="672">
        <f>BQ72/BL72-1</f>
        <v/>
      </c>
      <c r="BR73" s="672">
        <f>BR72/BM72-1</f>
        <v/>
      </c>
      <c r="BS73" s="672">
        <f>BS72/BN72-1</f>
        <v/>
      </c>
      <c r="BT73" s="1249">
        <f>BT72/BO72-1</f>
        <v/>
      </c>
      <c r="BU73" s="672">
        <f>BU72/BP72-1</f>
        <v/>
      </c>
      <c r="BV73" s="672">
        <f>BV72/BQ72-1</f>
        <v/>
      </c>
      <c r="BW73" s="672">
        <f>BW72/BR72-1</f>
        <v/>
      </c>
      <c r="BX73" s="672">
        <f>BX72/BS72-1</f>
        <v/>
      </c>
      <c r="BY73" s="1249">
        <f>BY72/BT72-1</f>
        <v/>
      </c>
      <c r="BZ73" s="1249">
        <f>BZ72/BY72-1</f>
        <v/>
      </c>
      <c r="CA73" s="1249">
        <f>CA72/BZ72-1</f>
        <v/>
      </c>
      <c r="CB73" s="1249">
        <f>CB72/CA72-1</f>
        <v/>
      </c>
      <c r="CC73" s="715" t="n"/>
    </row>
    <row r="74" ht="15" customFormat="1" customHeight="1" s="607">
      <c r="A74" s="125" t="inlineStr">
        <is>
          <t>Gross Margin, %</t>
        </is>
      </c>
      <c r="B74" s="126" t="n"/>
      <c r="C74" s="1294">
        <f>C72/C70</f>
        <v/>
      </c>
      <c r="D74" s="1294">
        <f>D72/D70</f>
        <v/>
      </c>
      <c r="E74" s="1294">
        <f>E72/E70</f>
        <v/>
      </c>
      <c r="F74" s="1294">
        <f>F72/F70</f>
        <v/>
      </c>
      <c r="G74" s="1294">
        <f>G72/G70</f>
        <v/>
      </c>
      <c r="H74" s="686">
        <f>H72/H70</f>
        <v/>
      </c>
      <c r="I74" s="686">
        <f>I72/I70</f>
        <v/>
      </c>
      <c r="J74" s="686">
        <f>J72/J70</f>
        <v/>
      </c>
      <c r="K74" s="686">
        <f>K72/K70</f>
        <v/>
      </c>
      <c r="L74" s="1294">
        <f>L72/L70</f>
        <v/>
      </c>
      <c r="M74" s="686">
        <f>M72/M70</f>
        <v/>
      </c>
      <c r="N74" s="686">
        <f>N72/N70</f>
        <v/>
      </c>
      <c r="O74" s="686">
        <f>O72/O70</f>
        <v/>
      </c>
      <c r="P74" s="686">
        <f>P72/P70</f>
        <v/>
      </c>
      <c r="Q74" s="1294">
        <f>Q72/Q70</f>
        <v/>
      </c>
      <c r="R74" s="686">
        <f>R72/R70</f>
        <v/>
      </c>
      <c r="S74" s="686">
        <f>S72/S70</f>
        <v/>
      </c>
      <c r="T74" s="686">
        <f>T72/T70</f>
        <v/>
      </c>
      <c r="U74" s="686">
        <f>U72/U70</f>
        <v/>
      </c>
      <c r="V74" s="1294">
        <f>V72/V70</f>
        <v/>
      </c>
      <c r="W74" s="686">
        <f>W72/W70</f>
        <v/>
      </c>
      <c r="X74" s="686">
        <f>X72/X70</f>
        <v/>
      </c>
      <c r="Y74" s="686">
        <f>Y72/Y70</f>
        <v/>
      </c>
      <c r="Z74" s="686">
        <f>Z72/Z70</f>
        <v/>
      </c>
      <c r="AA74" s="1294">
        <f>AA72/AA70</f>
        <v/>
      </c>
      <c r="AB74" s="686">
        <f>AB72/AB70</f>
        <v/>
      </c>
      <c r="AC74" s="686">
        <f>AC72/AC70</f>
        <v/>
      </c>
      <c r="AD74" s="686">
        <f>AD72/AD70</f>
        <v/>
      </c>
      <c r="AE74" s="686">
        <f>AE72/AE70</f>
        <v/>
      </c>
      <c r="AF74" s="1294">
        <f>AF72/AF70</f>
        <v/>
      </c>
      <c r="AG74" s="686">
        <f>AG72/AG70</f>
        <v/>
      </c>
      <c r="AH74" s="686">
        <f>AH72/AH70</f>
        <v/>
      </c>
      <c r="AI74" s="686">
        <f>AI72/AI70</f>
        <v/>
      </c>
      <c r="AJ74" s="686">
        <f>AJ72/AJ70</f>
        <v/>
      </c>
      <c r="AK74" s="1294">
        <f>AK72/AK70</f>
        <v/>
      </c>
      <c r="AL74" s="686">
        <f>AL72/AL70</f>
        <v/>
      </c>
      <c r="AM74" s="686">
        <f>AM72/AM70</f>
        <v/>
      </c>
      <c r="AN74" s="686">
        <f>AN72/AN70</f>
        <v/>
      </c>
      <c r="AO74" s="686">
        <f>AO72/AO70</f>
        <v/>
      </c>
      <c r="AP74" s="1294">
        <f>AP72/AP70</f>
        <v/>
      </c>
      <c r="AQ74" s="686">
        <f>AQ72/AQ70</f>
        <v/>
      </c>
      <c r="AR74" s="686">
        <f>AR72/AR70</f>
        <v/>
      </c>
      <c r="AS74" s="686">
        <f>AS72/AS70</f>
        <v/>
      </c>
      <c r="AT74" s="686">
        <f>AT72/AT70</f>
        <v/>
      </c>
      <c r="AU74" s="1294">
        <f>AU72/AU70</f>
        <v/>
      </c>
      <c r="AV74" s="686">
        <f>AV72/AV70</f>
        <v/>
      </c>
      <c r="AW74" s="686">
        <f>AW72/AW70</f>
        <v/>
      </c>
      <c r="AX74" s="686">
        <f>AX72/AX70</f>
        <v/>
      </c>
      <c r="AY74" s="686">
        <f>AY72/AY70</f>
        <v/>
      </c>
      <c r="AZ74" s="1294">
        <f>AZ72/AZ70</f>
        <v/>
      </c>
      <c r="BA74" s="686">
        <f>BA72/BA70</f>
        <v/>
      </c>
      <c r="BB74" s="686">
        <f>BB72/BB70</f>
        <v/>
      </c>
      <c r="BC74" s="686">
        <f>BC72/BC70</f>
        <v/>
      </c>
      <c r="BD74" s="686">
        <f>BD72/BD70</f>
        <v/>
      </c>
      <c r="BE74" s="1294">
        <f>BE72/BE70</f>
        <v/>
      </c>
      <c r="BF74" s="686">
        <f>BF72/BF70</f>
        <v/>
      </c>
      <c r="BG74" s="686">
        <f>BG72/BG70</f>
        <v/>
      </c>
      <c r="BH74" s="686">
        <f>BH72/BH70</f>
        <v/>
      </c>
      <c r="BI74" s="686">
        <f>BI72/BI70</f>
        <v/>
      </c>
      <c r="BJ74" s="1294">
        <f>BJ72/BJ70</f>
        <v/>
      </c>
      <c r="BK74" s="686">
        <f>BK72/BK70</f>
        <v/>
      </c>
      <c r="BL74" s="686">
        <f>BL72/BL70</f>
        <v/>
      </c>
      <c r="BM74" s="686">
        <f>BM72/BM70</f>
        <v/>
      </c>
      <c r="BN74" s="686">
        <f>BN72/BN70</f>
        <v/>
      </c>
      <c r="BO74" s="1293">
        <f>BO72/BO70</f>
        <v/>
      </c>
      <c r="BP74" s="686">
        <f>BK74+BP76/10000</f>
        <v/>
      </c>
      <c r="BQ74" s="686">
        <f>BL74+BQ76/10000</f>
        <v/>
      </c>
      <c r="BR74" s="686">
        <f>BM74+BR76/10000</f>
        <v/>
      </c>
      <c r="BS74" s="686">
        <f>BN74+BS76/10000</f>
        <v/>
      </c>
      <c r="BT74" s="1294">
        <f>BT72/BT70</f>
        <v/>
      </c>
      <c r="BU74" s="686">
        <f>BP74+BU76/10000</f>
        <v/>
      </c>
      <c r="BV74" s="686">
        <f>BQ74+BV76/10000</f>
        <v/>
      </c>
      <c r="BW74" s="686">
        <f>BR74+BW76/10000</f>
        <v/>
      </c>
      <c r="BX74" s="686">
        <f>BS74+BX76/10000</f>
        <v/>
      </c>
      <c r="BY74" s="1294">
        <f>BY72/BY70</f>
        <v/>
      </c>
      <c r="BZ74" s="1294">
        <f>BY74+BZ76/10000</f>
        <v/>
      </c>
      <c r="CA74" s="1294">
        <f>BZ74+CA76/10000</f>
        <v/>
      </c>
      <c r="CB74" s="1294">
        <f>CA74+CB76/10000</f>
        <v/>
      </c>
      <c r="CC74" s="102" t="n"/>
    </row>
    <row r="75" ht="15" customFormat="1" customHeight="1" s="602">
      <c r="A75" s="94">
        <f>A282</f>
        <v/>
      </c>
      <c r="B75" s="95" t="n"/>
      <c r="C75" s="1249" t="n"/>
      <c r="D75" s="1249" t="n"/>
      <c r="E75" s="1249" t="n"/>
      <c r="F75" s="1249" t="n"/>
      <c r="G75" s="1249" t="n"/>
      <c r="H75" s="672" t="n"/>
      <c r="I75" s="672" t="n"/>
      <c r="J75" s="672" t="n"/>
      <c r="K75" s="672" t="n"/>
      <c r="L75" s="1249" t="n"/>
      <c r="M75" s="672" t="n"/>
      <c r="N75" s="672" t="n"/>
      <c r="O75" s="672" t="n"/>
      <c r="P75" s="672" t="n"/>
      <c r="Q75" s="1249" t="n"/>
      <c r="R75" s="672" t="n"/>
      <c r="S75" s="672" t="n"/>
      <c r="T75" s="672" t="n"/>
      <c r="U75" s="672" t="n"/>
      <c r="V75" s="1249" t="n"/>
      <c r="W75" s="672" t="n"/>
      <c r="X75" s="672" t="n"/>
      <c r="Y75" s="672" t="n"/>
      <c r="Z75" s="672" t="n"/>
      <c r="AA75" s="1249" t="n"/>
      <c r="AB75" s="672" t="n"/>
      <c r="AC75" s="672" t="n"/>
      <c r="AD75" s="672" t="n"/>
      <c r="AE75" s="672" t="n"/>
      <c r="AF75" s="1249" t="n"/>
      <c r="AG75" s="672" t="n"/>
      <c r="AH75" s="672" t="n"/>
      <c r="AI75" s="672" t="n"/>
      <c r="AJ75" s="672" t="n"/>
      <c r="AK75" s="1249" t="n"/>
      <c r="AL75" s="672" t="n"/>
      <c r="AM75" s="672" t="n"/>
      <c r="AN75" s="672" t="n"/>
      <c r="AO75" s="672" t="n"/>
      <c r="AP75" s="1249" t="n"/>
      <c r="AQ75" s="672" t="n"/>
      <c r="AR75" s="672" t="n"/>
      <c r="AS75" s="672" t="n"/>
      <c r="AT75" s="672" t="n"/>
      <c r="AU75" s="1249" t="n"/>
      <c r="AV75" s="672" t="n"/>
      <c r="AW75" s="672" t="n"/>
      <c r="AX75" s="672" t="n"/>
      <c r="AY75" s="672" t="n"/>
      <c r="AZ75" s="1249" t="n"/>
      <c r="BA75" s="672" t="n"/>
      <c r="BB75" s="672" t="n"/>
      <c r="BC75" s="672" t="n"/>
      <c r="BD75" s="672" t="n"/>
      <c r="BE75" s="1249" t="n"/>
      <c r="BF75" s="672" t="n"/>
      <c r="BG75" s="672" t="n"/>
      <c r="BH75" s="672" t="n"/>
      <c r="BI75" s="672" t="n"/>
      <c r="BJ75" s="1249" t="n"/>
      <c r="BK75" s="672" t="n"/>
      <c r="BL75" s="672" t="n"/>
      <c r="BM75" s="672" t="n"/>
      <c r="BN75" s="672" t="n"/>
      <c r="BO75" s="1248" t="n"/>
      <c r="BP75" s="672">
        <f>BP282</f>
        <v/>
      </c>
      <c r="BQ75" s="672">
        <f>BQ282</f>
        <v/>
      </c>
      <c r="BR75" s="672">
        <f>BR282</f>
        <v/>
      </c>
      <c r="BS75" s="672">
        <f>BS282</f>
        <v/>
      </c>
      <c r="BT75" s="1249">
        <f>BT282</f>
        <v/>
      </c>
      <c r="BU75" s="672">
        <f>BU282</f>
        <v/>
      </c>
      <c r="BV75" s="672">
        <f>BV282</f>
        <v/>
      </c>
      <c r="BW75" s="672">
        <f>BW282</f>
        <v/>
      </c>
      <c r="BX75" s="672">
        <f>BX282</f>
        <v/>
      </c>
      <c r="BY75" s="1249">
        <f>BY282</f>
        <v/>
      </c>
      <c r="BZ75" s="1249">
        <f>BZ282</f>
        <v/>
      </c>
      <c r="CA75" s="1249">
        <f>CA282</f>
        <v/>
      </c>
      <c r="CB75" s="1249">
        <f>CB282</f>
        <v/>
      </c>
      <c r="CC75" s="715" t="n"/>
    </row>
    <row r="76" ht="15" customFormat="1" customHeight="1" s="1574">
      <c r="A76" s="1691" t="inlineStr">
        <is>
          <t>Y/Y Gross Margin improvement, bps</t>
        </is>
      </c>
      <c r="B76" s="1576" t="n"/>
      <c r="C76" s="1577" t="n"/>
      <c r="D76" s="1577">
        <f>(D74-C74)*10000</f>
        <v/>
      </c>
      <c r="E76" s="1577">
        <f>(E74-D74)*10000</f>
        <v/>
      </c>
      <c r="F76" s="1577">
        <f>(F74-E74)*10000</f>
        <v/>
      </c>
      <c r="G76" s="1577">
        <f>(G74-F74)*10000</f>
        <v/>
      </c>
      <c r="H76" s="1578" t="n"/>
      <c r="I76" s="1578" t="n"/>
      <c r="J76" s="1578" t="n"/>
      <c r="K76" s="1578" t="n"/>
      <c r="L76" s="1577">
        <f>(L74-G74)*10000</f>
        <v/>
      </c>
      <c r="M76" s="1578">
        <f>(M74-H74)*10000</f>
        <v/>
      </c>
      <c r="N76" s="1578">
        <f>(N74-I74)*10000</f>
        <v/>
      </c>
      <c r="O76" s="1578">
        <f>(O74-J74)*10000</f>
        <v/>
      </c>
      <c r="P76" s="1578">
        <f>(P74-K74)*10000</f>
        <v/>
      </c>
      <c r="Q76" s="1577">
        <f>(Q74-L74)*10000</f>
        <v/>
      </c>
      <c r="R76" s="1578">
        <f>(R74-M74)*10000</f>
        <v/>
      </c>
      <c r="S76" s="1578">
        <f>(S74-N74)*10000</f>
        <v/>
      </c>
      <c r="T76" s="1578">
        <f>(T74-O74)*10000</f>
        <v/>
      </c>
      <c r="U76" s="1578">
        <f>(U74-P74)*10000</f>
        <v/>
      </c>
      <c r="V76" s="1577">
        <f>(V74-Q74)*10000</f>
        <v/>
      </c>
      <c r="W76" s="1578">
        <f>(W74-R74)*10000</f>
        <v/>
      </c>
      <c r="X76" s="1578">
        <f>(X74-S74)*10000</f>
        <v/>
      </c>
      <c r="Y76" s="1578">
        <f>(Y74-T74)*10000</f>
        <v/>
      </c>
      <c r="Z76" s="1578">
        <f>(Z74-U74)*10000</f>
        <v/>
      </c>
      <c r="AA76" s="1577">
        <f>(AA74-V74)*10000</f>
        <v/>
      </c>
      <c r="AB76" s="1578">
        <f>(AB74-W74)*10000</f>
        <v/>
      </c>
      <c r="AC76" s="1578">
        <f>(AC74-X74)*10000</f>
        <v/>
      </c>
      <c r="AD76" s="1578">
        <f>(AD74-Y74)*10000</f>
        <v/>
      </c>
      <c r="AE76" s="1578">
        <f>(AE74-Z74)*10000</f>
        <v/>
      </c>
      <c r="AF76" s="1577">
        <f>(AF74-AA74)*10000</f>
        <v/>
      </c>
      <c r="AG76" s="1578">
        <f>(AG74-AB74)*10000</f>
        <v/>
      </c>
      <c r="AH76" s="1578">
        <f>(AH74-AC74)*10000</f>
        <v/>
      </c>
      <c r="AI76" s="1578">
        <f>(AI74-AD74)*10000</f>
        <v/>
      </c>
      <c r="AJ76" s="1578">
        <f>(AJ74-AE74)*10000</f>
        <v/>
      </c>
      <c r="AK76" s="1577">
        <f>(AK74-AF74)*10000</f>
        <v/>
      </c>
      <c r="AL76" s="1578">
        <f>(AL74-AG74)*10000</f>
        <v/>
      </c>
      <c r="AM76" s="1578">
        <f>(AM74-AH74)*10000</f>
        <v/>
      </c>
      <c r="AN76" s="1578">
        <f>(AN74-AI74)*10000</f>
        <v/>
      </c>
      <c r="AO76" s="1578">
        <f>(AO74-AJ74)*10000</f>
        <v/>
      </c>
      <c r="AP76" s="1577">
        <f>(AP74-AK74)*10000</f>
        <v/>
      </c>
      <c r="AQ76" s="1578">
        <f>(AQ74-AL74)*10000</f>
        <v/>
      </c>
      <c r="AR76" s="1578">
        <f>(AR74-AM74)*10000</f>
        <v/>
      </c>
      <c r="AS76" s="1578">
        <f>(AS74-AN74)*10000</f>
        <v/>
      </c>
      <c r="AT76" s="1578">
        <f>(AT74-AO74)*10000</f>
        <v/>
      </c>
      <c r="AU76" s="1577">
        <f>(AU74-AP74)*10000</f>
        <v/>
      </c>
      <c r="AV76" s="1578">
        <f>(AV74-AQ74)*10000</f>
        <v/>
      </c>
      <c r="AW76" s="1578">
        <f>(AW74-AR74)*10000</f>
        <v/>
      </c>
      <c r="AX76" s="1578">
        <f>(AX74-AS74)*10000</f>
        <v/>
      </c>
      <c r="AY76" s="1578">
        <f>(AY74-AT74)*10000</f>
        <v/>
      </c>
      <c r="AZ76" s="1577">
        <f>(AZ74-AU74)*10000</f>
        <v/>
      </c>
      <c r="BA76" s="1578">
        <f>(BA74-AV74)*10000</f>
        <v/>
      </c>
      <c r="BB76" s="1578">
        <f>(BB74-AW74)*10000</f>
        <v/>
      </c>
      <c r="BC76" s="1578">
        <f>(BC74-AX74)*10000</f>
        <v/>
      </c>
      <c r="BD76" s="1578">
        <f>(BD74-AY74)*10000</f>
        <v/>
      </c>
      <c r="BE76" s="1577">
        <f>(BE74-AZ74)*10000</f>
        <v/>
      </c>
      <c r="BF76" s="1578">
        <f>(BF74-BA74)*10000</f>
        <v/>
      </c>
      <c r="BG76" s="1578">
        <f>(BG74-BB74)*10000</f>
        <v/>
      </c>
      <c r="BH76" s="1578">
        <f>(BH74-BC74)*10000</f>
        <v/>
      </c>
      <c r="BI76" s="1578">
        <f>(BI74-BD74)*10000</f>
        <v/>
      </c>
      <c r="BJ76" s="1577">
        <f>(BJ74-BE74)*10000</f>
        <v/>
      </c>
      <c r="BK76" s="1578">
        <f>(BK74-BF74)*10000</f>
        <v/>
      </c>
      <c r="BL76" s="1578">
        <f>(BL74-BG74)*10000</f>
        <v/>
      </c>
      <c r="BM76" s="1578">
        <f>(BM74-BH74)*10000</f>
        <v/>
      </c>
      <c r="BN76" s="1578">
        <f>(BN74-BI74)*10000</f>
        <v/>
      </c>
      <c r="BO76" s="1581">
        <f>(BO74-BJ74)*10000</f>
        <v/>
      </c>
      <c r="BP76" s="1579" t="n">
        <v>-200</v>
      </c>
      <c r="BQ76" s="1579" t="n">
        <v>20</v>
      </c>
      <c r="BR76" s="1579" t="n">
        <v>20</v>
      </c>
      <c r="BS76" s="1579" t="n">
        <v>20</v>
      </c>
      <c r="BT76" s="1577">
        <f>(BT74-BO74)*10000</f>
        <v/>
      </c>
      <c r="BU76" s="1579" t="n">
        <v>20</v>
      </c>
      <c r="BV76" s="1579" t="n">
        <v>250</v>
      </c>
      <c r="BW76" s="1579" t="n">
        <v>250</v>
      </c>
      <c r="BX76" s="1579" t="n">
        <v>20</v>
      </c>
      <c r="BY76" s="1577">
        <f>(BY74-BT74)*10000</f>
        <v/>
      </c>
      <c r="BZ76" s="1580" t="n">
        <v>20</v>
      </c>
      <c r="CA76" s="1580" t="n">
        <v>20</v>
      </c>
      <c r="CB76" s="1580" t="n">
        <v>20</v>
      </c>
      <c r="CC76" s="1582" t="n"/>
    </row>
    <row r="77" ht="15" customFormat="1" customHeight="1" s="598">
      <c r="A77" s="1691" t="n"/>
      <c r="B77" s="64" t="n"/>
      <c r="C77" s="1254" t="n"/>
      <c r="D77" s="1254" t="n"/>
      <c r="E77" s="1254" t="n"/>
      <c r="F77" s="1254" t="n"/>
      <c r="G77" s="1254" t="n"/>
      <c r="H77" s="674" t="n"/>
      <c r="I77" s="674" t="n"/>
      <c r="J77" s="674" t="n"/>
      <c r="K77" s="674" t="n"/>
      <c r="L77" s="1254" t="n"/>
      <c r="M77" s="674" t="n"/>
      <c r="N77" s="674" t="n"/>
      <c r="O77" s="674" t="n"/>
      <c r="P77" s="674" t="n"/>
      <c r="Q77" s="1254" t="n"/>
      <c r="R77" s="674" t="n"/>
      <c r="S77" s="674" t="n"/>
      <c r="T77" s="674" t="n"/>
      <c r="U77" s="674" t="n"/>
      <c r="V77" s="1254" t="n"/>
      <c r="W77" s="674" t="n"/>
      <c r="X77" s="674" t="n"/>
      <c r="Y77" s="674" t="n"/>
      <c r="Z77" s="674" t="n"/>
      <c r="AA77" s="1254" t="n"/>
      <c r="AB77" s="674" t="n"/>
      <c r="AC77" s="674" t="n"/>
      <c r="AD77" s="674" t="n"/>
      <c r="AE77" s="674" t="n"/>
      <c r="AF77" s="1254" t="n"/>
      <c r="AG77" s="674" t="n"/>
      <c r="AH77" s="674" t="n"/>
      <c r="AI77" s="674" t="n"/>
      <c r="AJ77" s="674" t="n"/>
      <c r="AK77" s="1254" t="n"/>
      <c r="AL77" s="674" t="n"/>
      <c r="AM77" s="674" t="n"/>
      <c r="AN77" s="674" t="n"/>
      <c r="AO77" s="674" t="n"/>
      <c r="AP77" s="1254" t="n"/>
      <c r="AQ77" s="674" t="n"/>
      <c r="AR77" s="674" t="n"/>
      <c r="AS77" s="674" t="n"/>
      <c r="AT77" s="674" t="n"/>
      <c r="AU77" s="1254" t="n"/>
      <c r="AV77" s="674" t="n"/>
      <c r="AW77" s="674" t="n"/>
      <c r="AX77" s="674" t="n"/>
      <c r="AY77" s="674" t="n"/>
      <c r="AZ77" s="1254" t="n"/>
      <c r="BA77" s="674" t="n"/>
      <c r="BB77" s="674" t="n"/>
      <c r="BC77" s="674" t="n"/>
      <c r="BD77" s="674" t="n"/>
      <c r="BE77" s="1254" t="n"/>
      <c r="BF77" s="674" t="n"/>
      <c r="BG77" s="674" t="n"/>
      <c r="BH77" s="674" t="n"/>
      <c r="BI77" s="674" t="n"/>
      <c r="BJ77" s="1254" t="n"/>
      <c r="BK77" s="674" t="n"/>
      <c r="BL77" s="674" t="n"/>
      <c r="BM77" s="674" t="n"/>
      <c r="BN77" s="674" t="n"/>
      <c r="BO77" s="1253" t="n"/>
      <c r="BP77" s="674" t="n"/>
      <c r="BQ77" s="674" t="n"/>
      <c r="BR77" s="674" t="n"/>
      <c r="BS77" s="674" t="n"/>
      <c r="BT77" s="1254" t="n"/>
      <c r="BU77" s="674" t="n"/>
      <c r="BV77" s="674" t="n"/>
      <c r="BW77" s="674" t="n"/>
      <c r="BX77" s="674" t="n"/>
      <c r="BY77" s="1254" t="n"/>
      <c r="BZ77" s="1254" t="n"/>
      <c r="CA77" s="1254" t="n"/>
      <c r="CB77" s="1254" t="n"/>
      <c r="CC77" s="750" t="n"/>
    </row>
    <row r="78" ht="15" customFormat="1" customHeight="1" s="1561">
      <c r="A78" s="1692" t="inlineStr">
        <is>
          <t>R&amp;D, mm</t>
        </is>
      </c>
      <c r="B78" s="1623" t="n"/>
      <c r="C78" s="1624">
        <f>C335</f>
        <v/>
      </c>
      <c r="D78" s="1624">
        <f>D335</f>
        <v/>
      </c>
      <c r="E78" s="1624">
        <f>E335</f>
        <v/>
      </c>
      <c r="F78" s="1624">
        <f>F335</f>
        <v/>
      </c>
      <c r="G78" s="1624">
        <f>G335</f>
        <v/>
      </c>
      <c r="H78" s="1626">
        <f>H335</f>
        <v/>
      </c>
      <c r="I78" s="1626">
        <f>I335</f>
        <v/>
      </c>
      <c r="J78" s="1626">
        <f>J335</f>
        <v/>
      </c>
      <c r="K78" s="1626">
        <f>K335</f>
        <v/>
      </c>
      <c r="L78" s="1624">
        <f>L335</f>
        <v/>
      </c>
      <c r="M78" s="1626">
        <f>M335</f>
        <v/>
      </c>
      <c r="N78" s="1626">
        <f>N335</f>
        <v/>
      </c>
      <c r="O78" s="1626">
        <f>O335</f>
        <v/>
      </c>
      <c r="P78" s="1626">
        <f>P335</f>
        <v/>
      </c>
      <c r="Q78" s="1624">
        <f>Q335</f>
        <v/>
      </c>
      <c r="R78" s="1626">
        <f>R335</f>
        <v/>
      </c>
      <c r="S78" s="1626">
        <f>S335</f>
        <v/>
      </c>
      <c r="T78" s="1626">
        <f>T335</f>
        <v/>
      </c>
      <c r="U78" s="1626">
        <f>U335</f>
        <v/>
      </c>
      <c r="V78" s="1624">
        <f>V335</f>
        <v/>
      </c>
      <c r="W78" s="1626">
        <f>W335</f>
        <v/>
      </c>
      <c r="X78" s="1626">
        <f>X335</f>
        <v/>
      </c>
      <c r="Y78" s="1626">
        <f>Y335</f>
        <v/>
      </c>
      <c r="Z78" s="1626">
        <f>Z335</f>
        <v/>
      </c>
      <c r="AA78" s="1624">
        <f>AA335</f>
        <v/>
      </c>
      <c r="AB78" s="1626">
        <f>AB335</f>
        <v/>
      </c>
      <c r="AC78" s="1626">
        <f>AC335</f>
        <v/>
      </c>
      <c r="AD78" s="1626">
        <f>AD335</f>
        <v/>
      </c>
      <c r="AE78" s="1626">
        <f>AE335</f>
        <v/>
      </c>
      <c r="AF78" s="1624">
        <f>AF335</f>
        <v/>
      </c>
      <c r="AG78" s="1626">
        <f>AG335</f>
        <v/>
      </c>
      <c r="AH78" s="1626">
        <f>AH335</f>
        <v/>
      </c>
      <c r="AI78" s="1626">
        <f>AI335</f>
        <v/>
      </c>
      <c r="AJ78" s="1626">
        <f>AJ335</f>
        <v/>
      </c>
      <c r="AK78" s="1624">
        <f>AK335</f>
        <v/>
      </c>
      <c r="AL78" s="1626">
        <f>AL335</f>
        <v/>
      </c>
      <c r="AM78" s="1626">
        <f>AM335</f>
        <v/>
      </c>
      <c r="AN78" s="1626">
        <f>AN335</f>
        <v/>
      </c>
      <c r="AO78" s="1626">
        <f>AO335</f>
        <v/>
      </c>
      <c r="AP78" s="1624">
        <f>AP335</f>
        <v/>
      </c>
      <c r="AQ78" s="1626">
        <f>AQ335</f>
        <v/>
      </c>
      <c r="AR78" s="1626">
        <f>AR335</f>
        <v/>
      </c>
      <c r="AS78" s="1626">
        <f>AS335</f>
        <v/>
      </c>
      <c r="AT78" s="1626">
        <f>AT335</f>
        <v/>
      </c>
      <c r="AU78" s="1624">
        <f>AU335</f>
        <v/>
      </c>
      <c r="AV78" s="1626">
        <f>AV335</f>
        <v/>
      </c>
      <c r="AW78" s="1626">
        <f>AW335</f>
        <v/>
      </c>
      <c r="AX78" s="1626">
        <f>AX335</f>
        <v/>
      </c>
      <c r="AY78" s="1626">
        <f>AY335</f>
        <v/>
      </c>
      <c r="AZ78" s="1624">
        <f>AZ335</f>
        <v/>
      </c>
      <c r="BA78" s="1626">
        <f>BA335</f>
        <v/>
      </c>
      <c r="BB78" s="1626">
        <f>BB335</f>
        <v/>
      </c>
      <c r="BC78" s="1626">
        <f>BC335</f>
        <v/>
      </c>
      <c r="BD78" s="1626">
        <f>BD335</f>
        <v/>
      </c>
      <c r="BE78" s="1624">
        <f>BE335</f>
        <v/>
      </c>
      <c r="BF78" s="1626">
        <f>BF335</f>
        <v/>
      </c>
      <c r="BG78" s="1626">
        <f>BG335</f>
        <v/>
      </c>
      <c r="BH78" s="1626">
        <f>BH335</f>
        <v/>
      </c>
      <c r="BI78" s="1626">
        <f>BI335</f>
        <v/>
      </c>
      <c r="BJ78" s="1624">
        <f>BJ335</f>
        <v/>
      </c>
      <c r="BK78" s="1626">
        <f>BK335</f>
        <v/>
      </c>
      <c r="BL78" s="1626">
        <f>BL335</f>
        <v/>
      </c>
      <c r="BM78" s="1626">
        <f>BM335</f>
        <v/>
      </c>
      <c r="BN78" s="1626">
        <f>BN335</f>
        <v/>
      </c>
      <c r="BO78" s="1627">
        <f>BO335</f>
        <v/>
      </c>
      <c r="BP78" s="1626">
        <f>BP80*BP70</f>
        <v/>
      </c>
      <c r="BQ78" s="1626">
        <f>BQ80*BQ70</f>
        <v/>
      </c>
      <c r="BR78" s="1626">
        <f>BR80*BR70</f>
        <v/>
      </c>
      <c r="BS78" s="1626">
        <f>BS80*BS70</f>
        <v/>
      </c>
      <c r="BT78" s="1624">
        <f>BS78+BR78+BQ78+BP78</f>
        <v/>
      </c>
      <c r="BU78" s="1626">
        <f>BU80*BU70</f>
        <v/>
      </c>
      <c r="BV78" s="1626">
        <f>BV80*BV70</f>
        <v/>
      </c>
      <c r="BW78" s="1626">
        <f>BW80*BW70</f>
        <v/>
      </c>
      <c r="BX78" s="1626">
        <f>BX80*BX70</f>
        <v/>
      </c>
      <c r="BY78" s="1624">
        <f>BX78+BW78+BV78+BU78</f>
        <v/>
      </c>
      <c r="BZ78" s="1624">
        <f>BZ80*BZ70</f>
        <v/>
      </c>
      <c r="CA78" s="1624">
        <f>CA80*CA70</f>
        <v/>
      </c>
      <c r="CB78" s="1624">
        <f>CB80*CB70</f>
        <v/>
      </c>
      <c r="CC78" s="1564" t="n"/>
    </row>
    <row r="79" ht="15" customFormat="1" customHeight="1" s="602">
      <c r="A79" s="376" t="inlineStr">
        <is>
          <t>Y/Y R&amp;D growth, %</t>
        </is>
      </c>
      <c r="B79" s="95" t="n"/>
      <c r="C79" s="1249" t="n"/>
      <c r="D79" s="1249">
        <f>D78/C78-1</f>
        <v/>
      </c>
      <c r="E79" s="1249">
        <f>E78/D78-1</f>
        <v/>
      </c>
      <c r="F79" s="1249">
        <f>F78/E78-1</f>
        <v/>
      </c>
      <c r="G79" s="1249">
        <f>G78/F78-1</f>
        <v/>
      </c>
      <c r="H79" s="672" t="n"/>
      <c r="I79" s="672" t="n"/>
      <c r="J79" s="672" t="n"/>
      <c r="K79" s="672" t="n"/>
      <c r="L79" s="1249">
        <f>L78/G78-1</f>
        <v/>
      </c>
      <c r="M79" s="672">
        <f>M78/H78-1</f>
        <v/>
      </c>
      <c r="N79" s="672">
        <f>N78/I78-1</f>
        <v/>
      </c>
      <c r="O79" s="672">
        <f>O78/J78-1</f>
        <v/>
      </c>
      <c r="P79" s="672">
        <f>P78/K78-1</f>
        <v/>
      </c>
      <c r="Q79" s="1249">
        <f>Q78/L78-1</f>
        <v/>
      </c>
      <c r="R79" s="672">
        <f>R78/M78-1</f>
        <v/>
      </c>
      <c r="S79" s="672">
        <f>S78/N78-1</f>
        <v/>
      </c>
      <c r="T79" s="672">
        <f>T78/O78-1</f>
        <v/>
      </c>
      <c r="U79" s="672">
        <f>U78/P78-1</f>
        <v/>
      </c>
      <c r="V79" s="1249">
        <f>V78/Q78-1</f>
        <v/>
      </c>
      <c r="W79" s="672">
        <f>W78/R78-1</f>
        <v/>
      </c>
      <c r="X79" s="672">
        <f>X78/S78-1</f>
        <v/>
      </c>
      <c r="Y79" s="672">
        <f>Y78/T78-1</f>
        <v/>
      </c>
      <c r="Z79" s="672">
        <f>Z78/U78-1</f>
        <v/>
      </c>
      <c r="AA79" s="1249">
        <f>AA78/V78-1</f>
        <v/>
      </c>
      <c r="AB79" s="672">
        <f>AB78/W78-1</f>
        <v/>
      </c>
      <c r="AC79" s="672">
        <f>AC78/X78-1</f>
        <v/>
      </c>
      <c r="AD79" s="672">
        <f>AD78/Y78-1</f>
        <v/>
      </c>
      <c r="AE79" s="672">
        <f>AE78/Z78-1</f>
        <v/>
      </c>
      <c r="AF79" s="1249">
        <f>AF78/AA78-1</f>
        <v/>
      </c>
      <c r="AG79" s="672">
        <f>AG78/AB78-1</f>
        <v/>
      </c>
      <c r="AH79" s="672">
        <f>AH78/AC78-1</f>
        <v/>
      </c>
      <c r="AI79" s="672">
        <f>AI78/AD78-1</f>
        <v/>
      </c>
      <c r="AJ79" s="672">
        <f>AJ78/AE78-1</f>
        <v/>
      </c>
      <c r="AK79" s="1249">
        <f>AK78/AF78-1</f>
        <v/>
      </c>
      <c r="AL79" s="672">
        <f>AL78/AG78-1</f>
        <v/>
      </c>
      <c r="AM79" s="672">
        <f>AM78/AH78-1</f>
        <v/>
      </c>
      <c r="AN79" s="672">
        <f>AN78/AI78-1</f>
        <v/>
      </c>
      <c r="AO79" s="672">
        <f>AO78/AJ78-1</f>
        <v/>
      </c>
      <c r="AP79" s="1249">
        <f>AP78/AK78-1</f>
        <v/>
      </c>
      <c r="AQ79" s="672">
        <f>AQ78/AL78-1</f>
        <v/>
      </c>
      <c r="AR79" s="672">
        <f>AR78/AM78-1</f>
        <v/>
      </c>
      <c r="AS79" s="672">
        <f>AS78/AN78-1</f>
        <v/>
      </c>
      <c r="AT79" s="672">
        <f>AT78/AO78-1</f>
        <v/>
      </c>
      <c r="AU79" s="1249">
        <f>AU78/AP78-1</f>
        <v/>
      </c>
      <c r="AV79" s="672">
        <f>AV78/AQ78-1</f>
        <v/>
      </c>
      <c r="AW79" s="672">
        <f>AW78/AR78-1</f>
        <v/>
      </c>
      <c r="AX79" s="672">
        <f>AX78/AS78-1</f>
        <v/>
      </c>
      <c r="AY79" s="672">
        <f>AY78/AT78-1</f>
        <v/>
      </c>
      <c r="AZ79" s="1249">
        <f>AZ78/AU78-1</f>
        <v/>
      </c>
      <c r="BA79" s="672">
        <f>BA78/AV78-1</f>
        <v/>
      </c>
      <c r="BB79" s="672">
        <f>BB78/AW78-1</f>
        <v/>
      </c>
      <c r="BC79" s="672">
        <f>BC78/AX78-1</f>
        <v/>
      </c>
      <c r="BD79" s="672">
        <f>BD78/AY78-1</f>
        <v/>
      </c>
      <c r="BE79" s="1249">
        <f>BE78/AZ78-1</f>
        <v/>
      </c>
      <c r="BF79" s="672">
        <f>BF78/BA78-1</f>
        <v/>
      </c>
      <c r="BG79" s="672">
        <f>BG78/BB78-1</f>
        <v/>
      </c>
      <c r="BH79" s="672">
        <f>BH78/BC78-1</f>
        <v/>
      </c>
      <c r="BI79" s="672">
        <f>BI78/BD78-1</f>
        <v/>
      </c>
      <c r="BJ79" s="1249">
        <f>BJ78/BE78-1</f>
        <v/>
      </c>
      <c r="BK79" s="672">
        <f>BK78/BF78-1</f>
        <v/>
      </c>
      <c r="BL79" s="672">
        <f>BL78/BG78-1</f>
        <v/>
      </c>
      <c r="BM79" s="672">
        <f>BM78/BH78-1</f>
        <v/>
      </c>
      <c r="BN79" s="672">
        <f>BN78/BI78-1</f>
        <v/>
      </c>
      <c r="BO79" s="1248">
        <f>BO78/BJ78-1</f>
        <v/>
      </c>
      <c r="BP79" s="672">
        <f>BP78/BK78-1</f>
        <v/>
      </c>
      <c r="BQ79" s="672">
        <f>BQ78/BL78-1</f>
        <v/>
      </c>
      <c r="BR79" s="672">
        <f>BR78/BM78-1</f>
        <v/>
      </c>
      <c r="BS79" s="672">
        <f>BS78/BN78-1</f>
        <v/>
      </c>
      <c r="BT79" s="1249">
        <f>BT78/BO78-1</f>
        <v/>
      </c>
      <c r="BU79" s="672">
        <f>BU78/BP78-1</f>
        <v/>
      </c>
      <c r="BV79" s="672">
        <f>BV78/BQ78-1</f>
        <v/>
      </c>
      <c r="BW79" s="672">
        <f>BW78/BR78-1</f>
        <v/>
      </c>
      <c r="BX79" s="672">
        <f>BX78/BS78-1</f>
        <v/>
      </c>
      <c r="BY79" s="1249">
        <f>BY78/BT78-1</f>
        <v/>
      </c>
      <c r="BZ79" s="1249">
        <f>BZ78/BY78-1</f>
        <v/>
      </c>
      <c r="CA79" s="1249">
        <f>CA78/BZ78-1</f>
        <v/>
      </c>
      <c r="CB79" s="1249">
        <f>CB78/CA78-1</f>
        <v/>
      </c>
      <c r="CC79" s="715" t="n"/>
    </row>
    <row r="80" ht="15" customFormat="1" customHeight="1" s="607">
      <c r="A80" s="29" t="inlineStr">
        <is>
          <t>R&amp;D margin, %</t>
        </is>
      </c>
      <c r="B80" s="126" t="n"/>
      <c r="C80" s="1294">
        <f>C78/C70</f>
        <v/>
      </c>
      <c r="D80" s="1294">
        <f>D78/D70</f>
        <v/>
      </c>
      <c r="E80" s="1294">
        <f>E78/E70</f>
        <v/>
      </c>
      <c r="F80" s="1294">
        <f>F78/F70</f>
        <v/>
      </c>
      <c r="G80" s="1294">
        <f>G78/G70</f>
        <v/>
      </c>
      <c r="H80" s="686">
        <f>H78/H70</f>
        <v/>
      </c>
      <c r="I80" s="686">
        <f>I78/I70</f>
        <v/>
      </c>
      <c r="J80" s="686">
        <f>J78/J70</f>
        <v/>
      </c>
      <c r="K80" s="686">
        <f>K78/K70</f>
        <v/>
      </c>
      <c r="L80" s="1294">
        <f>L78/L70</f>
        <v/>
      </c>
      <c r="M80" s="686">
        <f>M78/M70</f>
        <v/>
      </c>
      <c r="N80" s="686">
        <f>N78/N70</f>
        <v/>
      </c>
      <c r="O80" s="686">
        <f>O78/O70</f>
        <v/>
      </c>
      <c r="P80" s="686">
        <f>P78/P70</f>
        <v/>
      </c>
      <c r="Q80" s="1294">
        <f>Q78/Q70</f>
        <v/>
      </c>
      <c r="R80" s="686">
        <f>R78/R70</f>
        <v/>
      </c>
      <c r="S80" s="686">
        <f>S78/S70</f>
        <v/>
      </c>
      <c r="T80" s="686">
        <f>T78/T70</f>
        <v/>
      </c>
      <c r="U80" s="686">
        <f>U78/U70</f>
        <v/>
      </c>
      <c r="V80" s="1294">
        <f>V78/V70</f>
        <v/>
      </c>
      <c r="W80" s="686">
        <f>W78/W70</f>
        <v/>
      </c>
      <c r="X80" s="686">
        <f>X78/X70</f>
        <v/>
      </c>
      <c r="Y80" s="686">
        <f>Y78/Y70</f>
        <v/>
      </c>
      <c r="Z80" s="686">
        <f>Z78/Z70</f>
        <v/>
      </c>
      <c r="AA80" s="1294">
        <f>AA78/AA70</f>
        <v/>
      </c>
      <c r="AB80" s="686">
        <f>AB78/AB70</f>
        <v/>
      </c>
      <c r="AC80" s="686">
        <f>AC78/AC70</f>
        <v/>
      </c>
      <c r="AD80" s="686">
        <f>AD78/AD70</f>
        <v/>
      </c>
      <c r="AE80" s="686">
        <f>AE78/AE70</f>
        <v/>
      </c>
      <c r="AF80" s="1294">
        <f>AF78/AF70</f>
        <v/>
      </c>
      <c r="AG80" s="686">
        <f>AG78/AG70</f>
        <v/>
      </c>
      <c r="AH80" s="686">
        <f>AH78/AH70</f>
        <v/>
      </c>
      <c r="AI80" s="686">
        <f>AI78/AI70</f>
        <v/>
      </c>
      <c r="AJ80" s="686">
        <f>AJ78/AJ70</f>
        <v/>
      </c>
      <c r="AK80" s="1294">
        <f>AK78/AK70</f>
        <v/>
      </c>
      <c r="AL80" s="686">
        <f>AL78/AL70</f>
        <v/>
      </c>
      <c r="AM80" s="686">
        <f>AM78/AM70</f>
        <v/>
      </c>
      <c r="AN80" s="686">
        <f>AN78/AN70</f>
        <v/>
      </c>
      <c r="AO80" s="686">
        <f>AO78/AO70</f>
        <v/>
      </c>
      <c r="AP80" s="1294">
        <f>AP78/AP70</f>
        <v/>
      </c>
      <c r="AQ80" s="686">
        <f>AQ78/AQ70</f>
        <v/>
      </c>
      <c r="AR80" s="686">
        <f>AR78/AR70</f>
        <v/>
      </c>
      <c r="AS80" s="686">
        <f>AS78/AS70</f>
        <v/>
      </c>
      <c r="AT80" s="686">
        <f>AT78/AT70</f>
        <v/>
      </c>
      <c r="AU80" s="1294">
        <f>AU78/AU70</f>
        <v/>
      </c>
      <c r="AV80" s="686">
        <f>AV78/AV70</f>
        <v/>
      </c>
      <c r="AW80" s="686">
        <f>AW78/AW70</f>
        <v/>
      </c>
      <c r="AX80" s="686">
        <f>AX78/AX70</f>
        <v/>
      </c>
      <c r="AY80" s="686">
        <f>AY78/AY70</f>
        <v/>
      </c>
      <c r="AZ80" s="1294">
        <f>AZ78/AZ70</f>
        <v/>
      </c>
      <c r="BA80" s="686">
        <f>BA78/BA70</f>
        <v/>
      </c>
      <c r="BB80" s="686">
        <f>BB78/BB70</f>
        <v/>
      </c>
      <c r="BC80" s="686">
        <f>BC78/BC70</f>
        <v/>
      </c>
      <c r="BD80" s="686">
        <f>BD78/BD70</f>
        <v/>
      </c>
      <c r="BE80" s="1294">
        <f>BE78/BE70</f>
        <v/>
      </c>
      <c r="BF80" s="686">
        <f>BF78/BF70</f>
        <v/>
      </c>
      <c r="BG80" s="686">
        <f>BG78/BG70</f>
        <v/>
      </c>
      <c r="BH80" s="686">
        <f>BH78/BH70</f>
        <v/>
      </c>
      <c r="BI80" s="686">
        <f>BI78/BI70</f>
        <v/>
      </c>
      <c r="BJ80" s="1294">
        <f>BJ78/BJ70</f>
        <v/>
      </c>
      <c r="BK80" s="686">
        <f>BK78/BK70</f>
        <v/>
      </c>
      <c r="BL80" s="686">
        <f>BL78/BL70</f>
        <v/>
      </c>
      <c r="BM80" s="686">
        <f>BM78/BM70</f>
        <v/>
      </c>
      <c r="BN80" s="686">
        <f>BN78/BN70</f>
        <v/>
      </c>
      <c r="BO80" s="1293">
        <f>BO78/BO70</f>
        <v/>
      </c>
      <c r="BP80" s="686">
        <f>BK80-BP81/10000</f>
        <v/>
      </c>
      <c r="BQ80" s="686">
        <f>BL80-BQ81/10000</f>
        <v/>
      </c>
      <c r="BR80" s="686">
        <f>BM80-BR81/10000</f>
        <v/>
      </c>
      <c r="BS80" s="686">
        <f>BN80-BS81/10000</f>
        <v/>
      </c>
      <c r="BT80" s="1294">
        <f>BT78/BT70</f>
        <v/>
      </c>
      <c r="BU80" s="686">
        <f>BP80-BU81/10000</f>
        <v/>
      </c>
      <c r="BV80" s="686">
        <f>BQ80-BV81/10000</f>
        <v/>
      </c>
      <c r="BW80" s="686">
        <f>BR80-BW81/10000</f>
        <v/>
      </c>
      <c r="BX80" s="686">
        <f>BS80-BX81/10000</f>
        <v/>
      </c>
      <c r="BY80" s="1294">
        <f>BY78/BY70</f>
        <v/>
      </c>
      <c r="BZ80" s="1294">
        <f>BY80-BZ81/10000</f>
        <v/>
      </c>
      <c r="CA80" s="1294">
        <f>BZ80-CA81/10000</f>
        <v/>
      </c>
      <c r="CB80" s="1294">
        <f>CA80-CB81/10000</f>
        <v/>
      </c>
      <c r="CC80" s="102" t="n"/>
    </row>
    <row r="81" ht="15" customFormat="1" customHeight="1" s="1574">
      <c r="A81" s="1691" t="inlineStr">
        <is>
          <t>Y/Y R&amp;D margin improvement, bps</t>
        </is>
      </c>
      <c r="B81" s="1576" t="n"/>
      <c r="C81" s="1577" t="n"/>
      <c r="D81" s="1577">
        <f>-(D80-C80)*10000</f>
        <v/>
      </c>
      <c r="E81" s="1577">
        <f>-(E80-D80)*10000</f>
        <v/>
      </c>
      <c r="F81" s="1577">
        <f>-(F80-E80)*10000</f>
        <v/>
      </c>
      <c r="G81" s="1577">
        <f>-(G80-F80)*10000</f>
        <v/>
      </c>
      <c r="H81" s="1578" t="n"/>
      <c r="I81" s="1578" t="n"/>
      <c r="J81" s="1578" t="n"/>
      <c r="K81" s="1578" t="n"/>
      <c r="L81" s="1577">
        <f>-(L80-G80)*10000</f>
        <v/>
      </c>
      <c r="M81" s="1578">
        <f>-(M80-H80)*10000</f>
        <v/>
      </c>
      <c r="N81" s="1578">
        <f>-(N80-I80)*10000</f>
        <v/>
      </c>
      <c r="O81" s="1578">
        <f>-(O80-J80)*10000</f>
        <v/>
      </c>
      <c r="P81" s="1578">
        <f>-(P80-K80)*10000</f>
        <v/>
      </c>
      <c r="Q81" s="1577">
        <f>-(Q80-L80)*10000</f>
        <v/>
      </c>
      <c r="R81" s="1578">
        <f>-(R80-M80)*10000</f>
        <v/>
      </c>
      <c r="S81" s="1578">
        <f>-(S80-N80)*10000</f>
        <v/>
      </c>
      <c r="T81" s="1578">
        <f>-(T80-O80)*10000</f>
        <v/>
      </c>
      <c r="U81" s="1578">
        <f>-(U80-P80)*10000</f>
        <v/>
      </c>
      <c r="V81" s="1577">
        <f>-(V80-Q80)*10000</f>
        <v/>
      </c>
      <c r="W81" s="1578">
        <f>-(W80-R80)*10000</f>
        <v/>
      </c>
      <c r="X81" s="1578">
        <f>-(X80-S80)*10000</f>
        <v/>
      </c>
      <c r="Y81" s="1578">
        <f>-(Y80-T80)*10000</f>
        <v/>
      </c>
      <c r="Z81" s="1578">
        <f>-(Z80-U80)*10000</f>
        <v/>
      </c>
      <c r="AA81" s="1577">
        <f>-(AA80-V80)*10000</f>
        <v/>
      </c>
      <c r="AB81" s="1578">
        <f>-(AB80-W80)*10000</f>
        <v/>
      </c>
      <c r="AC81" s="1578">
        <f>-(AC80-X80)*10000</f>
        <v/>
      </c>
      <c r="AD81" s="1578">
        <f>-(AD80-Y80)*10000</f>
        <v/>
      </c>
      <c r="AE81" s="1578">
        <f>-(AE80-Z80)*10000</f>
        <v/>
      </c>
      <c r="AF81" s="1577">
        <f>-(AF80-AA80)*10000</f>
        <v/>
      </c>
      <c r="AG81" s="1578">
        <f>-(AG80-AB80)*10000</f>
        <v/>
      </c>
      <c r="AH81" s="1578">
        <f>-(AH80-AC80)*10000</f>
        <v/>
      </c>
      <c r="AI81" s="1578">
        <f>-(AI80-AD80)*10000</f>
        <v/>
      </c>
      <c r="AJ81" s="1578">
        <f>-(AJ80-AE80)*10000</f>
        <v/>
      </c>
      <c r="AK81" s="1577">
        <f>-(AK80-AF80)*10000</f>
        <v/>
      </c>
      <c r="AL81" s="1578">
        <f>-(AL80-AG80)*10000</f>
        <v/>
      </c>
      <c r="AM81" s="1578">
        <f>-(AM80-AH80)*10000</f>
        <v/>
      </c>
      <c r="AN81" s="1578">
        <f>-(AN80-AI80)*10000</f>
        <v/>
      </c>
      <c r="AO81" s="1578">
        <f>-(AO80-AJ80)*10000</f>
        <v/>
      </c>
      <c r="AP81" s="1577">
        <f>-(AP80-AK80)*10000</f>
        <v/>
      </c>
      <c r="AQ81" s="1578">
        <f>-(AQ80-AL80)*10000</f>
        <v/>
      </c>
      <c r="AR81" s="1578">
        <f>-(AR80-AM80)*10000</f>
        <v/>
      </c>
      <c r="AS81" s="1578">
        <f>-(AS80-AN80)*10000</f>
        <v/>
      </c>
      <c r="AT81" s="1578">
        <f>-(AT80-AO80)*10000</f>
        <v/>
      </c>
      <c r="AU81" s="1577">
        <f>-(AU80-AP80)*10000</f>
        <v/>
      </c>
      <c r="AV81" s="1578">
        <f>-(AV80-AQ80)*10000</f>
        <v/>
      </c>
      <c r="AW81" s="1578">
        <f>-(AW80-AR80)*10000</f>
        <v/>
      </c>
      <c r="AX81" s="1578">
        <f>-(AX80-AS80)*10000</f>
        <v/>
      </c>
      <c r="AY81" s="1578">
        <f>-(AY80-AT80)*10000</f>
        <v/>
      </c>
      <c r="AZ81" s="1577">
        <f>-(AZ80-AU80)*10000</f>
        <v/>
      </c>
      <c r="BA81" s="1578">
        <f>-(BA80-AV80)*10000</f>
        <v/>
      </c>
      <c r="BB81" s="1578">
        <f>-(BB80-AW80)*10000</f>
        <v/>
      </c>
      <c r="BC81" s="1578">
        <f>-(BC80-AX80)*10000</f>
        <v/>
      </c>
      <c r="BD81" s="1578">
        <f>-(BD80-AY80)*10000</f>
        <v/>
      </c>
      <c r="BE81" s="1577">
        <f>-(BE80-AZ80)*10000</f>
        <v/>
      </c>
      <c r="BF81" s="1578">
        <f>-(BF80-BA80)*10000</f>
        <v/>
      </c>
      <c r="BG81" s="1578">
        <f>-(BG80-BB80)*10000</f>
        <v/>
      </c>
      <c r="BH81" s="1578">
        <f>-(BH80-BC80)*10000</f>
        <v/>
      </c>
      <c r="BI81" s="1578">
        <f>-(BI80-BD80)*10000</f>
        <v/>
      </c>
      <c r="BJ81" s="1577">
        <f>-(BJ80-BE80)*10000</f>
        <v/>
      </c>
      <c r="BK81" s="1578">
        <f>-(BK80-BF80)*10000</f>
        <v/>
      </c>
      <c r="BL81" s="1578">
        <f>-(BL80-BG80)*10000</f>
        <v/>
      </c>
      <c r="BM81" s="1578">
        <f>-(BM80-BH80)*10000</f>
        <v/>
      </c>
      <c r="BN81" s="1578">
        <f>-(BN80-BI80)*10000</f>
        <v/>
      </c>
      <c r="BO81" s="1581">
        <f>-(BO80-BJ80)*10000</f>
        <v/>
      </c>
      <c r="BP81" s="1579" t="n">
        <v>100</v>
      </c>
      <c r="BQ81" s="1579" t="n">
        <v>440</v>
      </c>
      <c r="BR81" s="1579" t="n">
        <v>150</v>
      </c>
      <c r="BS81" s="1579" t="n">
        <v>20</v>
      </c>
      <c r="BT81" s="1577">
        <f>-(BT80-BO80)*10000</f>
        <v/>
      </c>
      <c r="BU81" s="1579" t="n">
        <v>20</v>
      </c>
      <c r="BV81" s="1579" t="n">
        <v>440</v>
      </c>
      <c r="BW81" s="1579" t="n">
        <v>150</v>
      </c>
      <c r="BX81" s="1579" t="n">
        <v>20</v>
      </c>
      <c r="BY81" s="1577">
        <f>-(BY80-BT80)*10000</f>
        <v/>
      </c>
      <c r="BZ81" s="1580" t="n">
        <v>20</v>
      </c>
      <c r="CA81" s="1580" t="n">
        <v>20</v>
      </c>
      <c r="CB81" s="1580" t="n">
        <v>20</v>
      </c>
      <c r="CC81" s="1582" t="n"/>
    </row>
    <row r="82" ht="15" customFormat="1" customHeight="1" s="1561">
      <c r="A82" s="1669" t="n"/>
      <c r="B82" s="1623" t="n"/>
      <c r="C82" s="1624" t="n"/>
      <c r="D82" s="1624" t="n"/>
      <c r="E82" s="1624" t="n"/>
      <c r="F82" s="1624" t="n"/>
      <c r="G82" s="1624" t="n"/>
      <c r="H82" s="1626" t="n"/>
      <c r="I82" s="1626" t="n"/>
      <c r="J82" s="1626" t="n"/>
      <c r="K82" s="1626" t="n"/>
      <c r="L82" s="1624" t="n"/>
      <c r="M82" s="1626" t="n"/>
      <c r="N82" s="1626" t="n"/>
      <c r="O82" s="1626" t="n"/>
      <c r="P82" s="1626" t="n"/>
      <c r="Q82" s="1624" t="n"/>
      <c r="R82" s="1626" t="n"/>
      <c r="S82" s="1626" t="n"/>
      <c r="T82" s="1626" t="n"/>
      <c r="U82" s="1626" t="n"/>
      <c r="V82" s="1624" t="n"/>
      <c r="W82" s="1626" t="n"/>
      <c r="X82" s="1626" t="n"/>
      <c r="Y82" s="1626" t="n"/>
      <c r="Z82" s="1626" t="n"/>
      <c r="AA82" s="1624" t="n"/>
      <c r="AB82" s="1626" t="n"/>
      <c r="AC82" s="1626" t="n"/>
      <c r="AD82" s="1626" t="n"/>
      <c r="AE82" s="1626" t="n"/>
      <c r="AF82" s="1624" t="n"/>
      <c r="AG82" s="1626" t="n"/>
      <c r="AH82" s="1626" t="n"/>
      <c r="AI82" s="1626" t="n"/>
      <c r="AJ82" s="1626" t="n"/>
      <c r="AK82" s="1624" t="n"/>
      <c r="AL82" s="1626" t="n"/>
      <c r="AM82" s="1626" t="n"/>
      <c r="AN82" s="1626" t="n"/>
      <c r="AO82" s="1626" t="n"/>
      <c r="AP82" s="1624" t="n"/>
      <c r="AQ82" s="1626" t="n"/>
      <c r="AR82" s="1626" t="n"/>
      <c r="AS82" s="1626" t="n"/>
      <c r="AT82" s="1626" t="n"/>
      <c r="AU82" s="1624" t="n"/>
      <c r="AV82" s="1626" t="n"/>
      <c r="AW82" s="1626" t="n"/>
      <c r="AX82" s="1626" t="n"/>
      <c r="AY82" s="1626" t="n"/>
      <c r="AZ82" s="1624" t="n"/>
      <c r="BA82" s="1626" t="n"/>
      <c r="BB82" s="1626" t="n"/>
      <c r="BC82" s="1626" t="n"/>
      <c r="BD82" s="1626" t="n"/>
      <c r="BE82" s="1624" t="n"/>
      <c r="BF82" s="1626" t="n"/>
      <c r="BG82" s="1626" t="n"/>
      <c r="BH82" s="1626" t="n"/>
      <c r="BI82" s="1626" t="n"/>
      <c r="BJ82" s="1624" t="n"/>
      <c r="BK82" s="1626" t="n"/>
      <c r="BL82" s="1626" t="n"/>
      <c r="BM82" s="1626" t="n"/>
      <c r="BN82" s="1626" t="n"/>
      <c r="BO82" s="1627" t="n"/>
      <c r="BP82" s="1626" t="n"/>
      <c r="BQ82" s="1626" t="n"/>
      <c r="BR82" s="1626" t="n"/>
      <c r="BS82" s="1626" t="n"/>
      <c r="BT82" s="1624" t="n"/>
      <c r="BU82" s="1626" t="n"/>
      <c r="BV82" s="1626" t="n"/>
      <c r="BW82" s="1626" t="n"/>
      <c r="BX82" s="1626" t="n"/>
      <c r="BY82" s="1624" t="n"/>
      <c r="BZ82" s="1624" t="n"/>
      <c r="CA82" s="1624" t="n"/>
      <c r="CB82" s="1624" t="n"/>
      <c r="CC82" s="1564" t="n"/>
    </row>
    <row r="83" ht="15" customFormat="1" customHeight="1" s="1561">
      <c r="A83" s="1692" t="inlineStr">
        <is>
          <t>SG&amp;A, mm</t>
        </is>
      </c>
      <c r="B83" s="1623" t="n"/>
      <c r="C83" s="1624">
        <f>C336</f>
        <v/>
      </c>
      <c r="D83" s="1624">
        <f>D336</f>
        <v/>
      </c>
      <c r="E83" s="1624">
        <f>E336</f>
        <v/>
      </c>
      <c r="F83" s="1624">
        <f>F336</f>
        <v/>
      </c>
      <c r="G83" s="1624">
        <f>G336</f>
        <v/>
      </c>
      <c r="H83" s="1626">
        <f>H336</f>
        <v/>
      </c>
      <c r="I83" s="1626">
        <f>I336</f>
        <v/>
      </c>
      <c r="J83" s="1626">
        <f>J336</f>
        <v/>
      </c>
      <c r="K83" s="1626">
        <f>K336</f>
        <v/>
      </c>
      <c r="L83" s="1624">
        <f>L336</f>
        <v/>
      </c>
      <c r="M83" s="1626">
        <f>M336</f>
        <v/>
      </c>
      <c r="N83" s="1626">
        <f>N336</f>
        <v/>
      </c>
      <c r="O83" s="1626">
        <f>O336</f>
        <v/>
      </c>
      <c r="P83" s="1626">
        <f>P336</f>
        <v/>
      </c>
      <c r="Q83" s="1624">
        <f>Q336</f>
        <v/>
      </c>
      <c r="R83" s="1626">
        <f>R336</f>
        <v/>
      </c>
      <c r="S83" s="1626">
        <f>S336</f>
        <v/>
      </c>
      <c r="T83" s="1626">
        <f>T336</f>
        <v/>
      </c>
      <c r="U83" s="1626">
        <f>U336</f>
        <v/>
      </c>
      <c r="V83" s="1624">
        <f>V336</f>
        <v/>
      </c>
      <c r="W83" s="1626">
        <f>W336</f>
        <v/>
      </c>
      <c r="X83" s="1626">
        <f>X336</f>
        <v/>
      </c>
      <c r="Y83" s="1626">
        <f>Y336</f>
        <v/>
      </c>
      <c r="Z83" s="1626">
        <f>Z336</f>
        <v/>
      </c>
      <c r="AA83" s="1624">
        <f>AA336</f>
        <v/>
      </c>
      <c r="AB83" s="1626">
        <f>AB336</f>
        <v/>
      </c>
      <c r="AC83" s="1626">
        <f>AC336</f>
        <v/>
      </c>
      <c r="AD83" s="1626">
        <f>AD336</f>
        <v/>
      </c>
      <c r="AE83" s="1626">
        <f>AE336</f>
        <v/>
      </c>
      <c r="AF83" s="1624">
        <f>AF336</f>
        <v/>
      </c>
      <c r="AG83" s="1626">
        <f>AG336</f>
        <v/>
      </c>
      <c r="AH83" s="1626">
        <f>AH336</f>
        <v/>
      </c>
      <c r="AI83" s="1626">
        <f>AI336</f>
        <v/>
      </c>
      <c r="AJ83" s="1626">
        <f>AJ336</f>
        <v/>
      </c>
      <c r="AK83" s="1624">
        <f>AK336</f>
        <v/>
      </c>
      <c r="AL83" s="1626">
        <f>AL336</f>
        <v/>
      </c>
      <c r="AM83" s="1626">
        <f>AM336</f>
        <v/>
      </c>
      <c r="AN83" s="1626">
        <f>AN336</f>
        <v/>
      </c>
      <c r="AO83" s="1626">
        <f>AO336</f>
        <v/>
      </c>
      <c r="AP83" s="1624">
        <f>AP336</f>
        <v/>
      </c>
      <c r="AQ83" s="1626">
        <f>AQ336</f>
        <v/>
      </c>
      <c r="AR83" s="1626">
        <f>AR336</f>
        <v/>
      </c>
      <c r="AS83" s="1626">
        <f>AS336</f>
        <v/>
      </c>
      <c r="AT83" s="1626">
        <f>AT336</f>
        <v/>
      </c>
      <c r="AU83" s="1624">
        <f>AU336</f>
        <v/>
      </c>
      <c r="AV83" s="1626">
        <f>AV336</f>
        <v/>
      </c>
      <c r="AW83" s="1626">
        <f>AW336</f>
        <v/>
      </c>
      <c r="AX83" s="1626">
        <f>AX336</f>
        <v/>
      </c>
      <c r="AY83" s="1626">
        <f>AY336</f>
        <v/>
      </c>
      <c r="AZ83" s="1624">
        <f>AZ336</f>
        <v/>
      </c>
      <c r="BA83" s="1626">
        <f>BA336</f>
        <v/>
      </c>
      <c r="BB83" s="1626">
        <f>BB336</f>
        <v/>
      </c>
      <c r="BC83" s="1626">
        <f>BC336</f>
        <v/>
      </c>
      <c r="BD83" s="1626">
        <f>BD336</f>
        <v/>
      </c>
      <c r="BE83" s="1624">
        <f>BE336</f>
        <v/>
      </c>
      <c r="BF83" s="1626">
        <f>BF336</f>
        <v/>
      </c>
      <c r="BG83" s="1626">
        <f>BG336</f>
        <v/>
      </c>
      <c r="BH83" s="1626">
        <f>BH336</f>
        <v/>
      </c>
      <c r="BI83" s="1626">
        <f>BI336</f>
        <v/>
      </c>
      <c r="BJ83" s="1624">
        <f>BJ336</f>
        <v/>
      </c>
      <c r="BK83" s="1626">
        <f>BK336</f>
        <v/>
      </c>
      <c r="BL83" s="1626">
        <f>BL336</f>
        <v/>
      </c>
      <c r="BM83" s="1626">
        <f>BM336</f>
        <v/>
      </c>
      <c r="BN83" s="1626">
        <f>BN336</f>
        <v/>
      </c>
      <c r="BO83" s="1627">
        <f>BO336</f>
        <v/>
      </c>
      <c r="BP83" s="1626">
        <f>BP85*BP70</f>
        <v/>
      </c>
      <c r="BQ83" s="1626">
        <f>BQ85*BQ70</f>
        <v/>
      </c>
      <c r="BR83" s="1626">
        <f>BR85*BR70</f>
        <v/>
      </c>
      <c r="BS83" s="1626">
        <f>BS85*BS70</f>
        <v/>
      </c>
      <c r="BT83" s="1624">
        <f>BS83+BR83+BQ83+BP83</f>
        <v/>
      </c>
      <c r="BU83" s="1626">
        <f>BU85*BU70</f>
        <v/>
      </c>
      <c r="BV83" s="1626">
        <f>BV85*BV70</f>
        <v/>
      </c>
      <c r="BW83" s="1626">
        <f>BW85*BW70</f>
        <v/>
      </c>
      <c r="BX83" s="1626">
        <f>BX85*BX70</f>
        <v/>
      </c>
      <c r="BY83" s="1624">
        <f>BX83+BW83+BV83+BU83</f>
        <v/>
      </c>
      <c r="BZ83" s="1624">
        <f>BZ85*BZ70</f>
        <v/>
      </c>
      <c r="CA83" s="1624">
        <f>CA85*CA70</f>
        <v/>
      </c>
      <c r="CB83" s="1624">
        <f>CB85*CB70</f>
        <v/>
      </c>
      <c r="CC83" s="1564" t="n"/>
    </row>
    <row r="84" ht="15" customFormat="1" customHeight="1" s="602">
      <c r="A84" s="376" t="inlineStr">
        <is>
          <t>Y/Y SG&amp;A growth, %</t>
        </is>
      </c>
      <c r="B84" s="95" t="n"/>
      <c r="C84" s="1249" t="n"/>
      <c r="D84" s="1249">
        <f>D83/C83-1</f>
        <v/>
      </c>
      <c r="E84" s="1249">
        <f>E83/D83-1</f>
        <v/>
      </c>
      <c r="F84" s="1249">
        <f>F83/E83-1</f>
        <v/>
      </c>
      <c r="G84" s="1249">
        <f>G83/F83-1</f>
        <v/>
      </c>
      <c r="H84" s="672" t="n"/>
      <c r="I84" s="672" t="n"/>
      <c r="J84" s="672" t="n"/>
      <c r="K84" s="672" t="n"/>
      <c r="L84" s="1249">
        <f>L83/G83-1</f>
        <v/>
      </c>
      <c r="M84" s="672">
        <f>M83/H83-1</f>
        <v/>
      </c>
      <c r="N84" s="672">
        <f>N83/I83-1</f>
        <v/>
      </c>
      <c r="O84" s="672">
        <f>O83/J83-1</f>
        <v/>
      </c>
      <c r="P84" s="672">
        <f>P83/K83-1</f>
        <v/>
      </c>
      <c r="Q84" s="1249">
        <f>Q83/L83-1</f>
        <v/>
      </c>
      <c r="R84" s="672">
        <f>R83/M83-1</f>
        <v/>
      </c>
      <c r="S84" s="672">
        <f>S83/N83-1</f>
        <v/>
      </c>
      <c r="T84" s="672">
        <f>T83/O83-1</f>
        <v/>
      </c>
      <c r="U84" s="672">
        <f>U83/P83-1</f>
        <v/>
      </c>
      <c r="V84" s="1249">
        <f>V83/Q83-1</f>
        <v/>
      </c>
      <c r="W84" s="672">
        <f>W83/R83-1</f>
        <v/>
      </c>
      <c r="X84" s="672">
        <f>X83/S83-1</f>
        <v/>
      </c>
      <c r="Y84" s="672">
        <f>Y83/T83-1</f>
        <v/>
      </c>
      <c r="Z84" s="672">
        <f>Z83/U83-1</f>
        <v/>
      </c>
      <c r="AA84" s="1249">
        <f>AA83/V83-1</f>
        <v/>
      </c>
      <c r="AB84" s="672">
        <f>AB83/W83-1</f>
        <v/>
      </c>
      <c r="AC84" s="672">
        <f>AC83/X83-1</f>
        <v/>
      </c>
      <c r="AD84" s="672">
        <f>AD83/Y83-1</f>
        <v/>
      </c>
      <c r="AE84" s="672">
        <f>AE83/Z83-1</f>
        <v/>
      </c>
      <c r="AF84" s="1249">
        <f>AF83/AA83-1</f>
        <v/>
      </c>
      <c r="AG84" s="672">
        <f>AG83/AB83-1</f>
        <v/>
      </c>
      <c r="AH84" s="672">
        <f>AH83/AC83-1</f>
        <v/>
      </c>
      <c r="AI84" s="672">
        <f>AI83/AD83-1</f>
        <v/>
      </c>
      <c r="AJ84" s="672">
        <f>AJ83/AE83-1</f>
        <v/>
      </c>
      <c r="AK84" s="1249">
        <f>AK83/AF83-1</f>
        <v/>
      </c>
      <c r="AL84" s="672">
        <f>AL83/AG83-1</f>
        <v/>
      </c>
      <c r="AM84" s="672">
        <f>AM83/AH83-1</f>
        <v/>
      </c>
      <c r="AN84" s="672">
        <f>AN83/AI83-1</f>
        <v/>
      </c>
      <c r="AO84" s="672">
        <f>AO83/AJ83-1</f>
        <v/>
      </c>
      <c r="AP84" s="1249">
        <f>AP83/AK83-1</f>
        <v/>
      </c>
      <c r="AQ84" s="672">
        <f>AQ83/AL83-1</f>
        <v/>
      </c>
      <c r="AR84" s="672">
        <f>AR83/AM83-1</f>
        <v/>
      </c>
      <c r="AS84" s="672">
        <f>AS83/AN83-1</f>
        <v/>
      </c>
      <c r="AT84" s="672">
        <f>AT83/AO83-1</f>
        <v/>
      </c>
      <c r="AU84" s="1249">
        <f>AU83/AP83-1</f>
        <v/>
      </c>
      <c r="AV84" s="672">
        <f>AV83/AQ83-1</f>
        <v/>
      </c>
      <c r="AW84" s="672">
        <f>AW83/AR83-1</f>
        <v/>
      </c>
      <c r="AX84" s="672">
        <f>AX83/AS83-1</f>
        <v/>
      </c>
      <c r="AY84" s="672">
        <f>AY83/AT83-1</f>
        <v/>
      </c>
      <c r="AZ84" s="1249">
        <f>AZ83/AU83-1</f>
        <v/>
      </c>
      <c r="BA84" s="672">
        <f>BA83/AV83-1</f>
        <v/>
      </c>
      <c r="BB84" s="672">
        <f>BB83/AW83-1</f>
        <v/>
      </c>
      <c r="BC84" s="672">
        <f>BC83/AX83-1</f>
        <v/>
      </c>
      <c r="BD84" s="672">
        <f>BD83/AY83-1</f>
        <v/>
      </c>
      <c r="BE84" s="1249">
        <f>BE83/AZ83-1</f>
        <v/>
      </c>
      <c r="BF84" s="672">
        <f>BF83/BA83-1</f>
        <v/>
      </c>
      <c r="BG84" s="672">
        <f>BG83/BB83-1</f>
        <v/>
      </c>
      <c r="BH84" s="672">
        <f>BH83/BC83-1</f>
        <v/>
      </c>
      <c r="BI84" s="672">
        <f>BI83/BD83-1</f>
        <v/>
      </c>
      <c r="BJ84" s="1249">
        <f>BJ83/BE83-1</f>
        <v/>
      </c>
      <c r="BK84" s="672">
        <f>BK83/BF83-1</f>
        <v/>
      </c>
      <c r="BL84" s="672">
        <f>BL83/BG83-1</f>
        <v/>
      </c>
      <c r="BM84" s="672">
        <f>BM83/BH83-1</f>
        <v/>
      </c>
      <c r="BN84" s="672">
        <f>BN83/BI83-1</f>
        <v/>
      </c>
      <c r="BO84" s="1248">
        <f>BO83/BJ83-1</f>
        <v/>
      </c>
      <c r="BP84" s="672">
        <f>BP83/BK83-1</f>
        <v/>
      </c>
      <c r="BQ84" s="672">
        <f>BQ83/BL83-1</f>
        <v/>
      </c>
      <c r="BR84" s="672">
        <f>BR83/BM83-1</f>
        <v/>
      </c>
      <c r="BS84" s="672">
        <f>BS83/BN83-1</f>
        <v/>
      </c>
      <c r="BT84" s="1249">
        <f>BT83/BO83-1</f>
        <v/>
      </c>
      <c r="BU84" s="672">
        <f>BU83/BP83-1</f>
        <v/>
      </c>
      <c r="BV84" s="672">
        <f>BV83/BQ83-1</f>
        <v/>
      </c>
      <c r="BW84" s="672">
        <f>BW83/BR83-1</f>
        <v/>
      </c>
      <c r="BX84" s="672">
        <f>BX83/BS83-1</f>
        <v/>
      </c>
      <c r="BY84" s="1249">
        <f>BY83/BT83-1</f>
        <v/>
      </c>
      <c r="BZ84" s="1249">
        <f>BZ83/BY83-1</f>
        <v/>
      </c>
      <c r="CA84" s="1249">
        <f>CA83/BZ83-1</f>
        <v/>
      </c>
      <c r="CB84" s="1249">
        <f>CB83/CA83-1</f>
        <v/>
      </c>
      <c r="CC84" s="715" t="n"/>
    </row>
    <row r="85" ht="15" customFormat="1" customHeight="1" s="607">
      <c r="A85" s="29" t="inlineStr">
        <is>
          <t>SG&amp;A margin, %</t>
        </is>
      </c>
      <c r="B85" s="126" t="n"/>
      <c r="C85" s="1294">
        <f>C83/C70</f>
        <v/>
      </c>
      <c r="D85" s="1294">
        <f>D83/D70</f>
        <v/>
      </c>
      <c r="E85" s="1294">
        <f>E83/E70</f>
        <v/>
      </c>
      <c r="F85" s="1294">
        <f>F83/F70</f>
        <v/>
      </c>
      <c r="G85" s="1294">
        <f>G83/G70</f>
        <v/>
      </c>
      <c r="H85" s="686">
        <f>H83/H70</f>
        <v/>
      </c>
      <c r="I85" s="686">
        <f>I83/I70</f>
        <v/>
      </c>
      <c r="J85" s="686">
        <f>J83/J70</f>
        <v/>
      </c>
      <c r="K85" s="686">
        <f>K83/K70</f>
        <v/>
      </c>
      <c r="L85" s="1294">
        <f>L83/L70</f>
        <v/>
      </c>
      <c r="M85" s="686">
        <f>M83/M70</f>
        <v/>
      </c>
      <c r="N85" s="686">
        <f>N83/N70</f>
        <v/>
      </c>
      <c r="O85" s="686">
        <f>O83/O70</f>
        <v/>
      </c>
      <c r="P85" s="686">
        <f>P83/P70</f>
        <v/>
      </c>
      <c r="Q85" s="1294">
        <f>Q83/Q70</f>
        <v/>
      </c>
      <c r="R85" s="686">
        <f>R83/R70</f>
        <v/>
      </c>
      <c r="S85" s="686">
        <f>S83/S70</f>
        <v/>
      </c>
      <c r="T85" s="686">
        <f>T83/T70</f>
        <v/>
      </c>
      <c r="U85" s="686">
        <f>U83/U70</f>
        <v/>
      </c>
      <c r="V85" s="1294">
        <f>V83/V70</f>
        <v/>
      </c>
      <c r="W85" s="686">
        <f>W83/W70</f>
        <v/>
      </c>
      <c r="X85" s="686">
        <f>X83/X70</f>
        <v/>
      </c>
      <c r="Y85" s="686">
        <f>Y83/Y70</f>
        <v/>
      </c>
      <c r="Z85" s="686">
        <f>Z83/Z70</f>
        <v/>
      </c>
      <c r="AA85" s="1294">
        <f>AA83/AA70</f>
        <v/>
      </c>
      <c r="AB85" s="686">
        <f>AB83/AB70</f>
        <v/>
      </c>
      <c r="AC85" s="686">
        <f>AC83/AC70</f>
        <v/>
      </c>
      <c r="AD85" s="686">
        <f>AD83/AD70</f>
        <v/>
      </c>
      <c r="AE85" s="686">
        <f>AE83/AE70</f>
        <v/>
      </c>
      <c r="AF85" s="1294">
        <f>AF83/AF70</f>
        <v/>
      </c>
      <c r="AG85" s="686">
        <f>AG83/AG70</f>
        <v/>
      </c>
      <c r="AH85" s="686">
        <f>AH83/AH70</f>
        <v/>
      </c>
      <c r="AI85" s="686">
        <f>AI83/AI70</f>
        <v/>
      </c>
      <c r="AJ85" s="686">
        <f>AJ83/AJ70</f>
        <v/>
      </c>
      <c r="AK85" s="1294">
        <f>AK83/AK70</f>
        <v/>
      </c>
      <c r="AL85" s="686">
        <f>AL83/AL70</f>
        <v/>
      </c>
      <c r="AM85" s="686">
        <f>AM83/AM70</f>
        <v/>
      </c>
      <c r="AN85" s="686">
        <f>AN83/AN70</f>
        <v/>
      </c>
      <c r="AO85" s="686">
        <f>AO83/AO70</f>
        <v/>
      </c>
      <c r="AP85" s="1294">
        <f>AP83/AP70</f>
        <v/>
      </c>
      <c r="AQ85" s="686">
        <f>AQ83/AQ70</f>
        <v/>
      </c>
      <c r="AR85" s="686">
        <f>AR83/AR70</f>
        <v/>
      </c>
      <c r="AS85" s="686">
        <f>AS83/AS70</f>
        <v/>
      </c>
      <c r="AT85" s="686">
        <f>AT83/AT70</f>
        <v/>
      </c>
      <c r="AU85" s="1294">
        <f>AU83/AU70</f>
        <v/>
      </c>
      <c r="AV85" s="686">
        <f>AV83/AV70</f>
        <v/>
      </c>
      <c r="AW85" s="686">
        <f>AW83/AW70</f>
        <v/>
      </c>
      <c r="AX85" s="686">
        <f>AX83/AX70</f>
        <v/>
      </c>
      <c r="AY85" s="686">
        <f>AY83/AY70</f>
        <v/>
      </c>
      <c r="AZ85" s="1294">
        <f>AZ83/AZ70</f>
        <v/>
      </c>
      <c r="BA85" s="686">
        <f>BA83/BA70</f>
        <v/>
      </c>
      <c r="BB85" s="686">
        <f>BB83/BB70</f>
        <v/>
      </c>
      <c r="BC85" s="686">
        <f>BC83/BC70</f>
        <v/>
      </c>
      <c r="BD85" s="686">
        <f>BD83/BD70</f>
        <v/>
      </c>
      <c r="BE85" s="1294">
        <f>BE83/BE70</f>
        <v/>
      </c>
      <c r="BF85" s="686">
        <f>BF83/BF70</f>
        <v/>
      </c>
      <c r="BG85" s="686">
        <f>BG83/BG70</f>
        <v/>
      </c>
      <c r="BH85" s="686">
        <f>BH83/BH70</f>
        <v/>
      </c>
      <c r="BI85" s="686">
        <f>BI83/BI70</f>
        <v/>
      </c>
      <c r="BJ85" s="1294">
        <f>BJ83/BJ70</f>
        <v/>
      </c>
      <c r="BK85" s="686">
        <f>BK83/BK70</f>
        <v/>
      </c>
      <c r="BL85" s="686">
        <f>BL83/BL70</f>
        <v/>
      </c>
      <c r="BM85" s="686">
        <f>BM83/BM70</f>
        <v/>
      </c>
      <c r="BN85" s="686">
        <f>BN83/BN70</f>
        <v/>
      </c>
      <c r="BO85" s="1293">
        <f>BO83/BO70</f>
        <v/>
      </c>
      <c r="BP85" s="686">
        <f>BK85-BP86/10000</f>
        <v/>
      </c>
      <c r="BQ85" s="686">
        <f>BL85-BQ86/10000</f>
        <v/>
      </c>
      <c r="BR85" s="686">
        <f>BM85-BR86/10000</f>
        <v/>
      </c>
      <c r="BS85" s="686">
        <f>BN85-BS86/10000</f>
        <v/>
      </c>
      <c r="BT85" s="1294">
        <f>BT83/BT70</f>
        <v/>
      </c>
      <c r="BU85" s="686">
        <f>BP85-BU86/10000</f>
        <v/>
      </c>
      <c r="BV85" s="686">
        <f>BQ85-BV86/10000</f>
        <v/>
      </c>
      <c r="BW85" s="686">
        <f>BR85-BW86/10000</f>
        <v/>
      </c>
      <c r="BX85" s="686">
        <f>BS85-BX86/10000</f>
        <v/>
      </c>
      <c r="BY85" s="1294">
        <f>BY83/BY70</f>
        <v/>
      </c>
      <c r="BZ85" s="1294">
        <f>BY85-BZ86/10000</f>
        <v/>
      </c>
      <c r="CA85" s="1294">
        <f>BZ85-CA86/10000</f>
        <v/>
      </c>
      <c r="CB85" s="1294">
        <f>CA85-CB86/10000</f>
        <v/>
      </c>
      <c r="CC85" s="102" t="n"/>
    </row>
    <row r="86" ht="15" customFormat="1" customHeight="1" s="1574">
      <c r="A86" s="1693" t="inlineStr">
        <is>
          <t>Y/Y SG&amp;A margin improvement, bps</t>
        </is>
      </c>
      <c r="B86" s="1576" t="n"/>
      <c r="C86" s="1577" t="n"/>
      <c r="D86" s="1577">
        <f>-(D85-C85)*10000</f>
        <v/>
      </c>
      <c r="E86" s="1577">
        <f>-(E85-D85)*10000</f>
        <v/>
      </c>
      <c r="F86" s="1577">
        <f>-(F85-E85)*10000</f>
        <v/>
      </c>
      <c r="G86" s="1577">
        <f>-(G85-F85)*10000</f>
        <v/>
      </c>
      <c r="H86" s="1578" t="n"/>
      <c r="I86" s="1578" t="n"/>
      <c r="J86" s="1578" t="n"/>
      <c r="K86" s="1578" t="n"/>
      <c r="L86" s="1577">
        <f>-(L85-G85)*10000</f>
        <v/>
      </c>
      <c r="M86" s="1578">
        <f>-(M85-H85)*10000</f>
        <v/>
      </c>
      <c r="N86" s="1578">
        <f>-(N85-I85)*10000</f>
        <v/>
      </c>
      <c r="O86" s="1578">
        <f>-(O85-J85)*10000</f>
        <v/>
      </c>
      <c r="P86" s="1578">
        <f>-(P85-K85)*10000</f>
        <v/>
      </c>
      <c r="Q86" s="1577">
        <f>-(Q85-L85)*10000</f>
        <v/>
      </c>
      <c r="R86" s="1578">
        <f>-(R85-M85)*10000</f>
        <v/>
      </c>
      <c r="S86" s="1578">
        <f>-(S85-N85)*10000</f>
        <v/>
      </c>
      <c r="T86" s="1578">
        <f>-(T85-O85)*10000</f>
        <v/>
      </c>
      <c r="U86" s="1578">
        <f>-(U85-P85)*10000</f>
        <v/>
      </c>
      <c r="V86" s="1577">
        <f>-(V85-Q85)*10000</f>
        <v/>
      </c>
      <c r="W86" s="1578">
        <f>-(W85-R85)*10000</f>
        <v/>
      </c>
      <c r="X86" s="1578">
        <f>-(X85-S85)*10000</f>
        <v/>
      </c>
      <c r="Y86" s="1578">
        <f>-(Y85-T85)*10000</f>
        <v/>
      </c>
      <c r="Z86" s="1578">
        <f>-(Z85-U85)*10000</f>
        <v/>
      </c>
      <c r="AA86" s="1577">
        <f>-(AA85-V85)*10000</f>
        <v/>
      </c>
      <c r="AB86" s="1578">
        <f>-(AB85-W85)*10000</f>
        <v/>
      </c>
      <c r="AC86" s="1578">
        <f>-(AC85-X85)*10000</f>
        <v/>
      </c>
      <c r="AD86" s="1578">
        <f>-(AD85-Y85)*10000</f>
        <v/>
      </c>
      <c r="AE86" s="1578">
        <f>-(AE85-Z85)*10000</f>
        <v/>
      </c>
      <c r="AF86" s="1577">
        <f>-(AF85-AA85)*10000</f>
        <v/>
      </c>
      <c r="AG86" s="1578">
        <f>-(AG85-AB85)*10000</f>
        <v/>
      </c>
      <c r="AH86" s="1578">
        <f>-(AH85-AC85)*10000</f>
        <v/>
      </c>
      <c r="AI86" s="1578">
        <f>-(AI85-AD85)*10000</f>
        <v/>
      </c>
      <c r="AJ86" s="1578">
        <f>-(AJ85-AE85)*10000</f>
        <v/>
      </c>
      <c r="AK86" s="1577">
        <f>-(AK85-AF85)*10000</f>
        <v/>
      </c>
      <c r="AL86" s="1578">
        <f>-(AL85-AG85)*10000</f>
        <v/>
      </c>
      <c r="AM86" s="1578">
        <f>-(AM85-AH85)*10000</f>
        <v/>
      </c>
      <c r="AN86" s="1578">
        <f>-(AN85-AI85)*10000</f>
        <v/>
      </c>
      <c r="AO86" s="1578">
        <f>-(AO85-AJ85)*10000</f>
        <v/>
      </c>
      <c r="AP86" s="1577">
        <f>-(AP85-AK85)*10000</f>
        <v/>
      </c>
      <c r="AQ86" s="1578">
        <f>-(AQ85-AL85)*10000</f>
        <v/>
      </c>
      <c r="AR86" s="1578">
        <f>-(AR85-AM85)*10000</f>
        <v/>
      </c>
      <c r="AS86" s="1578">
        <f>-(AS85-AN85)*10000</f>
        <v/>
      </c>
      <c r="AT86" s="1578">
        <f>-(AT85-AO85)*10000</f>
        <v/>
      </c>
      <c r="AU86" s="1577">
        <f>-(AU85-AP85)*10000</f>
        <v/>
      </c>
      <c r="AV86" s="1578">
        <f>-(AV85-AQ85)*10000</f>
        <v/>
      </c>
      <c r="AW86" s="1578">
        <f>-(AW85-AR85)*10000</f>
        <v/>
      </c>
      <c r="AX86" s="1578">
        <f>-(AX85-AS85)*10000</f>
        <v/>
      </c>
      <c r="AY86" s="1578">
        <f>-(AY85-AT85)*10000</f>
        <v/>
      </c>
      <c r="AZ86" s="1577">
        <f>-(AZ85-AU85)*10000</f>
        <v/>
      </c>
      <c r="BA86" s="1578">
        <f>-(BA85-AV85)*10000</f>
        <v/>
      </c>
      <c r="BB86" s="1578">
        <f>-(BB85-AW85)*10000</f>
        <v/>
      </c>
      <c r="BC86" s="1578">
        <f>-(BC85-AX85)*10000</f>
        <v/>
      </c>
      <c r="BD86" s="1578">
        <f>-(BD85-AY85)*10000</f>
        <v/>
      </c>
      <c r="BE86" s="1577">
        <f>-(BE85-AZ85)*10000</f>
        <v/>
      </c>
      <c r="BF86" s="1578">
        <f>-(BF85-BA85)*10000</f>
        <v/>
      </c>
      <c r="BG86" s="1578">
        <f>-(BG85-BB85)*10000</f>
        <v/>
      </c>
      <c r="BH86" s="1578">
        <f>-(BH85-BC85)*10000</f>
        <v/>
      </c>
      <c r="BI86" s="1578">
        <f>-(BI85-BD85)*10000</f>
        <v/>
      </c>
      <c r="BJ86" s="1577">
        <f>-(BJ85-BE85)*10000</f>
        <v/>
      </c>
      <c r="BK86" s="1578">
        <f>-(BK85-BF85)*10000</f>
        <v/>
      </c>
      <c r="BL86" s="1578">
        <f>-(BL85-BG85)*10000</f>
        <v/>
      </c>
      <c r="BM86" s="1578">
        <f>-(BM85-BH85)*10000</f>
        <v/>
      </c>
      <c r="BN86" s="1578">
        <f>-(BN85-BI85)*10000</f>
        <v/>
      </c>
      <c r="BO86" s="1581">
        <f>-(BO85-BJ85)*10000</f>
        <v/>
      </c>
      <c r="BP86" s="1579" t="n">
        <v>10</v>
      </c>
      <c r="BQ86" s="1579" t="n">
        <v>20</v>
      </c>
      <c r="BR86" s="1579" t="n">
        <v>20</v>
      </c>
      <c r="BS86" s="1579" t="n">
        <v>20</v>
      </c>
      <c r="BT86" s="1577">
        <f>-(BT85-BO85)*10000</f>
        <v/>
      </c>
      <c r="BU86" s="1579" t="n">
        <v>20</v>
      </c>
      <c r="BV86" s="1579" t="n">
        <v>20</v>
      </c>
      <c r="BW86" s="1579" t="n">
        <v>20</v>
      </c>
      <c r="BX86" s="1579" t="n">
        <v>20</v>
      </c>
      <c r="BY86" s="1577">
        <f>-(BY85-BT85)*10000</f>
        <v/>
      </c>
      <c r="BZ86" s="1580" t="n">
        <v>20</v>
      </c>
      <c r="CA86" s="1580" t="n">
        <v>20</v>
      </c>
      <c r="CB86" s="1580" t="n">
        <v>20</v>
      </c>
      <c r="CC86" s="1582" t="n"/>
    </row>
    <row r="87" ht="15" customFormat="1" customHeight="1" s="1561">
      <c r="A87" s="1669" t="n"/>
      <c r="B87" s="1623" t="n"/>
      <c r="C87" s="1624" t="n"/>
      <c r="D87" s="1624" t="n"/>
      <c r="E87" s="1624" t="n"/>
      <c r="F87" s="1624" t="n"/>
      <c r="G87" s="1624" t="n"/>
      <c r="H87" s="1626" t="n"/>
      <c r="I87" s="1626" t="n"/>
      <c r="J87" s="1626" t="n"/>
      <c r="K87" s="1626" t="n"/>
      <c r="L87" s="1624" t="n"/>
      <c r="M87" s="1626" t="n"/>
      <c r="N87" s="1626" t="n"/>
      <c r="O87" s="1626" t="n"/>
      <c r="P87" s="1626" t="n"/>
      <c r="Q87" s="1624" t="n"/>
      <c r="R87" s="1626" t="n"/>
      <c r="S87" s="1626" t="n"/>
      <c r="T87" s="1626" t="n"/>
      <c r="U87" s="1626" t="n"/>
      <c r="V87" s="1624" t="n"/>
      <c r="W87" s="1626" t="n"/>
      <c r="X87" s="1626" t="n"/>
      <c r="Y87" s="1626" t="n"/>
      <c r="Z87" s="1626" t="n"/>
      <c r="AA87" s="1624" t="n"/>
      <c r="AB87" s="1626" t="n"/>
      <c r="AC87" s="1626" t="n"/>
      <c r="AD87" s="1626" t="n"/>
      <c r="AE87" s="1626" t="n"/>
      <c r="AF87" s="1624" t="n"/>
      <c r="AG87" s="1626" t="n"/>
      <c r="AH87" s="1626" t="n"/>
      <c r="AI87" s="1626" t="n"/>
      <c r="AJ87" s="1626" t="n"/>
      <c r="AK87" s="1624" t="n"/>
      <c r="AL87" s="1626" t="n"/>
      <c r="AM87" s="1626" t="n"/>
      <c r="AN87" s="1626" t="n"/>
      <c r="AO87" s="1626" t="n"/>
      <c r="AP87" s="1624" t="n"/>
      <c r="AQ87" s="1626" t="n"/>
      <c r="AR87" s="1626" t="n"/>
      <c r="AS87" s="1626" t="n"/>
      <c r="AT87" s="1626" t="n"/>
      <c r="AU87" s="1624" t="n"/>
      <c r="AV87" s="1626" t="n"/>
      <c r="AW87" s="1626" t="n"/>
      <c r="AX87" s="1626" t="n"/>
      <c r="AY87" s="1626" t="n"/>
      <c r="AZ87" s="1624" t="n"/>
      <c r="BA87" s="1626" t="n"/>
      <c r="BB87" s="1626" t="n"/>
      <c r="BC87" s="1626" t="n"/>
      <c r="BD87" s="1626" t="n"/>
      <c r="BE87" s="1624" t="n"/>
      <c r="BF87" s="1626" t="n"/>
      <c r="BG87" s="1626" t="n"/>
      <c r="BH87" s="1626" t="n"/>
      <c r="BI87" s="1626" t="n"/>
      <c r="BJ87" s="1624" t="n"/>
      <c r="BK87" s="1626" t="n"/>
      <c r="BL87" s="1626" t="n"/>
      <c r="BM87" s="1626" t="n"/>
      <c r="BN87" s="1626" t="n"/>
      <c r="BO87" s="1627" t="n"/>
      <c r="BP87" s="1626" t="n"/>
      <c r="BQ87" s="1626" t="n"/>
      <c r="BR87" s="1626" t="n"/>
      <c r="BS87" s="1626" t="n"/>
      <c r="BT87" s="1624" t="n"/>
      <c r="BU87" s="1626" t="n"/>
      <c r="BV87" s="1626" t="n"/>
      <c r="BW87" s="1626" t="n"/>
      <c r="BX87" s="1626" t="n"/>
      <c r="BY87" s="1624" t="n"/>
      <c r="BZ87" s="1624" t="n"/>
      <c r="CA87" s="1624" t="n"/>
      <c r="CB87" s="1624" t="n"/>
      <c r="CC87" s="1564" t="n"/>
    </row>
    <row r="88" ht="15" customFormat="1" customHeight="1" s="1561">
      <c r="A88" s="1669" t="inlineStr">
        <is>
          <t>Other, mm</t>
        </is>
      </c>
      <c r="B88" s="1623" t="n"/>
      <c r="C88" s="1624">
        <f>C337</f>
        <v/>
      </c>
      <c r="D88" s="1624">
        <f>D337</f>
        <v/>
      </c>
      <c r="E88" s="1624">
        <f>E337</f>
        <v/>
      </c>
      <c r="F88" s="1624">
        <f>F337</f>
        <v/>
      </c>
      <c r="G88" s="1624">
        <f>G337</f>
        <v/>
      </c>
      <c r="H88" s="1626">
        <f>H337</f>
        <v/>
      </c>
      <c r="I88" s="1626">
        <f>I337</f>
        <v/>
      </c>
      <c r="J88" s="1626">
        <f>J337</f>
        <v/>
      </c>
      <c r="K88" s="1626">
        <f>K337</f>
        <v/>
      </c>
      <c r="L88" s="1624">
        <f>L337</f>
        <v/>
      </c>
      <c r="M88" s="1626">
        <f>M337</f>
        <v/>
      </c>
      <c r="N88" s="1626">
        <f>N337</f>
        <v/>
      </c>
      <c r="O88" s="1626">
        <f>O337</f>
        <v/>
      </c>
      <c r="P88" s="1626">
        <f>P337</f>
        <v/>
      </c>
      <c r="Q88" s="1624">
        <f>Q337</f>
        <v/>
      </c>
      <c r="R88" s="1626">
        <f>R337</f>
        <v/>
      </c>
      <c r="S88" s="1626">
        <f>S337</f>
        <v/>
      </c>
      <c r="T88" s="1626">
        <f>T337</f>
        <v/>
      </c>
      <c r="U88" s="1626">
        <f>U337</f>
        <v/>
      </c>
      <c r="V88" s="1624">
        <f>V337</f>
        <v/>
      </c>
      <c r="W88" s="1626">
        <f>W337</f>
        <v/>
      </c>
      <c r="X88" s="1626">
        <f>X337</f>
        <v/>
      </c>
      <c r="Y88" s="1626">
        <f>Y337</f>
        <v/>
      </c>
      <c r="Z88" s="1626">
        <f>Z337</f>
        <v/>
      </c>
      <c r="AA88" s="1624">
        <f>AA337</f>
        <v/>
      </c>
      <c r="AB88" s="1626">
        <f>AB337</f>
        <v/>
      </c>
      <c r="AC88" s="1626">
        <f>AC337</f>
        <v/>
      </c>
      <c r="AD88" s="1626">
        <f>AD337</f>
        <v/>
      </c>
      <c r="AE88" s="1626">
        <f>AE337</f>
        <v/>
      </c>
      <c r="AF88" s="1624">
        <f>AF337</f>
        <v/>
      </c>
      <c r="AG88" s="1626">
        <f>AG337</f>
        <v/>
      </c>
      <c r="AH88" s="1626">
        <f>AH337</f>
        <v/>
      </c>
      <c r="AI88" s="1626">
        <f>AI337</f>
        <v/>
      </c>
      <c r="AJ88" s="1626">
        <f>AJ337</f>
        <v/>
      </c>
      <c r="AK88" s="1624">
        <f>AK337</f>
        <v/>
      </c>
      <c r="AL88" s="1626">
        <f>AL337</f>
        <v/>
      </c>
      <c r="AM88" s="1626">
        <f>AM337</f>
        <v/>
      </c>
      <c r="AN88" s="1626">
        <f>AN337</f>
        <v/>
      </c>
      <c r="AO88" s="1626">
        <f>AO337</f>
        <v/>
      </c>
      <c r="AP88" s="1624">
        <f>AP337</f>
        <v/>
      </c>
      <c r="AQ88" s="1626">
        <f>AQ337</f>
        <v/>
      </c>
      <c r="AR88" s="1626">
        <f>AR337</f>
        <v/>
      </c>
      <c r="AS88" s="1626">
        <f>AS337</f>
        <v/>
      </c>
      <c r="AT88" s="1626">
        <f>AT337</f>
        <v/>
      </c>
      <c r="AU88" s="1624">
        <f>AU337</f>
        <v/>
      </c>
      <c r="AV88" s="1626">
        <f>AV337</f>
        <v/>
      </c>
      <c r="AW88" s="1626">
        <f>AW337</f>
        <v/>
      </c>
      <c r="AX88" s="1626">
        <f>AX337</f>
        <v/>
      </c>
      <c r="AY88" s="1626">
        <f>AY337</f>
        <v/>
      </c>
      <c r="AZ88" s="1624">
        <f>AZ337</f>
        <v/>
      </c>
      <c r="BA88" s="1626">
        <f>BA337</f>
        <v/>
      </c>
      <c r="BB88" s="1626">
        <f>BB337</f>
        <v/>
      </c>
      <c r="BC88" s="1626">
        <f>BC337</f>
        <v/>
      </c>
      <c r="BD88" s="1626">
        <f>BD337</f>
        <v/>
      </c>
      <c r="BE88" s="1624">
        <f>BE337</f>
        <v/>
      </c>
      <c r="BF88" s="1626">
        <f>BF337</f>
        <v/>
      </c>
      <c r="BG88" s="1626">
        <f>BG337</f>
        <v/>
      </c>
      <c r="BH88" s="1626">
        <f>BH337</f>
        <v/>
      </c>
      <c r="BI88" s="1626">
        <f>BI337</f>
        <v/>
      </c>
      <c r="BJ88" s="1624">
        <f>BJ337</f>
        <v/>
      </c>
      <c r="BK88" s="1626">
        <f>BK337</f>
        <v/>
      </c>
      <c r="BL88" s="1626">
        <f>BL337</f>
        <v/>
      </c>
      <c r="BM88" s="1626">
        <f>BM337</f>
        <v/>
      </c>
      <c r="BN88" s="1626">
        <f>BN337</f>
        <v/>
      </c>
      <c r="BO88" s="1627">
        <f>BO337</f>
        <v/>
      </c>
      <c r="BP88" s="1694" t="n">
        <v>0</v>
      </c>
      <c r="BQ88" s="1694" t="n">
        <v>0</v>
      </c>
      <c r="BR88" s="1694" t="n">
        <v>0</v>
      </c>
      <c r="BS88" s="1694" t="n">
        <v>0</v>
      </c>
      <c r="BT88" s="1624">
        <f>SUM(BP88,BQ88,BR88,BS88)</f>
        <v/>
      </c>
      <c r="BU88" s="1694" t="n">
        <v>0</v>
      </c>
      <c r="BV88" s="1694" t="n">
        <v>0</v>
      </c>
      <c r="BW88" s="1694" t="n">
        <v>0</v>
      </c>
      <c r="BX88" s="1694" t="n">
        <v>0</v>
      </c>
      <c r="BY88" s="1624">
        <f>SUM(BU88,BV88,BW88,BX88)</f>
        <v/>
      </c>
      <c r="BZ88" s="1625" t="n">
        <v>0</v>
      </c>
      <c r="CA88" s="1625" t="n">
        <v>0</v>
      </c>
      <c r="CB88" s="1625" t="n">
        <v>0</v>
      </c>
      <c r="CC88" s="1564" t="n"/>
    </row>
    <row r="89" ht="15" customFormat="1" customHeight="1" s="1628">
      <c r="A89" s="1695" t="inlineStr">
        <is>
          <t>EBIT, mm</t>
        </is>
      </c>
      <c r="B89" s="1630" t="n"/>
      <c r="C89" s="1631">
        <f>C72-C78-C83-C88</f>
        <v/>
      </c>
      <c r="D89" s="1631">
        <f>D72-D78-D83-D88</f>
        <v/>
      </c>
      <c r="E89" s="1631">
        <f>E72-E78-E83-E88</f>
        <v/>
      </c>
      <c r="F89" s="1631">
        <f>F72-F78-F83-F88</f>
        <v/>
      </c>
      <c r="G89" s="1631">
        <f>G72-G78-G83-G88</f>
        <v/>
      </c>
      <c r="H89" s="1632">
        <f>H72-H78-H83-H88</f>
        <v/>
      </c>
      <c r="I89" s="1632">
        <f>I72-I78-I83-I88</f>
        <v/>
      </c>
      <c r="J89" s="1632">
        <f>J72-J78-J83-J88</f>
        <v/>
      </c>
      <c r="K89" s="1632">
        <f>K72-K78-K83-K88</f>
        <v/>
      </c>
      <c r="L89" s="1631">
        <f>L72-L78-L83-L88</f>
        <v/>
      </c>
      <c r="M89" s="1632">
        <f>M72-M78-M83-M88</f>
        <v/>
      </c>
      <c r="N89" s="1632">
        <f>N72-N78-N83-N88</f>
        <v/>
      </c>
      <c r="O89" s="1632">
        <f>O72-O78-O83-O88</f>
        <v/>
      </c>
      <c r="P89" s="1632">
        <f>P72-P78-P83-P88</f>
        <v/>
      </c>
      <c r="Q89" s="1631">
        <f>Q72-Q78-Q83-Q88</f>
        <v/>
      </c>
      <c r="R89" s="1632">
        <f>R72-R78-R83-R88</f>
        <v/>
      </c>
      <c r="S89" s="1632">
        <f>S72-S78-S83-S88</f>
        <v/>
      </c>
      <c r="T89" s="1632">
        <f>T72-T78-T83-T88</f>
        <v/>
      </c>
      <c r="U89" s="1632">
        <f>U72-U78-U83-U88</f>
        <v/>
      </c>
      <c r="V89" s="1631">
        <f>V72-V78-V83-V88</f>
        <v/>
      </c>
      <c r="W89" s="1632">
        <f>W72-W78-W83-W88</f>
        <v/>
      </c>
      <c r="X89" s="1632">
        <f>X72-X78-X83-X88</f>
        <v/>
      </c>
      <c r="Y89" s="1632">
        <f>Y72-Y78-Y83-Y88</f>
        <v/>
      </c>
      <c r="Z89" s="1632">
        <f>Z72-Z78-Z83-Z88</f>
        <v/>
      </c>
      <c r="AA89" s="1631">
        <f>AA72-AA78-AA83-AA88</f>
        <v/>
      </c>
      <c r="AB89" s="1632">
        <f>AB72-AB78-AB83-AB88</f>
        <v/>
      </c>
      <c r="AC89" s="1632">
        <f>AC72-AC78-AC83-AC88</f>
        <v/>
      </c>
      <c r="AD89" s="1632">
        <f>AD72-AD78-AD83-AD88</f>
        <v/>
      </c>
      <c r="AE89" s="1632">
        <f>AE72-AE78-AE83-AE88</f>
        <v/>
      </c>
      <c r="AF89" s="1631">
        <f>AF72-AF78-AF83-AF88</f>
        <v/>
      </c>
      <c r="AG89" s="1632">
        <f>AG72-AG78-AG83-AG88</f>
        <v/>
      </c>
      <c r="AH89" s="1632">
        <f>AH72-AH78-AH83-AH88</f>
        <v/>
      </c>
      <c r="AI89" s="1632">
        <f>AI72-AI78-AI83-AI88</f>
        <v/>
      </c>
      <c r="AJ89" s="1632">
        <f>AJ72-AJ78-AJ83-AJ88</f>
        <v/>
      </c>
      <c r="AK89" s="1631">
        <f>AK72-AK78-AK83-AK88</f>
        <v/>
      </c>
      <c r="AL89" s="1632">
        <f>AL72-AL78-AL83-AL88</f>
        <v/>
      </c>
      <c r="AM89" s="1632">
        <f>AM72-AM78-AM83-AM88</f>
        <v/>
      </c>
      <c r="AN89" s="1632">
        <f>AN72-AN78-AN83-AN88</f>
        <v/>
      </c>
      <c r="AO89" s="1632">
        <f>AO72-AO78-AO83-AO88</f>
        <v/>
      </c>
      <c r="AP89" s="1631">
        <f>AP72-AP78-AP83-AP88</f>
        <v/>
      </c>
      <c r="AQ89" s="1632">
        <f>AQ72-AQ78-AQ83-AQ88</f>
        <v/>
      </c>
      <c r="AR89" s="1632">
        <f>AR72-AR78-AR83-AR88</f>
        <v/>
      </c>
      <c r="AS89" s="1632">
        <f>AS72-AS78-AS83-AS88</f>
        <v/>
      </c>
      <c r="AT89" s="1632">
        <f>AT72-AT78-AT83-AT88</f>
        <v/>
      </c>
      <c r="AU89" s="1631">
        <f>AU72-AU78-AU83-AU88</f>
        <v/>
      </c>
      <c r="AV89" s="1632">
        <f>AV72-AV78-AV83-AV88</f>
        <v/>
      </c>
      <c r="AW89" s="1632">
        <f>AW72-AW78-AW83-AW88</f>
        <v/>
      </c>
      <c r="AX89" s="1632">
        <f>AX72-AX78-AX83-AX88</f>
        <v/>
      </c>
      <c r="AY89" s="1632">
        <f>AY72-AY78-AY83-AY88</f>
        <v/>
      </c>
      <c r="AZ89" s="1631">
        <f>AZ72-AZ78-AZ83-AZ88</f>
        <v/>
      </c>
      <c r="BA89" s="1632">
        <f>BA72-BA78-BA83-BA88</f>
        <v/>
      </c>
      <c r="BB89" s="1632">
        <f>BB72-BB78-BB83-BB88</f>
        <v/>
      </c>
      <c r="BC89" s="1632">
        <f>BC72-BC78-BC83-BC88</f>
        <v/>
      </c>
      <c r="BD89" s="1632">
        <f>BD72-BD78-BD83-BD88</f>
        <v/>
      </c>
      <c r="BE89" s="1631">
        <f>BE72-BE78-BE83-BE88</f>
        <v/>
      </c>
      <c r="BF89" s="1632">
        <f>BF72-BF78-BF83-BF88</f>
        <v/>
      </c>
      <c r="BG89" s="1632">
        <f>BG72-BG78-BG83-BG88</f>
        <v/>
      </c>
      <c r="BH89" s="1632">
        <f>BH72-BH78-BH83-BH88</f>
        <v/>
      </c>
      <c r="BI89" s="1632">
        <f>BI72-BI78-BI83-BI88</f>
        <v/>
      </c>
      <c r="BJ89" s="1631">
        <f>BJ72-BJ78-BJ83-BJ88</f>
        <v/>
      </c>
      <c r="BK89" s="1632">
        <f>BK72-BK78-BK83-BK88</f>
        <v/>
      </c>
      <c r="BL89" s="1632">
        <f>BL72-BL78-BL83-BL88</f>
        <v/>
      </c>
      <c r="BM89" s="1632">
        <f>BM72-BM78-BM83-BM88</f>
        <v/>
      </c>
      <c r="BN89" s="1632">
        <f>BN72-BN78-BN83-BN88</f>
        <v/>
      </c>
      <c r="BO89" s="1633">
        <f>BO72-BO78-BO83-BO88</f>
        <v/>
      </c>
      <c r="BP89" s="1632">
        <f>BP72-BP78-BP83-BP88</f>
        <v/>
      </c>
      <c r="BQ89" s="1632">
        <f>BQ72-BQ78-BQ83-BQ88</f>
        <v/>
      </c>
      <c r="BR89" s="1632">
        <f>BR72-BR78-BR83-BR88</f>
        <v/>
      </c>
      <c r="BS89" s="1632">
        <f>BS72-BS78-BS83-BS88</f>
        <v/>
      </c>
      <c r="BT89" s="1631">
        <f>BT72-BT78-BT83-BT88</f>
        <v/>
      </c>
      <c r="BU89" s="1632">
        <f>BU72-BU78-BU83-BU88</f>
        <v/>
      </c>
      <c r="BV89" s="1632">
        <f>BV72-BV78-BV83-BV88</f>
        <v/>
      </c>
      <c r="BW89" s="1632">
        <f>BW72-BW78-BW83-BW88</f>
        <v/>
      </c>
      <c r="BX89" s="1632">
        <f>BX72-BX78-BX83-BX88</f>
        <v/>
      </c>
      <c r="BY89" s="1631">
        <f>BY72-BY78-BY83-BY88</f>
        <v/>
      </c>
      <c r="BZ89" s="1631">
        <f>BZ72-BZ78-BZ83-BZ88</f>
        <v/>
      </c>
      <c r="CA89" s="1631">
        <f>CA72-CA78-CA83-CA88</f>
        <v/>
      </c>
      <c r="CB89" s="1631">
        <f>CB72-CB78-CB83-CB88</f>
        <v/>
      </c>
      <c r="CC89" s="1634" t="n"/>
    </row>
    <row r="90" ht="15" customFormat="1" customHeight="1" s="1696">
      <c r="A90" s="1697">
        <f>A340</f>
        <v/>
      </c>
      <c r="B90" s="1671" t="n"/>
      <c r="C90" s="1698" t="n"/>
      <c r="D90" s="1698" t="n"/>
      <c r="E90" s="1698" t="n"/>
      <c r="F90" s="1698" t="n"/>
      <c r="G90" s="1698" t="n"/>
      <c r="H90" s="1699" t="n"/>
      <c r="I90" s="1699" t="n"/>
      <c r="J90" s="1699" t="n"/>
      <c r="K90" s="1699" t="n"/>
      <c r="L90" s="1698" t="n"/>
      <c r="M90" s="1699" t="n"/>
      <c r="N90" s="1699" t="n"/>
      <c r="O90" s="1699" t="n"/>
      <c r="P90" s="1699" t="n"/>
      <c r="Q90" s="1698" t="n"/>
      <c r="R90" s="1699" t="n"/>
      <c r="S90" s="1699" t="n"/>
      <c r="T90" s="1699" t="n"/>
      <c r="U90" s="1699" t="n"/>
      <c r="V90" s="1698" t="n"/>
      <c r="W90" s="1699" t="n"/>
      <c r="X90" s="1699" t="n"/>
      <c r="Y90" s="1699" t="n"/>
      <c r="Z90" s="1699" t="n"/>
      <c r="AA90" s="1698" t="n"/>
      <c r="AB90" s="1699" t="n"/>
      <c r="AC90" s="1699" t="n"/>
      <c r="AD90" s="1699" t="n"/>
      <c r="AE90" s="1699" t="n"/>
      <c r="AF90" s="1698" t="n"/>
      <c r="AG90" s="1699" t="n"/>
      <c r="AH90" s="1699" t="n"/>
      <c r="AI90" s="1699" t="n"/>
      <c r="AJ90" s="1699" t="n"/>
      <c r="AK90" s="1698" t="n"/>
      <c r="AL90" s="1699" t="n"/>
      <c r="AM90" s="1699" t="n"/>
      <c r="AN90" s="1699" t="n"/>
      <c r="AO90" s="1699" t="n"/>
      <c r="AP90" s="1698" t="n"/>
      <c r="AQ90" s="1699" t="n"/>
      <c r="AR90" s="1699" t="n"/>
      <c r="AS90" s="1699" t="n"/>
      <c r="AT90" s="1699" t="n"/>
      <c r="AU90" s="1698" t="n"/>
      <c r="AV90" s="1699" t="n"/>
      <c r="AW90" s="1699" t="n"/>
      <c r="AX90" s="1699" t="n"/>
      <c r="AY90" s="1699" t="n"/>
      <c r="AZ90" s="1698" t="n"/>
      <c r="BA90" s="1699" t="n"/>
      <c r="BB90" s="1699" t="n"/>
      <c r="BC90" s="1699" t="n"/>
      <c r="BD90" s="1699" t="n"/>
      <c r="BE90" s="1698" t="n"/>
      <c r="BF90" s="1699" t="n"/>
      <c r="BG90" s="1699" t="n"/>
      <c r="BH90" s="1699" t="n"/>
      <c r="BI90" s="1699" t="n"/>
      <c r="BJ90" s="1698" t="n"/>
      <c r="BK90" s="1699" t="n"/>
      <c r="BL90" s="1699" t="n"/>
      <c r="BM90" s="1699" t="n"/>
      <c r="BN90" s="1699" t="n"/>
      <c r="BO90" s="1700" t="n"/>
      <c r="BP90" s="1699">
        <f>BP340</f>
        <v/>
      </c>
      <c r="BQ90" s="1699">
        <f>BQ340</f>
        <v/>
      </c>
      <c r="BR90" s="1699">
        <f>BR340</f>
        <v/>
      </c>
      <c r="BS90" s="1699">
        <f>BS340</f>
        <v/>
      </c>
      <c r="BT90" s="1698">
        <f>BT340</f>
        <v/>
      </c>
      <c r="BU90" s="1699">
        <f>BU340</f>
        <v/>
      </c>
      <c r="BV90" s="1699">
        <f>BV340</f>
        <v/>
      </c>
      <c r="BW90" s="1699">
        <f>BW340</f>
        <v/>
      </c>
      <c r="BX90" s="1699">
        <f>BX340</f>
        <v/>
      </c>
      <c r="BY90" s="1698">
        <f>BY340</f>
        <v/>
      </c>
      <c r="BZ90" s="1698">
        <f>BZ340</f>
        <v/>
      </c>
      <c r="CA90" s="1698">
        <f>CA340</f>
        <v/>
      </c>
      <c r="CB90" s="1698">
        <f>CB340</f>
        <v/>
      </c>
      <c r="CC90" s="1701" t="n"/>
    </row>
    <row r="91" ht="15" customFormat="1" customHeight="1" s="602">
      <c r="A91" s="376" t="inlineStr">
        <is>
          <t>Y/Y EBIT growth, %</t>
        </is>
      </c>
      <c r="B91" s="95" t="n"/>
      <c r="C91" s="1249" t="n"/>
      <c r="D91" s="1249">
        <f>D89/C89-1</f>
        <v/>
      </c>
      <c r="E91" s="1249">
        <f>E89/D89-1</f>
        <v/>
      </c>
      <c r="F91" s="1249">
        <f>F89/E89-1</f>
        <v/>
      </c>
      <c r="G91" s="1249">
        <f>G89/F89-1</f>
        <v/>
      </c>
      <c r="H91" s="672" t="n"/>
      <c r="I91" s="672" t="n"/>
      <c r="J91" s="672" t="n"/>
      <c r="K91" s="672" t="n"/>
      <c r="L91" s="1249">
        <f>L89/G89-1</f>
        <v/>
      </c>
      <c r="M91" s="672">
        <f>M89/H89-1</f>
        <v/>
      </c>
      <c r="N91" s="672">
        <f>N89/I89-1</f>
        <v/>
      </c>
      <c r="O91" s="672">
        <f>O89/J89-1</f>
        <v/>
      </c>
      <c r="P91" s="672">
        <f>P89/K89-1</f>
        <v/>
      </c>
      <c r="Q91" s="1249">
        <f>Q89/L89-1</f>
        <v/>
      </c>
      <c r="R91" s="672">
        <f>R89/M89-1</f>
        <v/>
      </c>
      <c r="S91" s="672">
        <f>S89/N89-1</f>
        <v/>
      </c>
      <c r="T91" s="672">
        <f>T89/O89-1</f>
        <v/>
      </c>
      <c r="U91" s="672">
        <f>U89/P89-1</f>
        <v/>
      </c>
      <c r="V91" s="1249">
        <f>V89/Q89-1</f>
        <v/>
      </c>
      <c r="W91" s="672">
        <f>W89/R89-1</f>
        <v/>
      </c>
      <c r="X91" s="672">
        <f>X89/S89-1</f>
        <v/>
      </c>
      <c r="Y91" s="672">
        <f>Y89/T89-1</f>
        <v/>
      </c>
      <c r="Z91" s="672">
        <f>Z89/U89-1</f>
        <v/>
      </c>
      <c r="AA91" s="1249">
        <f>AA89/V89-1</f>
        <v/>
      </c>
      <c r="AB91" s="672">
        <f>AB89/W89-1</f>
        <v/>
      </c>
      <c r="AC91" s="672">
        <f>AC89/X89-1</f>
        <v/>
      </c>
      <c r="AD91" s="672">
        <f>AD89/Y89-1</f>
        <v/>
      </c>
      <c r="AE91" s="672">
        <f>AE89/Z89-1</f>
        <v/>
      </c>
      <c r="AF91" s="1249">
        <f>AF89/AA89-1</f>
        <v/>
      </c>
      <c r="AG91" s="672">
        <f>AG89/AB89-1</f>
        <v/>
      </c>
      <c r="AH91" s="672">
        <f>AH89/AC89-1</f>
        <v/>
      </c>
      <c r="AI91" s="672">
        <f>AI89/AD89-1</f>
        <v/>
      </c>
      <c r="AJ91" s="672">
        <f>AJ89/AE89-1</f>
        <v/>
      </c>
      <c r="AK91" s="1249">
        <f>AK89/AF89-1</f>
        <v/>
      </c>
      <c r="AL91" s="672">
        <f>AL89/AG89-1</f>
        <v/>
      </c>
      <c r="AM91" s="672">
        <f>AM89/AH89-1</f>
        <v/>
      </c>
      <c r="AN91" s="672">
        <f>AN89/AI89-1</f>
        <v/>
      </c>
      <c r="AO91" s="672">
        <f>AO89/AJ89-1</f>
        <v/>
      </c>
      <c r="AP91" s="1249">
        <f>AP89/AK89-1</f>
        <v/>
      </c>
      <c r="AQ91" s="672">
        <f>AQ89/AL89-1</f>
        <v/>
      </c>
      <c r="AR91" s="672">
        <f>AR89/AM89-1</f>
        <v/>
      </c>
      <c r="AS91" s="672">
        <f>AS89/AN89-1</f>
        <v/>
      </c>
      <c r="AT91" s="672">
        <f>AT89/AO89-1</f>
        <v/>
      </c>
      <c r="AU91" s="1249">
        <f>AU89/AP89-1</f>
        <v/>
      </c>
      <c r="AV91" s="672">
        <f>AV89/AQ89-1</f>
        <v/>
      </c>
      <c r="AW91" s="672">
        <f>AW89/AR89-1</f>
        <v/>
      </c>
      <c r="AX91" s="672">
        <f>AX89/AS89-1</f>
        <v/>
      </c>
      <c r="AY91" s="672">
        <f>AY89/AT89-1</f>
        <v/>
      </c>
      <c r="AZ91" s="1249">
        <f>AZ89/AU89-1</f>
        <v/>
      </c>
      <c r="BA91" s="672">
        <f>BA89/AV89-1</f>
        <v/>
      </c>
      <c r="BB91" s="672">
        <f>BB89/AW89-1</f>
        <v/>
      </c>
      <c r="BC91" s="672">
        <f>BC89/AX89-1</f>
        <v/>
      </c>
      <c r="BD91" s="672">
        <f>BD89/AY89-1</f>
        <v/>
      </c>
      <c r="BE91" s="1249">
        <f>BE89/AZ89-1</f>
        <v/>
      </c>
      <c r="BF91" s="672">
        <f>BF89/BA89-1</f>
        <v/>
      </c>
      <c r="BG91" s="672">
        <f>BG89/BB89-1</f>
        <v/>
      </c>
      <c r="BH91" s="672">
        <f>BH89/BC89-1</f>
        <v/>
      </c>
      <c r="BI91" s="672">
        <f>BI89/BD89-1</f>
        <v/>
      </c>
      <c r="BJ91" s="1249">
        <f>BJ89/BE89-1</f>
        <v/>
      </c>
      <c r="BK91" s="672">
        <f>BK89/BF89-1</f>
        <v/>
      </c>
      <c r="BL91" s="672">
        <f>BL89/BG89-1</f>
        <v/>
      </c>
      <c r="BM91" s="672">
        <f>BM89/BH89-1</f>
        <v/>
      </c>
      <c r="BN91" s="672">
        <f>BN89/BI89-1</f>
        <v/>
      </c>
      <c r="BO91" s="1248">
        <f>BO89/BJ89-1</f>
        <v/>
      </c>
      <c r="BP91" s="672">
        <f>BP89/BK89-1</f>
        <v/>
      </c>
      <c r="BQ91" s="672">
        <f>BQ89/BL89-1</f>
        <v/>
      </c>
      <c r="BR91" s="672">
        <f>BR89/BM89-1</f>
        <v/>
      </c>
      <c r="BS91" s="672">
        <f>BS89/BN89-1</f>
        <v/>
      </c>
      <c r="BT91" s="1249">
        <f>BT89/BO89-1</f>
        <v/>
      </c>
      <c r="BU91" s="672">
        <f>BU89/BP89-1</f>
        <v/>
      </c>
      <c r="BV91" s="672">
        <f>BV89/BQ89-1</f>
        <v/>
      </c>
      <c r="BW91" s="672">
        <f>BW89/BR89-1</f>
        <v/>
      </c>
      <c r="BX91" s="672">
        <f>BX89/BS89-1</f>
        <v/>
      </c>
      <c r="BY91" s="1249">
        <f>BY89/BT89-1</f>
        <v/>
      </c>
      <c r="BZ91" s="1249">
        <f>BZ89/BY89-1</f>
        <v/>
      </c>
      <c r="CA91" s="1249">
        <f>CA89/BZ89-1</f>
        <v/>
      </c>
      <c r="CB91" s="1249">
        <f>CB89/CA89-1</f>
        <v/>
      </c>
      <c r="CC91" s="715" t="n"/>
    </row>
    <row r="92" ht="15" customFormat="1" customHeight="1" s="607">
      <c r="A92" s="29" t="inlineStr">
        <is>
          <t>EBIT margin, %</t>
        </is>
      </c>
      <c r="B92" s="126" t="n"/>
      <c r="C92" s="1294">
        <f>C89/C70</f>
        <v/>
      </c>
      <c r="D92" s="1294">
        <f>D89/D70</f>
        <v/>
      </c>
      <c r="E92" s="1294">
        <f>E89/E70</f>
        <v/>
      </c>
      <c r="F92" s="1294">
        <f>F89/F70</f>
        <v/>
      </c>
      <c r="G92" s="1294">
        <f>G89/G70</f>
        <v/>
      </c>
      <c r="H92" s="686">
        <f>H89/H70</f>
        <v/>
      </c>
      <c r="I92" s="686">
        <f>I89/I70</f>
        <v/>
      </c>
      <c r="J92" s="686">
        <f>J89/J70</f>
        <v/>
      </c>
      <c r="K92" s="686">
        <f>K89/K70</f>
        <v/>
      </c>
      <c r="L92" s="1294">
        <f>L89/L70</f>
        <v/>
      </c>
      <c r="M92" s="686">
        <f>M89/M70</f>
        <v/>
      </c>
      <c r="N92" s="686">
        <f>N89/N70</f>
        <v/>
      </c>
      <c r="O92" s="686">
        <f>O89/O70</f>
        <v/>
      </c>
      <c r="P92" s="686">
        <f>P89/P70</f>
        <v/>
      </c>
      <c r="Q92" s="1294">
        <f>Q89/Q70</f>
        <v/>
      </c>
      <c r="R92" s="686">
        <f>R89/R70</f>
        <v/>
      </c>
      <c r="S92" s="686">
        <f>S89/S70</f>
        <v/>
      </c>
      <c r="T92" s="686">
        <f>T89/T70</f>
        <v/>
      </c>
      <c r="U92" s="686">
        <f>U89/U70</f>
        <v/>
      </c>
      <c r="V92" s="1294">
        <f>V89/V70</f>
        <v/>
      </c>
      <c r="W92" s="686">
        <f>W89/W70</f>
        <v/>
      </c>
      <c r="X92" s="686">
        <f>X89/X70</f>
        <v/>
      </c>
      <c r="Y92" s="686">
        <f>Y89/Y70</f>
        <v/>
      </c>
      <c r="Z92" s="686">
        <f>Z89/Z70</f>
        <v/>
      </c>
      <c r="AA92" s="1294">
        <f>AA89/AA70</f>
        <v/>
      </c>
      <c r="AB92" s="686">
        <f>AB89/AB70</f>
        <v/>
      </c>
      <c r="AC92" s="686">
        <f>AC89/AC70</f>
        <v/>
      </c>
      <c r="AD92" s="686">
        <f>AD89/AD70</f>
        <v/>
      </c>
      <c r="AE92" s="686">
        <f>AE89/AE70</f>
        <v/>
      </c>
      <c r="AF92" s="1294">
        <f>AF89/AF70</f>
        <v/>
      </c>
      <c r="AG92" s="686">
        <f>AG89/AG70</f>
        <v/>
      </c>
      <c r="AH92" s="686">
        <f>AH89/AH70</f>
        <v/>
      </c>
      <c r="AI92" s="686">
        <f>AI89/AI70</f>
        <v/>
      </c>
      <c r="AJ92" s="686">
        <f>AJ89/AJ70</f>
        <v/>
      </c>
      <c r="AK92" s="1294">
        <f>AK89/AK70</f>
        <v/>
      </c>
      <c r="AL92" s="686">
        <f>AL89/AL70</f>
        <v/>
      </c>
      <c r="AM92" s="686">
        <f>AM89/AM70</f>
        <v/>
      </c>
      <c r="AN92" s="686">
        <f>AN89/AN70</f>
        <v/>
      </c>
      <c r="AO92" s="686">
        <f>AO89/AO70</f>
        <v/>
      </c>
      <c r="AP92" s="1294">
        <f>AP89/AP70</f>
        <v/>
      </c>
      <c r="AQ92" s="686">
        <f>AQ89/AQ70</f>
        <v/>
      </c>
      <c r="AR92" s="686">
        <f>AR89/AR70</f>
        <v/>
      </c>
      <c r="AS92" s="686">
        <f>AS89/AS70</f>
        <v/>
      </c>
      <c r="AT92" s="686">
        <f>AT89/AT70</f>
        <v/>
      </c>
      <c r="AU92" s="1294">
        <f>AU89/AU70</f>
        <v/>
      </c>
      <c r="AV92" s="686">
        <f>AV89/AV70</f>
        <v/>
      </c>
      <c r="AW92" s="686">
        <f>AW89/AW70</f>
        <v/>
      </c>
      <c r="AX92" s="686">
        <f>AX89/AX70</f>
        <v/>
      </c>
      <c r="AY92" s="686">
        <f>AY89/AY70</f>
        <v/>
      </c>
      <c r="AZ92" s="1294">
        <f>AZ89/AZ70</f>
        <v/>
      </c>
      <c r="BA92" s="686">
        <f>BA89/BA70</f>
        <v/>
      </c>
      <c r="BB92" s="686">
        <f>BB89/BB70</f>
        <v/>
      </c>
      <c r="BC92" s="686">
        <f>BC89/BC70</f>
        <v/>
      </c>
      <c r="BD92" s="686">
        <f>BD89/BD70</f>
        <v/>
      </c>
      <c r="BE92" s="1294">
        <f>BE89/BE70</f>
        <v/>
      </c>
      <c r="BF92" s="686">
        <f>BF89/BF70</f>
        <v/>
      </c>
      <c r="BG92" s="686">
        <f>BG89/BG70</f>
        <v/>
      </c>
      <c r="BH92" s="686">
        <f>BH89/BH70</f>
        <v/>
      </c>
      <c r="BI92" s="686">
        <f>BI89/BI70</f>
        <v/>
      </c>
      <c r="BJ92" s="1294">
        <f>BJ89/BJ70</f>
        <v/>
      </c>
      <c r="BK92" s="686">
        <f>BK89/BK70</f>
        <v/>
      </c>
      <c r="BL92" s="686">
        <f>BL89/BL70</f>
        <v/>
      </c>
      <c r="BM92" s="686">
        <f>BM89/BM70</f>
        <v/>
      </c>
      <c r="BN92" s="686">
        <f>BN89/BN70</f>
        <v/>
      </c>
      <c r="BO92" s="1293">
        <f>BO89/BO70</f>
        <v/>
      </c>
      <c r="BP92" s="686">
        <f>BP89/BP70</f>
        <v/>
      </c>
      <c r="BQ92" s="686">
        <f>BQ89/BQ70</f>
        <v/>
      </c>
      <c r="BR92" s="686">
        <f>BR89/BR70</f>
        <v/>
      </c>
      <c r="BS92" s="686">
        <f>BS89/BS70</f>
        <v/>
      </c>
      <c r="BT92" s="1294">
        <f>BT89/BT70</f>
        <v/>
      </c>
      <c r="BU92" s="686">
        <f>BU89/BU70</f>
        <v/>
      </c>
      <c r="BV92" s="686">
        <f>BV89/BV70</f>
        <v/>
      </c>
      <c r="BW92" s="686">
        <f>BW89/BW70</f>
        <v/>
      </c>
      <c r="BX92" s="686">
        <f>BX89/BX70</f>
        <v/>
      </c>
      <c r="BY92" s="1294">
        <f>BY89/BY70</f>
        <v/>
      </c>
      <c r="BZ92" s="1294">
        <f>BZ89/BZ70</f>
        <v/>
      </c>
      <c r="CA92" s="1294">
        <f>CA89/CA70</f>
        <v/>
      </c>
      <c r="CB92" s="1294">
        <f>CB89/CB70</f>
        <v/>
      </c>
      <c r="CC92" s="102" t="n"/>
    </row>
    <row r="93" ht="15" customFormat="1" customHeight="1" s="602">
      <c r="A93" s="376">
        <f>A289</f>
        <v/>
      </c>
      <c r="B93" s="95" t="n"/>
      <c r="C93" s="1249" t="n"/>
      <c r="D93" s="1249" t="n"/>
      <c r="E93" s="1249" t="n"/>
      <c r="F93" s="1249" t="n"/>
      <c r="G93" s="1249" t="n"/>
      <c r="H93" s="672" t="n"/>
      <c r="I93" s="672" t="n"/>
      <c r="J93" s="672" t="n"/>
      <c r="K93" s="672" t="n"/>
      <c r="L93" s="1249" t="n"/>
      <c r="M93" s="672" t="n"/>
      <c r="N93" s="672" t="n"/>
      <c r="O93" s="672" t="n"/>
      <c r="P93" s="672" t="n"/>
      <c r="Q93" s="1249" t="n"/>
      <c r="R93" s="672" t="n"/>
      <c r="S93" s="672" t="n"/>
      <c r="T93" s="672" t="n"/>
      <c r="U93" s="672" t="n"/>
      <c r="V93" s="1249" t="n"/>
      <c r="W93" s="672" t="n"/>
      <c r="X93" s="672" t="n"/>
      <c r="Y93" s="672" t="n"/>
      <c r="Z93" s="672" t="n"/>
      <c r="AA93" s="1249" t="n"/>
      <c r="AB93" s="672" t="n"/>
      <c r="AC93" s="672" t="n"/>
      <c r="AD93" s="672" t="n"/>
      <c r="AE93" s="672" t="n"/>
      <c r="AF93" s="1249" t="n"/>
      <c r="AG93" s="672" t="n"/>
      <c r="AH93" s="672" t="n"/>
      <c r="AI93" s="672" t="n"/>
      <c r="AJ93" s="672" t="n"/>
      <c r="AK93" s="1249" t="n"/>
      <c r="AL93" s="672" t="n"/>
      <c r="AM93" s="672" t="n"/>
      <c r="AN93" s="672" t="n"/>
      <c r="AO93" s="672" t="n"/>
      <c r="AP93" s="1249" t="n"/>
      <c r="AQ93" s="672" t="n"/>
      <c r="AR93" s="672" t="n"/>
      <c r="AS93" s="672" t="n"/>
      <c r="AT93" s="672" t="n"/>
      <c r="AU93" s="1249" t="n"/>
      <c r="AV93" s="672" t="n"/>
      <c r="AW93" s="672" t="n"/>
      <c r="AX93" s="672" t="n"/>
      <c r="AY93" s="672" t="n"/>
      <c r="AZ93" s="1249" t="n"/>
      <c r="BA93" s="672" t="n"/>
      <c r="BB93" s="672" t="n"/>
      <c r="BC93" s="672" t="n"/>
      <c r="BD93" s="672" t="n"/>
      <c r="BE93" s="1249" t="n"/>
      <c r="BF93" s="672" t="n"/>
      <c r="BG93" s="672" t="n"/>
      <c r="BH93" s="672" t="n"/>
      <c r="BI93" s="672" t="n"/>
      <c r="BJ93" s="1249" t="n"/>
      <c r="BK93" s="672" t="n"/>
      <c r="BL93" s="672" t="n"/>
      <c r="BM93" s="672" t="n"/>
      <c r="BN93" s="672" t="n"/>
      <c r="BO93" s="1248" t="n"/>
      <c r="BP93" s="672">
        <f>BP289</f>
        <v/>
      </c>
      <c r="BQ93" s="672">
        <f>BQ289</f>
        <v/>
      </c>
      <c r="BR93" s="672">
        <f>BR289</f>
        <v/>
      </c>
      <c r="BS93" s="672">
        <f>BS289</f>
        <v/>
      </c>
      <c r="BT93" s="1249">
        <f>BT289</f>
        <v/>
      </c>
      <c r="BU93" s="672">
        <f>BU289</f>
        <v/>
      </c>
      <c r="BV93" s="672">
        <f>BV289</f>
        <v/>
      </c>
      <c r="BW93" s="672">
        <f>BW289</f>
        <v/>
      </c>
      <c r="BX93" s="672">
        <f>BX289</f>
        <v/>
      </c>
      <c r="BY93" s="1249">
        <f>BY289</f>
        <v/>
      </c>
      <c r="BZ93" s="1249">
        <f>BZ289</f>
        <v/>
      </c>
      <c r="CA93" s="1249">
        <f>CA289</f>
        <v/>
      </c>
      <c r="CB93" s="1249">
        <f>CB289</f>
        <v/>
      </c>
      <c r="CC93" s="715" t="n"/>
    </row>
    <row r="94" ht="15" customFormat="1" customHeight="1" s="1574">
      <c r="A94" s="1693" t="inlineStr">
        <is>
          <t>Y/Y EBIT margin improvement, bps</t>
        </is>
      </c>
      <c r="B94" s="1576" t="n"/>
      <c r="C94" s="1577" t="n"/>
      <c r="D94" s="1577">
        <f>(D92-C92)*10000</f>
        <v/>
      </c>
      <c r="E94" s="1577">
        <f>(E92-D92)*10000</f>
        <v/>
      </c>
      <c r="F94" s="1577">
        <f>(F92-E92)*10000</f>
        <v/>
      </c>
      <c r="G94" s="1577">
        <f>(G92-F92)*10000</f>
        <v/>
      </c>
      <c r="H94" s="1578" t="n"/>
      <c r="I94" s="1578" t="n"/>
      <c r="J94" s="1578" t="n"/>
      <c r="K94" s="1578" t="n"/>
      <c r="L94" s="1577">
        <f>(L92-G92)*10000</f>
        <v/>
      </c>
      <c r="M94" s="1578">
        <f>(M92-H92)*10000</f>
        <v/>
      </c>
      <c r="N94" s="1578">
        <f>(N92-I92)*10000</f>
        <v/>
      </c>
      <c r="O94" s="1578">
        <f>(O92-J92)*10000</f>
        <v/>
      </c>
      <c r="P94" s="1578">
        <f>(P92-K92)*10000</f>
        <v/>
      </c>
      <c r="Q94" s="1577">
        <f>(Q92-L92)*10000</f>
        <v/>
      </c>
      <c r="R94" s="1578">
        <f>(R92-M92)*10000</f>
        <v/>
      </c>
      <c r="S94" s="1578">
        <f>(S92-N92)*10000</f>
        <v/>
      </c>
      <c r="T94" s="1578">
        <f>(T92-O92)*10000</f>
        <v/>
      </c>
      <c r="U94" s="1578">
        <f>(U92-P92)*10000</f>
        <v/>
      </c>
      <c r="V94" s="1577">
        <f>(V92-Q92)*10000</f>
        <v/>
      </c>
      <c r="W94" s="1578">
        <f>(W92-R92)*10000</f>
        <v/>
      </c>
      <c r="X94" s="1578">
        <f>(X92-S92)*10000</f>
        <v/>
      </c>
      <c r="Y94" s="1578">
        <f>(Y92-T92)*10000</f>
        <v/>
      </c>
      <c r="Z94" s="1578">
        <f>(Z92-U92)*10000</f>
        <v/>
      </c>
      <c r="AA94" s="1577">
        <f>(AA92-V92)*10000</f>
        <v/>
      </c>
      <c r="AB94" s="1578">
        <f>(AB92-W92)*10000</f>
        <v/>
      </c>
      <c r="AC94" s="1578">
        <f>(AC92-X92)*10000</f>
        <v/>
      </c>
      <c r="AD94" s="1578">
        <f>(AD92-Y92)*10000</f>
        <v/>
      </c>
      <c r="AE94" s="1578">
        <f>(AE92-Z92)*10000</f>
        <v/>
      </c>
      <c r="AF94" s="1577">
        <f>(AF92-AA92)*10000</f>
        <v/>
      </c>
      <c r="AG94" s="1578">
        <f>(AG92-AB92)*10000</f>
        <v/>
      </c>
      <c r="AH94" s="1578">
        <f>(AH92-AC92)*10000</f>
        <v/>
      </c>
      <c r="AI94" s="1578">
        <f>(AI92-AD92)*10000</f>
        <v/>
      </c>
      <c r="AJ94" s="1578">
        <f>(AJ92-AE92)*10000</f>
        <v/>
      </c>
      <c r="AK94" s="1577">
        <f>(AK92-AF92)*10000</f>
        <v/>
      </c>
      <c r="AL94" s="1578">
        <f>(AL92-AG92)*10000</f>
        <v/>
      </c>
      <c r="AM94" s="1578">
        <f>(AM92-AH92)*10000</f>
        <v/>
      </c>
      <c r="AN94" s="1578">
        <f>(AN92-AI92)*10000</f>
        <v/>
      </c>
      <c r="AO94" s="1578">
        <f>(AO92-AJ92)*10000</f>
        <v/>
      </c>
      <c r="AP94" s="1577">
        <f>(AP92-AK92)*10000</f>
        <v/>
      </c>
      <c r="AQ94" s="1578">
        <f>(AQ92-AL92)*10000</f>
        <v/>
      </c>
      <c r="AR94" s="1578">
        <f>(AR92-AM92)*10000</f>
        <v/>
      </c>
      <c r="AS94" s="1578">
        <f>(AS92-AN92)*10000</f>
        <v/>
      </c>
      <c r="AT94" s="1578">
        <f>(AT92-AO92)*10000</f>
        <v/>
      </c>
      <c r="AU94" s="1577">
        <f>(AU92-AP92)*10000</f>
        <v/>
      </c>
      <c r="AV94" s="1578">
        <f>(AV92-AQ92)*10000</f>
        <v/>
      </c>
      <c r="AW94" s="1578">
        <f>(AW92-AR92)*10000</f>
        <v/>
      </c>
      <c r="AX94" s="1578">
        <f>(AX92-AS92)*10000</f>
        <v/>
      </c>
      <c r="AY94" s="1578">
        <f>(AY92-AT92)*10000</f>
        <v/>
      </c>
      <c r="AZ94" s="1577">
        <f>(AZ92-AU92)*10000</f>
        <v/>
      </c>
      <c r="BA94" s="1578">
        <f>(BA92-AV92)*10000</f>
        <v/>
      </c>
      <c r="BB94" s="1578">
        <f>(BB92-AW92)*10000</f>
        <v/>
      </c>
      <c r="BC94" s="1578">
        <f>(BC92-AX92)*10000</f>
        <v/>
      </c>
      <c r="BD94" s="1578">
        <f>(BD92-AY92)*10000</f>
        <v/>
      </c>
      <c r="BE94" s="1577">
        <f>(BE92-AZ92)*10000</f>
        <v/>
      </c>
      <c r="BF94" s="1578">
        <f>(BF92-BA92)*10000</f>
        <v/>
      </c>
      <c r="BG94" s="1578">
        <f>(BG92-BB92)*10000</f>
        <v/>
      </c>
      <c r="BH94" s="1578">
        <f>(BH92-BC92)*10000</f>
        <v/>
      </c>
      <c r="BI94" s="1578">
        <f>(BI92-BD92)*10000</f>
        <v/>
      </c>
      <c r="BJ94" s="1577">
        <f>(BJ92-BE92)*10000</f>
        <v/>
      </c>
      <c r="BK94" s="1578">
        <f>(BK92-BF92)*10000</f>
        <v/>
      </c>
      <c r="BL94" s="1578">
        <f>(BL92-BG92)*10000</f>
        <v/>
      </c>
      <c r="BM94" s="1578">
        <f>(BM92-BH92)*10000</f>
        <v/>
      </c>
      <c r="BN94" s="1578">
        <f>(BN92-BI92)*10000</f>
        <v/>
      </c>
      <c r="BO94" s="1581">
        <f>(BO92-BJ92)*10000</f>
        <v/>
      </c>
      <c r="BP94" s="1578">
        <f>(BP92-BK92)*10000</f>
        <v/>
      </c>
      <c r="BQ94" s="1578">
        <f>(BQ92-BL92)*10000</f>
        <v/>
      </c>
      <c r="BR94" s="1578">
        <f>(BR92-BM92)*10000</f>
        <v/>
      </c>
      <c r="BS94" s="1578">
        <f>(BS92-BN92)*10000</f>
        <v/>
      </c>
      <c r="BT94" s="1577">
        <f>(BT92-BO92)*10000</f>
        <v/>
      </c>
      <c r="BU94" s="1578">
        <f>(BU92-BP92)*10000</f>
        <v/>
      </c>
      <c r="BV94" s="1578">
        <f>(BV92-BQ92)*10000</f>
        <v/>
      </c>
      <c r="BW94" s="1578">
        <f>(BW92-BR92)*10000</f>
        <v/>
      </c>
      <c r="BX94" s="1578">
        <f>(BX92-BS92)*10000</f>
        <v/>
      </c>
      <c r="BY94" s="1577">
        <f>(BY92-BT92)*10000</f>
        <v/>
      </c>
      <c r="BZ94" s="1577">
        <f>(BZ92-BY92)*10000</f>
        <v/>
      </c>
      <c r="CA94" s="1577">
        <f>(CA92-BZ92)*10000</f>
        <v/>
      </c>
      <c r="CB94" s="1577">
        <f>(CB92-CA92)*10000</f>
        <v/>
      </c>
      <c r="CC94" s="1582" t="n"/>
    </row>
    <row r="95" ht="15" customFormat="1" customHeight="1" s="598">
      <c r="A95" s="294" t="n"/>
      <c r="B95" s="64" t="n"/>
      <c r="C95" s="1254" t="n"/>
      <c r="D95" s="1254" t="n"/>
      <c r="E95" s="1254" t="n"/>
      <c r="F95" s="1254" t="n"/>
      <c r="G95" s="1254" t="n"/>
      <c r="H95" s="674" t="n"/>
      <c r="I95" s="674" t="n"/>
      <c r="J95" s="674" t="n"/>
      <c r="K95" s="674" t="n"/>
      <c r="L95" s="1254" t="n"/>
      <c r="M95" s="674" t="n"/>
      <c r="N95" s="674" t="n"/>
      <c r="O95" s="674" t="n"/>
      <c r="P95" s="674" t="n"/>
      <c r="Q95" s="1254" t="n"/>
      <c r="R95" s="674" t="n"/>
      <c r="S95" s="674" t="n"/>
      <c r="T95" s="674" t="n"/>
      <c r="U95" s="674" t="n"/>
      <c r="V95" s="1254" t="n"/>
      <c r="W95" s="674" t="n"/>
      <c r="X95" s="674" t="n"/>
      <c r="Y95" s="674" t="n"/>
      <c r="Z95" s="674" t="n"/>
      <c r="AA95" s="1254" t="n"/>
      <c r="AB95" s="674" t="n"/>
      <c r="AC95" s="674" t="n"/>
      <c r="AD95" s="674" t="n"/>
      <c r="AE95" s="674" t="n"/>
      <c r="AF95" s="1254" t="n"/>
      <c r="AG95" s="674" t="n"/>
      <c r="AH95" s="674" t="n"/>
      <c r="AI95" s="674" t="n"/>
      <c r="AJ95" s="674" t="n"/>
      <c r="AK95" s="1254" t="n"/>
      <c r="AL95" s="674" t="n"/>
      <c r="AM95" s="674" t="n"/>
      <c r="AN95" s="674" t="n"/>
      <c r="AO95" s="674" t="n"/>
      <c r="AP95" s="1254" t="n"/>
      <c r="AQ95" s="674" t="n"/>
      <c r="AR95" s="674" t="n"/>
      <c r="AS95" s="674" t="n"/>
      <c r="AT95" s="674" t="n"/>
      <c r="AU95" s="1254" t="n"/>
      <c r="AV95" s="674" t="n"/>
      <c r="AW95" s="674" t="n"/>
      <c r="AX95" s="674" t="n"/>
      <c r="AY95" s="674" t="n"/>
      <c r="AZ95" s="1254" t="n"/>
      <c r="BA95" s="674" t="n"/>
      <c r="BB95" s="674" t="n"/>
      <c r="BC95" s="674" t="n"/>
      <c r="BD95" s="674" t="n"/>
      <c r="BE95" s="1254" t="n"/>
      <c r="BF95" s="674" t="n"/>
      <c r="BG95" s="674" t="n"/>
      <c r="BH95" s="674" t="n"/>
      <c r="BI95" s="674" t="n"/>
      <c r="BJ95" s="1254" t="n"/>
      <c r="BK95" s="674" t="n"/>
      <c r="BL95" s="674" t="n"/>
      <c r="BM95" s="674" t="n"/>
      <c r="BN95" s="674" t="n"/>
      <c r="BO95" s="1253" t="n"/>
      <c r="BP95" s="674" t="n"/>
      <c r="BQ95" s="674" t="n"/>
      <c r="BR95" s="674" t="n"/>
      <c r="BS95" s="674" t="n"/>
      <c r="BT95" s="1254" t="n"/>
      <c r="BU95" s="674" t="n"/>
      <c r="BV95" s="674" t="n"/>
      <c r="BW95" s="674" t="n"/>
      <c r="BX95" s="674" t="n"/>
      <c r="BY95" s="1254" t="n"/>
      <c r="BZ95" s="1254" t="n"/>
      <c r="CA95" s="1254" t="n"/>
      <c r="CB95" s="1254" t="n"/>
      <c r="CC95" s="750" t="n"/>
    </row>
    <row r="96" ht="15" customFormat="1" customHeight="1" s="1561">
      <c r="A96" s="1622" t="inlineStr">
        <is>
          <t>Add back: D&amp;A, mm</t>
        </is>
      </c>
      <c r="B96" s="1623" t="n"/>
      <c r="C96" s="1624">
        <f>C342</f>
        <v/>
      </c>
      <c r="D96" s="1624">
        <f>D342</f>
        <v/>
      </c>
      <c r="E96" s="1624">
        <f>E342</f>
        <v/>
      </c>
      <c r="F96" s="1624">
        <f>F342</f>
        <v/>
      </c>
      <c r="G96" s="1624">
        <f>G342</f>
        <v/>
      </c>
      <c r="H96" s="1626">
        <f>H342</f>
        <v/>
      </c>
      <c r="I96" s="1626">
        <f>I342</f>
        <v/>
      </c>
      <c r="J96" s="1626">
        <f>J342</f>
        <v/>
      </c>
      <c r="K96" s="1626">
        <f>K342</f>
        <v/>
      </c>
      <c r="L96" s="1624">
        <f>L342</f>
        <v/>
      </c>
      <c r="M96" s="1626">
        <f>M342</f>
        <v/>
      </c>
      <c r="N96" s="1626">
        <f>N342</f>
        <v/>
      </c>
      <c r="O96" s="1626">
        <f>O342</f>
        <v/>
      </c>
      <c r="P96" s="1626">
        <f>P342</f>
        <v/>
      </c>
      <c r="Q96" s="1624">
        <f>Q342</f>
        <v/>
      </c>
      <c r="R96" s="1626">
        <f>R342</f>
        <v/>
      </c>
      <c r="S96" s="1626">
        <f>S342</f>
        <v/>
      </c>
      <c r="T96" s="1626">
        <f>T342</f>
        <v/>
      </c>
      <c r="U96" s="1626">
        <f>U342</f>
        <v/>
      </c>
      <c r="V96" s="1624">
        <f>V342</f>
        <v/>
      </c>
      <c r="W96" s="1626">
        <f>W342</f>
        <v/>
      </c>
      <c r="X96" s="1626">
        <f>X342</f>
        <v/>
      </c>
      <c r="Y96" s="1626">
        <f>Y342</f>
        <v/>
      </c>
      <c r="Z96" s="1626">
        <f>Z342</f>
        <v/>
      </c>
      <c r="AA96" s="1624">
        <f>AA342</f>
        <v/>
      </c>
      <c r="AB96" s="1626">
        <f>AB342</f>
        <v/>
      </c>
      <c r="AC96" s="1626">
        <f>AC342</f>
        <v/>
      </c>
      <c r="AD96" s="1626">
        <f>AD342</f>
        <v/>
      </c>
      <c r="AE96" s="1626">
        <f>AE342</f>
        <v/>
      </c>
      <c r="AF96" s="1624">
        <f>AF342</f>
        <v/>
      </c>
      <c r="AG96" s="1626">
        <f>AG342</f>
        <v/>
      </c>
      <c r="AH96" s="1626">
        <f>AH342</f>
        <v/>
      </c>
      <c r="AI96" s="1626">
        <f>AI342</f>
        <v/>
      </c>
      <c r="AJ96" s="1626">
        <f>AJ342</f>
        <v/>
      </c>
      <c r="AK96" s="1624">
        <f>AK342</f>
        <v/>
      </c>
      <c r="AL96" s="1626">
        <f>AL342</f>
        <v/>
      </c>
      <c r="AM96" s="1626">
        <f>AM342</f>
        <v/>
      </c>
      <c r="AN96" s="1626">
        <f>AN342</f>
        <v/>
      </c>
      <c r="AO96" s="1626">
        <f>AO342</f>
        <v/>
      </c>
      <c r="AP96" s="1624">
        <f>AP342</f>
        <v/>
      </c>
      <c r="AQ96" s="1626">
        <f>AQ342</f>
        <v/>
      </c>
      <c r="AR96" s="1626">
        <f>AR342</f>
        <v/>
      </c>
      <c r="AS96" s="1626">
        <f>AS342</f>
        <v/>
      </c>
      <c r="AT96" s="1626">
        <f>AT342</f>
        <v/>
      </c>
      <c r="AU96" s="1624">
        <f>AU342</f>
        <v/>
      </c>
      <c r="AV96" s="1626">
        <f>AV342</f>
        <v/>
      </c>
      <c r="AW96" s="1626">
        <f>AW342</f>
        <v/>
      </c>
      <c r="AX96" s="1626">
        <f>AX342</f>
        <v/>
      </c>
      <c r="AY96" s="1626">
        <f>AY342</f>
        <v/>
      </c>
      <c r="AZ96" s="1624">
        <f>AZ342</f>
        <v/>
      </c>
      <c r="BA96" s="1626">
        <f>BA342</f>
        <v/>
      </c>
      <c r="BB96" s="1626">
        <f>BB342</f>
        <v/>
      </c>
      <c r="BC96" s="1626">
        <f>BC342</f>
        <v/>
      </c>
      <c r="BD96" s="1626">
        <f>BD342</f>
        <v/>
      </c>
      <c r="BE96" s="1624">
        <f>BE342</f>
        <v/>
      </c>
      <c r="BF96" s="1626">
        <f>BF342</f>
        <v/>
      </c>
      <c r="BG96" s="1626">
        <f>BG342</f>
        <v/>
      </c>
      <c r="BH96" s="1626">
        <f>BH342</f>
        <v/>
      </c>
      <c r="BI96" s="1626">
        <f>BI342</f>
        <v/>
      </c>
      <c r="BJ96" s="1624">
        <f>BJ342</f>
        <v/>
      </c>
      <c r="BK96" s="1626">
        <f>BK342</f>
        <v/>
      </c>
      <c r="BL96" s="1626">
        <f>BL342</f>
        <v/>
      </c>
      <c r="BM96" s="1626">
        <f>BM342</f>
        <v/>
      </c>
      <c r="BN96" s="1626">
        <f>BN342</f>
        <v/>
      </c>
      <c r="BO96" s="1627">
        <f>BO342</f>
        <v/>
      </c>
      <c r="BP96" s="1626">
        <f>BP113</f>
        <v/>
      </c>
      <c r="BQ96" s="1626">
        <f>BQ113</f>
        <v/>
      </c>
      <c r="BR96" s="1626">
        <f>BR113</f>
        <v/>
      </c>
      <c r="BS96" s="1626">
        <f>BS113</f>
        <v/>
      </c>
      <c r="BT96" s="1624">
        <f>SUM(BP96,BQ96,BR96,BS96)</f>
        <v/>
      </c>
      <c r="BU96" s="1626">
        <f>BU113</f>
        <v/>
      </c>
      <c r="BV96" s="1626">
        <f>BV113</f>
        <v/>
      </c>
      <c r="BW96" s="1626">
        <f>BW113</f>
        <v/>
      </c>
      <c r="BX96" s="1626">
        <f>BX113</f>
        <v/>
      </c>
      <c r="BY96" s="1624">
        <f>SUM(BU96,BV96,BW96,BX96)</f>
        <v/>
      </c>
      <c r="BZ96" s="1624">
        <f>BZ113</f>
        <v/>
      </c>
      <c r="CA96" s="1624">
        <f>CA113</f>
        <v/>
      </c>
      <c r="CB96" s="1624">
        <f>CB113</f>
        <v/>
      </c>
      <c r="CC96" s="1564" t="n"/>
    </row>
    <row r="97" ht="15" customFormat="1" customHeight="1" s="1561">
      <c r="A97" s="1702" t="inlineStr">
        <is>
          <t>Add back: SBC, mm</t>
        </is>
      </c>
      <c r="B97" s="1687" t="n"/>
      <c r="C97" s="1688">
        <f>C343</f>
        <v/>
      </c>
      <c r="D97" s="1688">
        <f>D343</f>
        <v/>
      </c>
      <c r="E97" s="1688">
        <f>E343</f>
        <v/>
      </c>
      <c r="F97" s="1688">
        <f>F343</f>
        <v/>
      </c>
      <c r="G97" s="1688">
        <f>G343</f>
        <v/>
      </c>
      <c r="H97" s="1689">
        <f>H343</f>
        <v/>
      </c>
      <c r="I97" s="1689">
        <f>I343</f>
        <v/>
      </c>
      <c r="J97" s="1689">
        <f>J343</f>
        <v/>
      </c>
      <c r="K97" s="1689">
        <f>K343</f>
        <v/>
      </c>
      <c r="L97" s="1688">
        <f>L343</f>
        <v/>
      </c>
      <c r="M97" s="1689">
        <f>M343</f>
        <v/>
      </c>
      <c r="N97" s="1689">
        <f>N343</f>
        <v/>
      </c>
      <c r="O97" s="1689">
        <f>O343</f>
        <v/>
      </c>
      <c r="P97" s="1689">
        <f>P343</f>
        <v/>
      </c>
      <c r="Q97" s="1688">
        <f>Q343</f>
        <v/>
      </c>
      <c r="R97" s="1689">
        <f>R343</f>
        <v/>
      </c>
      <c r="S97" s="1689">
        <f>S343</f>
        <v/>
      </c>
      <c r="T97" s="1689">
        <f>T343</f>
        <v/>
      </c>
      <c r="U97" s="1689">
        <f>U343</f>
        <v/>
      </c>
      <c r="V97" s="1688">
        <f>V343</f>
        <v/>
      </c>
      <c r="W97" s="1689">
        <f>W343</f>
        <v/>
      </c>
      <c r="X97" s="1689">
        <f>X343</f>
        <v/>
      </c>
      <c r="Y97" s="1689">
        <f>Y343</f>
        <v/>
      </c>
      <c r="Z97" s="1689">
        <f>Z343</f>
        <v/>
      </c>
      <c r="AA97" s="1688">
        <f>AA343</f>
        <v/>
      </c>
      <c r="AB97" s="1689">
        <f>AB343</f>
        <v/>
      </c>
      <c r="AC97" s="1689">
        <f>AC343</f>
        <v/>
      </c>
      <c r="AD97" s="1689">
        <f>AD343</f>
        <v/>
      </c>
      <c r="AE97" s="1689">
        <f>AE343</f>
        <v/>
      </c>
      <c r="AF97" s="1688">
        <f>AF343</f>
        <v/>
      </c>
      <c r="AG97" s="1689">
        <f>AG343</f>
        <v/>
      </c>
      <c r="AH97" s="1689">
        <f>AH343</f>
        <v/>
      </c>
      <c r="AI97" s="1689">
        <f>AI343</f>
        <v/>
      </c>
      <c r="AJ97" s="1689">
        <f>AJ343</f>
        <v/>
      </c>
      <c r="AK97" s="1688">
        <f>AK343</f>
        <v/>
      </c>
      <c r="AL97" s="1689">
        <f>AL343</f>
        <v/>
      </c>
      <c r="AM97" s="1689">
        <f>AM343</f>
        <v/>
      </c>
      <c r="AN97" s="1689">
        <f>AN343</f>
        <v/>
      </c>
      <c r="AO97" s="1689">
        <f>AO343</f>
        <v/>
      </c>
      <c r="AP97" s="1688">
        <f>AP343</f>
        <v/>
      </c>
      <c r="AQ97" s="1689">
        <f>AQ343</f>
        <v/>
      </c>
      <c r="AR97" s="1689">
        <f>AR343</f>
        <v/>
      </c>
      <c r="AS97" s="1689">
        <f>AS343</f>
        <v/>
      </c>
      <c r="AT97" s="1689">
        <f>AT343</f>
        <v/>
      </c>
      <c r="AU97" s="1688">
        <f>AU343</f>
        <v/>
      </c>
      <c r="AV97" s="1689">
        <f>AV343</f>
        <v/>
      </c>
      <c r="AW97" s="1689">
        <f>AW343</f>
        <v/>
      </c>
      <c r="AX97" s="1689">
        <f>AX343</f>
        <v/>
      </c>
      <c r="AY97" s="1689">
        <f>AY343</f>
        <v/>
      </c>
      <c r="AZ97" s="1688">
        <f>AZ343</f>
        <v/>
      </c>
      <c r="BA97" s="1689">
        <f>BA343</f>
        <v/>
      </c>
      <c r="BB97" s="1689">
        <f>BB343</f>
        <v/>
      </c>
      <c r="BC97" s="1689">
        <f>BC343</f>
        <v/>
      </c>
      <c r="BD97" s="1689">
        <f>BD343</f>
        <v/>
      </c>
      <c r="BE97" s="1688">
        <f>BE343</f>
        <v/>
      </c>
      <c r="BF97" s="1689">
        <f>BF343</f>
        <v/>
      </c>
      <c r="BG97" s="1689">
        <f>BG343</f>
        <v/>
      </c>
      <c r="BH97" s="1689">
        <f>BH343</f>
        <v/>
      </c>
      <c r="BI97" s="1689">
        <f>BI343</f>
        <v/>
      </c>
      <c r="BJ97" s="1688">
        <f>BJ343</f>
        <v/>
      </c>
      <c r="BK97" s="1689">
        <f>BK343</f>
        <v/>
      </c>
      <c r="BL97" s="1689">
        <f>BL343</f>
        <v/>
      </c>
      <c r="BM97" s="1689">
        <f>BM343</f>
        <v/>
      </c>
      <c r="BN97" s="1689">
        <f>BN343</f>
        <v/>
      </c>
      <c r="BO97" s="1690">
        <f>BO343</f>
        <v/>
      </c>
      <c r="BP97" s="1689">
        <f>BP414</f>
        <v/>
      </c>
      <c r="BQ97" s="1689">
        <f>BQ414</f>
        <v/>
      </c>
      <c r="BR97" s="1689">
        <f>BR414</f>
        <v/>
      </c>
      <c r="BS97" s="1689">
        <f>BS414</f>
        <v/>
      </c>
      <c r="BT97" s="1688">
        <f>SUM(BP97,BQ97,BR97,BS97)</f>
        <v/>
      </c>
      <c r="BU97" s="1689">
        <f>BU414</f>
        <v/>
      </c>
      <c r="BV97" s="1689">
        <f>BV414</f>
        <v/>
      </c>
      <c r="BW97" s="1689">
        <f>BW414</f>
        <v/>
      </c>
      <c r="BX97" s="1689">
        <f>BX414</f>
        <v/>
      </c>
      <c r="BY97" s="1688">
        <f>SUM(BU97,BV97,BW97,BX97)</f>
        <v/>
      </c>
      <c r="BZ97" s="1688">
        <f>BZ414</f>
        <v/>
      </c>
      <c r="CA97" s="1688">
        <f>CA414</f>
        <v/>
      </c>
      <c r="CB97" s="1688">
        <f>CB414</f>
        <v/>
      </c>
      <c r="CC97" s="1564" t="n"/>
    </row>
    <row r="98" ht="15" customFormat="1" customHeight="1" s="1628">
      <c r="A98" s="1703" t="inlineStr">
        <is>
          <t>EBITDA, mm</t>
        </is>
      </c>
      <c r="B98" s="1682" t="n"/>
      <c r="C98" s="1683">
        <f>C89+C96+C97</f>
        <v/>
      </c>
      <c r="D98" s="1683">
        <f>D89+D96+D97</f>
        <v/>
      </c>
      <c r="E98" s="1683">
        <f>E89+E96+E97</f>
        <v/>
      </c>
      <c r="F98" s="1683">
        <f>F89+F96+F97</f>
        <v/>
      </c>
      <c r="G98" s="1683">
        <f>G89+G96+G97</f>
        <v/>
      </c>
      <c r="H98" s="1684">
        <f>H89+H96+H97</f>
        <v/>
      </c>
      <c r="I98" s="1684">
        <f>I89+I96+I97</f>
        <v/>
      </c>
      <c r="J98" s="1684">
        <f>J89+J96+J97</f>
        <v/>
      </c>
      <c r="K98" s="1684">
        <f>K89+K96+K97</f>
        <v/>
      </c>
      <c r="L98" s="1683">
        <f>L89+L96+L97</f>
        <v/>
      </c>
      <c r="M98" s="1684">
        <f>M89+M96+M97</f>
        <v/>
      </c>
      <c r="N98" s="1684">
        <f>N89+N96+N97</f>
        <v/>
      </c>
      <c r="O98" s="1684">
        <f>O89+O96+O97</f>
        <v/>
      </c>
      <c r="P98" s="1684">
        <f>P89+P96+P97</f>
        <v/>
      </c>
      <c r="Q98" s="1683">
        <f>Q89+Q96+Q97</f>
        <v/>
      </c>
      <c r="R98" s="1684">
        <f>R89+R96+R97</f>
        <v/>
      </c>
      <c r="S98" s="1684">
        <f>S89+S96+S97</f>
        <v/>
      </c>
      <c r="T98" s="1684">
        <f>T89+T96+T97</f>
        <v/>
      </c>
      <c r="U98" s="1684">
        <f>U89+U96+U97</f>
        <v/>
      </c>
      <c r="V98" s="1683">
        <f>V89+V96+V97</f>
        <v/>
      </c>
      <c r="W98" s="1684">
        <f>W89+W96+W97</f>
        <v/>
      </c>
      <c r="X98" s="1684">
        <f>X89+X96+X97</f>
        <v/>
      </c>
      <c r="Y98" s="1684">
        <f>Y89+Y96+Y97</f>
        <v/>
      </c>
      <c r="Z98" s="1684">
        <f>Z89+Z96+Z97</f>
        <v/>
      </c>
      <c r="AA98" s="1683">
        <f>AA89+AA96+AA97</f>
        <v/>
      </c>
      <c r="AB98" s="1684">
        <f>AB89+AB96+AB97</f>
        <v/>
      </c>
      <c r="AC98" s="1684">
        <f>AC89+AC96+AC97</f>
        <v/>
      </c>
      <c r="AD98" s="1684">
        <f>AD89+AD96+AD97</f>
        <v/>
      </c>
      <c r="AE98" s="1684">
        <f>AE89+AE96+AE97</f>
        <v/>
      </c>
      <c r="AF98" s="1683">
        <f>AF89+AF96+AF97</f>
        <v/>
      </c>
      <c r="AG98" s="1684">
        <f>AG89+AG96+AG97</f>
        <v/>
      </c>
      <c r="AH98" s="1684">
        <f>AH89+AH96+AH97</f>
        <v/>
      </c>
      <c r="AI98" s="1684">
        <f>AI89+AI96+AI97</f>
        <v/>
      </c>
      <c r="AJ98" s="1684">
        <f>AJ89+AJ96+AJ97</f>
        <v/>
      </c>
      <c r="AK98" s="1683">
        <f>AK89+AK96+AK97</f>
        <v/>
      </c>
      <c r="AL98" s="1684">
        <f>AL89+AL96+AL97</f>
        <v/>
      </c>
      <c r="AM98" s="1684">
        <f>AM89+AM96+AM97</f>
        <v/>
      </c>
      <c r="AN98" s="1684">
        <f>AN89+AN96+AN97</f>
        <v/>
      </c>
      <c r="AO98" s="1684">
        <f>AO89+AO96+AO97</f>
        <v/>
      </c>
      <c r="AP98" s="1683">
        <f>AP89+AP96+AP97</f>
        <v/>
      </c>
      <c r="AQ98" s="1684">
        <f>AQ89+AQ96+AQ97</f>
        <v/>
      </c>
      <c r="AR98" s="1684">
        <f>AR89+AR96+AR97</f>
        <v/>
      </c>
      <c r="AS98" s="1684">
        <f>AS89+AS96+AS97</f>
        <v/>
      </c>
      <c r="AT98" s="1684">
        <f>AT89+AT96+AT97</f>
        <v/>
      </c>
      <c r="AU98" s="1683">
        <f>AU89+AU96+AU97</f>
        <v/>
      </c>
      <c r="AV98" s="1684">
        <f>AV89+AV96+AV97</f>
        <v/>
      </c>
      <c r="AW98" s="1684">
        <f>AW89+AW96+AW97</f>
        <v/>
      </c>
      <c r="AX98" s="1684">
        <f>AX89+AX96+AX97</f>
        <v/>
      </c>
      <c r="AY98" s="1684">
        <f>AY89+AY96+AY97</f>
        <v/>
      </c>
      <c r="AZ98" s="1683">
        <f>AZ89+AZ96+AZ97</f>
        <v/>
      </c>
      <c r="BA98" s="1684">
        <f>BA89+BA96+BA97</f>
        <v/>
      </c>
      <c r="BB98" s="1684">
        <f>BB89+BB96+BB97</f>
        <v/>
      </c>
      <c r="BC98" s="1684">
        <f>BC89+BC96+BC97</f>
        <v/>
      </c>
      <c r="BD98" s="1684">
        <f>BD89+BD96+BD97</f>
        <v/>
      </c>
      <c r="BE98" s="1683">
        <f>BE89+BE96+BE97</f>
        <v/>
      </c>
      <c r="BF98" s="1684">
        <f>BF89+BF96+BF97</f>
        <v/>
      </c>
      <c r="BG98" s="1684">
        <f>BG89+BG96+BG97</f>
        <v/>
      </c>
      <c r="BH98" s="1684">
        <f>BH89+BH96+BH97</f>
        <v/>
      </c>
      <c r="BI98" s="1684">
        <f>BI89+BI96+BI97</f>
        <v/>
      </c>
      <c r="BJ98" s="1683">
        <f>BJ89+BJ96+BJ97</f>
        <v/>
      </c>
      <c r="BK98" s="1684">
        <f>BK89+BK96+BK97</f>
        <v/>
      </c>
      <c r="BL98" s="1684">
        <f>BL89+BL96+BL97</f>
        <v/>
      </c>
      <c r="BM98" s="1684">
        <f>BM89+BM96+BM97</f>
        <v/>
      </c>
      <c r="BN98" s="1684">
        <f>BN89+BN96+BN97</f>
        <v/>
      </c>
      <c r="BO98" s="1685">
        <f>BO89+BO96+BO97</f>
        <v/>
      </c>
      <c r="BP98" s="1684">
        <f>BP89+BP96+BP97</f>
        <v/>
      </c>
      <c r="BQ98" s="1684">
        <f>BQ89+BQ96+BQ97</f>
        <v/>
      </c>
      <c r="BR98" s="1684">
        <f>BR89+BR96+BR97</f>
        <v/>
      </c>
      <c r="BS98" s="1684">
        <f>BS89+BS96+BS97</f>
        <v/>
      </c>
      <c r="BT98" s="1683">
        <f>BT89+BT96+BT97</f>
        <v/>
      </c>
      <c r="BU98" s="1684">
        <f>BU89+BU96+BU97</f>
        <v/>
      </c>
      <c r="BV98" s="1684">
        <f>BV89+BV96+BV97</f>
        <v/>
      </c>
      <c r="BW98" s="1684">
        <f>BW89+BW96+BW97</f>
        <v/>
      </c>
      <c r="BX98" s="1684">
        <f>BX89+BX96+BX97</f>
        <v/>
      </c>
      <c r="BY98" s="1683">
        <f>BY89+BY96+BY97</f>
        <v/>
      </c>
      <c r="BZ98" s="1683">
        <f>BZ89+BZ96+BZ97</f>
        <v/>
      </c>
      <c r="CA98" s="1683">
        <f>CA89+CA96+CA97</f>
        <v/>
      </c>
      <c r="CB98" s="1683">
        <f>CB89+CB96+CB97</f>
        <v/>
      </c>
      <c r="CC98" s="1634" t="n"/>
    </row>
    <row r="99" ht="15" customFormat="1" customHeight="1" s="602">
      <c r="A99" s="94" t="inlineStr">
        <is>
          <t>Y/Y EBITDA growth, %</t>
        </is>
      </c>
      <c r="B99" s="95" t="n"/>
      <c r="C99" s="1249" t="n"/>
      <c r="D99" s="1249">
        <f>D98/C98-1</f>
        <v/>
      </c>
      <c r="E99" s="1249">
        <f>E98/D98-1</f>
        <v/>
      </c>
      <c r="F99" s="1249">
        <f>F98/E98-1</f>
        <v/>
      </c>
      <c r="G99" s="1249">
        <f>G98/F98-1</f>
        <v/>
      </c>
      <c r="H99" s="672" t="n"/>
      <c r="I99" s="672" t="n"/>
      <c r="J99" s="672" t="n"/>
      <c r="K99" s="672" t="n"/>
      <c r="L99" s="1249">
        <f>L98/G98-1</f>
        <v/>
      </c>
      <c r="M99" s="672">
        <f>M98/H98-1</f>
        <v/>
      </c>
      <c r="N99" s="672">
        <f>N98/I98-1</f>
        <v/>
      </c>
      <c r="O99" s="672">
        <f>O98/J98-1</f>
        <v/>
      </c>
      <c r="P99" s="672">
        <f>P98/K98-1</f>
        <v/>
      </c>
      <c r="Q99" s="1249">
        <f>Q98/L98-1</f>
        <v/>
      </c>
      <c r="R99" s="672">
        <f>R98/M98-1</f>
        <v/>
      </c>
      <c r="S99" s="672">
        <f>S98/N98-1</f>
        <v/>
      </c>
      <c r="T99" s="672">
        <f>T98/O98-1</f>
        <v/>
      </c>
      <c r="U99" s="672">
        <f>U98/P98-1</f>
        <v/>
      </c>
      <c r="V99" s="1249">
        <f>V98/Q98-1</f>
        <v/>
      </c>
      <c r="W99" s="672">
        <f>W98/R98-1</f>
        <v/>
      </c>
      <c r="X99" s="672">
        <f>X98/S98-1</f>
        <v/>
      </c>
      <c r="Y99" s="672">
        <f>Y98/T98-1</f>
        <v/>
      </c>
      <c r="Z99" s="672">
        <f>Z98/U98-1</f>
        <v/>
      </c>
      <c r="AA99" s="1249">
        <f>AA98/V98-1</f>
        <v/>
      </c>
      <c r="AB99" s="672">
        <f>AB98/W98-1</f>
        <v/>
      </c>
      <c r="AC99" s="672">
        <f>AC98/X98-1</f>
        <v/>
      </c>
      <c r="AD99" s="672">
        <f>AD98/Y98-1</f>
        <v/>
      </c>
      <c r="AE99" s="672">
        <f>AE98/Z98-1</f>
        <v/>
      </c>
      <c r="AF99" s="1249">
        <f>AF98/AA98-1</f>
        <v/>
      </c>
      <c r="AG99" s="672">
        <f>AG98/AB98-1</f>
        <v/>
      </c>
      <c r="AH99" s="672">
        <f>AH98/AC98-1</f>
        <v/>
      </c>
      <c r="AI99" s="672">
        <f>AI98/AD98-1</f>
        <v/>
      </c>
      <c r="AJ99" s="672">
        <f>AJ98/AE98-1</f>
        <v/>
      </c>
      <c r="AK99" s="1249">
        <f>AK98/AF98-1</f>
        <v/>
      </c>
      <c r="AL99" s="672">
        <f>AL98/AG98-1</f>
        <v/>
      </c>
      <c r="AM99" s="672">
        <f>AM98/AH98-1</f>
        <v/>
      </c>
      <c r="AN99" s="672">
        <f>AN98/AI98-1</f>
        <v/>
      </c>
      <c r="AO99" s="672">
        <f>AO98/AJ98-1</f>
        <v/>
      </c>
      <c r="AP99" s="1249">
        <f>AP98/AK98-1</f>
        <v/>
      </c>
      <c r="AQ99" s="672">
        <f>AQ98/AL98-1</f>
        <v/>
      </c>
      <c r="AR99" s="672">
        <f>AR98/AM98-1</f>
        <v/>
      </c>
      <c r="AS99" s="672">
        <f>AS98/AN98-1</f>
        <v/>
      </c>
      <c r="AT99" s="672">
        <f>AT98/AO98-1</f>
        <v/>
      </c>
      <c r="AU99" s="1249">
        <f>AU98/AP98-1</f>
        <v/>
      </c>
      <c r="AV99" s="672">
        <f>AV98/AQ98-1</f>
        <v/>
      </c>
      <c r="AW99" s="672">
        <f>AW98/AR98-1</f>
        <v/>
      </c>
      <c r="AX99" s="672">
        <f>AX98/AS98-1</f>
        <v/>
      </c>
      <c r="AY99" s="672">
        <f>AY98/AT98-1</f>
        <v/>
      </c>
      <c r="AZ99" s="1249">
        <f>AZ98/AU98-1</f>
        <v/>
      </c>
      <c r="BA99" s="672">
        <f>BA98/AV98-1</f>
        <v/>
      </c>
      <c r="BB99" s="672">
        <f>BB98/AW98-1</f>
        <v/>
      </c>
      <c r="BC99" s="672">
        <f>BC98/AX98-1</f>
        <v/>
      </c>
      <c r="BD99" s="672">
        <f>BD98/AY98-1</f>
        <v/>
      </c>
      <c r="BE99" s="1249">
        <f>BE98/AZ98-1</f>
        <v/>
      </c>
      <c r="BF99" s="672">
        <f>BF98/BA98-1</f>
        <v/>
      </c>
      <c r="BG99" s="672">
        <f>BG98/BB98-1</f>
        <v/>
      </c>
      <c r="BH99" s="672">
        <f>BH98/BC98-1</f>
        <v/>
      </c>
      <c r="BI99" s="672">
        <f>BI98/BD98-1</f>
        <v/>
      </c>
      <c r="BJ99" s="1249">
        <f>BJ98/BE98-1</f>
        <v/>
      </c>
      <c r="BK99" s="672">
        <f>BK98/BF98-1</f>
        <v/>
      </c>
      <c r="BL99" s="672">
        <f>BL98/BG98-1</f>
        <v/>
      </c>
      <c r="BM99" s="672">
        <f>BM98/BH98-1</f>
        <v/>
      </c>
      <c r="BN99" s="672">
        <f>BN98/BI98-1</f>
        <v/>
      </c>
      <c r="BO99" s="1248">
        <f>BO98/BJ98-1</f>
        <v/>
      </c>
      <c r="BP99" s="672">
        <f>BP98/BK98-1</f>
        <v/>
      </c>
      <c r="BQ99" s="672">
        <f>BQ98/BL98-1</f>
        <v/>
      </c>
      <c r="BR99" s="672">
        <f>BR98/BM98-1</f>
        <v/>
      </c>
      <c r="BS99" s="672">
        <f>BS98/BN98-1</f>
        <v/>
      </c>
      <c r="BT99" s="1249">
        <f>BT98/BO98-1</f>
        <v/>
      </c>
      <c r="BU99" s="672">
        <f>BU98/BP98-1</f>
        <v/>
      </c>
      <c r="BV99" s="672">
        <f>BV98/BQ98-1</f>
        <v/>
      </c>
      <c r="BW99" s="672">
        <f>BW98/BR98-1</f>
        <v/>
      </c>
      <c r="BX99" s="672">
        <f>BX98/BS98-1</f>
        <v/>
      </c>
      <c r="BY99" s="1249">
        <f>BY98/BT98-1</f>
        <v/>
      </c>
      <c r="BZ99" s="1249">
        <f>BZ98/BY98-1</f>
        <v/>
      </c>
      <c r="CA99" s="1249">
        <f>CA98/BZ98-1</f>
        <v/>
      </c>
      <c r="CB99" s="1249">
        <f>CB98/CA98-1</f>
        <v/>
      </c>
      <c r="CC99" s="715" t="n"/>
    </row>
    <row r="100" ht="15" customFormat="1" customHeight="1" s="607">
      <c r="A100" s="125" t="inlineStr">
        <is>
          <t>EBITDA margin, %</t>
        </is>
      </c>
      <c r="B100" s="126" t="n"/>
      <c r="C100" s="1294">
        <f>C98/C70</f>
        <v/>
      </c>
      <c r="D100" s="1294">
        <f>D98/D70</f>
        <v/>
      </c>
      <c r="E100" s="1294">
        <f>E98/E70</f>
        <v/>
      </c>
      <c r="F100" s="1294">
        <f>F98/F70</f>
        <v/>
      </c>
      <c r="G100" s="1294">
        <f>G98/G70</f>
        <v/>
      </c>
      <c r="H100" s="686">
        <f>H98/H70</f>
        <v/>
      </c>
      <c r="I100" s="686">
        <f>I98/I70</f>
        <v/>
      </c>
      <c r="J100" s="686">
        <f>J98/J70</f>
        <v/>
      </c>
      <c r="K100" s="686">
        <f>K98/K70</f>
        <v/>
      </c>
      <c r="L100" s="1294">
        <f>L98/L70</f>
        <v/>
      </c>
      <c r="M100" s="686">
        <f>M98/M70</f>
        <v/>
      </c>
      <c r="N100" s="686">
        <f>N98/N70</f>
        <v/>
      </c>
      <c r="O100" s="686">
        <f>O98/O70</f>
        <v/>
      </c>
      <c r="P100" s="686">
        <f>P98/P70</f>
        <v/>
      </c>
      <c r="Q100" s="1294">
        <f>Q98/Q70</f>
        <v/>
      </c>
      <c r="R100" s="686">
        <f>R98/R70</f>
        <v/>
      </c>
      <c r="S100" s="686">
        <f>S98/S70</f>
        <v/>
      </c>
      <c r="T100" s="686">
        <f>T98/T70</f>
        <v/>
      </c>
      <c r="U100" s="686">
        <f>U98/U70</f>
        <v/>
      </c>
      <c r="V100" s="1294">
        <f>V98/V70</f>
        <v/>
      </c>
      <c r="W100" s="686">
        <f>W98/W70</f>
        <v/>
      </c>
      <c r="X100" s="686">
        <f>X98/X70</f>
        <v/>
      </c>
      <c r="Y100" s="686">
        <f>Y98/Y70</f>
        <v/>
      </c>
      <c r="Z100" s="686">
        <f>Z98/Z70</f>
        <v/>
      </c>
      <c r="AA100" s="1294">
        <f>AA98/AA70</f>
        <v/>
      </c>
      <c r="AB100" s="686">
        <f>AB98/AB70</f>
        <v/>
      </c>
      <c r="AC100" s="686">
        <f>AC98/AC70</f>
        <v/>
      </c>
      <c r="AD100" s="686">
        <f>AD98/AD70</f>
        <v/>
      </c>
      <c r="AE100" s="686">
        <f>AE98/AE70</f>
        <v/>
      </c>
      <c r="AF100" s="1294">
        <f>AF98/AF70</f>
        <v/>
      </c>
      <c r="AG100" s="686">
        <f>AG98/AG70</f>
        <v/>
      </c>
      <c r="AH100" s="686">
        <f>AH98/AH70</f>
        <v/>
      </c>
      <c r="AI100" s="686">
        <f>AI98/AI70</f>
        <v/>
      </c>
      <c r="AJ100" s="686">
        <f>AJ98/AJ70</f>
        <v/>
      </c>
      <c r="AK100" s="1294">
        <f>AK98/AK70</f>
        <v/>
      </c>
      <c r="AL100" s="686">
        <f>AL98/AL70</f>
        <v/>
      </c>
      <c r="AM100" s="686">
        <f>AM98/AM70</f>
        <v/>
      </c>
      <c r="AN100" s="686">
        <f>AN98/AN70</f>
        <v/>
      </c>
      <c r="AO100" s="686">
        <f>AO98/AO70</f>
        <v/>
      </c>
      <c r="AP100" s="1294">
        <f>AP98/AP70</f>
        <v/>
      </c>
      <c r="AQ100" s="686">
        <f>AQ98/AQ70</f>
        <v/>
      </c>
      <c r="AR100" s="686">
        <f>AR98/AR70</f>
        <v/>
      </c>
      <c r="AS100" s="686">
        <f>AS98/AS70</f>
        <v/>
      </c>
      <c r="AT100" s="686">
        <f>AT98/AT70</f>
        <v/>
      </c>
      <c r="AU100" s="1294">
        <f>AU98/AU70</f>
        <v/>
      </c>
      <c r="AV100" s="686">
        <f>AV98/AV70</f>
        <v/>
      </c>
      <c r="AW100" s="686">
        <f>AW98/AW70</f>
        <v/>
      </c>
      <c r="AX100" s="686">
        <f>AX98/AX70</f>
        <v/>
      </c>
      <c r="AY100" s="686">
        <f>AY98/AY70</f>
        <v/>
      </c>
      <c r="AZ100" s="1294">
        <f>AZ98/AZ70</f>
        <v/>
      </c>
      <c r="BA100" s="686">
        <f>BA98/BA70</f>
        <v/>
      </c>
      <c r="BB100" s="686">
        <f>BB98/BB70</f>
        <v/>
      </c>
      <c r="BC100" s="686">
        <f>BC98/BC70</f>
        <v/>
      </c>
      <c r="BD100" s="686">
        <f>BD98/BD70</f>
        <v/>
      </c>
      <c r="BE100" s="1294">
        <f>BE98/BE70</f>
        <v/>
      </c>
      <c r="BF100" s="686">
        <f>BF98/BF70</f>
        <v/>
      </c>
      <c r="BG100" s="686">
        <f>BG98/BG70</f>
        <v/>
      </c>
      <c r="BH100" s="686">
        <f>BH98/BH70</f>
        <v/>
      </c>
      <c r="BI100" s="686">
        <f>BI98/BI70</f>
        <v/>
      </c>
      <c r="BJ100" s="1294">
        <f>BJ98/BJ70</f>
        <v/>
      </c>
      <c r="BK100" s="686">
        <f>BK98/BK70</f>
        <v/>
      </c>
      <c r="BL100" s="686">
        <f>BL98/BL70</f>
        <v/>
      </c>
      <c r="BM100" s="686">
        <f>BM98/BM70</f>
        <v/>
      </c>
      <c r="BN100" s="686">
        <f>BN98/BN70</f>
        <v/>
      </c>
      <c r="BO100" s="1293">
        <f>BO98/BO70</f>
        <v/>
      </c>
      <c r="BP100" s="686">
        <f>BP98/BP70</f>
        <v/>
      </c>
      <c r="BQ100" s="686">
        <f>BQ98/BQ70</f>
        <v/>
      </c>
      <c r="BR100" s="686">
        <f>BR98/BR70</f>
        <v/>
      </c>
      <c r="BS100" s="686">
        <f>BS98/BS70</f>
        <v/>
      </c>
      <c r="BT100" s="1294">
        <f>BT98/BT70</f>
        <v/>
      </c>
      <c r="BU100" s="686">
        <f>BU98/BU70</f>
        <v/>
      </c>
      <c r="BV100" s="686">
        <f>BV98/BV70</f>
        <v/>
      </c>
      <c r="BW100" s="686">
        <f>BW98/BW70</f>
        <v/>
      </c>
      <c r="BX100" s="686">
        <f>BX98/BX70</f>
        <v/>
      </c>
      <c r="BY100" s="1294">
        <f>BY98/BY70</f>
        <v/>
      </c>
      <c r="BZ100" s="1294">
        <f>BZ98/BZ70</f>
        <v/>
      </c>
      <c r="CA100" s="1294">
        <f>CA98/CA70</f>
        <v/>
      </c>
      <c r="CB100" s="1294">
        <f>CB98/CB70</f>
        <v/>
      </c>
      <c r="CC100" s="102" t="n"/>
    </row>
    <row r="101" ht="15" customFormat="1" customHeight="1" s="1574">
      <c r="A101" s="1691" t="inlineStr">
        <is>
          <t>Y/Y EBITDA margin improvement, bps</t>
        </is>
      </c>
      <c r="B101" s="1576" t="n"/>
      <c r="C101" s="1577" t="n"/>
      <c r="D101" s="1577">
        <f>(D100-C100)*10000</f>
        <v/>
      </c>
      <c r="E101" s="1577">
        <f>(E100-D100)*10000</f>
        <v/>
      </c>
      <c r="F101" s="1577">
        <f>(F100-E100)*10000</f>
        <v/>
      </c>
      <c r="G101" s="1577">
        <f>(G100-F100)*10000</f>
        <v/>
      </c>
      <c r="H101" s="1578" t="n"/>
      <c r="I101" s="1578" t="n"/>
      <c r="J101" s="1578" t="n"/>
      <c r="K101" s="1578" t="n"/>
      <c r="L101" s="1577">
        <f>(L100-G100)*10000</f>
        <v/>
      </c>
      <c r="M101" s="1578">
        <f>(M100-H100)*10000</f>
        <v/>
      </c>
      <c r="N101" s="1578">
        <f>(N100-I100)*10000</f>
        <v/>
      </c>
      <c r="O101" s="1578">
        <f>(O100-J100)*10000</f>
        <v/>
      </c>
      <c r="P101" s="1578">
        <f>(P100-K100)*10000</f>
        <v/>
      </c>
      <c r="Q101" s="1577">
        <f>(Q100-L100)*10000</f>
        <v/>
      </c>
      <c r="R101" s="1578">
        <f>(R100-M100)*10000</f>
        <v/>
      </c>
      <c r="S101" s="1578">
        <f>(S100-N100)*10000</f>
        <v/>
      </c>
      <c r="T101" s="1578">
        <f>(T100-O100)*10000</f>
        <v/>
      </c>
      <c r="U101" s="1578">
        <f>(U100-P100)*10000</f>
        <v/>
      </c>
      <c r="V101" s="1577">
        <f>(V100-Q100)*10000</f>
        <v/>
      </c>
      <c r="W101" s="1578">
        <f>(W100-R100)*10000</f>
        <v/>
      </c>
      <c r="X101" s="1578">
        <f>(X100-S100)*10000</f>
        <v/>
      </c>
      <c r="Y101" s="1578">
        <f>(Y100-T100)*10000</f>
        <v/>
      </c>
      <c r="Z101" s="1578">
        <f>(Z100-U100)*10000</f>
        <v/>
      </c>
      <c r="AA101" s="1577">
        <f>(AA100-V100)*10000</f>
        <v/>
      </c>
      <c r="AB101" s="1578">
        <f>(AB100-W100)*10000</f>
        <v/>
      </c>
      <c r="AC101" s="1578">
        <f>(AC100-X100)*10000</f>
        <v/>
      </c>
      <c r="AD101" s="1578">
        <f>(AD100-Y100)*10000</f>
        <v/>
      </c>
      <c r="AE101" s="1578">
        <f>(AE100-Z100)*10000</f>
        <v/>
      </c>
      <c r="AF101" s="1577">
        <f>(AF100-AA100)*10000</f>
        <v/>
      </c>
      <c r="AG101" s="1578">
        <f>(AG100-AB100)*10000</f>
        <v/>
      </c>
      <c r="AH101" s="1578">
        <f>(AH100-AC100)*10000</f>
        <v/>
      </c>
      <c r="AI101" s="1578">
        <f>(AI100-AD100)*10000</f>
        <v/>
      </c>
      <c r="AJ101" s="1578">
        <f>(AJ100-AE100)*10000</f>
        <v/>
      </c>
      <c r="AK101" s="1577">
        <f>(AK100-AF100)*10000</f>
        <v/>
      </c>
      <c r="AL101" s="1578">
        <f>(AL100-AG100)*10000</f>
        <v/>
      </c>
      <c r="AM101" s="1578">
        <f>(AM100-AH100)*10000</f>
        <v/>
      </c>
      <c r="AN101" s="1578">
        <f>(AN100-AI100)*10000</f>
        <v/>
      </c>
      <c r="AO101" s="1578">
        <f>(AO100-AJ100)*10000</f>
        <v/>
      </c>
      <c r="AP101" s="1577">
        <f>(AP100-AK100)*10000</f>
        <v/>
      </c>
      <c r="AQ101" s="1578">
        <f>(AQ100-AL100)*10000</f>
        <v/>
      </c>
      <c r="AR101" s="1578">
        <f>(AR100-AM100)*10000</f>
        <v/>
      </c>
      <c r="AS101" s="1578">
        <f>(AS100-AN100)*10000</f>
        <v/>
      </c>
      <c r="AT101" s="1578">
        <f>(AT100-AO100)*10000</f>
        <v/>
      </c>
      <c r="AU101" s="1577">
        <f>(AU100-AP100)*10000</f>
        <v/>
      </c>
      <c r="AV101" s="1578">
        <f>(AV100-AQ100)*10000</f>
        <v/>
      </c>
      <c r="AW101" s="1578">
        <f>(AW100-AR100)*10000</f>
        <v/>
      </c>
      <c r="AX101" s="1578">
        <f>(AX100-AS100)*10000</f>
        <v/>
      </c>
      <c r="AY101" s="1578">
        <f>(AY100-AT100)*10000</f>
        <v/>
      </c>
      <c r="AZ101" s="1577">
        <f>(AZ100-AU100)*10000</f>
        <v/>
      </c>
      <c r="BA101" s="1578">
        <f>(BA100-AV100)*10000</f>
        <v/>
      </c>
      <c r="BB101" s="1578">
        <f>(BB100-AW100)*10000</f>
        <v/>
      </c>
      <c r="BC101" s="1578">
        <f>(BC100-AX100)*10000</f>
        <v/>
      </c>
      <c r="BD101" s="1578">
        <f>(BD100-AY100)*10000</f>
        <v/>
      </c>
      <c r="BE101" s="1577">
        <f>(BE100-AZ100)*10000</f>
        <v/>
      </c>
      <c r="BF101" s="1578">
        <f>(BF100-BA100)*10000</f>
        <v/>
      </c>
      <c r="BG101" s="1578">
        <f>(BG100-BB100)*10000</f>
        <v/>
      </c>
      <c r="BH101" s="1578">
        <f>(BH100-BC100)*10000</f>
        <v/>
      </c>
      <c r="BI101" s="1578">
        <f>(BI100-BD100)*10000</f>
        <v/>
      </c>
      <c r="BJ101" s="1577">
        <f>(BJ100-BE100)*10000</f>
        <v/>
      </c>
      <c r="BK101" s="1578">
        <f>(BK100-BF100)*10000</f>
        <v/>
      </c>
      <c r="BL101" s="1578">
        <f>(BL100-BG100)*10000</f>
        <v/>
      </c>
      <c r="BM101" s="1578">
        <f>(BM100-BH100)*10000</f>
        <v/>
      </c>
      <c r="BN101" s="1578">
        <f>(BN100-BI100)*10000</f>
        <v/>
      </c>
      <c r="BO101" s="1581">
        <f>(BO100-BJ100)*10000</f>
        <v/>
      </c>
      <c r="BP101" s="1578">
        <f>(BP100-BK100)*10000</f>
        <v/>
      </c>
      <c r="BQ101" s="1578">
        <f>(BQ100-BL100)*10000</f>
        <v/>
      </c>
      <c r="BR101" s="1578">
        <f>(BR100-BM100)*10000</f>
        <v/>
      </c>
      <c r="BS101" s="1578">
        <f>(BS100-BN100)*10000</f>
        <v/>
      </c>
      <c r="BT101" s="1577">
        <f>(BT100-BO100)*10000</f>
        <v/>
      </c>
      <c r="BU101" s="1578">
        <f>(BU100-BP100)*10000</f>
        <v/>
      </c>
      <c r="BV101" s="1578">
        <f>(BV100-BQ100)*10000</f>
        <v/>
      </c>
      <c r="BW101" s="1578">
        <f>(BW100-BR100)*10000</f>
        <v/>
      </c>
      <c r="BX101" s="1578">
        <f>(BX100-BS100)*10000</f>
        <v/>
      </c>
      <c r="BY101" s="1577">
        <f>(BY100-BT100)*10000</f>
        <v/>
      </c>
      <c r="BZ101" s="1577">
        <f>(BZ100-BY100)*10000</f>
        <v/>
      </c>
      <c r="CA101" s="1577">
        <f>(CA100-BZ100)*10000</f>
        <v/>
      </c>
      <c r="CB101" s="1577">
        <f>(CB100-CA100)*10000</f>
        <v/>
      </c>
      <c r="CC101" s="1582" t="n"/>
    </row>
    <row r="102" ht="15" customFormat="1" customHeight="1" s="598">
      <c r="A102" s="294" t="n"/>
      <c r="B102" s="64" t="n"/>
      <c r="C102" s="1254" t="n"/>
      <c r="D102" s="1254" t="n"/>
      <c r="E102" s="1254" t="n"/>
      <c r="F102" s="1254" t="n"/>
      <c r="G102" s="1254" t="n"/>
      <c r="H102" s="674" t="n"/>
      <c r="I102" s="674" t="n"/>
      <c r="J102" s="674" t="n"/>
      <c r="K102" s="674" t="n"/>
      <c r="L102" s="1254" t="n"/>
      <c r="M102" s="674" t="n"/>
      <c r="N102" s="674" t="n"/>
      <c r="O102" s="674" t="n"/>
      <c r="P102" s="674" t="n"/>
      <c r="Q102" s="1254" t="n"/>
      <c r="R102" s="674" t="n"/>
      <c r="S102" s="674" t="n"/>
      <c r="T102" s="674" t="n"/>
      <c r="U102" s="674" t="n"/>
      <c r="V102" s="1254" t="n"/>
      <c r="W102" s="674" t="n"/>
      <c r="X102" s="674" t="n"/>
      <c r="Y102" s="674" t="n"/>
      <c r="Z102" s="674" t="n"/>
      <c r="AA102" s="1254" t="n"/>
      <c r="AB102" s="674" t="n"/>
      <c r="AC102" s="674" t="n"/>
      <c r="AD102" s="674" t="n"/>
      <c r="AE102" s="674" t="n"/>
      <c r="AF102" s="1254" t="n"/>
      <c r="AG102" s="674" t="n"/>
      <c r="AH102" s="674" t="n"/>
      <c r="AI102" s="674" t="n"/>
      <c r="AJ102" s="674" t="n"/>
      <c r="AK102" s="1254" t="n"/>
      <c r="AL102" s="674" t="n"/>
      <c r="AM102" s="674" t="n"/>
      <c r="AN102" s="674" t="n"/>
      <c r="AO102" s="674" t="n"/>
      <c r="AP102" s="1254" t="n"/>
      <c r="AQ102" s="674" t="n"/>
      <c r="AR102" s="674" t="n"/>
      <c r="AS102" s="674" t="n"/>
      <c r="AT102" s="674" t="n"/>
      <c r="AU102" s="1254" t="n"/>
      <c r="AV102" s="674" t="n"/>
      <c r="AW102" s="674" t="n"/>
      <c r="AX102" s="674" t="n"/>
      <c r="AY102" s="674" t="n"/>
      <c r="AZ102" s="1254" t="n"/>
      <c r="BA102" s="674" t="n"/>
      <c r="BB102" s="674" t="n"/>
      <c r="BC102" s="674" t="n"/>
      <c r="BD102" s="674" t="n"/>
      <c r="BE102" s="1254" t="n"/>
      <c r="BF102" s="674" t="n"/>
      <c r="BG102" s="674" t="n"/>
      <c r="BH102" s="674" t="n"/>
      <c r="BI102" s="674" t="n"/>
      <c r="BJ102" s="1254" t="n"/>
      <c r="BK102" s="674" t="n"/>
      <c r="BL102" s="674" t="n"/>
      <c r="BM102" s="674" t="n"/>
      <c r="BN102" s="674" t="n"/>
      <c r="BO102" s="1253" t="n"/>
      <c r="BP102" s="674" t="n"/>
      <c r="BQ102" s="674" t="n"/>
      <c r="BR102" s="674" t="n"/>
      <c r="BS102" s="674" t="n"/>
      <c r="BT102" s="1254" t="n"/>
      <c r="BU102" s="674" t="n"/>
      <c r="BV102" s="674" t="n"/>
      <c r="BW102" s="674" t="n"/>
      <c r="BX102" s="674" t="n"/>
      <c r="BY102" s="1254" t="n"/>
      <c r="BZ102" s="1254" t="n"/>
      <c r="CA102" s="1254" t="n"/>
      <c r="CB102" s="1254" t="n"/>
      <c r="CC102" s="750" t="n"/>
    </row>
    <row r="103" ht="15" customFormat="1" customHeight="1" s="1628">
      <c r="A103" s="1679" t="inlineStr">
        <is>
          <t>SBC and D&amp;A Breakdown (FS)</t>
        </is>
      </c>
      <c r="B103" s="1679" t="n"/>
      <c r="C103" s="1679" t="n"/>
      <c r="D103" s="1679" t="n"/>
      <c r="E103" s="1679" t="n"/>
      <c r="F103" s="1679" t="n"/>
      <c r="G103" s="1679" t="n"/>
      <c r="H103" s="1679" t="n"/>
      <c r="I103" s="1679" t="n"/>
      <c r="J103" s="1679" t="n"/>
      <c r="K103" s="1679" t="n"/>
      <c r="L103" s="1679" t="n"/>
      <c r="M103" s="1679" t="n"/>
      <c r="N103" s="1679" t="n"/>
      <c r="O103" s="1679" t="n"/>
      <c r="P103" s="1679" t="n"/>
      <c r="Q103" s="1679" t="n"/>
      <c r="R103" s="1679" t="n"/>
      <c r="S103" s="1679" t="n"/>
      <c r="T103" s="1679" t="n"/>
      <c r="U103" s="1679" t="n"/>
      <c r="V103" s="1679" t="n"/>
      <c r="W103" s="1679" t="n"/>
      <c r="X103" s="1679" t="n"/>
      <c r="Y103" s="1679" t="n"/>
      <c r="Z103" s="1679" t="n"/>
      <c r="AA103" s="1679" t="n"/>
      <c r="AB103" s="1679" t="n"/>
      <c r="AC103" s="1679" t="n"/>
      <c r="AD103" s="1679" t="n"/>
      <c r="AE103" s="1679" t="n"/>
      <c r="AF103" s="1679" t="n"/>
      <c r="AG103" s="1679" t="n"/>
      <c r="AH103" s="1679" t="n"/>
      <c r="AI103" s="1679" t="n"/>
      <c r="AJ103" s="1679" t="n"/>
      <c r="AK103" s="1679" t="n"/>
      <c r="AL103" s="1679" t="n"/>
      <c r="AM103" s="1679" t="n"/>
      <c r="AN103" s="1679" t="n"/>
      <c r="AO103" s="1679" t="n"/>
      <c r="AP103" s="1679" t="n"/>
      <c r="AQ103" s="1679" t="n"/>
      <c r="AR103" s="1679" t="n"/>
      <c r="AS103" s="1679" t="n"/>
      <c r="AT103" s="1679" t="n"/>
      <c r="AU103" s="1679" t="n"/>
      <c r="AV103" s="1679" t="n"/>
      <c r="AW103" s="1679" t="n"/>
      <c r="AX103" s="1679" t="n"/>
      <c r="AY103" s="1679" t="n"/>
      <c r="AZ103" s="1679" t="n"/>
      <c r="BA103" s="1679" t="n"/>
      <c r="BB103" s="1679" t="n"/>
      <c r="BC103" s="1679" t="n"/>
      <c r="BD103" s="1679" t="n"/>
      <c r="BE103" s="1679" t="n"/>
      <c r="BF103" s="1679" t="n"/>
      <c r="BG103" s="1679" t="n"/>
      <c r="BH103" s="1679" t="n"/>
      <c r="BI103" s="1679" t="n"/>
      <c r="BJ103" s="1679" t="n"/>
      <c r="BK103" s="1679" t="n"/>
      <c r="BL103" s="1679" t="n"/>
      <c r="BM103" s="1679" t="n"/>
      <c r="BN103" s="1679" t="n"/>
      <c r="BO103" s="1680" t="n"/>
      <c r="BP103" s="1679" t="n"/>
      <c r="BQ103" s="1679" t="n"/>
      <c r="BR103" s="1679" t="n"/>
      <c r="BS103" s="1679" t="n"/>
      <c r="BT103" s="1679" t="n"/>
      <c r="BU103" s="1679" t="n"/>
      <c r="BV103" s="1679" t="n"/>
      <c r="BW103" s="1679" t="n"/>
      <c r="BX103" s="1679" t="n"/>
      <c r="BY103" s="1679" t="n"/>
      <c r="BZ103" s="1679" t="n"/>
      <c r="CA103" s="1679" t="n"/>
      <c r="CB103" s="1679" t="n"/>
      <c r="CC103" s="1634" t="n"/>
    </row>
    <row r="104" hidden="1" outlineLevel="1" ht="15" customFormat="1" customHeight="1" s="1561">
      <c r="A104" s="1704" t="inlineStr">
        <is>
          <t>Depreciation related to cost of sales, mm</t>
        </is>
      </c>
      <c r="B104" s="1705" t="n"/>
      <c r="C104" s="1706" t="n">
        <v>83.59999999999999</v>
      </c>
      <c r="D104" s="1706" t="n">
        <v>108.7</v>
      </c>
      <c r="E104" s="1706" t="n">
        <v>117.7</v>
      </c>
      <c r="F104" s="1706" t="n">
        <v>147.7</v>
      </c>
      <c r="G104" s="1706" t="n">
        <v>144.1</v>
      </c>
      <c r="H104" s="1562" t="n"/>
      <c r="I104" s="1562" t="n"/>
      <c r="J104" s="1562" t="n"/>
      <c r="K104" s="1562" t="n"/>
      <c r="L104" s="1706" t="n">
        <v>153.9</v>
      </c>
      <c r="M104" s="1562" t="n"/>
      <c r="N104" s="1562" t="n"/>
      <c r="O104" s="1562" t="n"/>
      <c r="P104" s="1562" t="n"/>
      <c r="Q104" s="1706" t="n">
        <v>191.7</v>
      </c>
      <c r="R104" s="1562" t="n"/>
      <c r="S104" s="1562" t="n"/>
      <c r="T104" s="1562" t="n"/>
      <c r="U104" s="1562" t="n"/>
      <c r="V104" s="1706" t="n">
        <v>187.9</v>
      </c>
      <c r="W104" s="1562" t="n"/>
      <c r="X104" s="1562" t="n"/>
      <c r="Y104" s="1562" t="n"/>
      <c r="Z104" s="1562" t="n"/>
      <c r="AA104" s="1706" t="n">
        <v>195.7</v>
      </c>
      <c r="AB104" s="1562" t="n"/>
      <c r="AC104" s="1562" t="n"/>
      <c r="AD104" s="1562" t="n"/>
      <c r="AE104" s="1562" t="n"/>
      <c r="AF104" s="1706" t="n">
        <v>191.6</v>
      </c>
      <c r="AG104" s="1562" t="n"/>
      <c r="AH104" s="1562" t="n"/>
      <c r="AI104" s="1562" t="n"/>
      <c r="AJ104" s="1562" t="n"/>
      <c r="AK104" s="1706" t="n">
        <v>196.1</v>
      </c>
      <c r="AL104" s="1562" t="n"/>
      <c r="AM104" s="1562" t="n"/>
      <c r="AN104" s="1562" t="n"/>
      <c r="AO104" s="1562" t="n"/>
      <c r="AP104" s="1706" t="n">
        <v>205.9</v>
      </c>
      <c r="AQ104" s="1562" t="n"/>
      <c r="AR104" s="1562" t="n"/>
      <c r="AS104" s="1562" t="n"/>
      <c r="AT104" s="1562" t="n"/>
      <c r="AU104" s="1706" t="n">
        <v>188.6</v>
      </c>
      <c r="AV104" s="1562" t="n"/>
      <c r="AW104" s="1562" t="n"/>
      <c r="AX104" s="1562" t="n"/>
      <c r="AY104" s="1562" t="n"/>
      <c r="AZ104" s="1706" t="n">
        <v>248.2</v>
      </c>
      <c r="BA104" s="1562" t="n"/>
      <c r="BB104" s="1562" t="n"/>
      <c r="BC104" s="1562" t="n"/>
      <c r="BD104" s="1562" t="n"/>
      <c r="BE104" s="1706" t="n">
        <v>330.4</v>
      </c>
      <c r="BF104" s="1562" t="n"/>
      <c r="BG104" s="1562" t="n"/>
      <c r="BH104" s="1562" t="n"/>
      <c r="BI104" s="1562" t="n"/>
      <c r="BJ104" s="1706" t="n">
        <v>398.4</v>
      </c>
      <c r="BK104" s="1562" t="n"/>
      <c r="BL104" s="1562" t="n"/>
      <c r="BM104" s="1562" t="n"/>
      <c r="BN104" s="1562" t="n"/>
      <c r="BO104" s="1638" t="n"/>
      <c r="BP104" s="1562" t="n"/>
      <c r="BQ104" s="1562" t="n"/>
      <c r="BR104" s="1562" t="n"/>
      <c r="BS104" s="1562" t="n"/>
      <c r="BT104" s="1637" t="n"/>
      <c r="BU104" s="1562" t="n"/>
      <c r="BV104" s="1562" t="n"/>
      <c r="BW104" s="1562" t="n"/>
      <c r="BX104" s="1562" t="n"/>
      <c r="BY104" s="1637" t="n"/>
      <c r="BZ104" s="1637" t="n"/>
      <c r="CA104" s="1637" t="n"/>
      <c r="CB104" s="1637" t="n"/>
      <c r="CC104" s="1564" t="n"/>
    </row>
    <row r="105" hidden="1" outlineLevel="1" ht="15" customFormat="1" customHeight="1" s="1561">
      <c r="A105" s="1704" t="inlineStr">
        <is>
          <t>Depreciation related to R&amp;D costs, mm</t>
        </is>
      </c>
      <c r="B105" s="1705" t="n"/>
      <c r="C105" s="1706" t="n">
        <v>21.9</v>
      </c>
      <c r="D105" s="1706" t="n">
        <v>16.7</v>
      </c>
      <c r="E105" s="1706" t="n">
        <v>24.9</v>
      </c>
      <c r="F105" s="1706" t="n">
        <v>15.3</v>
      </c>
      <c r="G105" s="1706" t="n">
        <v>35</v>
      </c>
      <c r="H105" s="1562" t="n"/>
      <c r="I105" s="1562" t="n"/>
      <c r="J105" s="1562" t="n"/>
      <c r="K105" s="1562" t="n"/>
      <c r="L105" s="1706" t="n">
        <v>36.3</v>
      </c>
      <c r="M105" s="1562" t="n"/>
      <c r="N105" s="1562" t="n"/>
      <c r="O105" s="1562" t="n"/>
      <c r="P105" s="1562" t="n"/>
      <c r="Q105" s="1706" t="n">
        <v>19.7</v>
      </c>
      <c r="R105" s="1562" t="n"/>
      <c r="S105" s="1562" t="n"/>
      <c r="T105" s="1562" t="n"/>
      <c r="U105" s="1562" t="n"/>
      <c r="V105" s="1706" t="n">
        <v>76.8</v>
      </c>
      <c r="W105" s="1562" t="n"/>
      <c r="X105" s="1562" t="n"/>
      <c r="Y105" s="1562" t="n"/>
      <c r="Z105" s="1562" t="n"/>
      <c r="AA105" s="1706" t="n">
        <v>101.7</v>
      </c>
      <c r="AB105" s="1562" t="n"/>
      <c r="AC105" s="1562" t="n"/>
      <c r="AD105" s="1562" t="n"/>
      <c r="AE105" s="1562" t="n"/>
      <c r="AF105" s="1706" t="n">
        <v>105.9</v>
      </c>
      <c r="AG105" s="1562" t="n"/>
      <c r="AH105" s="1562" t="n"/>
      <c r="AI105" s="1562" t="n"/>
      <c r="AJ105" s="1562" t="n"/>
      <c r="AK105" s="1706" t="n">
        <v>117.2</v>
      </c>
      <c r="AL105" s="1562" t="n"/>
      <c r="AM105" s="1562" t="n"/>
      <c r="AN105" s="1562" t="n"/>
      <c r="AO105" s="1562" t="n"/>
      <c r="AP105" s="1706" t="n">
        <v>119.9</v>
      </c>
      <c r="AQ105" s="1562" t="n"/>
      <c r="AR105" s="1562" t="n"/>
      <c r="AS105" s="1562" t="n"/>
      <c r="AT105" s="1562" t="n"/>
      <c r="AU105" s="1706" t="n">
        <v>101.4</v>
      </c>
      <c r="AV105" s="1562" t="n"/>
      <c r="AW105" s="1562" t="n"/>
      <c r="AX105" s="1562" t="n"/>
      <c r="AY105" s="1562" t="n"/>
      <c r="AZ105" s="1706" t="n">
        <v>163.7</v>
      </c>
      <c r="BA105" s="1562" t="n"/>
      <c r="BB105" s="1562" t="n"/>
      <c r="BC105" s="1562" t="n"/>
      <c r="BD105" s="1562" t="n"/>
      <c r="BE105" s="1706" t="n">
        <v>236.2</v>
      </c>
      <c r="BF105" s="1562" t="n"/>
      <c r="BG105" s="1562" t="n"/>
      <c r="BH105" s="1562" t="n"/>
      <c r="BI105" s="1562" t="n"/>
      <c r="BJ105" s="1706" t="n">
        <v>340.5</v>
      </c>
      <c r="BK105" s="1562" t="n"/>
      <c r="BL105" s="1562" t="n"/>
      <c r="BM105" s="1562" t="n"/>
      <c r="BN105" s="1562" t="n"/>
      <c r="BO105" s="1638" t="n"/>
      <c r="BP105" s="1562" t="n"/>
      <c r="BQ105" s="1562" t="n"/>
      <c r="BR105" s="1562" t="n"/>
      <c r="BS105" s="1562" t="n"/>
      <c r="BT105" s="1637" t="n"/>
      <c r="BU105" s="1562" t="n"/>
      <c r="BV105" s="1562" t="n"/>
      <c r="BW105" s="1562" t="n"/>
      <c r="BX105" s="1562" t="n"/>
      <c r="BY105" s="1637" t="n"/>
      <c r="BZ105" s="1637" t="n"/>
      <c r="CA105" s="1637" t="n"/>
      <c r="CB105" s="1637" t="n"/>
      <c r="CC105" s="1564" t="n"/>
    </row>
    <row r="106" hidden="1" outlineLevel="1" ht="15" customFormat="1" customHeight="1" s="1561">
      <c r="A106" s="1707" t="inlineStr">
        <is>
          <t>Depreciation related to SG&amp;A, mm</t>
        </is>
      </c>
      <c r="B106" s="1708" t="n"/>
      <c r="C106" s="1709" t="n">
        <v>25.6</v>
      </c>
      <c r="D106" s="1709" t="n">
        <v>19.2</v>
      </c>
      <c r="E106" s="1709" t="n">
        <v>15.4</v>
      </c>
      <c r="F106" s="1709" t="n">
        <v>16.3</v>
      </c>
      <c r="G106" s="1709" t="n">
        <v>18</v>
      </c>
      <c r="H106" s="1710" t="n"/>
      <c r="I106" s="1710" t="n"/>
      <c r="J106" s="1710" t="n"/>
      <c r="K106" s="1710" t="n"/>
      <c r="L106" s="1709" t="n">
        <v>19.3</v>
      </c>
      <c r="M106" s="1710" t="n"/>
      <c r="N106" s="1710" t="n"/>
      <c r="O106" s="1710" t="n"/>
      <c r="P106" s="1710" t="n"/>
      <c r="Q106" s="1709" t="n">
        <v>31.6</v>
      </c>
      <c r="R106" s="1710" t="n"/>
      <c r="S106" s="1710" t="n"/>
      <c r="T106" s="1710" t="n"/>
      <c r="U106" s="1710" t="n"/>
      <c r="V106" s="1709" t="n">
        <v>26.1</v>
      </c>
      <c r="W106" s="1710" t="n"/>
      <c r="X106" s="1710" t="n"/>
      <c r="Y106" s="1710" t="n"/>
      <c r="Z106" s="1710" t="n"/>
      <c r="AA106" s="1709" t="n">
        <v>10.8</v>
      </c>
      <c r="AB106" s="1710" t="n"/>
      <c r="AC106" s="1710" t="n"/>
      <c r="AD106" s="1710" t="n"/>
      <c r="AE106" s="1710" t="n"/>
      <c r="AF106" s="1709" t="n">
        <v>17.9</v>
      </c>
      <c r="AG106" s="1710" t="n"/>
      <c r="AH106" s="1710" t="n"/>
      <c r="AI106" s="1710" t="n"/>
      <c r="AJ106" s="1710" t="n"/>
      <c r="AK106" s="1709" t="n">
        <v>12</v>
      </c>
      <c r="AL106" s="1710" t="n"/>
      <c r="AM106" s="1710" t="n"/>
      <c r="AN106" s="1710" t="n"/>
      <c r="AO106" s="1710" t="n"/>
      <c r="AP106" s="1709" t="n">
        <v>25.9</v>
      </c>
      <c r="AQ106" s="1710" t="n"/>
      <c r="AR106" s="1710" t="n"/>
      <c r="AS106" s="1710" t="n"/>
      <c r="AT106" s="1710" t="n"/>
      <c r="AU106" s="1709" t="n">
        <v>31.6</v>
      </c>
      <c r="AV106" s="1710" t="n"/>
      <c r="AW106" s="1710" t="n"/>
      <c r="AX106" s="1710" t="n"/>
      <c r="AY106" s="1710" t="n"/>
      <c r="AZ106" s="1709" t="n">
        <v>33.3</v>
      </c>
      <c r="BA106" s="1710" t="n"/>
      <c r="BB106" s="1710" t="n"/>
      <c r="BC106" s="1710" t="n"/>
      <c r="BD106" s="1710" t="n"/>
      <c r="BE106" s="1709" t="n">
        <v>39</v>
      </c>
      <c r="BF106" s="1710" t="n"/>
      <c r="BG106" s="1710" t="n"/>
      <c r="BH106" s="1710" t="n"/>
      <c r="BI106" s="1710" t="n"/>
      <c r="BJ106" s="1709" t="n">
        <v>48.4</v>
      </c>
      <c r="BK106" s="1710" t="n"/>
      <c r="BL106" s="1710" t="n"/>
      <c r="BM106" s="1710" t="n"/>
      <c r="BN106" s="1710" t="n"/>
      <c r="BO106" s="1711" t="n"/>
      <c r="BP106" s="1710" t="n"/>
      <c r="BQ106" s="1710" t="n"/>
      <c r="BR106" s="1710" t="n"/>
      <c r="BS106" s="1710" t="n"/>
      <c r="BT106" s="1712" t="n"/>
      <c r="BU106" s="1710" t="n"/>
      <c r="BV106" s="1710" t="n"/>
      <c r="BW106" s="1710" t="n"/>
      <c r="BX106" s="1710" t="n"/>
      <c r="BY106" s="1712" t="n"/>
      <c r="BZ106" s="1712" t="n"/>
      <c r="CA106" s="1712" t="n"/>
      <c r="CB106" s="1712" t="n"/>
      <c r="CC106" s="1564" t="n"/>
    </row>
    <row r="107" hidden="1" outlineLevel="1" ht="15" customFormat="1" customHeight="1" s="1561">
      <c r="A107" s="1622" t="inlineStr">
        <is>
          <t>Depreciation of PPE, mm</t>
        </is>
      </c>
      <c r="B107" s="1705" t="n"/>
      <c r="C107" s="1637">
        <f>SUM(C104:C106)</f>
        <v/>
      </c>
      <c r="D107" s="1637">
        <f>SUM(D104:D106)</f>
        <v/>
      </c>
      <c r="E107" s="1637">
        <f>SUM(E104:E106)</f>
        <v/>
      </c>
      <c r="F107" s="1637">
        <f>SUM(F104:F106)</f>
        <v/>
      </c>
      <c r="G107" s="1637">
        <f>SUM(G104:G106)</f>
        <v/>
      </c>
      <c r="H107" s="1562">
        <f>H113-H111-H112</f>
        <v/>
      </c>
      <c r="I107" s="1562">
        <f>I113-I111-I112</f>
        <v/>
      </c>
      <c r="J107" s="1562">
        <f>J113-J111-J112</f>
        <v/>
      </c>
      <c r="K107" s="1562">
        <f>K113-K111-K112</f>
        <v/>
      </c>
      <c r="L107" s="1637">
        <f>SUM(L104:L106)</f>
        <v/>
      </c>
      <c r="M107" s="1562">
        <f>M113-M111-M112</f>
        <v/>
      </c>
      <c r="N107" s="1562">
        <f>N113-N111-N112</f>
        <v/>
      </c>
      <c r="O107" s="1562">
        <f>O113-O111-O112</f>
        <v/>
      </c>
      <c r="P107" s="1562">
        <f>P113-P111-P112</f>
        <v/>
      </c>
      <c r="Q107" s="1637">
        <f>SUM(Q104:Q106)</f>
        <v/>
      </c>
      <c r="R107" s="1562">
        <f>R113-R111-R112</f>
        <v/>
      </c>
      <c r="S107" s="1562">
        <f>S113-S111-S112</f>
        <v/>
      </c>
      <c r="T107" s="1562">
        <f>T113-T111-T112</f>
        <v/>
      </c>
      <c r="U107" s="1562">
        <f>U113-U111-U112</f>
        <v/>
      </c>
      <c r="V107" s="1637">
        <f>SUM(V104:V106)</f>
        <v/>
      </c>
      <c r="W107" s="1562">
        <f>W113-W111-W112</f>
        <v/>
      </c>
      <c r="X107" s="1562">
        <f>X113-X111-X112</f>
        <v/>
      </c>
      <c r="Y107" s="1562">
        <f>Y113-Y111-Y112</f>
        <v/>
      </c>
      <c r="Z107" s="1562">
        <f>Z113-Z111-Z112</f>
        <v/>
      </c>
      <c r="AA107" s="1637">
        <f>SUM(AA104:AA106)</f>
        <v/>
      </c>
      <c r="AB107" s="1562">
        <f>AB113-AB111-AB112</f>
        <v/>
      </c>
      <c r="AC107" s="1562">
        <f>AC113-AC111-AC112</f>
        <v/>
      </c>
      <c r="AD107" s="1562">
        <f>AD113-AD111-AD112</f>
        <v/>
      </c>
      <c r="AE107" s="1562">
        <f>AE113-AE111-AE112</f>
        <v/>
      </c>
      <c r="AF107" s="1637">
        <f>SUM(AF104:AF106)</f>
        <v/>
      </c>
      <c r="AG107" s="1562">
        <f>AG113-AG111-AG112</f>
        <v/>
      </c>
      <c r="AH107" s="1562">
        <f>AH113-AH111-AH112</f>
        <v/>
      </c>
      <c r="AI107" s="1562">
        <f>AI113-AI111-AI112</f>
        <v/>
      </c>
      <c r="AJ107" s="1562">
        <f>AJ113-AJ111-AJ112</f>
        <v/>
      </c>
      <c r="AK107" s="1637">
        <f>SUM(AK104:AK106)</f>
        <v/>
      </c>
      <c r="AL107" s="1562">
        <f>AL113-AL111-AL112</f>
        <v/>
      </c>
      <c r="AM107" s="1562">
        <f>AM113-AM111-AM112</f>
        <v/>
      </c>
      <c r="AN107" s="1562">
        <f>AN113-AN111-AN112</f>
        <v/>
      </c>
      <c r="AO107" s="1562">
        <f>AO113-AO111-AO112</f>
        <v/>
      </c>
      <c r="AP107" s="1637">
        <f>SUM(AP104:AP106)</f>
        <v/>
      </c>
      <c r="AQ107" s="1562">
        <f>AQ113-AQ111-AQ112</f>
        <v/>
      </c>
      <c r="AR107" s="1562">
        <f>AR113-AR111-AR112</f>
        <v/>
      </c>
      <c r="AS107" s="1562">
        <f>AS113-AS111-AS112</f>
        <v/>
      </c>
      <c r="AT107" s="1562">
        <f>AT113-AT111-AT112</f>
        <v/>
      </c>
      <c r="AU107" s="1637">
        <f>SUM(AU104:AU106)</f>
        <v/>
      </c>
      <c r="AV107" s="1562">
        <f>AV113-AV111-AV112</f>
        <v/>
      </c>
      <c r="AW107" s="1562">
        <f>AW113-AW111-AW112</f>
        <v/>
      </c>
      <c r="AX107" s="1562">
        <f>AX113-AX111-AX112</f>
        <v/>
      </c>
      <c r="AY107" s="1562">
        <f>AY113-AY111-AY112</f>
        <v/>
      </c>
      <c r="AZ107" s="1637">
        <f>SUM(AZ104:AZ106)</f>
        <v/>
      </c>
      <c r="BA107" s="1562">
        <f>BA113-BA111-BA112</f>
        <v/>
      </c>
      <c r="BB107" s="1562">
        <f>BB113-BB111-BB112</f>
        <v/>
      </c>
      <c r="BC107" s="1562">
        <f>BC113-BC111-BC112</f>
        <v/>
      </c>
      <c r="BD107" s="1562">
        <f>BD113-BD111-BD112</f>
        <v/>
      </c>
      <c r="BE107" s="1637">
        <f>SUM(BE104:BE106)</f>
        <v/>
      </c>
      <c r="BF107" s="1562">
        <f>BF113-BF111-BF112</f>
        <v/>
      </c>
      <c r="BG107" s="1562">
        <f>BG113-BG111-BG112</f>
        <v/>
      </c>
      <c r="BH107" s="1562">
        <f>BH113-BH111-BH112</f>
        <v/>
      </c>
      <c r="BI107" s="1562">
        <f>BI113-BI111-BI112</f>
        <v/>
      </c>
      <c r="BJ107" s="1637">
        <f>SUM(BJ104:BJ106)</f>
        <v/>
      </c>
      <c r="BK107" s="1562">
        <f>BK113-BK111-BK112</f>
        <v/>
      </c>
      <c r="BL107" s="1562">
        <f>BL113-BL111-BL112</f>
        <v/>
      </c>
      <c r="BM107" s="1562">
        <f>BM113-BM111-BM112</f>
        <v/>
      </c>
      <c r="BN107" s="1562">
        <f>BN113-BN111-BN112</f>
        <v/>
      </c>
      <c r="BO107" s="1638">
        <f>SUM(BK107,BL107,BM107,BN107)</f>
        <v/>
      </c>
      <c r="BP107" s="1562">
        <f>-BP584</f>
        <v/>
      </c>
      <c r="BQ107" s="1562">
        <f>-BQ584</f>
        <v/>
      </c>
      <c r="BR107" s="1562">
        <f>-BR584</f>
        <v/>
      </c>
      <c r="BS107" s="1562">
        <f>-BS584</f>
        <v/>
      </c>
      <c r="BT107" s="1637">
        <f>BS107+BR107+BQ107+BP107</f>
        <v/>
      </c>
      <c r="BU107" s="1562">
        <f>-BU584</f>
        <v/>
      </c>
      <c r="BV107" s="1562">
        <f>-BV584</f>
        <v/>
      </c>
      <c r="BW107" s="1562">
        <f>-BW584</f>
        <v/>
      </c>
      <c r="BX107" s="1562">
        <f>-BX584</f>
        <v/>
      </c>
      <c r="BY107" s="1637">
        <f>BX107+BW107+BV107+BU107</f>
        <v/>
      </c>
      <c r="BZ107" s="1637">
        <f>-BZ584</f>
        <v/>
      </c>
      <c r="CA107" s="1637">
        <f>-CA584</f>
        <v/>
      </c>
      <c r="CB107" s="1637">
        <f>-CB584</f>
        <v/>
      </c>
      <c r="CC107" s="1564" t="n"/>
    </row>
    <row r="108" hidden="1" outlineLevel="1" ht="15" customFormat="1" customHeight="1" s="1561">
      <c r="A108" s="1704" t="inlineStr">
        <is>
          <t>Amortization related to cost of sales, mm</t>
        </is>
      </c>
      <c r="B108" s="1705" t="n"/>
      <c r="C108" s="1706" t="n">
        <v>8.800000000000001</v>
      </c>
      <c r="D108" s="1706" t="n">
        <v>5.5</v>
      </c>
      <c r="E108" s="1706" t="n">
        <v>5.3</v>
      </c>
      <c r="F108" s="1706" t="n">
        <v>6</v>
      </c>
      <c r="G108" s="1706" t="n">
        <v>27</v>
      </c>
      <c r="H108" s="1562" t="n"/>
      <c r="I108" s="1562" t="n"/>
      <c r="J108" s="1562" t="n"/>
      <c r="K108" s="1562" t="n"/>
      <c r="L108" s="1706" t="n">
        <v>41.9</v>
      </c>
      <c r="M108" s="1562" t="n"/>
      <c r="N108" s="1562" t="n"/>
      <c r="O108" s="1562" t="n"/>
      <c r="P108" s="1562" t="n"/>
      <c r="Q108" s="1706" t="n">
        <v>49.1</v>
      </c>
      <c r="R108" s="1562" t="n"/>
      <c r="S108" s="1562" t="n"/>
      <c r="T108" s="1562" t="n"/>
      <c r="U108" s="1562" t="n"/>
      <c r="V108" s="1706" t="n">
        <v>59.5</v>
      </c>
      <c r="W108" s="1562" t="n"/>
      <c r="X108" s="1562" t="n"/>
      <c r="Y108" s="1562" t="n"/>
      <c r="Z108" s="1562" t="n"/>
      <c r="AA108" s="1706" t="n">
        <v>99.7</v>
      </c>
      <c r="AB108" s="1562" t="n"/>
      <c r="AC108" s="1562" t="n"/>
      <c r="AD108" s="1562" t="n"/>
      <c r="AE108" s="1562" t="n"/>
      <c r="AF108" s="1706" t="n">
        <v>97.2</v>
      </c>
      <c r="AG108" s="1562" t="n"/>
      <c r="AH108" s="1562" t="n"/>
      <c r="AI108" s="1562" t="n"/>
      <c r="AJ108" s="1562" t="n"/>
      <c r="AK108" s="1706" t="n">
        <v>97.40000000000001</v>
      </c>
      <c r="AL108" s="1562" t="n"/>
      <c r="AM108" s="1562" t="n"/>
      <c r="AN108" s="1562" t="n"/>
      <c r="AO108" s="1562" t="n"/>
      <c r="AP108" s="1706" t="n">
        <v>101.8</v>
      </c>
      <c r="AQ108" s="1562" t="n"/>
      <c r="AR108" s="1562" t="n"/>
      <c r="AS108" s="1562" t="n"/>
      <c r="AT108" s="1562" t="n"/>
      <c r="AU108" s="1706" t="n">
        <v>107.8</v>
      </c>
      <c r="AV108" s="1562" t="n"/>
      <c r="AW108" s="1562" t="n"/>
      <c r="AX108" s="1562" t="n"/>
      <c r="AY108" s="1562" t="n"/>
      <c r="AZ108" s="1706" t="n">
        <v>105.9</v>
      </c>
      <c r="BA108" s="1562" t="n"/>
      <c r="BB108" s="1562" t="n"/>
      <c r="BC108" s="1562" t="n"/>
      <c r="BD108" s="1562" t="n"/>
      <c r="BE108" s="1706" t="n">
        <v>102.7</v>
      </c>
      <c r="BF108" s="1562" t="n"/>
      <c r="BG108" s="1562" t="n"/>
      <c r="BH108" s="1562" t="n"/>
      <c r="BI108" s="1562" t="n"/>
      <c r="BJ108" s="1706" t="n">
        <v>103.8</v>
      </c>
      <c r="BK108" s="1562" t="n"/>
      <c r="BL108" s="1562" t="n"/>
      <c r="BM108" s="1562" t="n"/>
      <c r="BN108" s="1562" t="n"/>
      <c r="BO108" s="1638" t="n"/>
      <c r="BP108" s="1562" t="n"/>
      <c r="BQ108" s="1562" t="n"/>
      <c r="BR108" s="1562" t="n"/>
      <c r="BS108" s="1562" t="n"/>
      <c r="BT108" s="1637" t="n"/>
      <c r="BU108" s="1562" t="n"/>
      <c r="BV108" s="1562" t="n"/>
      <c r="BW108" s="1562" t="n"/>
      <c r="BX108" s="1562" t="n"/>
      <c r="BY108" s="1637" t="n"/>
      <c r="BZ108" s="1637" t="n"/>
      <c r="CA108" s="1637" t="n"/>
      <c r="CB108" s="1637" t="n"/>
      <c r="CC108" s="1564" t="n"/>
    </row>
    <row r="109" hidden="1" outlineLevel="1" ht="15" customFormat="1" customHeight="1" s="1561">
      <c r="A109" s="1704" t="inlineStr">
        <is>
          <t>Amortization related to R&amp;D costs, mm</t>
        </is>
      </c>
      <c r="B109" s="1705" t="n"/>
      <c r="C109" s="1637" t="n"/>
      <c r="D109" s="1706" t="n">
        <v>0</v>
      </c>
      <c r="E109" s="1706" t="n">
        <v>0</v>
      </c>
      <c r="F109" s="1706" t="n">
        <v>0.1</v>
      </c>
      <c r="G109" s="1706" t="n">
        <v>0.6</v>
      </c>
      <c r="H109" s="1562" t="n"/>
      <c r="I109" s="1562" t="n"/>
      <c r="J109" s="1562" t="n"/>
      <c r="K109" s="1562" t="n"/>
      <c r="L109" s="1706" t="n">
        <v>2</v>
      </c>
      <c r="M109" s="1562" t="n"/>
      <c r="N109" s="1562" t="n"/>
      <c r="O109" s="1562" t="n"/>
      <c r="P109" s="1562" t="n"/>
      <c r="Q109" s="1706" t="n">
        <v>2.1</v>
      </c>
      <c r="R109" s="1562" t="n"/>
      <c r="S109" s="1562" t="n"/>
      <c r="T109" s="1562" t="n"/>
      <c r="U109" s="1562" t="n"/>
      <c r="V109" s="1706" t="n">
        <v>2.5</v>
      </c>
      <c r="W109" s="1562" t="n"/>
      <c r="X109" s="1562" t="n"/>
      <c r="Y109" s="1562" t="n"/>
      <c r="Z109" s="1562" t="n"/>
      <c r="AA109" s="1706" t="n">
        <v>2.1</v>
      </c>
      <c r="AB109" s="1562" t="n"/>
      <c r="AC109" s="1562" t="n"/>
      <c r="AD109" s="1562" t="n"/>
      <c r="AE109" s="1562" t="n"/>
      <c r="AF109" s="1706" t="n">
        <v>1.3</v>
      </c>
      <c r="AG109" s="1562" t="n"/>
      <c r="AH109" s="1562" t="n"/>
      <c r="AI109" s="1562" t="n"/>
      <c r="AJ109" s="1562" t="n"/>
      <c r="AK109" s="1706" t="n">
        <v>7.5</v>
      </c>
      <c r="AL109" s="1562" t="n"/>
      <c r="AM109" s="1562" t="n"/>
      <c r="AN109" s="1562" t="n"/>
      <c r="AO109" s="1562" t="n"/>
      <c r="AP109" s="1706" t="n">
        <v>12</v>
      </c>
      <c r="AQ109" s="1562" t="n"/>
      <c r="AR109" s="1562" t="n"/>
      <c r="AS109" s="1562" t="n"/>
      <c r="AT109" s="1562" t="n"/>
      <c r="AU109" s="1706" t="n">
        <v>14.5</v>
      </c>
      <c r="AV109" s="1562" t="n"/>
      <c r="AW109" s="1562" t="n"/>
      <c r="AX109" s="1562" t="n"/>
      <c r="AY109" s="1562" t="n"/>
      <c r="AZ109" s="1706" t="n">
        <v>18.2</v>
      </c>
      <c r="BA109" s="1562" t="n"/>
      <c r="BB109" s="1562" t="n"/>
      <c r="BC109" s="1562" t="n"/>
      <c r="BD109" s="1562" t="n"/>
      <c r="BE109" s="1706" t="n">
        <v>19.5</v>
      </c>
      <c r="BF109" s="1562" t="n"/>
      <c r="BG109" s="1562" t="n"/>
      <c r="BH109" s="1562" t="n"/>
      <c r="BI109" s="1562" t="n"/>
      <c r="BJ109" s="1706" t="n">
        <v>20.8</v>
      </c>
      <c r="BK109" s="1562" t="n"/>
      <c r="BL109" s="1562" t="n"/>
      <c r="BM109" s="1562" t="n"/>
      <c r="BN109" s="1562" t="n"/>
      <c r="BO109" s="1638" t="n"/>
      <c r="BP109" s="1562" t="n"/>
      <c r="BQ109" s="1562" t="n"/>
      <c r="BR109" s="1562" t="n"/>
      <c r="BS109" s="1562" t="n"/>
      <c r="BT109" s="1637" t="n"/>
      <c r="BU109" s="1562" t="n"/>
      <c r="BV109" s="1562" t="n"/>
      <c r="BW109" s="1562" t="n"/>
      <c r="BX109" s="1562" t="n"/>
      <c r="BY109" s="1637" t="n"/>
      <c r="BZ109" s="1637" t="n"/>
      <c r="CA109" s="1637" t="n"/>
      <c r="CB109" s="1637" t="n"/>
      <c r="CC109" s="1564" t="n"/>
    </row>
    <row r="110" hidden="1" outlineLevel="1" ht="15" customFormat="1" customHeight="1" s="1561">
      <c r="A110" s="1707" t="inlineStr">
        <is>
          <t>Amortization related to SG&amp;A, mm</t>
        </is>
      </c>
      <c r="B110" s="1708" t="n"/>
      <c r="C110" s="1712" t="n"/>
      <c r="D110" s="1712" t="n"/>
      <c r="E110" s="1712" t="n"/>
      <c r="F110" s="1712" t="n"/>
      <c r="G110" s="1712" t="n"/>
      <c r="H110" s="1710" t="n"/>
      <c r="I110" s="1710" t="n"/>
      <c r="J110" s="1710" t="n"/>
      <c r="K110" s="1710" t="n"/>
      <c r="L110" s="1709" t="n">
        <v>0</v>
      </c>
      <c r="M110" s="1710" t="n"/>
      <c r="N110" s="1710" t="n"/>
      <c r="O110" s="1710" t="n"/>
      <c r="P110" s="1710" t="n"/>
      <c r="Q110" s="1709" t="n">
        <v>0</v>
      </c>
      <c r="R110" s="1710" t="n"/>
      <c r="S110" s="1710" t="n"/>
      <c r="T110" s="1710" t="n"/>
      <c r="U110" s="1710" t="n"/>
      <c r="V110" s="1709" t="n">
        <v>1.5</v>
      </c>
      <c r="W110" s="1710" t="n"/>
      <c r="X110" s="1710" t="n"/>
      <c r="Y110" s="1710" t="n"/>
      <c r="Z110" s="1710" t="n"/>
      <c r="AA110" s="1709" t="n">
        <v>3.7</v>
      </c>
      <c r="AB110" s="1710" t="n"/>
      <c r="AC110" s="1710" t="n"/>
      <c r="AD110" s="1710" t="n"/>
      <c r="AE110" s="1710" t="n"/>
      <c r="AF110" s="1709" t="n">
        <v>5.2</v>
      </c>
      <c r="AG110" s="1710" t="n"/>
      <c r="AH110" s="1710" t="n"/>
      <c r="AI110" s="1710" t="n"/>
      <c r="AJ110" s="1710" t="n"/>
      <c r="AK110" s="1709" t="n">
        <v>10.5</v>
      </c>
      <c r="AL110" s="1710" t="n"/>
      <c r="AM110" s="1710" t="n"/>
      <c r="AN110" s="1710" t="n"/>
      <c r="AO110" s="1710" t="n"/>
      <c r="AP110" s="1709" t="n">
        <v>9.699999999999999</v>
      </c>
      <c r="AQ110" s="1710" t="n"/>
      <c r="AR110" s="1710" t="n"/>
      <c r="AS110" s="1710" t="n"/>
      <c r="AT110" s="1710" t="n"/>
      <c r="AU110" s="1709" t="n">
        <v>10.7</v>
      </c>
      <c r="AV110" s="1710" t="n"/>
      <c r="AW110" s="1710" t="n"/>
      <c r="AX110" s="1710" t="n"/>
      <c r="AY110" s="1710" t="n"/>
      <c r="AZ110" s="1709" t="n">
        <v>11</v>
      </c>
      <c r="BA110" s="1710" t="n"/>
      <c r="BB110" s="1710" t="n"/>
      <c r="BC110" s="1710" t="n"/>
      <c r="BD110" s="1710" t="n"/>
      <c r="BE110" s="1709" t="n">
        <v>5.4</v>
      </c>
      <c r="BF110" s="1710" t="n"/>
      <c r="BG110" s="1710" t="n"/>
      <c r="BH110" s="1710" t="n"/>
      <c r="BI110" s="1710" t="n"/>
      <c r="BJ110" s="1709" t="n">
        <v>1.4</v>
      </c>
      <c r="BK110" s="1710" t="n"/>
      <c r="BL110" s="1710" t="n"/>
      <c r="BM110" s="1710" t="n"/>
      <c r="BN110" s="1710" t="n"/>
      <c r="BO110" s="1711" t="n"/>
      <c r="BP110" s="1710" t="n"/>
      <c r="BQ110" s="1710" t="n"/>
      <c r="BR110" s="1710" t="n"/>
      <c r="BS110" s="1710" t="n"/>
      <c r="BT110" s="1712" t="n"/>
      <c r="BU110" s="1710" t="n"/>
      <c r="BV110" s="1710" t="n"/>
      <c r="BW110" s="1710" t="n"/>
      <c r="BX110" s="1710" t="n"/>
      <c r="BY110" s="1712" t="n"/>
      <c r="BZ110" s="1712" t="n"/>
      <c r="CA110" s="1712" t="n"/>
      <c r="CB110" s="1712" t="n"/>
      <c r="CC110" s="1564" t="n"/>
    </row>
    <row r="111" hidden="1" outlineLevel="1" ht="15" customFormat="1" customHeight="1" s="1561">
      <c r="A111" s="1622" t="inlineStr">
        <is>
          <t>Amortization of intangibles, mm</t>
        </is>
      </c>
      <c r="B111" s="1705" t="n"/>
      <c r="C111" s="1637">
        <f>SUM(C108:C110)</f>
        <v/>
      </c>
      <c r="D111" s="1637">
        <f>SUM(D108:D110)</f>
        <v/>
      </c>
      <c r="E111" s="1637">
        <f>SUM(E108:E110)</f>
        <v/>
      </c>
      <c r="F111" s="1637">
        <f>SUM(F108:F110)</f>
        <v/>
      </c>
      <c r="G111" s="1637">
        <f>SUM(G108:G110)</f>
        <v/>
      </c>
      <c r="H111" s="1562">
        <f>L111/4</f>
        <v/>
      </c>
      <c r="I111" s="1562">
        <f>L111/4</f>
        <v/>
      </c>
      <c r="J111" s="1562">
        <f>L111/4</f>
        <v/>
      </c>
      <c r="K111" s="1562">
        <f>L111/4</f>
        <v/>
      </c>
      <c r="L111" s="1637">
        <f>SUM(L108:L110)</f>
        <v/>
      </c>
      <c r="M111" s="1562">
        <f>Q111/4</f>
        <v/>
      </c>
      <c r="N111" s="1562">
        <f>Q111/4</f>
        <v/>
      </c>
      <c r="O111" s="1562">
        <f>Q111/4</f>
        <v/>
      </c>
      <c r="P111" s="1562">
        <f>Q111/4</f>
        <v/>
      </c>
      <c r="Q111" s="1637">
        <f>SUM(Q108:Q110)</f>
        <v/>
      </c>
      <c r="R111" s="1562">
        <f>V111/4</f>
        <v/>
      </c>
      <c r="S111" s="1562">
        <f>V111/4</f>
        <v/>
      </c>
      <c r="T111" s="1562">
        <f>V111/4</f>
        <v/>
      </c>
      <c r="U111" s="1562">
        <f>V111/4</f>
        <v/>
      </c>
      <c r="V111" s="1637">
        <f>SUM(V108:V110)</f>
        <v/>
      </c>
      <c r="W111" s="1562">
        <f>AA111/4</f>
        <v/>
      </c>
      <c r="X111" s="1562">
        <f>AA111/4</f>
        <v/>
      </c>
      <c r="Y111" s="1562">
        <f>AA111/4</f>
        <v/>
      </c>
      <c r="Z111" s="1562">
        <f>AA111/4</f>
        <v/>
      </c>
      <c r="AA111" s="1637">
        <f>SUM(AA108:AA110)</f>
        <v/>
      </c>
      <c r="AB111" s="1562">
        <f>AF111/4</f>
        <v/>
      </c>
      <c r="AC111" s="1562">
        <f>AF111/4</f>
        <v/>
      </c>
      <c r="AD111" s="1562">
        <f>AF111/4</f>
        <v/>
      </c>
      <c r="AE111" s="1562">
        <f>AF111/4</f>
        <v/>
      </c>
      <c r="AF111" s="1637">
        <f>SUM(AF108:AF110)</f>
        <v/>
      </c>
      <c r="AG111" s="1562">
        <f>AK111/4</f>
        <v/>
      </c>
      <c r="AH111" s="1562">
        <f>AK111/4</f>
        <v/>
      </c>
      <c r="AI111" s="1562">
        <f>AK111/4</f>
        <v/>
      </c>
      <c r="AJ111" s="1562">
        <f>AK111/4</f>
        <v/>
      </c>
      <c r="AK111" s="1637">
        <f>SUM(AK108:AK110)</f>
        <v/>
      </c>
      <c r="AL111" s="1562">
        <f>AP111/4</f>
        <v/>
      </c>
      <c r="AM111" s="1562">
        <f>AP111/4</f>
        <v/>
      </c>
      <c r="AN111" s="1562">
        <f>AP111/4</f>
        <v/>
      </c>
      <c r="AO111" s="1562">
        <f>AP111/4</f>
        <v/>
      </c>
      <c r="AP111" s="1637">
        <f>SUM(AP108:AP110)</f>
        <v/>
      </c>
      <c r="AQ111" s="1562">
        <f>AU111/4</f>
        <v/>
      </c>
      <c r="AR111" s="1562">
        <f>AU111/4</f>
        <v/>
      </c>
      <c r="AS111" s="1562">
        <f>AU111/4</f>
        <v/>
      </c>
      <c r="AT111" s="1562">
        <f>AU111/4</f>
        <v/>
      </c>
      <c r="AU111" s="1713">
        <f>SUM(AU108:AU110)</f>
        <v/>
      </c>
      <c r="AV111" s="1562">
        <f>AZ111/4</f>
        <v/>
      </c>
      <c r="AW111" s="1562">
        <f>AZ111/4</f>
        <v/>
      </c>
      <c r="AX111" s="1562">
        <f>AZ111/4</f>
        <v/>
      </c>
      <c r="AY111" s="1562">
        <f>AZ111/4</f>
        <v/>
      </c>
      <c r="AZ111" s="1713">
        <f>SUM(AZ108:AZ110)</f>
        <v/>
      </c>
      <c r="BA111" s="1562">
        <f>BE111/4</f>
        <v/>
      </c>
      <c r="BB111" s="1562">
        <f>BE111/4</f>
        <v/>
      </c>
      <c r="BC111" s="1562">
        <f>BE111/4</f>
        <v/>
      </c>
      <c r="BD111" s="1562">
        <f>BE111/4</f>
        <v/>
      </c>
      <c r="BE111" s="1713">
        <f>SUM(BE108:BE110)</f>
        <v/>
      </c>
      <c r="BF111" s="1562">
        <f>BJ111/4</f>
        <v/>
      </c>
      <c r="BG111" s="1562">
        <f>BJ111/4</f>
        <v/>
      </c>
      <c r="BH111" s="1562">
        <f>BJ111/4</f>
        <v/>
      </c>
      <c r="BI111" s="1562">
        <f>BJ111/4</f>
        <v/>
      </c>
      <c r="BJ111" s="1713">
        <f>SUM(BJ108:BJ110)</f>
        <v/>
      </c>
      <c r="BK111" s="1714" t="n">
        <v>30</v>
      </c>
      <c r="BL111" s="1714" t="n">
        <v>30</v>
      </c>
      <c r="BM111" s="1714" t="n">
        <v>30</v>
      </c>
      <c r="BN111" s="1714" t="n">
        <v>30</v>
      </c>
      <c r="BO111" s="1715">
        <f>SUM(BK111,BL111,BM111,BN111)</f>
        <v/>
      </c>
      <c r="BP111" s="1562">
        <f>-BP590</f>
        <v/>
      </c>
      <c r="BQ111" s="1562">
        <f>-BQ590</f>
        <v/>
      </c>
      <c r="BR111" s="1562">
        <f>-BR590</f>
        <v/>
      </c>
      <c r="BS111" s="1562">
        <f>-BS590</f>
        <v/>
      </c>
      <c r="BT111" s="1637">
        <f>BS111+BR111+BQ111+BP111</f>
        <v/>
      </c>
      <c r="BU111" s="1562">
        <f>-BU590</f>
        <v/>
      </c>
      <c r="BV111" s="1562">
        <f>-BV590</f>
        <v/>
      </c>
      <c r="BW111" s="1562">
        <f>-BW590</f>
        <v/>
      </c>
      <c r="BX111" s="1562">
        <f>-BX590</f>
        <v/>
      </c>
      <c r="BY111" s="1637">
        <f>BX111+BW111+BV111+BU111</f>
        <v/>
      </c>
      <c r="BZ111" s="1637">
        <f>-BZ590</f>
        <v/>
      </c>
      <c r="CA111" s="1637">
        <f>-CA590</f>
        <v/>
      </c>
      <c r="CB111" s="1637">
        <f>-CB590</f>
        <v/>
      </c>
      <c r="CC111" s="1564" t="n"/>
    </row>
    <row r="112" hidden="1" outlineLevel="1" ht="15" customFormat="1" customHeight="1" s="1561">
      <c r="A112" s="1702" t="inlineStr">
        <is>
          <t>Other D&amp;A, mm</t>
        </is>
      </c>
      <c r="B112" s="1708" t="n"/>
      <c r="C112" s="1712">
        <f>C113-C107-C111</f>
        <v/>
      </c>
      <c r="D112" s="1712">
        <f>D113-D107-D111</f>
        <v/>
      </c>
      <c r="E112" s="1712">
        <f>E113-E107-E111</f>
        <v/>
      </c>
      <c r="F112" s="1712">
        <f>F113-F107-F111</f>
        <v/>
      </c>
      <c r="G112" s="1712">
        <f>G113-G107-G111</f>
        <v/>
      </c>
      <c r="H112" s="1710">
        <f>L112/4</f>
        <v/>
      </c>
      <c r="I112" s="1710">
        <f>L112/4</f>
        <v/>
      </c>
      <c r="J112" s="1710">
        <f>L112/4</f>
        <v/>
      </c>
      <c r="K112" s="1710">
        <f>L112/4</f>
        <v/>
      </c>
      <c r="L112" s="1712">
        <f>L113-L107-L111</f>
        <v/>
      </c>
      <c r="M112" s="1710">
        <f>Q112/4</f>
        <v/>
      </c>
      <c r="N112" s="1710">
        <f>Q112/4</f>
        <v/>
      </c>
      <c r="O112" s="1710">
        <f>Q112/4</f>
        <v/>
      </c>
      <c r="P112" s="1710">
        <f>Q112/4</f>
        <v/>
      </c>
      <c r="Q112" s="1712">
        <f>Q113-Q107-Q111</f>
        <v/>
      </c>
      <c r="R112" s="1710">
        <f>V112/4</f>
        <v/>
      </c>
      <c r="S112" s="1710">
        <f>V112/4</f>
        <v/>
      </c>
      <c r="T112" s="1710">
        <f>V112/4</f>
        <v/>
      </c>
      <c r="U112" s="1710">
        <f>V112/4</f>
        <v/>
      </c>
      <c r="V112" s="1712">
        <f>V113-V107-V111</f>
        <v/>
      </c>
      <c r="W112" s="1710">
        <f>AA112/4</f>
        <v/>
      </c>
      <c r="X112" s="1710">
        <f>AA112/4</f>
        <v/>
      </c>
      <c r="Y112" s="1710">
        <f>AA112/4</f>
        <v/>
      </c>
      <c r="Z112" s="1710">
        <f>AA112/4</f>
        <v/>
      </c>
      <c r="AA112" s="1712">
        <f>AA113-AA107-AA111</f>
        <v/>
      </c>
      <c r="AB112" s="1710">
        <f>AF112/4</f>
        <v/>
      </c>
      <c r="AC112" s="1710">
        <f>AF112/4</f>
        <v/>
      </c>
      <c r="AD112" s="1710">
        <f>AF112/4</f>
        <v/>
      </c>
      <c r="AE112" s="1710">
        <f>AF112/4</f>
        <v/>
      </c>
      <c r="AF112" s="1712">
        <f>AF113-AF107-AF111</f>
        <v/>
      </c>
      <c r="AG112" s="1710">
        <f>AK112/4</f>
        <v/>
      </c>
      <c r="AH112" s="1710">
        <f>AK112/4</f>
        <v/>
      </c>
      <c r="AI112" s="1710">
        <f>AK112/4</f>
        <v/>
      </c>
      <c r="AJ112" s="1710">
        <f>AK112/4</f>
        <v/>
      </c>
      <c r="AK112" s="1712">
        <f>AK113-AK107-AK111</f>
        <v/>
      </c>
      <c r="AL112" s="1710">
        <f>AP112/4</f>
        <v/>
      </c>
      <c r="AM112" s="1710">
        <f>AP112/4</f>
        <v/>
      </c>
      <c r="AN112" s="1710">
        <f>AP112/4</f>
        <v/>
      </c>
      <c r="AO112" s="1710">
        <f>AP112/4</f>
        <v/>
      </c>
      <c r="AP112" s="1712">
        <f>AP113-AP107-AP111</f>
        <v/>
      </c>
      <c r="AQ112" s="1710">
        <f>AU112/4</f>
        <v/>
      </c>
      <c r="AR112" s="1710">
        <f>AU112/4</f>
        <v/>
      </c>
      <c r="AS112" s="1710">
        <f>AU112/4</f>
        <v/>
      </c>
      <c r="AT112" s="1710">
        <f>AU112/4</f>
        <v/>
      </c>
      <c r="AU112" s="1712">
        <f>AU113-AU107-AU111</f>
        <v/>
      </c>
      <c r="AV112" s="1710">
        <f>AZ112/4</f>
        <v/>
      </c>
      <c r="AW112" s="1710">
        <f>AZ112/4</f>
        <v/>
      </c>
      <c r="AX112" s="1710">
        <f>AZ112/4</f>
        <v/>
      </c>
      <c r="AY112" s="1710">
        <f>AZ112/4</f>
        <v/>
      </c>
      <c r="AZ112" s="1712">
        <f>AZ113-AZ107-AZ111</f>
        <v/>
      </c>
      <c r="BA112" s="1710">
        <f>BE112/4</f>
        <v/>
      </c>
      <c r="BB112" s="1710">
        <f>BE112/4</f>
        <v/>
      </c>
      <c r="BC112" s="1710">
        <f>BE112/4</f>
        <v/>
      </c>
      <c r="BD112" s="1710">
        <f>BE112/4</f>
        <v/>
      </c>
      <c r="BE112" s="1712">
        <f>BE113-BE107-BE111</f>
        <v/>
      </c>
      <c r="BF112" s="1710">
        <f>BJ112/4</f>
        <v/>
      </c>
      <c r="BG112" s="1710">
        <f>BJ112/4</f>
        <v/>
      </c>
      <c r="BH112" s="1710">
        <f>BJ112/4</f>
        <v/>
      </c>
      <c r="BI112" s="1710">
        <f>BJ112/4</f>
        <v/>
      </c>
      <c r="BJ112" s="1712">
        <f>BJ113-BJ107-BJ111</f>
        <v/>
      </c>
      <c r="BK112" s="1716" t="n">
        <v>1.5</v>
      </c>
      <c r="BL112" s="1716" t="n">
        <v>1.5</v>
      </c>
      <c r="BM112" s="1716" t="n">
        <v>1.5</v>
      </c>
      <c r="BN112" s="1716" t="n">
        <v>1.5</v>
      </c>
      <c r="BO112" s="1711">
        <f>BO113-BO107-BO111</f>
        <v/>
      </c>
      <c r="BP112" s="1716" t="n">
        <v>1.5</v>
      </c>
      <c r="BQ112" s="1716" t="n">
        <v>1.5</v>
      </c>
      <c r="BR112" s="1716" t="n">
        <v>1.5</v>
      </c>
      <c r="BS112" s="1716" t="n">
        <v>1.5</v>
      </c>
      <c r="BT112" s="1712">
        <f>BS112+BR112+BQ112+BP112</f>
        <v/>
      </c>
      <c r="BU112" s="1716" t="n">
        <v>1.5</v>
      </c>
      <c r="BV112" s="1716" t="n">
        <v>1.5</v>
      </c>
      <c r="BW112" s="1716" t="n">
        <v>1.5</v>
      </c>
      <c r="BX112" s="1716" t="n">
        <v>1.5</v>
      </c>
      <c r="BY112" s="1712">
        <f>BX112+BW112+BV112+BU112</f>
        <v/>
      </c>
      <c r="BZ112" s="1709" t="n">
        <v>6</v>
      </c>
      <c r="CA112" s="1709" t="n">
        <v>6</v>
      </c>
      <c r="CB112" s="1709" t="n">
        <v>6</v>
      </c>
      <c r="CC112" s="1564" t="n"/>
    </row>
    <row r="113" hidden="1" outlineLevel="1" ht="15" customFormat="1" customHeight="1" s="1628">
      <c r="A113" s="1681" t="inlineStr">
        <is>
          <t>Total D&amp;A, mm</t>
        </is>
      </c>
      <c r="B113" s="1717" t="n"/>
      <c r="C113" s="1718">
        <f>C527</f>
        <v/>
      </c>
      <c r="D113" s="1718">
        <f>D527</f>
        <v/>
      </c>
      <c r="E113" s="1718">
        <f>E527</f>
        <v/>
      </c>
      <c r="F113" s="1718">
        <f>F527</f>
        <v/>
      </c>
      <c r="G113" s="1718">
        <f>G527</f>
        <v/>
      </c>
      <c r="H113" s="1719">
        <f>H527</f>
        <v/>
      </c>
      <c r="I113" s="1719">
        <f>I527</f>
        <v/>
      </c>
      <c r="J113" s="1719">
        <f>J527</f>
        <v/>
      </c>
      <c r="K113" s="1719">
        <f>K527</f>
        <v/>
      </c>
      <c r="L113" s="1718">
        <f>L527</f>
        <v/>
      </c>
      <c r="M113" s="1719">
        <f>M527</f>
        <v/>
      </c>
      <c r="N113" s="1719">
        <f>N527</f>
        <v/>
      </c>
      <c r="O113" s="1719">
        <f>O527</f>
        <v/>
      </c>
      <c r="P113" s="1719">
        <f>P527</f>
        <v/>
      </c>
      <c r="Q113" s="1718">
        <f>Q527</f>
        <v/>
      </c>
      <c r="R113" s="1719">
        <f>R527</f>
        <v/>
      </c>
      <c r="S113" s="1719">
        <f>S527</f>
        <v/>
      </c>
      <c r="T113" s="1719">
        <f>T527</f>
        <v/>
      </c>
      <c r="U113" s="1719">
        <f>U527</f>
        <v/>
      </c>
      <c r="V113" s="1718">
        <f>V527</f>
        <v/>
      </c>
      <c r="W113" s="1719">
        <f>W527</f>
        <v/>
      </c>
      <c r="X113" s="1719">
        <f>X527</f>
        <v/>
      </c>
      <c r="Y113" s="1719">
        <f>Y527</f>
        <v/>
      </c>
      <c r="Z113" s="1719">
        <f>Z527</f>
        <v/>
      </c>
      <c r="AA113" s="1718">
        <f>AA527</f>
        <v/>
      </c>
      <c r="AB113" s="1719">
        <f>AB527</f>
        <v/>
      </c>
      <c r="AC113" s="1719">
        <f>AC527</f>
        <v/>
      </c>
      <c r="AD113" s="1719">
        <f>AD527</f>
        <v/>
      </c>
      <c r="AE113" s="1719">
        <f>AE527</f>
        <v/>
      </c>
      <c r="AF113" s="1718">
        <f>AF527</f>
        <v/>
      </c>
      <c r="AG113" s="1719">
        <f>AG527</f>
        <v/>
      </c>
      <c r="AH113" s="1719">
        <f>AH527</f>
        <v/>
      </c>
      <c r="AI113" s="1719">
        <f>AI527</f>
        <v/>
      </c>
      <c r="AJ113" s="1719">
        <f>AJ527</f>
        <v/>
      </c>
      <c r="AK113" s="1718">
        <f>AK527</f>
        <v/>
      </c>
      <c r="AL113" s="1719">
        <f>AL527</f>
        <v/>
      </c>
      <c r="AM113" s="1719">
        <f>AM527</f>
        <v/>
      </c>
      <c r="AN113" s="1719">
        <f>AN527</f>
        <v/>
      </c>
      <c r="AO113" s="1719">
        <f>AO527</f>
        <v/>
      </c>
      <c r="AP113" s="1718">
        <f>AP527</f>
        <v/>
      </c>
      <c r="AQ113" s="1719">
        <f>AQ527</f>
        <v/>
      </c>
      <c r="AR113" s="1719">
        <f>AR527</f>
        <v/>
      </c>
      <c r="AS113" s="1719">
        <f>AS527</f>
        <v/>
      </c>
      <c r="AT113" s="1719">
        <f>AT527</f>
        <v/>
      </c>
      <c r="AU113" s="1718">
        <f>AU527</f>
        <v/>
      </c>
      <c r="AV113" s="1719">
        <f>AV527</f>
        <v/>
      </c>
      <c r="AW113" s="1719">
        <f>AW527</f>
        <v/>
      </c>
      <c r="AX113" s="1719">
        <f>AX527</f>
        <v/>
      </c>
      <c r="AY113" s="1719">
        <f>AY527</f>
        <v/>
      </c>
      <c r="AZ113" s="1718">
        <f>AZ527</f>
        <v/>
      </c>
      <c r="BA113" s="1719">
        <f>BA527</f>
        <v/>
      </c>
      <c r="BB113" s="1719">
        <f>BB527</f>
        <v/>
      </c>
      <c r="BC113" s="1719">
        <f>BC527</f>
        <v/>
      </c>
      <c r="BD113" s="1719">
        <f>BD527</f>
        <v/>
      </c>
      <c r="BE113" s="1718">
        <f>BE527</f>
        <v/>
      </c>
      <c r="BF113" s="1719">
        <f>BF527</f>
        <v/>
      </c>
      <c r="BG113" s="1719">
        <f>BG527</f>
        <v/>
      </c>
      <c r="BH113" s="1719">
        <f>BH527</f>
        <v/>
      </c>
      <c r="BI113" s="1719">
        <f>BI527</f>
        <v/>
      </c>
      <c r="BJ113" s="1718">
        <f>BJ527</f>
        <v/>
      </c>
      <c r="BK113" s="1719">
        <f>BK527</f>
        <v/>
      </c>
      <c r="BL113" s="1719">
        <f>BL527</f>
        <v/>
      </c>
      <c r="BM113" s="1719">
        <f>BM527</f>
        <v/>
      </c>
      <c r="BN113" s="1719">
        <f>BN527</f>
        <v/>
      </c>
      <c r="BO113" s="1720">
        <f>BO527</f>
        <v/>
      </c>
      <c r="BP113" s="1719">
        <f>BP112+BP111+BP107</f>
        <v/>
      </c>
      <c r="BQ113" s="1719">
        <f>BQ112+BQ111+BQ107</f>
        <v/>
      </c>
      <c r="BR113" s="1719">
        <f>BR112+BR111+BR107</f>
        <v/>
      </c>
      <c r="BS113" s="1719">
        <f>BS112+BS111+BS107</f>
        <v/>
      </c>
      <c r="BT113" s="1718">
        <f>BT112+BT111+BT107</f>
        <v/>
      </c>
      <c r="BU113" s="1719">
        <f>BU112+BU111+BU107</f>
        <v/>
      </c>
      <c r="BV113" s="1719">
        <f>BV112+BV111+BV107</f>
        <v/>
      </c>
      <c r="BW113" s="1719">
        <f>BW112+BW111+BW107</f>
        <v/>
      </c>
      <c r="BX113" s="1719">
        <f>BX112+BX111+BX107</f>
        <v/>
      </c>
      <c r="BY113" s="1718">
        <f>BY112+BY111+BY107</f>
        <v/>
      </c>
      <c r="BZ113" s="1718">
        <f>BZ112+BZ111+BZ107</f>
        <v/>
      </c>
      <c r="CA113" s="1718">
        <f>CA112+CA111+CA107</f>
        <v/>
      </c>
      <c r="CB113" s="1718">
        <f>CB112+CB111+CB107</f>
        <v/>
      </c>
      <c r="CC113" s="1634" t="n"/>
    </row>
    <row r="114" collapsed="1" ht="15" customFormat="1" customHeight="1" s="598">
      <c r="A114" s="294" t="n"/>
      <c r="B114" s="64" t="n"/>
      <c r="C114" s="1254" t="n"/>
      <c r="D114" s="1254" t="n"/>
      <c r="E114" s="1254" t="n"/>
      <c r="F114" s="1254" t="n"/>
      <c r="G114" s="1254" t="n"/>
      <c r="H114" s="674" t="n"/>
      <c r="I114" s="674" t="n"/>
      <c r="J114" s="674" t="n"/>
      <c r="K114" s="674" t="n"/>
      <c r="L114" s="1254" t="n"/>
      <c r="M114" s="674" t="n"/>
      <c r="N114" s="674" t="n"/>
      <c r="O114" s="674" t="n"/>
      <c r="P114" s="674" t="n"/>
      <c r="Q114" s="1254" t="n"/>
      <c r="R114" s="674" t="n"/>
      <c r="S114" s="674" t="n"/>
      <c r="T114" s="674" t="n"/>
      <c r="U114" s="674" t="n"/>
      <c r="V114" s="1254" t="n"/>
      <c r="W114" s="674" t="n"/>
      <c r="X114" s="674" t="n"/>
      <c r="Y114" s="674" t="n"/>
      <c r="Z114" s="674" t="n"/>
      <c r="AA114" s="1254" t="n"/>
      <c r="AB114" s="674" t="n"/>
      <c r="AC114" s="674" t="n"/>
      <c r="AD114" s="674" t="n"/>
      <c r="AE114" s="674" t="n"/>
      <c r="AF114" s="1254" t="n"/>
      <c r="AG114" s="674" t="n"/>
      <c r="AH114" s="674" t="n"/>
      <c r="AI114" s="674" t="n"/>
      <c r="AJ114" s="674" t="n"/>
      <c r="AK114" s="1254" t="n"/>
      <c r="AL114" s="674" t="n"/>
      <c r="AM114" s="674" t="n"/>
      <c r="AN114" s="674" t="n"/>
      <c r="AO114" s="674" t="n"/>
      <c r="AP114" s="1254" t="n"/>
      <c r="AQ114" s="674" t="n"/>
      <c r="AR114" s="674" t="n"/>
      <c r="AS114" s="674" t="n"/>
      <c r="AT114" s="674" t="n"/>
      <c r="AU114" s="1254" t="n"/>
      <c r="AV114" s="674" t="n"/>
      <c r="AW114" s="674" t="n"/>
      <c r="AX114" s="674" t="n"/>
      <c r="AY114" s="674" t="n"/>
      <c r="AZ114" s="1254" t="n"/>
      <c r="BA114" s="674" t="n"/>
      <c r="BB114" s="674" t="n"/>
      <c r="BC114" s="674" t="n"/>
      <c r="BD114" s="674" t="n"/>
      <c r="BE114" s="1254" t="n"/>
      <c r="BF114" s="674" t="n"/>
      <c r="BG114" s="674" t="n"/>
      <c r="BH114" s="674" t="n"/>
      <c r="BI114" s="674" t="n"/>
      <c r="BJ114" s="1254" t="n"/>
      <c r="BK114" s="674" t="n"/>
      <c r="BL114" s="674" t="n"/>
      <c r="BM114" s="674" t="n"/>
      <c r="BN114" s="674" t="n"/>
      <c r="BO114" s="1253" t="n"/>
      <c r="BP114" s="674" t="n"/>
      <c r="BQ114" s="674" t="n"/>
      <c r="BR114" s="674" t="n"/>
      <c r="BS114" s="674" t="n"/>
      <c r="BT114" s="1254" t="n"/>
      <c r="BU114" s="674" t="n"/>
      <c r="BV114" s="674" t="n"/>
      <c r="BW114" s="674" t="n"/>
      <c r="BX114" s="674" t="n"/>
      <c r="BY114" s="1254" t="n"/>
      <c r="BZ114" s="1254" t="n"/>
      <c r="CA114" s="1254" t="n"/>
      <c r="CB114" s="1254" t="n"/>
      <c r="CC114" s="750" t="n"/>
    </row>
    <row r="115" ht="15" customFormat="1" customHeight="1" s="1628">
      <c r="A115" s="1679" t="inlineStr">
        <is>
          <t>Supplemental Information</t>
        </is>
      </c>
      <c r="B115" s="1679" t="n"/>
      <c r="C115" s="1679" t="n"/>
      <c r="D115" s="1679" t="n"/>
      <c r="E115" s="1679" t="n"/>
      <c r="F115" s="1679" t="n"/>
      <c r="G115" s="1679" t="n"/>
      <c r="H115" s="1679" t="n"/>
      <c r="I115" s="1679" t="n"/>
      <c r="J115" s="1679" t="n"/>
      <c r="K115" s="1679" t="n"/>
      <c r="L115" s="1679" t="n"/>
      <c r="M115" s="1679" t="n"/>
      <c r="N115" s="1679" t="n"/>
      <c r="O115" s="1679" t="n"/>
      <c r="P115" s="1679" t="n"/>
      <c r="Q115" s="1679" t="n"/>
      <c r="R115" s="1679" t="n"/>
      <c r="S115" s="1679" t="n"/>
      <c r="T115" s="1679" t="n"/>
      <c r="U115" s="1679" t="n"/>
      <c r="V115" s="1679" t="n"/>
      <c r="W115" s="1679" t="n"/>
      <c r="X115" s="1679" t="n"/>
      <c r="Y115" s="1679" t="n"/>
      <c r="Z115" s="1679" t="n"/>
      <c r="AA115" s="1679" t="n"/>
      <c r="AB115" s="1679" t="n"/>
      <c r="AC115" s="1679" t="n"/>
      <c r="AD115" s="1679" t="n"/>
      <c r="AE115" s="1679" t="n"/>
      <c r="AF115" s="1679" t="n"/>
      <c r="AG115" s="1679" t="n"/>
      <c r="AH115" s="1679" t="n"/>
      <c r="AI115" s="1679" t="n"/>
      <c r="AJ115" s="1679" t="n"/>
      <c r="AK115" s="1679" t="n"/>
      <c r="AL115" s="1679" t="n"/>
      <c r="AM115" s="1679" t="n"/>
      <c r="AN115" s="1679" t="n"/>
      <c r="AO115" s="1679" t="n"/>
      <c r="AP115" s="1679" t="n"/>
      <c r="AQ115" s="1679" t="n"/>
      <c r="AR115" s="1679" t="n"/>
      <c r="AS115" s="1679" t="n"/>
      <c r="AT115" s="1679" t="n"/>
      <c r="AU115" s="1679" t="n"/>
      <c r="AV115" s="1679" t="n"/>
      <c r="AW115" s="1679" t="n"/>
      <c r="AX115" s="1679" t="n"/>
      <c r="AY115" s="1679" t="n"/>
      <c r="AZ115" s="1679" t="n"/>
      <c r="BA115" s="1679" t="n"/>
      <c r="BB115" s="1679" t="n"/>
      <c r="BC115" s="1679" t="n"/>
      <c r="BD115" s="1679" t="n"/>
      <c r="BE115" s="1679" t="n"/>
      <c r="BF115" s="1679" t="n"/>
      <c r="BG115" s="1679" t="n"/>
      <c r="BH115" s="1679" t="n"/>
      <c r="BI115" s="1679" t="n"/>
      <c r="BJ115" s="1679" t="n"/>
      <c r="BK115" s="1679" t="n"/>
      <c r="BL115" s="1679" t="n"/>
      <c r="BM115" s="1679" t="n"/>
      <c r="BN115" s="1679" t="n"/>
      <c r="BO115" s="1680" t="n"/>
      <c r="BP115" s="1679" t="n"/>
      <c r="BQ115" s="1679" t="n"/>
      <c r="BR115" s="1679" t="n"/>
      <c r="BS115" s="1679" t="n"/>
      <c r="BT115" s="1679" t="n"/>
      <c r="BU115" s="1679" t="n"/>
      <c r="BV115" s="1679" t="n"/>
      <c r="BW115" s="1679" t="n"/>
      <c r="BX115" s="1679" t="n"/>
      <c r="BY115" s="1679" t="n"/>
      <c r="BZ115" s="1679" t="n"/>
      <c r="CA115" s="1679" t="n"/>
      <c r="CB115" s="1679" t="n"/>
      <c r="CC115" s="1634" t="n"/>
    </row>
    <row r="116" hidden="1" outlineLevel="1" ht="15" customFormat="1" customHeight="1" s="1628">
      <c r="A116" s="1679" t="inlineStr">
        <is>
          <t>Key Metrics - Net System Sales Breakdown (IP)</t>
        </is>
      </c>
      <c r="B116" s="1679" t="n"/>
      <c r="C116" s="1679" t="n"/>
      <c r="D116" s="1679" t="n"/>
      <c r="E116" s="1679" t="n"/>
      <c r="F116" s="1679" t="n"/>
      <c r="G116" s="1679" t="n"/>
      <c r="H116" s="1679" t="n"/>
      <c r="I116" s="1679" t="n"/>
      <c r="J116" s="1679" t="n"/>
      <c r="K116" s="1679" t="n"/>
      <c r="L116" s="1679" t="n"/>
      <c r="M116" s="1679" t="n"/>
      <c r="N116" s="1679" t="n"/>
      <c r="O116" s="1679" t="n"/>
      <c r="P116" s="1679" t="n"/>
      <c r="Q116" s="1679" t="n"/>
      <c r="R116" s="1679" t="n"/>
      <c r="S116" s="1679" t="n"/>
      <c r="T116" s="1679" t="n"/>
      <c r="U116" s="1679" t="n"/>
      <c r="V116" s="1679" t="n"/>
      <c r="W116" s="1679" t="n"/>
      <c r="X116" s="1679" t="n"/>
      <c r="Y116" s="1679" t="n"/>
      <c r="Z116" s="1679" t="n"/>
      <c r="AA116" s="1679" t="n"/>
      <c r="AB116" s="1679" t="n"/>
      <c r="AC116" s="1679" t="n"/>
      <c r="AD116" s="1679" t="n"/>
      <c r="AE116" s="1679" t="n"/>
      <c r="AF116" s="1679" t="n"/>
      <c r="AG116" s="1679" t="n"/>
      <c r="AH116" s="1679" t="n"/>
      <c r="AI116" s="1679" t="n"/>
      <c r="AJ116" s="1679" t="n"/>
      <c r="AK116" s="1679" t="n"/>
      <c r="AL116" s="1679" t="n"/>
      <c r="AM116" s="1679" t="n"/>
      <c r="AN116" s="1679" t="n"/>
      <c r="AO116" s="1679" t="n"/>
      <c r="AP116" s="1679" t="n"/>
      <c r="AQ116" s="1679" t="n"/>
      <c r="AR116" s="1679" t="n"/>
      <c r="AS116" s="1679" t="n"/>
      <c r="AT116" s="1679" t="n"/>
      <c r="AU116" s="1679" t="n"/>
      <c r="AV116" s="1679" t="n"/>
      <c r="AW116" s="1679" t="n"/>
      <c r="AX116" s="1679" t="n"/>
      <c r="AY116" s="1679" t="n"/>
      <c r="AZ116" s="1679" t="n"/>
      <c r="BA116" s="1679" t="n"/>
      <c r="BB116" s="1679" t="n"/>
      <c r="BC116" s="1679" t="n"/>
      <c r="BD116" s="1679" t="n"/>
      <c r="BE116" s="1679" t="n"/>
      <c r="BF116" s="1679" t="n"/>
      <c r="BG116" s="1679" t="n"/>
      <c r="BH116" s="1679" t="n"/>
      <c r="BI116" s="1679" t="n"/>
      <c r="BJ116" s="1679" t="n"/>
      <c r="BK116" s="1679" t="n"/>
      <c r="BL116" s="1679" t="n"/>
      <c r="BM116" s="1679" t="n"/>
      <c r="BN116" s="1679" t="n"/>
      <c r="BO116" s="1680" t="n"/>
      <c r="BP116" s="1679" t="n"/>
      <c r="BQ116" s="1679" t="n"/>
      <c r="BR116" s="1679" t="n"/>
      <c r="BS116" s="1679" t="n"/>
      <c r="BT116" s="1679" t="n"/>
      <c r="BU116" s="1679" t="n"/>
      <c r="BV116" s="1679" t="n"/>
      <c r="BW116" s="1679" t="n"/>
      <c r="BX116" s="1679" t="n"/>
      <c r="BY116" s="1679" t="n"/>
      <c r="BZ116" s="1679" t="n"/>
      <c r="CA116" s="1679" t="n"/>
      <c r="CB116" s="1679" t="n"/>
      <c r="CC116" s="1634" t="n"/>
    </row>
    <row r="117" hidden="1" outlineLevel="2" ht="15" customFormat="1" customHeight="1" s="1561">
      <c r="A117" s="1721" t="inlineStr">
        <is>
          <t>Logic net system sales, mm</t>
        </is>
      </c>
      <c r="B117" s="1623" t="n"/>
      <c r="C117" s="1624" t="n"/>
      <c r="D117" s="1624" t="n"/>
      <c r="E117" s="1624" t="n"/>
      <c r="F117" s="1624" t="n"/>
      <c r="G117" s="1624" t="n"/>
      <c r="H117" s="1626" t="n"/>
      <c r="I117" s="1626" t="n"/>
      <c r="J117" s="1626" t="n"/>
      <c r="K117" s="1626" t="n"/>
      <c r="L117" s="1624" t="n"/>
      <c r="M117" s="1626" t="n"/>
      <c r="N117" s="1626" t="n"/>
      <c r="O117" s="1626" t="n"/>
      <c r="P117" s="1626" t="n"/>
      <c r="Q117" s="1624" t="n"/>
      <c r="R117" s="1626" t="n"/>
      <c r="S117" s="1626" t="n"/>
      <c r="T117" s="1626" t="n"/>
      <c r="U117" s="1626" t="n"/>
      <c r="V117" s="1624" t="n"/>
      <c r="W117" s="1626" t="n"/>
      <c r="X117" s="1626" t="n"/>
      <c r="Y117" s="1626" t="n"/>
      <c r="Z117" s="1626" t="n"/>
      <c r="AA117" s="1624" t="n"/>
      <c r="AB117" s="1626">
        <f>AB121*AB$119</f>
        <v/>
      </c>
      <c r="AC117" s="1626">
        <f>AC121*AC$119</f>
        <v/>
      </c>
      <c r="AD117" s="1626">
        <f>AD121*AD$119</f>
        <v/>
      </c>
      <c r="AE117" s="1626">
        <f>AE121*AE$119</f>
        <v/>
      </c>
      <c r="AF117" s="1625" t="n">
        <v>3713.7</v>
      </c>
      <c r="AG117" s="1626">
        <f>AG121*AG$119</f>
        <v/>
      </c>
      <c r="AH117" s="1626">
        <f>AH121*AH$119</f>
        <v/>
      </c>
      <c r="AI117" s="1626">
        <f>AI121*AI$119</f>
        <v/>
      </c>
      <c r="AJ117" s="1626">
        <f>AJ121*AJ$119</f>
        <v/>
      </c>
      <c r="AK117" s="1625" t="n">
        <v>6565.3</v>
      </c>
      <c r="AL117" s="1626">
        <f>AL121*AL$119</f>
        <v/>
      </c>
      <c r="AM117" s="1626">
        <f>AM121*AM$119</f>
        <v/>
      </c>
      <c r="AN117" s="1626">
        <f>AN121*AN$119</f>
        <v/>
      </c>
      <c r="AO117" s="1626">
        <f>AO121*AO$119</f>
        <v/>
      </c>
      <c r="AP117" s="1625" t="n">
        <v>7393</v>
      </c>
      <c r="AQ117" s="1626">
        <f>AQ121*AQ$119</f>
        <v/>
      </c>
      <c r="AR117" s="1626">
        <f>AR121*AR$119</f>
        <v/>
      </c>
      <c r="AS117" s="1626">
        <f>AS121*AS$119</f>
        <v/>
      </c>
      <c r="AT117" s="1626">
        <f>AT121*AT$119</f>
        <v/>
      </c>
      <c r="AU117" s="1625" t="n">
        <v>9588.5</v>
      </c>
      <c r="AV117" s="1626">
        <f>AV121*AV$119</f>
        <v/>
      </c>
      <c r="AW117" s="1626">
        <f>AW121*AW$119</f>
        <v/>
      </c>
      <c r="AX117" s="1626">
        <f>AX121*AX$119</f>
        <v/>
      </c>
      <c r="AY117" s="1626">
        <f>AY121*AY$119</f>
        <v/>
      </c>
      <c r="AZ117" s="1625" t="n">
        <v>9977.6</v>
      </c>
      <c r="BA117" s="1626">
        <f>BA121*BA$119</f>
        <v/>
      </c>
      <c r="BB117" s="1626">
        <f>BB121*BB$119</f>
        <v/>
      </c>
      <c r="BC117" s="1626">
        <f>BC121*BC$119</f>
        <v/>
      </c>
      <c r="BD117" s="1626">
        <f>BD121*BD$119</f>
        <v/>
      </c>
      <c r="BE117" s="1625" t="n">
        <v>15984.7</v>
      </c>
      <c r="BF117" s="1626">
        <f>BF121*BF$119</f>
        <v/>
      </c>
      <c r="BG117" s="1626">
        <f>BG121*BG$119</f>
        <v/>
      </c>
      <c r="BH117" s="1626">
        <f>BH121*BH$119</f>
        <v/>
      </c>
      <c r="BI117" s="1626">
        <f>BI121*BI$119</f>
        <v/>
      </c>
      <c r="BJ117" s="1625" t="n">
        <v>13195.1</v>
      </c>
      <c r="BK117" s="1626">
        <f>BK121*BK$119</f>
        <v/>
      </c>
      <c r="BL117" s="1626">
        <f>BL121*BL$119</f>
        <v/>
      </c>
      <c r="BM117" s="1626">
        <f>BM121*BM$119</f>
        <v/>
      </c>
      <c r="BN117" s="1626">
        <f>BN121*BN$119</f>
        <v/>
      </c>
      <c r="BO117" s="1722">
        <f>SUM(BK117,BL117,BM117,BN117)</f>
        <v/>
      </c>
      <c r="BP117" s="1626" t="n"/>
      <c r="BQ117" s="1626" t="n"/>
      <c r="BR117" s="1626" t="n"/>
      <c r="BS117" s="1626" t="n"/>
      <c r="BT117" s="1624" t="n"/>
      <c r="BU117" s="1626" t="n"/>
      <c r="BV117" s="1626" t="n"/>
      <c r="BW117" s="1626" t="n"/>
      <c r="BX117" s="1626" t="n"/>
      <c r="BY117" s="1624" t="n"/>
      <c r="BZ117" s="1624" t="n"/>
      <c r="CA117" s="1624" t="n"/>
      <c r="CB117" s="1624" t="n"/>
      <c r="CC117" s="1564" t="n"/>
    </row>
    <row r="118" hidden="1" outlineLevel="2" ht="15" customFormat="1" customHeight="1" s="1561">
      <c r="A118" s="1721" t="inlineStr">
        <is>
          <t>Memory net system sales, mm</t>
        </is>
      </c>
      <c r="B118" s="1623" t="n"/>
      <c r="C118" s="1624" t="n"/>
      <c r="D118" s="1624" t="n"/>
      <c r="E118" s="1624" t="n"/>
      <c r="F118" s="1624" t="n"/>
      <c r="G118" s="1624" t="n"/>
      <c r="H118" s="1626" t="n"/>
      <c r="I118" s="1626" t="n"/>
      <c r="J118" s="1626" t="n"/>
      <c r="K118" s="1626" t="n"/>
      <c r="L118" s="1624" t="n"/>
      <c r="M118" s="1626" t="n"/>
      <c r="N118" s="1626" t="n"/>
      <c r="O118" s="1626" t="n"/>
      <c r="P118" s="1626" t="n"/>
      <c r="Q118" s="1624" t="n"/>
      <c r="R118" s="1626" t="n"/>
      <c r="S118" s="1626" t="n"/>
      <c r="T118" s="1626" t="n"/>
      <c r="U118" s="1626" t="n"/>
      <c r="V118" s="1624" t="n"/>
      <c r="W118" s="1626" t="n"/>
      <c r="X118" s="1626" t="n"/>
      <c r="Y118" s="1626" t="n"/>
      <c r="Z118" s="1626" t="n"/>
      <c r="AA118" s="1624" t="n"/>
      <c r="AB118" s="1626">
        <f>AB122*AB$119</f>
        <v/>
      </c>
      <c r="AC118" s="1626">
        <f>AC122*AC$119</f>
        <v/>
      </c>
      <c r="AD118" s="1626">
        <f>AD122*AD$119</f>
        <v/>
      </c>
      <c r="AE118" s="1626">
        <f>AE122*AE$119</f>
        <v/>
      </c>
      <c r="AF118" s="1625" t="n">
        <v>4545.4</v>
      </c>
      <c r="AG118" s="1626">
        <f>AG122*AG$119</f>
        <v/>
      </c>
      <c r="AH118" s="1626">
        <f>AH122*AH$119</f>
        <v/>
      </c>
      <c r="AI118" s="1626">
        <f>AI122*AI$119</f>
        <v/>
      </c>
      <c r="AJ118" s="1626">
        <f>AJ122*AJ$119</f>
        <v/>
      </c>
      <c r="AK118" s="1625" t="n">
        <v>2430.9</v>
      </c>
      <c r="AL118" s="1626">
        <f>AL122*AL$119</f>
        <v/>
      </c>
      <c r="AM118" s="1626">
        <f>AM122*AM$119</f>
        <v/>
      </c>
      <c r="AN118" s="1626">
        <f>AN122*AN$119</f>
        <v/>
      </c>
      <c r="AO118" s="1626">
        <f>AO122*AO$119</f>
        <v/>
      </c>
      <c r="AP118" s="1625" t="n">
        <v>2923.6</v>
      </c>
      <c r="AQ118" s="1626">
        <f>AQ122*AQ$119</f>
        <v/>
      </c>
      <c r="AR118" s="1626">
        <f>AR122*AR$119</f>
        <v/>
      </c>
      <c r="AS118" s="1626">
        <f>AS122*AS$119</f>
        <v/>
      </c>
      <c r="AT118" s="1626">
        <f>AT122*AT$119</f>
        <v/>
      </c>
      <c r="AU118" s="1625" t="n">
        <v>4064.3</v>
      </c>
      <c r="AV118" s="1626">
        <f>AV122*AV$119</f>
        <v/>
      </c>
      <c r="AW118" s="1626">
        <f>AW122*AW$119</f>
        <v/>
      </c>
      <c r="AX118" s="1626">
        <f>AX122*AX$119</f>
        <v/>
      </c>
      <c r="AY118" s="1626">
        <f>AY122*AY$119</f>
        <v/>
      </c>
      <c r="AZ118" s="1625" t="n">
        <v>5452.7</v>
      </c>
      <c r="BA118" s="1626">
        <f>BA122*BA$119</f>
        <v/>
      </c>
      <c r="BB118" s="1626">
        <f>BB122*BB$119</f>
        <v/>
      </c>
      <c r="BC118" s="1626">
        <f>BC122*BC$119</f>
        <v/>
      </c>
      <c r="BD118" s="1626">
        <f>BD122*BD$119</f>
        <v/>
      </c>
      <c r="BE118" s="1625" t="n">
        <v>5953.9</v>
      </c>
      <c r="BF118" s="1626">
        <f>BF122*BF$119</f>
        <v/>
      </c>
      <c r="BG118" s="1626">
        <f>BG122*BG$119</f>
        <v/>
      </c>
      <c r="BH118" s="1626">
        <f>BH122*BH$119</f>
        <v/>
      </c>
      <c r="BI118" s="1626">
        <f>BI122*BI$119</f>
        <v/>
      </c>
      <c r="BJ118" s="1625" t="n">
        <v>8573.6</v>
      </c>
      <c r="BK118" s="1626">
        <f>BK122*BK$119</f>
        <v/>
      </c>
      <c r="BL118" s="1626">
        <f>BL122*BL$119</f>
        <v/>
      </c>
      <c r="BM118" s="1626">
        <f>BM122*BM$119</f>
        <v/>
      </c>
      <c r="BN118" s="1626">
        <f>BN122*BN$119</f>
        <v/>
      </c>
      <c r="BO118" s="1722">
        <f>SUM(BK118,BL118,BM118,BN118)</f>
        <v/>
      </c>
      <c r="BP118" s="1626" t="n"/>
      <c r="BQ118" s="1626" t="n"/>
      <c r="BR118" s="1626" t="n"/>
      <c r="BS118" s="1626" t="n"/>
      <c r="BT118" s="1624" t="n"/>
      <c r="BU118" s="1626" t="n"/>
      <c r="BV118" s="1626" t="n"/>
      <c r="BW118" s="1626" t="n"/>
      <c r="BX118" s="1626" t="n"/>
      <c r="BY118" s="1624" t="n"/>
      <c r="BZ118" s="1624" t="n"/>
      <c r="CA118" s="1624" t="n"/>
      <c r="CB118" s="1624" t="n"/>
      <c r="CC118" s="1564" t="n"/>
    </row>
    <row r="119" hidden="1" outlineLevel="2" ht="15" customFormat="1" customHeight="1" s="1628">
      <c r="A119" s="1695" t="inlineStr">
        <is>
          <t>Total net system sales by end-use, mm</t>
        </is>
      </c>
      <c r="B119" s="1630" t="n"/>
      <c r="C119" s="1631" t="n"/>
      <c r="D119" s="1631" t="n"/>
      <c r="E119" s="1631" t="n"/>
      <c r="F119" s="1631" t="n"/>
      <c r="G119" s="1631" t="n"/>
      <c r="H119" s="1632" t="n"/>
      <c r="I119" s="1632" t="n"/>
      <c r="J119" s="1632" t="n"/>
      <c r="K119" s="1632" t="n"/>
      <c r="L119" s="1631" t="n"/>
      <c r="M119" s="1632" t="n"/>
      <c r="N119" s="1632" t="n"/>
      <c r="O119" s="1632" t="n"/>
      <c r="P119" s="1632" t="n"/>
      <c r="Q119" s="1631" t="n"/>
      <c r="R119" s="1632" t="n"/>
      <c r="S119" s="1632" t="n"/>
      <c r="T119" s="1632" t="n"/>
      <c r="U119" s="1632" t="n"/>
      <c r="V119" s="1631" t="n"/>
      <c r="W119" s="1632" t="n"/>
      <c r="X119" s="1632" t="n"/>
      <c r="Y119" s="1632" t="n"/>
      <c r="Z119" s="1632" t="n"/>
      <c r="AA119" s="1631" t="n"/>
      <c r="AB119" s="1632">
        <f>AB39</f>
        <v/>
      </c>
      <c r="AC119" s="1632">
        <f>AC39</f>
        <v/>
      </c>
      <c r="AD119" s="1632">
        <f>AD39</f>
        <v/>
      </c>
      <c r="AE119" s="1632">
        <f>AE39</f>
        <v/>
      </c>
      <c r="AF119" s="1723">
        <f>SUM(AF117:AF118)</f>
        <v/>
      </c>
      <c r="AG119" s="1632">
        <f>AG39</f>
        <v/>
      </c>
      <c r="AH119" s="1632">
        <f>AH39</f>
        <v/>
      </c>
      <c r="AI119" s="1632">
        <f>AI39</f>
        <v/>
      </c>
      <c r="AJ119" s="1632">
        <f>AJ39</f>
        <v/>
      </c>
      <c r="AK119" s="1723">
        <f>SUM(AK117:AK118)</f>
        <v/>
      </c>
      <c r="AL119" s="1632">
        <f>AL39</f>
        <v/>
      </c>
      <c r="AM119" s="1632">
        <f>AM39</f>
        <v/>
      </c>
      <c r="AN119" s="1632">
        <f>AN39</f>
        <v/>
      </c>
      <c r="AO119" s="1632">
        <f>AO39</f>
        <v/>
      </c>
      <c r="AP119" s="1723">
        <f>SUM(AP117:AP118)</f>
        <v/>
      </c>
      <c r="AQ119" s="1632">
        <f>AQ39</f>
        <v/>
      </c>
      <c r="AR119" s="1632">
        <f>AR39</f>
        <v/>
      </c>
      <c r="AS119" s="1632">
        <f>AS39</f>
        <v/>
      </c>
      <c r="AT119" s="1632">
        <f>AT39</f>
        <v/>
      </c>
      <c r="AU119" s="1723">
        <f>SUM(AU117:AU118)</f>
        <v/>
      </c>
      <c r="AV119" s="1632">
        <f>AV39</f>
        <v/>
      </c>
      <c r="AW119" s="1632">
        <f>AW39</f>
        <v/>
      </c>
      <c r="AX119" s="1632">
        <f>AX39</f>
        <v/>
      </c>
      <c r="AY119" s="1632">
        <f>AY39</f>
        <v/>
      </c>
      <c r="AZ119" s="1723">
        <f>SUM(AZ117:AZ118)</f>
        <v/>
      </c>
      <c r="BA119" s="1632">
        <f>BA39</f>
        <v/>
      </c>
      <c r="BB119" s="1632">
        <f>BB39</f>
        <v/>
      </c>
      <c r="BC119" s="1632">
        <f>BC39</f>
        <v/>
      </c>
      <c r="BD119" s="1632">
        <f>BD39</f>
        <v/>
      </c>
      <c r="BE119" s="1723">
        <f>SUM(BE117:BE118)</f>
        <v/>
      </c>
      <c r="BF119" s="1632">
        <f>BF39</f>
        <v/>
      </c>
      <c r="BG119" s="1632">
        <f>BG39</f>
        <v/>
      </c>
      <c r="BH119" s="1632">
        <f>BH39</f>
        <v/>
      </c>
      <c r="BI119" s="1632">
        <f>BI39</f>
        <v/>
      </c>
      <c r="BJ119" s="1723">
        <f>SUM(BJ117:BJ118)</f>
        <v/>
      </c>
      <c r="BK119" s="1632">
        <f>BK39</f>
        <v/>
      </c>
      <c r="BL119" s="1632">
        <f>BL39</f>
        <v/>
      </c>
      <c r="BM119" s="1632">
        <f>BM39</f>
        <v/>
      </c>
      <c r="BN119" s="1632">
        <f>BN39</f>
        <v/>
      </c>
      <c r="BO119" s="1724">
        <f>SUM(BO117:BO118)</f>
        <v/>
      </c>
      <c r="BP119" s="1632" t="n"/>
      <c r="BQ119" s="1632" t="n"/>
      <c r="BR119" s="1632" t="n"/>
      <c r="BS119" s="1632" t="n"/>
      <c r="BT119" s="1631" t="n"/>
      <c r="BU119" s="1632" t="n"/>
      <c r="BV119" s="1632" t="n"/>
      <c r="BW119" s="1632" t="n"/>
      <c r="BX119" s="1632" t="n"/>
      <c r="BY119" s="1631" t="n"/>
      <c r="BZ119" s="1631" t="n"/>
      <c r="CA119" s="1631" t="n"/>
      <c r="CB119" s="1631" t="n"/>
      <c r="CC119" s="1634" t="n"/>
    </row>
    <row r="120" hidden="1" outlineLevel="2" ht="15" customFormat="1" customHeight="1" s="1598">
      <c r="A120" s="1613" t="n"/>
      <c r="B120" s="1600" t="n"/>
      <c r="C120" s="1602" t="n"/>
      <c r="D120" s="1602" t="n"/>
      <c r="E120" s="1602" t="n"/>
      <c r="F120" s="1602" t="n"/>
      <c r="G120" s="1602" t="n"/>
      <c r="H120" s="1603" t="n"/>
      <c r="I120" s="1603" t="n"/>
      <c r="J120" s="1603" t="n"/>
      <c r="K120" s="1603" t="n"/>
      <c r="L120" s="1602" t="n"/>
      <c r="M120" s="1603" t="n"/>
      <c r="N120" s="1603" t="n"/>
      <c r="O120" s="1603" t="n"/>
      <c r="P120" s="1603" t="n"/>
      <c r="Q120" s="1602" t="n"/>
      <c r="R120" s="1603" t="n"/>
      <c r="S120" s="1603" t="n"/>
      <c r="T120" s="1603" t="n"/>
      <c r="U120" s="1603" t="n"/>
      <c r="V120" s="1602" t="n"/>
      <c r="W120" s="1603" t="n"/>
      <c r="X120" s="1603" t="n"/>
      <c r="Y120" s="1603" t="n"/>
      <c r="Z120" s="1603" t="n"/>
      <c r="AA120" s="1602" t="n"/>
      <c r="AB120" s="1603" t="n"/>
      <c r="AC120" s="1603" t="n"/>
      <c r="AD120" s="1603" t="n"/>
      <c r="AE120" s="1603" t="n"/>
      <c r="AF120" s="1602" t="n"/>
      <c r="AG120" s="1603" t="n"/>
      <c r="AH120" s="1603" t="n"/>
      <c r="AI120" s="1603" t="n"/>
      <c r="AJ120" s="1603" t="n"/>
      <c r="AK120" s="1602" t="n"/>
      <c r="AL120" s="1603" t="n"/>
      <c r="AM120" s="1603" t="n"/>
      <c r="AN120" s="1603" t="n"/>
      <c r="AO120" s="1603" t="n"/>
      <c r="AP120" s="1602" t="n"/>
      <c r="AQ120" s="1603" t="n"/>
      <c r="AR120" s="1603" t="n"/>
      <c r="AS120" s="1603" t="n"/>
      <c r="AT120" s="1603" t="n"/>
      <c r="AU120" s="1602" t="n"/>
      <c r="AV120" s="1603" t="n"/>
      <c r="AW120" s="1603" t="n"/>
      <c r="AX120" s="1603" t="n"/>
      <c r="AY120" s="1603" t="n"/>
      <c r="AZ120" s="1602" t="n"/>
      <c r="BA120" s="1603" t="n"/>
      <c r="BB120" s="1603" t="n"/>
      <c r="BC120" s="1603" t="n"/>
      <c r="BD120" s="1603" t="n"/>
      <c r="BE120" s="1602" t="n"/>
      <c r="BF120" s="1603" t="n"/>
      <c r="BG120" s="1603" t="n"/>
      <c r="BH120" s="1603" t="n"/>
      <c r="BI120" s="1603" t="n"/>
      <c r="BJ120" s="1602" t="n"/>
      <c r="BK120" s="1603" t="n"/>
      <c r="BL120" s="1603" t="n"/>
      <c r="BM120" s="1603" t="n"/>
      <c r="BN120" s="1603" t="n"/>
      <c r="BO120" s="1604" t="n"/>
      <c r="BP120" s="1603" t="n"/>
      <c r="BQ120" s="1603" t="n"/>
      <c r="BR120" s="1603" t="n"/>
      <c r="BS120" s="1603" t="n"/>
      <c r="BT120" s="1602" t="n"/>
      <c r="BU120" s="1603" t="n"/>
      <c r="BV120" s="1603" t="n"/>
      <c r="BW120" s="1603" t="n"/>
      <c r="BX120" s="1603" t="n"/>
      <c r="BY120" s="1602" t="n"/>
      <c r="BZ120" s="1602" t="n"/>
      <c r="CA120" s="1602" t="n"/>
      <c r="CB120" s="1602" t="n"/>
      <c r="CC120" s="1605" t="n"/>
    </row>
    <row r="121" hidden="1" outlineLevel="2" ht="15" customFormat="1" customHeight="1" s="1644">
      <c r="A121" s="1725" t="inlineStr">
        <is>
          <t>Logic net system sales as % of total net system sales, %</t>
        </is>
      </c>
      <c r="B121" s="1646" t="n"/>
      <c r="C121" s="1647" t="n"/>
      <c r="D121" s="1647" t="n"/>
      <c r="E121" s="1647" t="n"/>
      <c r="F121" s="1647" t="n"/>
      <c r="G121" s="1647" t="n"/>
      <c r="H121" s="1651" t="n"/>
      <c r="I121" s="1651" t="n"/>
      <c r="J121" s="1651" t="n"/>
      <c r="K121" s="1651" t="n"/>
      <c r="L121" s="1647" t="n"/>
      <c r="M121" s="1651" t="n"/>
      <c r="N121" s="1651" t="n"/>
      <c r="O121" s="1651" t="n"/>
      <c r="P121" s="1651" t="n"/>
      <c r="Q121" s="1647" t="n"/>
      <c r="R121" s="1651" t="n"/>
      <c r="S121" s="1651" t="n"/>
      <c r="T121" s="1651" t="n"/>
      <c r="U121" s="1651" t="n"/>
      <c r="V121" s="1647" t="n"/>
      <c r="W121" s="1651" t="n"/>
      <c r="X121" s="1651" t="n"/>
      <c r="Y121" s="1651" t="n"/>
      <c r="Z121" s="1651" t="n"/>
      <c r="AA121" s="1647" t="n"/>
      <c r="AB121" s="1649" t="n">
        <v>0.26</v>
      </c>
      <c r="AC121" s="1649" t="n">
        <v>0.48</v>
      </c>
      <c r="AD121" s="1649" t="n">
        <v>0.42</v>
      </c>
      <c r="AE121" s="1649" t="n">
        <v>0.6</v>
      </c>
      <c r="AF121" s="1647">
        <f>AF117/AF$119</f>
        <v/>
      </c>
      <c r="AG121" s="1649" t="n">
        <v>0.6</v>
      </c>
      <c r="AH121" s="1649" t="n">
        <v>0.61</v>
      </c>
      <c r="AI121" s="1649" t="n">
        <v>0.79</v>
      </c>
      <c r="AJ121" s="1649" t="n">
        <v>0.83</v>
      </c>
      <c r="AK121" s="1647">
        <f>AK117/AK$119</f>
        <v/>
      </c>
      <c r="AL121" s="1649" t="n">
        <v>0.73</v>
      </c>
      <c r="AM121" s="1649" t="n">
        <v>0.62</v>
      </c>
      <c r="AN121" s="1649" t="n">
        <v>0.79</v>
      </c>
      <c r="AO121" s="1649" t="n">
        <v>0.72</v>
      </c>
      <c r="AP121" s="1647">
        <f>AP117/AP$119</f>
        <v/>
      </c>
      <c r="AQ121" s="1649" t="n">
        <v>0.78</v>
      </c>
      <c r="AR121" s="1649" t="n">
        <v>0.72</v>
      </c>
      <c r="AS121" s="1649" t="n">
        <v>0.61</v>
      </c>
      <c r="AT121" s="1649" t="n">
        <v>0.73</v>
      </c>
      <c r="AU121" s="1647">
        <f>AU117/AU$119</f>
        <v/>
      </c>
      <c r="AV121" s="1649" t="n">
        <v>0.5</v>
      </c>
      <c r="AW121" s="1649" t="n">
        <v>0.71</v>
      </c>
      <c r="AX121" s="1649" t="n">
        <v>0.68</v>
      </c>
      <c r="AY121" s="1649" t="n">
        <v>0.64</v>
      </c>
      <c r="AZ121" s="1647">
        <f>AZ117/AZ$119</f>
        <v/>
      </c>
      <c r="BA121" s="1649" t="n">
        <v>0.7</v>
      </c>
      <c r="BB121" s="1649" t="n">
        <v>0.84</v>
      </c>
      <c r="BC121" s="1649" t="n">
        <v>0.76</v>
      </c>
      <c r="BD121" s="1649" t="n">
        <v>0.63</v>
      </c>
      <c r="BE121" s="1647">
        <f>BE117/BE$119</f>
        <v/>
      </c>
      <c r="BF121" s="1649" t="n">
        <v>0.63</v>
      </c>
      <c r="BG121" s="1649" t="n">
        <v>0.54</v>
      </c>
      <c r="BH121" s="1649" t="n">
        <v>0.64</v>
      </c>
      <c r="BI121" s="1649" t="n">
        <v>0.61</v>
      </c>
      <c r="BJ121" s="1647">
        <f>BJ117/BJ$119</f>
        <v/>
      </c>
      <c r="BK121" s="1649" t="n">
        <v>0.58</v>
      </c>
      <c r="BL121" s="1649" t="n">
        <v>0.6899999999999999</v>
      </c>
      <c r="BM121" s="1649" t="n">
        <v>0.65</v>
      </c>
      <c r="BN121" s="1649" t="n">
        <v>0.7</v>
      </c>
      <c r="BO121" s="1726">
        <f>BO117/BO$119</f>
        <v/>
      </c>
      <c r="BP121" s="1651" t="n"/>
      <c r="BQ121" s="1651" t="n"/>
      <c r="BR121" s="1651" t="n"/>
      <c r="BS121" s="1651" t="n"/>
      <c r="BT121" s="1647" t="n"/>
      <c r="BU121" s="1651" t="n"/>
      <c r="BV121" s="1651" t="n"/>
      <c r="BW121" s="1651" t="n"/>
      <c r="BX121" s="1651" t="n"/>
      <c r="BY121" s="1647" t="n"/>
      <c r="BZ121" s="1647" t="n"/>
      <c r="CA121" s="1647" t="n"/>
      <c r="CB121" s="1647" t="n"/>
      <c r="CC121" s="1652" t="n"/>
    </row>
    <row r="122" hidden="1" outlineLevel="2" ht="15" customFormat="1" customHeight="1" s="1644">
      <c r="A122" s="1727" t="inlineStr">
        <is>
          <t>Memory net system sales as % of total net system sales, %</t>
        </is>
      </c>
      <c r="B122" s="1654" t="n"/>
      <c r="C122" s="1655" t="n"/>
      <c r="D122" s="1655" t="n"/>
      <c r="E122" s="1655" t="n"/>
      <c r="F122" s="1655" t="n"/>
      <c r="G122" s="1655" t="n"/>
      <c r="H122" s="1659" t="n"/>
      <c r="I122" s="1659" t="n"/>
      <c r="J122" s="1659" t="n"/>
      <c r="K122" s="1659" t="n"/>
      <c r="L122" s="1655" t="n"/>
      <c r="M122" s="1659" t="n"/>
      <c r="N122" s="1659" t="n"/>
      <c r="O122" s="1659" t="n"/>
      <c r="P122" s="1659" t="n"/>
      <c r="Q122" s="1655" t="n"/>
      <c r="R122" s="1659" t="n"/>
      <c r="S122" s="1659" t="n"/>
      <c r="T122" s="1659" t="n"/>
      <c r="U122" s="1659" t="n"/>
      <c r="V122" s="1655" t="n"/>
      <c r="W122" s="1659" t="n"/>
      <c r="X122" s="1659" t="n"/>
      <c r="Y122" s="1659" t="n"/>
      <c r="Z122" s="1659" t="n"/>
      <c r="AA122" s="1655" t="n"/>
      <c r="AB122" s="1657" t="n">
        <v>0.74</v>
      </c>
      <c r="AC122" s="1657" t="n">
        <v>0.54</v>
      </c>
      <c r="AD122" s="1657" t="n">
        <v>0.58</v>
      </c>
      <c r="AE122" s="1657" t="n">
        <v>0.4</v>
      </c>
      <c r="AF122" s="1655">
        <f>AF118/AF$119</f>
        <v/>
      </c>
      <c r="AG122" s="1657" t="n">
        <v>0.4</v>
      </c>
      <c r="AH122" s="1657" t="n">
        <v>0.39</v>
      </c>
      <c r="AI122" s="1657" t="n">
        <v>0.21</v>
      </c>
      <c r="AJ122" s="1657" t="n">
        <v>0.17</v>
      </c>
      <c r="AK122" s="1655">
        <f>AK118/AK$119</f>
        <v/>
      </c>
      <c r="AL122" s="1657" t="n">
        <v>0.27</v>
      </c>
      <c r="AM122" s="1657" t="n">
        <v>0.38</v>
      </c>
      <c r="AN122" s="1657" t="n">
        <v>0.21</v>
      </c>
      <c r="AO122" s="1657" t="n">
        <v>0.28</v>
      </c>
      <c r="AP122" s="1655">
        <f>AP118/AP$119</f>
        <v/>
      </c>
      <c r="AQ122" s="1657" t="n">
        <v>0.22</v>
      </c>
      <c r="AR122" s="1657" t="n">
        <v>0.28</v>
      </c>
      <c r="AS122" s="1657" t="n">
        <v>0.39</v>
      </c>
      <c r="AT122" s="1657" t="n">
        <v>0.27</v>
      </c>
      <c r="AU122" s="1655">
        <f>AU118/AU$119</f>
        <v/>
      </c>
      <c r="AV122" s="1657" t="n">
        <v>0.5</v>
      </c>
      <c r="AW122" s="1657" t="n">
        <v>0.29</v>
      </c>
      <c r="AX122" s="1657" t="n">
        <v>0.32</v>
      </c>
      <c r="AY122" s="1657" t="n">
        <v>0.36</v>
      </c>
      <c r="AZ122" s="1655">
        <f>AZ118/AZ$119</f>
        <v/>
      </c>
      <c r="BA122" s="1657" t="n">
        <v>0.3</v>
      </c>
      <c r="BB122" s="1657" t="n">
        <v>0.16</v>
      </c>
      <c r="BC122" s="1657" t="n">
        <v>0.24</v>
      </c>
      <c r="BD122" s="1657" t="n">
        <v>0.37</v>
      </c>
      <c r="BE122" s="1655">
        <f>BE118/BE$119</f>
        <v/>
      </c>
      <c r="BF122" s="1657" t="n">
        <v>0.37</v>
      </c>
      <c r="BG122" s="1657" t="n">
        <v>0.46</v>
      </c>
      <c r="BH122" s="1657" t="n">
        <v>0.36</v>
      </c>
      <c r="BI122" s="1657" t="n">
        <v>0.39</v>
      </c>
      <c r="BJ122" s="1655">
        <f>BJ118/BJ$119</f>
        <v/>
      </c>
      <c r="BK122" s="1657" t="n">
        <v>0.42</v>
      </c>
      <c r="BL122" s="1657" t="n">
        <v>0.31</v>
      </c>
      <c r="BM122" s="1657" t="n">
        <v>0.35</v>
      </c>
      <c r="BN122" s="1657" t="n">
        <v>0.3</v>
      </c>
      <c r="BO122" s="1728">
        <f>BO118/BO$119</f>
        <v/>
      </c>
      <c r="BP122" s="1659" t="n"/>
      <c r="BQ122" s="1659" t="n"/>
      <c r="BR122" s="1659" t="n"/>
      <c r="BS122" s="1659" t="n"/>
      <c r="BT122" s="1655" t="n"/>
      <c r="BU122" s="1659" t="n"/>
      <c r="BV122" s="1659" t="n"/>
      <c r="BW122" s="1659" t="n"/>
      <c r="BX122" s="1659" t="n"/>
      <c r="BY122" s="1655" t="n"/>
      <c r="BZ122" s="1655" t="n"/>
      <c r="CA122" s="1655" t="n"/>
      <c r="CB122" s="1655" t="n"/>
      <c r="CC122" s="1652" t="n"/>
    </row>
    <row r="123" hidden="1" outlineLevel="2" ht="15" customFormat="1" customHeight="1" s="1660">
      <c r="A123" s="1729" t="inlineStr">
        <is>
          <t>Total net system sales by end-use, %</t>
        </is>
      </c>
      <c r="B123" s="1730" t="n"/>
      <c r="C123" s="1731" t="n"/>
      <c r="D123" s="1731" t="n"/>
      <c r="E123" s="1731" t="n"/>
      <c r="F123" s="1731" t="n"/>
      <c r="G123" s="1731" t="n"/>
      <c r="H123" s="1732" t="n"/>
      <c r="I123" s="1732" t="n"/>
      <c r="J123" s="1732" t="n"/>
      <c r="K123" s="1732" t="n"/>
      <c r="L123" s="1731" t="n"/>
      <c r="M123" s="1732" t="n"/>
      <c r="N123" s="1732" t="n"/>
      <c r="O123" s="1732" t="n"/>
      <c r="P123" s="1732" t="n"/>
      <c r="Q123" s="1731" t="n"/>
      <c r="R123" s="1732" t="n"/>
      <c r="S123" s="1732" t="n"/>
      <c r="T123" s="1732" t="n"/>
      <c r="U123" s="1732" t="n"/>
      <c r="V123" s="1731" t="n"/>
      <c r="W123" s="1732" t="n"/>
      <c r="X123" s="1732" t="n"/>
      <c r="Y123" s="1732" t="n"/>
      <c r="Z123" s="1732" t="n"/>
      <c r="AA123" s="1731" t="n"/>
      <c r="AB123" s="1732">
        <f>AB121+AB122</f>
        <v/>
      </c>
      <c r="AC123" s="1732">
        <f>AC121+AC122</f>
        <v/>
      </c>
      <c r="AD123" s="1732">
        <f>AD121+AD122</f>
        <v/>
      </c>
      <c r="AE123" s="1732">
        <f>AE121+AE122</f>
        <v/>
      </c>
      <c r="AF123" s="1731">
        <f>AF121+AF122</f>
        <v/>
      </c>
      <c r="AG123" s="1732">
        <f>AG121+AG122</f>
        <v/>
      </c>
      <c r="AH123" s="1732">
        <f>AH121+AH122</f>
        <v/>
      </c>
      <c r="AI123" s="1732">
        <f>AI121+AI122</f>
        <v/>
      </c>
      <c r="AJ123" s="1732">
        <f>AJ121+AJ122</f>
        <v/>
      </c>
      <c r="AK123" s="1731">
        <f>AK121+AK122</f>
        <v/>
      </c>
      <c r="AL123" s="1732">
        <f>AL121+AL122</f>
        <v/>
      </c>
      <c r="AM123" s="1732">
        <f>AM121+AM122</f>
        <v/>
      </c>
      <c r="AN123" s="1732">
        <f>AN121+AN122</f>
        <v/>
      </c>
      <c r="AO123" s="1732">
        <f>AO121+AO122</f>
        <v/>
      </c>
      <c r="AP123" s="1731">
        <f>AP121+AP122</f>
        <v/>
      </c>
      <c r="AQ123" s="1732">
        <f>AQ121+AQ122</f>
        <v/>
      </c>
      <c r="AR123" s="1732">
        <f>AR121+AR122</f>
        <v/>
      </c>
      <c r="AS123" s="1732">
        <f>AS121+AS122</f>
        <v/>
      </c>
      <c r="AT123" s="1732">
        <f>AT121+AT122</f>
        <v/>
      </c>
      <c r="AU123" s="1731">
        <f>AU121+AU122</f>
        <v/>
      </c>
      <c r="AV123" s="1732">
        <f>AV121+AV122</f>
        <v/>
      </c>
      <c r="AW123" s="1732">
        <f>AW121+AW122</f>
        <v/>
      </c>
      <c r="AX123" s="1732">
        <f>AX121+AX122</f>
        <v/>
      </c>
      <c r="AY123" s="1732">
        <f>AY121+AY122</f>
        <v/>
      </c>
      <c r="AZ123" s="1731">
        <f>AZ121+AZ122</f>
        <v/>
      </c>
      <c r="BA123" s="1732">
        <f>BA121+BA122</f>
        <v/>
      </c>
      <c r="BB123" s="1732">
        <f>BB121+BB122</f>
        <v/>
      </c>
      <c r="BC123" s="1732">
        <f>BC121+BC122</f>
        <v/>
      </c>
      <c r="BD123" s="1732">
        <f>BD121+BD122</f>
        <v/>
      </c>
      <c r="BE123" s="1731">
        <f>BE121+BE122</f>
        <v/>
      </c>
      <c r="BF123" s="1732">
        <f>BF121+BF122</f>
        <v/>
      </c>
      <c r="BG123" s="1732">
        <f>BG121+BG122</f>
        <v/>
      </c>
      <c r="BH123" s="1732">
        <f>BH121+BH122</f>
        <v/>
      </c>
      <c r="BI123" s="1732">
        <f>BI121+BI122</f>
        <v/>
      </c>
      <c r="BJ123" s="1731">
        <f>BJ121+BJ122</f>
        <v/>
      </c>
      <c r="BK123" s="1732">
        <f>BK121+BK122</f>
        <v/>
      </c>
      <c r="BL123" s="1732">
        <f>BL121+BL122</f>
        <v/>
      </c>
      <c r="BM123" s="1732">
        <f>BM121+BM122</f>
        <v/>
      </c>
      <c r="BN123" s="1732">
        <f>BN121+BN122</f>
        <v/>
      </c>
      <c r="BO123" s="1733">
        <f>BO121+BO122</f>
        <v/>
      </c>
      <c r="BP123" s="1732" t="n"/>
      <c r="BQ123" s="1732" t="n"/>
      <c r="BR123" s="1732" t="n"/>
      <c r="BS123" s="1732" t="n"/>
      <c r="BT123" s="1731" t="n"/>
      <c r="BU123" s="1732" t="n"/>
      <c r="BV123" s="1732" t="n"/>
      <c r="BW123" s="1732" t="n"/>
      <c r="BX123" s="1732" t="n"/>
      <c r="BY123" s="1731" t="n"/>
      <c r="BZ123" s="1731" t="n"/>
      <c r="CA123" s="1731" t="n"/>
      <c r="CB123" s="1731" t="n"/>
      <c r="CC123" s="1668" t="n"/>
    </row>
    <row r="124" hidden="1" outlineLevel="2" ht="15" customFormat="1" customHeight="1" s="1660">
      <c r="A124" s="1729" t="n"/>
      <c r="B124" s="1730" t="n"/>
      <c r="C124" s="1731" t="n"/>
      <c r="D124" s="1731" t="n"/>
      <c r="E124" s="1731" t="n"/>
      <c r="F124" s="1731" t="n"/>
      <c r="G124" s="1731" t="n"/>
      <c r="H124" s="1732" t="n"/>
      <c r="I124" s="1732" t="n"/>
      <c r="J124" s="1732" t="n"/>
      <c r="K124" s="1732" t="n"/>
      <c r="L124" s="1731" t="n"/>
      <c r="M124" s="1732" t="n"/>
      <c r="N124" s="1732" t="n"/>
      <c r="O124" s="1732" t="n"/>
      <c r="P124" s="1732" t="n"/>
      <c r="Q124" s="1731" t="n"/>
      <c r="R124" s="1732" t="n"/>
      <c r="S124" s="1732" t="n"/>
      <c r="T124" s="1732" t="n"/>
      <c r="U124" s="1732" t="n"/>
      <c r="V124" s="1731" t="n"/>
      <c r="W124" s="1732" t="n"/>
      <c r="X124" s="1732" t="n"/>
      <c r="Y124" s="1732" t="n"/>
      <c r="Z124" s="1732" t="n"/>
      <c r="AA124" s="1731" t="n"/>
      <c r="AB124" s="1732" t="n"/>
      <c r="AC124" s="1732" t="n"/>
      <c r="AD124" s="1732" t="n"/>
      <c r="AE124" s="1732" t="n"/>
      <c r="AF124" s="1731" t="n"/>
      <c r="AG124" s="1732" t="n"/>
      <c r="AH124" s="1732" t="n"/>
      <c r="AI124" s="1732" t="n"/>
      <c r="AJ124" s="1732" t="n"/>
      <c r="AK124" s="1731" t="n"/>
      <c r="AL124" s="1732" t="n"/>
      <c r="AM124" s="1732" t="n"/>
      <c r="AN124" s="1732" t="n"/>
      <c r="AO124" s="1732" t="n"/>
      <c r="AP124" s="1731" t="n"/>
      <c r="AQ124" s="1732" t="n"/>
      <c r="AR124" s="1732" t="n"/>
      <c r="AS124" s="1732" t="n"/>
      <c r="AT124" s="1732" t="n"/>
      <c r="AU124" s="1731" t="n"/>
      <c r="AV124" s="1732" t="n"/>
      <c r="AW124" s="1732" t="n"/>
      <c r="AX124" s="1732" t="n"/>
      <c r="AY124" s="1732" t="n"/>
      <c r="AZ124" s="1731" t="n"/>
      <c r="BA124" s="1732" t="n"/>
      <c r="BB124" s="1732" t="n"/>
      <c r="BC124" s="1732" t="n"/>
      <c r="BD124" s="1732" t="n"/>
      <c r="BE124" s="1731" t="n"/>
      <c r="BF124" s="1732" t="n"/>
      <c r="BG124" s="1732" t="n"/>
      <c r="BH124" s="1732" t="n"/>
      <c r="BI124" s="1732" t="n"/>
      <c r="BJ124" s="1731" t="n"/>
      <c r="BK124" s="1732" t="n"/>
      <c r="BL124" s="1732" t="n"/>
      <c r="BM124" s="1732" t="n"/>
      <c r="BN124" s="1732" t="n"/>
      <c r="BO124" s="1733" t="n"/>
      <c r="BP124" s="1732" t="n"/>
      <c r="BQ124" s="1732" t="n"/>
      <c r="BR124" s="1732" t="n"/>
      <c r="BS124" s="1732" t="n"/>
      <c r="BT124" s="1731" t="n"/>
      <c r="BU124" s="1732" t="n"/>
      <c r="BV124" s="1732" t="n"/>
      <c r="BW124" s="1732" t="n"/>
      <c r="BX124" s="1732" t="n"/>
      <c r="BY124" s="1731" t="n"/>
      <c r="BZ124" s="1731" t="n"/>
      <c r="CA124" s="1731" t="n"/>
      <c r="CB124" s="1731" t="n"/>
      <c r="CC124" s="1668" t="n"/>
    </row>
    <row r="125" hidden="1" outlineLevel="2" ht="15" customFormat="1" customHeight="1" s="1561">
      <c r="A125" s="1734" t="inlineStr">
        <is>
          <t>Taiwan net system sales, mm</t>
        </is>
      </c>
      <c r="B125" s="1636" t="n"/>
      <c r="C125" s="1637" t="n"/>
      <c r="D125" s="1637" t="n"/>
      <c r="E125" s="1624" t="n"/>
      <c r="F125" s="1637" t="n"/>
      <c r="G125" s="1637" t="n"/>
      <c r="H125" s="1564">
        <f>H$134*H136</f>
        <v/>
      </c>
      <c r="I125" s="1564">
        <f>I$134*I136</f>
        <v/>
      </c>
      <c r="J125" s="1564">
        <f>J$134*J136</f>
        <v/>
      </c>
      <c r="K125" s="1564">
        <f>K$134*K136</f>
        <v/>
      </c>
      <c r="L125" s="1637">
        <f>SUM(H125,I125,J125,K125)</f>
        <v/>
      </c>
      <c r="M125" s="1564">
        <f>M$134*M136</f>
        <v/>
      </c>
      <c r="N125" s="1564">
        <f>N$134*N136</f>
        <v/>
      </c>
      <c r="O125" s="1564">
        <f>O$134*O136</f>
        <v/>
      </c>
      <c r="P125" s="1564">
        <f>P$134*P136</f>
        <v/>
      </c>
      <c r="Q125" s="1637">
        <f>SUM(M125,N125,O125,P125)</f>
        <v/>
      </c>
      <c r="R125" s="1564">
        <f>R$134*R136</f>
        <v/>
      </c>
      <c r="S125" s="1564">
        <f>S$134*S136</f>
        <v/>
      </c>
      <c r="T125" s="1564">
        <f>T$134*T136</f>
        <v/>
      </c>
      <c r="U125" s="1564">
        <f>U$134*U136</f>
        <v/>
      </c>
      <c r="V125" s="1637">
        <f>SUM(R125,S125,T125,U125)</f>
        <v/>
      </c>
      <c r="W125" s="1564">
        <f>W$134*W136</f>
        <v/>
      </c>
      <c r="X125" s="1564">
        <f>X$134*X136</f>
        <v/>
      </c>
      <c r="Y125" s="1564">
        <f>Y$134*Y136</f>
        <v/>
      </c>
      <c r="Z125" s="1564">
        <f>Z$134*Z136</f>
        <v/>
      </c>
      <c r="AA125" s="1713">
        <f>AA$134*AA136</f>
        <v/>
      </c>
      <c r="AB125" s="1564">
        <f>AB$134*AB136</f>
        <v/>
      </c>
      <c r="AC125" s="1564">
        <f>AC$134*AC136</f>
        <v/>
      </c>
      <c r="AD125" s="1564">
        <f>AD$134*AD136</f>
        <v/>
      </c>
      <c r="AE125" s="1564">
        <f>AE$134*AE136</f>
        <v/>
      </c>
      <c r="AF125" s="1713">
        <f>AF$134*AF136</f>
        <v/>
      </c>
      <c r="AG125" s="1564">
        <f>AG$134*AG136</f>
        <v/>
      </c>
      <c r="AH125" s="1564">
        <f>AH$134*AH136</f>
        <v/>
      </c>
      <c r="AI125" s="1564">
        <f>AI$134*AI136</f>
        <v/>
      </c>
      <c r="AJ125" s="1564">
        <f>AJ$134*AJ136</f>
        <v/>
      </c>
      <c r="AK125" s="1713">
        <f>AK$134*AK136</f>
        <v/>
      </c>
      <c r="AL125" s="1564">
        <f>AL$134*AL136</f>
        <v/>
      </c>
      <c r="AM125" s="1564">
        <f>AM$134*AM136</f>
        <v/>
      </c>
      <c r="AN125" s="1564">
        <f>AN$134*AN136</f>
        <v/>
      </c>
      <c r="AO125" s="1564">
        <f>AO$134*AO136</f>
        <v/>
      </c>
      <c r="AP125" s="1713">
        <f>AP$134*AP136</f>
        <v/>
      </c>
      <c r="AQ125" s="1564">
        <f>AQ$134*AQ136</f>
        <v/>
      </c>
      <c r="AR125" s="1564">
        <f>AR$134*AR136</f>
        <v/>
      </c>
      <c r="AS125" s="1564">
        <f>AS$134*AS136</f>
        <v/>
      </c>
      <c r="AT125" s="1564">
        <f>AT$134*AT136</f>
        <v/>
      </c>
      <c r="AU125" s="1713">
        <f>AU$134*AU136</f>
        <v/>
      </c>
      <c r="AV125" s="1564">
        <f>AV$134*AV136</f>
        <v/>
      </c>
      <c r="AW125" s="1564">
        <f>AW$134*AW136</f>
        <v/>
      </c>
      <c r="AX125" s="1564">
        <f>AX$134*AX136</f>
        <v/>
      </c>
      <c r="AY125" s="1564">
        <f>AY$134*AY136</f>
        <v/>
      </c>
      <c r="AZ125" s="1713">
        <f>AZ$134*AZ136</f>
        <v/>
      </c>
      <c r="BA125" s="1564">
        <f>BA$134*BA136</f>
        <v/>
      </c>
      <c r="BB125" s="1564">
        <f>BB$134*BB136</f>
        <v/>
      </c>
      <c r="BC125" s="1564">
        <f>BC$134*BC136</f>
        <v/>
      </c>
      <c r="BD125" s="1564">
        <f>BD$134*BD136</f>
        <v/>
      </c>
      <c r="BE125" s="1713">
        <f>BE$134*BE136</f>
        <v/>
      </c>
      <c r="BF125" s="1564">
        <f>BF$134*BF136</f>
        <v/>
      </c>
      <c r="BG125" s="1564">
        <f>BG$134*BG136</f>
        <v/>
      </c>
      <c r="BH125" s="1564">
        <f>BH$134*BH136</f>
        <v/>
      </c>
      <c r="BI125" s="1564">
        <f>BI$134*BI136</f>
        <v/>
      </c>
      <c r="BJ125" s="1713">
        <f>BJ$134*BJ136</f>
        <v/>
      </c>
      <c r="BK125" s="1564">
        <f>BK$134*BK136</f>
        <v/>
      </c>
      <c r="BL125" s="1564">
        <f>BL$134*BL136</f>
        <v/>
      </c>
      <c r="BM125" s="1564">
        <f>BM$134*BM136</f>
        <v/>
      </c>
      <c r="BN125" s="1564">
        <f>BN$134*BN136</f>
        <v/>
      </c>
      <c r="BO125" s="1715">
        <f>BO$134*BO136</f>
        <v/>
      </c>
      <c r="BP125" s="1562" t="n"/>
      <c r="BQ125" s="1562" t="n"/>
      <c r="BR125" s="1562" t="n"/>
      <c r="BS125" s="1562" t="n"/>
      <c r="BT125" s="1637" t="n"/>
      <c r="BU125" s="1562" t="n"/>
      <c r="BV125" s="1562" t="n"/>
      <c r="BW125" s="1562" t="n"/>
      <c r="BX125" s="1562" t="n"/>
      <c r="BY125" s="1637" t="n"/>
      <c r="BZ125" s="1637" t="n"/>
      <c r="CA125" s="1637" t="n"/>
      <c r="CB125" s="1637" t="n"/>
      <c r="CC125" s="1564" t="n"/>
    </row>
    <row r="126" hidden="1" outlineLevel="2" ht="15" customFormat="1" customHeight="1" s="1561">
      <c r="A126" s="1734" t="inlineStr">
        <is>
          <t>South Korea net system sales, mm</t>
        </is>
      </c>
      <c r="B126" s="1636" t="n"/>
      <c r="C126" s="1637" t="n"/>
      <c r="D126" s="1637" t="n"/>
      <c r="E126" s="1624" t="n"/>
      <c r="F126" s="1637" t="n"/>
      <c r="G126" s="1637" t="n"/>
      <c r="H126" s="1564">
        <f>H$134*H137</f>
        <v/>
      </c>
      <c r="I126" s="1564">
        <f>I$134*I137</f>
        <v/>
      </c>
      <c r="J126" s="1564">
        <f>J$134*J137</f>
        <v/>
      </c>
      <c r="K126" s="1564">
        <f>K$134*K137</f>
        <v/>
      </c>
      <c r="L126" s="1637">
        <f>SUM(H126,I126,J126,K126)</f>
        <v/>
      </c>
      <c r="M126" s="1564">
        <f>M$134*M137</f>
        <v/>
      </c>
      <c r="N126" s="1564">
        <f>N$134*N137</f>
        <v/>
      </c>
      <c r="O126" s="1564">
        <f>O$134*O137</f>
        <v/>
      </c>
      <c r="P126" s="1564">
        <f>P$134*P137</f>
        <v/>
      </c>
      <c r="Q126" s="1637">
        <f>SUM(M126,N126,O126,P126)</f>
        <v/>
      </c>
      <c r="R126" s="1564">
        <f>R$134*R137</f>
        <v/>
      </c>
      <c r="S126" s="1564">
        <f>S$134*S137</f>
        <v/>
      </c>
      <c r="T126" s="1564">
        <f>T$134*T137</f>
        <v/>
      </c>
      <c r="U126" s="1564">
        <f>U$134*U137</f>
        <v/>
      </c>
      <c r="V126" s="1637">
        <f>SUM(R126,S126,T126,U126)</f>
        <v/>
      </c>
      <c r="W126" s="1564">
        <f>W$134*W137</f>
        <v/>
      </c>
      <c r="X126" s="1564">
        <f>X$134*X137</f>
        <v/>
      </c>
      <c r="Y126" s="1564">
        <f>Y$134*Y137</f>
        <v/>
      </c>
      <c r="Z126" s="1564">
        <f>Z$134*Z137</f>
        <v/>
      </c>
      <c r="AA126" s="1713">
        <f>AA$134*AA137</f>
        <v/>
      </c>
      <c r="AB126" s="1564">
        <f>AB$134*AB137</f>
        <v/>
      </c>
      <c r="AC126" s="1564">
        <f>AC$134*AC137</f>
        <v/>
      </c>
      <c r="AD126" s="1564">
        <f>AD$134*AD137</f>
        <v/>
      </c>
      <c r="AE126" s="1564">
        <f>AE$134*AE137</f>
        <v/>
      </c>
      <c r="AF126" s="1713">
        <f>AF$134*AF137</f>
        <v/>
      </c>
      <c r="AG126" s="1564">
        <f>AG$134*AG137</f>
        <v/>
      </c>
      <c r="AH126" s="1564">
        <f>AH$134*AH137</f>
        <v/>
      </c>
      <c r="AI126" s="1564">
        <f>AI$134*AI137</f>
        <v/>
      </c>
      <c r="AJ126" s="1564">
        <f>AJ$134*AJ137</f>
        <v/>
      </c>
      <c r="AK126" s="1713">
        <f>AK$134*AK137</f>
        <v/>
      </c>
      <c r="AL126" s="1564">
        <f>AL$134*AL137</f>
        <v/>
      </c>
      <c r="AM126" s="1564">
        <f>AM$134*AM137</f>
        <v/>
      </c>
      <c r="AN126" s="1564">
        <f>AN$134*AN137</f>
        <v/>
      </c>
      <c r="AO126" s="1564">
        <f>AO$134*AO137</f>
        <v/>
      </c>
      <c r="AP126" s="1713">
        <f>AP$134*AP137</f>
        <v/>
      </c>
      <c r="AQ126" s="1564">
        <f>AQ$134*AQ137</f>
        <v/>
      </c>
      <c r="AR126" s="1564">
        <f>AR$134*AR137</f>
        <v/>
      </c>
      <c r="AS126" s="1564">
        <f>AS$134*AS137</f>
        <v/>
      </c>
      <c r="AT126" s="1564">
        <f>AT$134*AT137</f>
        <v/>
      </c>
      <c r="AU126" s="1713">
        <f>AU$134*AU137</f>
        <v/>
      </c>
      <c r="AV126" s="1564">
        <f>AV$134*AV137</f>
        <v/>
      </c>
      <c r="AW126" s="1564">
        <f>AW$134*AW137</f>
        <v/>
      </c>
      <c r="AX126" s="1564">
        <f>AX$134*AX137</f>
        <v/>
      </c>
      <c r="AY126" s="1564">
        <f>AY$134*AY137</f>
        <v/>
      </c>
      <c r="AZ126" s="1713">
        <f>AZ$134*AZ137</f>
        <v/>
      </c>
      <c r="BA126" s="1564">
        <f>BA$134*BA137</f>
        <v/>
      </c>
      <c r="BB126" s="1564">
        <f>BB$134*BB137</f>
        <v/>
      </c>
      <c r="BC126" s="1564">
        <f>BC$134*BC137</f>
        <v/>
      </c>
      <c r="BD126" s="1564">
        <f>BD$134*BD137</f>
        <v/>
      </c>
      <c r="BE126" s="1713">
        <f>BE$134*BE137</f>
        <v/>
      </c>
      <c r="BF126" s="1564">
        <f>BF$134*BF137</f>
        <v/>
      </c>
      <c r="BG126" s="1564">
        <f>BG$134*BG137</f>
        <v/>
      </c>
      <c r="BH126" s="1564">
        <f>BH$134*BH137</f>
        <v/>
      </c>
      <c r="BI126" s="1564">
        <f>BI$134*BI137</f>
        <v/>
      </c>
      <c r="BJ126" s="1713">
        <f>BJ$134*BJ137</f>
        <v/>
      </c>
      <c r="BK126" s="1564">
        <f>BK$134*BK137</f>
        <v/>
      </c>
      <c r="BL126" s="1564">
        <f>BL$134*BL137</f>
        <v/>
      </c>
      <c r="BM126" s="1564">
        <f>BM$134*BM137</f>
        <v/>
      </c>
      <c r="BN126" s="1564">
        <f>BN$134*BN137</f>
        <v/>
      </c>
      <c r="BO126" s="1715">
        <f>BO$134*BO137</f>
        <v/>
      </c>
      <c r="BP126" s="1562" t="n"/>
      <c r="BQ126" s="1562" t="n"/>
      <c r="BR126" s="1562" t="n"/>
      <c r="BS126" s="1562" t="n"/>
      <c r="BT126" s="1637" t="n"/>
      <c r="BU126" s="1562" t="n"/>
      <c r="BV126" s="1562" t="n"/>
      <c r="BW126" s="1562" t="n"/>
      <c r="BX126" s="1562" t="n"/>
      <c r="BY126" s="1637" t="n"/>
      <c r="BZ126" s="1637" t="n"/>
      <c r="CA126" s="1637" t="n"/>
      <c r="CB126" s="1637" t="n"/>
      <c r="CC126" s="1564" t="n"/>
    </row>
    <row r="127" hidden="1" outlineLevel="2" ht="15" customFormat="1" customHeight="1" s="1561">
      <c r="A127" s="1734" t="inlineStr">
        <is>
          <t>United States net system sales, mm</t>
        </is>
      </c>
      <c r="B127" s="1636" t="n"/>
      <c r="C127" s="1637" t="n"/>
      <c r="D127" s="1637" t="n"/>
      <c r="E127" s="1637" t="n"/>
      <c r="F127" s="1637" t="n"/>
      <c r="G127" s="1637" t="n"/>
      <c r="H127" s="1564">
        <f>H$134*H138</f>
        <v/>
      </c>
      <c r="I127" s="1564">
        <f>I$134*I138</f>
        <v/>
      </c>
      <c r="J127" s="1564">
        <f>J$134*J138</f>
        <v/>
      </c>
      <c r="K127" s="1564">
        <f>K$134*K138</f>
        <v/>
      </c>
      <c r="L127" s="1637">
        <f>SUM(H127,I127,J127,K127)</f>
        <v/>
      </c>
      <c r="M127" s="1564">
        <f>M$134*M138</f>
        <v/>
      </c>
      <c r="N127" s="1564">
        <f>N$134*N138</f>
        <v/>
      </c>
      <c r="O127" s="1564">
        <f>O$134*O138</f>
        <v/>
      </c>
      <c r="P127" s="1564">
        <f>P$134*P138</f>
        <v/>
      </c>
      <c r="Q127" s="1637">
        <f>SUM(M127,N127,O127,P127)</f>
        <v/>
      </c>
      <c r="R127" s="1564">
        <f>R$134*R138</f>
        <v/>
      </c>
      <c r="S127" s="1564">
        <f>S$134*S138</f>
        <v/>
      </c>
      <c r="T127" s="1564">
        <f>T$134*T138</f>
        <v/>
      </c>
      <c r="U127" s="1564">
        <f>U$134*U138</f>
        <v/>
      </c>
      <c r="V127" s="1637">
        <f>SUM(R127,S127,T127,U127)</f>
        <v/>
      </c>
      <c r="W127" s="1564">
        <f>W$134*W138</f>
        <v/>
      </c>
      <c r="X127" s="1564">
        <f>X$134*X138</f>
        <v/>
      </c>
      <c r="Y127" s="1564">
        <f>Y$134*Y138</f>
        <v/>
      </c>
      <c r="Z127" s="1564">
        <f>Z$134*Z138</f>
        <v/>
      </c>
      <c r="AA127" s="1713">
        <f>AA$134*AA138</f>
        <v/>
      </c>
      <c r="AB127" s="1564">
        <f>AB$134*AB138</f>
        <v/>
      </c>
      <c r="AC127" s="1564">
        <f>AC$134*AC138</f>
        <v/>
      </c>
      <c r="AD127" s="1564">
        <f>AD$134*AD138</f>
        <v/>
      </c>
      <c r="AE127" s="1564">
        <f>AE$134*AE138</f>
        <v/>
      </c>
      <c r="AF127" s="1713">
        <f>AF$134*AF138</f>
        <v/>
      </c>
      <c r="AG127" s="1564">
        <f>AG$134*AG138</f>
        <v/>
      </c>
      <c r="AH127" s="1564">
        <f>AH$134*AH138</f>
        <v/>
      </c>
      <c r="AI127" s="1564">
        <f>AI$134*AI138</f>
        <v/>
      </c>
      <c r="AJ127" s="1564">
        <f>AJ$134*AJ138</f>
        <v/>
      </c>
      <c r="AK127" s="1713">
        <f>AK$134*AK138</f>
        <v/>
      </c>
      <c r="AL127" s="1564">
        <f>AL$134*AL138</f>
        <v/>
      </c>
      <c r="AM127" s="1564">
        <f>AM$134*AM138</f>
        <v/>
      </c>
      <c r="AN127" s="1564">
        <f>AN$134*AN138</f>
        <v/>
      </c>
      <c r="AO127" s="1564">
        <f>AO$134*AO138</f>
        <v/>
      </c>
      <c r="AP127" s="1713">
        <f>AP$134*AP138</f>
        <v/>
      </c>
      <c r="AQ127" s="1564">
        <f>AQ$134*AQ138</f>
        <v/>
      </c>
      <c r="AR127" s="1564">
        <f>AR$134*AR138</f>
        <v/>
      </c>
      <c r="AS127" s="1564">
        <f>AS$134*AS138</f>
        <v/>
      </c>
      <c r="AT127" s="1564">
        <f>AT$134*AT138</f>
        <v/>
      </c>
      <c r="AU127" s="1713">
        <f>AU$134*AU138</f>
        <v/>
      </c>
      <c r="AV127" s="1564">
        <f>AV$134*AV138</f>
        <v/>
      </c>
      <c r="AW127" s="1564">
        <f>AW$134*AW138</f>
        <v/>
      </c>
      <c r="AX127" s="1564">
        <f>AX$134*AX138</f>
        <v/>
      </c>
      <c r="AY127" s="1564">
        <f>AY$134*AY138</f>
        <v/>
      </c>
      <c r="AZ127" s="1713">
        <f>AZ$134*AZ138</f>
        <v/>
      </c>
      <c r="BA127" s="1564">
        <f>BA$134*BA138</f>
        <v/>
      </c>
      <c r="BB127" s="1564">
        <f>BB$134*BB138</f>
        <v/>
      </c>
      <c r="BC127" s="1564">
        <f>BC$134*BC138</f>
        <v/>
      </c>
      <c r="BD127" s="1564">
        <f>BD$134*BD138</f>
        <v/>
      </c>
      <c r="BE127" s="1713">
        <f>BE$134*BE138</f>
        <v/>
      </c>
      <c r="BF127" s="1564">
        <f>BF$134*BF138</f>
        <v/>
      </c>
      <c r="BG127" s="1564">
        <f>BG$134*BG138</f>
        <v/>
      </c>
      <c r="BH127" s="1564">
        <f>BH$134*BH138</f>
        <v/>
      </c>
      <c r="BI127" s="1564">
        <f>BI$134*BI138</f>
        <v/>
      </c>
      <c r="BJ127" s="1713">
        <f>BJ$134*BJ138</f>
        <v/>
      </c>
      <c r="BK127" s="1564">
        <f>BK$134*BK138</f>
        <v/>
      </c>
      <c r="BL127" s="1564">
        <f>BL$134*BL138</f>
        <v/>
      </c>
      <c r="BM127" s="1564">
        <f>BM$134*BM138</f>
        <v/>
      </c>
      <c r="BN127" s="1564">
        <f>BN$134*BN138</f>
        <v/>
      </c>
      <c r="BO127" s="1715">
        <f>BO$134*BO138</f>
        <v/>
      </c>
      <c r="BP127" s="1562" t="n"/>
      <c r="BQ127" s="1562" t="n"/>
      <c r="BR127" s="1562" t="n"/>
      <c r="BS127" s="1562" t="n"/>
      <c r="BT127" s="1637" t="n"/>
      <c r="BU127" s="1562" t="n"/>
      <c r="BV127" s="1562" t="n"/>
      <c r="BW127" s="1562" t="n"/>
      <c r="BX127" s="1562" t="n"/>
      <c r="BY127" s="1637" t="n"/>
      <c r="BZ127" s="1637" t="n"/>
      <c r="CA127" s="1637" t="n"/>
      <c r="CB127" s="1637" t="n"/>
      <c r="CC127" s="1564" t="n"/>
    </row>
    <row r="128" hidden="1" outlineLevel="2" ht="15" customFormat="1" customHeight="1" s="1561">
      <c r="A128" s="1734" t="inlineStr">
        <is>
          <t>EMEA net system sales, mm</t>
        </is>
      </c>
      <c r="B128" s="1636" t="n"/>
      <c r="C128" s="1637" t="n"/>
      <c r="D128" s="1637" t="n"/>
      <c r="E128" s="1637" t="n"/>
      <c r="F128" s="1637" t="n"/>
      <c r="G128" s="1637" t="n"/>
      <c r="H128" s="1564">
        <f>H$134*H139</f>
        <v/>
      </c>
      <c r="I128" s="1564">
        <f>I$134*I139</f>
        <v/>
      </c>
      <c r="J128" s="1564">
        <f>J$134*J139</f>
        <v/>
      </c>
      <c r="K128" s="1564">
        <f>K$134*K139</f>
        <v/>
      </c>
      <c r="L128" s="1637">
        <f>SUM(H128,I128,J128,K128)</f>
        <v/>
      </c>
      <c r="M128" s="1564">
        <f>M$134*M139</f>
        <v/>
      </c>
      <c r="N128" s="1564">
        <f>N$134*N139</f>
        <v/>
      </c>
      <c r="O128" s="1564">
        <f>O$134*O139</f>
        <v/>
      </c>
      <c r="P128" s="1564">
        <f>P$134*P139</f>
        <v/>
      </c>
      <c r="Q128" s="1637">
        <f>SUM(M128,N128,O128,P128)</f>
        <v/>
      </c>
      <c r="R128" s="1564">
        <f>R$134*R139</f>
        <v/>
      </c>
      <c r="S128" s="1564">
        <f>S$134*S139</f>
        <v/>
      </c>
      <c r="T128" s="1564">
        <f>T$134*T139</f>
        <v/>
      </c>
      <c r="U128" s="1564">
        <f>U$134*U139</f>
        <v/>
      </c>
      <c r="V128" s="1637">
        <f>SUM(R128,S128,T128,U128)</f>
        <v/>
      </c>
      <c r="W128" s="1564">
        <f>W$134*W139</f>
        <v/>
      </c>
      <c r="X128" s="1564">
        <f>X$134*X139</f>
        <v/>
      </c>
      <c r="Y128" s="1564">
        <f>Y$134*Y139</f>
        <v/>
      </c>
      <c r="Z128" s="1564">
        <f>Z$134*Z139</f>
        <v/>
      </c>
      <c r="AA128" s="1713">
        <f>AA$134*AA139</f>
        <v/>
      </c>
      <c r="AB128" s="1564">
        <f>AB$134*AB139</f>
        <v/>
      </c>
      <c r="AC128" s="1564">
        <f>AC$134*AC139</f>
        <v/>
      </c>
      <c r="AD128" s="1564">
        <f>AD$134*AD139</f>
        <v/>
      </c>
      <c r="AE128" s="1564">
        <f>AE$134*AE139</f>
        <v/>
      </c>
      <c r="AF128" s="1713">
        <f>AF$134*AF139</f>
        <v/>
      </c>
      <c r="AG128" s="1564">
        <f>AG$134*AG139</f>
        <v/>
      </c>
      <c r="AH128" s="1564">
        <f>AH$134*AH139</f>
        <v/>
      </c>
      <c r="AI128" s="1564">
        <f>AI$134*AI139</f>
        <v/>
      </c>
      <c r="AJ128" s="1564">
        <f>AJ$134*AJ139</f>
        <v/>
      </c>
      <c r="AK128" s="1713">
        <f>AK$134*AK139</f>
        <v/>
      </c>
      <c r="AL128" s="1564">
        <f>AL$134*AL139</f>
        <v/>
      </c>
      <c r="AM128" s="1564">
        <f>AM$134*AM139</f>
        <v/>
      </c>
      <c r="AN128" s="1564">
        <f>AN$134*AN139</f>
        <v/>
      </c>
      <c r="AO128" s="1564">
        <f>AO$134*AO139</f>
        <v/>
      </c>
      <c r="AP128" s="1713">
        <f>AP$134*AP139</f>
        <v/>
      </c>
      <c r="AQ128" s="1564">
        <f>AQ$134*AQ139</f>
        <v/>
      </c>
      <c r="AR128" s="1564">
        <f>AR$134*AR139</f>
        <v/>
      </c>
      <c r="AS128" s="1564">
        <f>AS$134*AS139</f>
        <v/>
      </c>
      <c r="AT128" s="1564">
        <f>AT$134*AT139</f>
        <v/>
      </c>
      <c r="AU128" s="1713">
        <f>AU$134*AU139</f>
        <v/>
      </c>
      <c r="AV128" s="1564">
        <f>AV$134*AV139</f>
        <v/>
      </c>
      <c r="AW128" s="1564">
        <f>AW$134*AW139</f>
        <v/>
      </c>
      <c r="AX128" s="1564">
        <f>AX$134*AX139</f>
        <v/>
      </c>
      <c r="AY128" s="1564">
        <f>AY$134*AY139</f>
        <v/>
      </c>
      <c r="AZ128" s="1713">
        <f>AZ$134*AZ139</f>
        <v/>
      </c>
      <c r="BA128" s="1564">
        <f>BA$134*BA139</f>
        <v/>
      </c>
      <c r="BB128" s="1564">
        <f>BB$134*BB139</f>
        <v/>
      </c>
      <c r="BC128" s="1564">
        <f>BC$134*BC139</f>
        <v/>
      </c>
      <c r="BD128" s="1564">
        <f>BD$134*BD139</f>
        <v/>
      </c>
      <c r="BE128" s="1713">
        <f>BE$134*BE139</f>
        <v/>
      </c>
      <c r="BF128" s="1564">
        <f>BF$134*BF139</f>
        <v/>
      </c>
      <c r="BG128" s="1564">
        <f>BG$134*BG139</f>
        <v/>
      </c>
      <c r="BH128" s="1564">
        <f>BH$134*BH139</f>
        <v/>
      </c>
      <c r="BI128" s="1564">
        <f>BI$134*BI139</f>
        <v/>
      </c>
      <c r="BJ128" s="1713">
        <f>BJ$134*BJ139</f>
        <v/>
      </c>
      <c r="BK128" s="1564">
        <f>BK$134*BK139</f>
        <v/>
      </c>
      <c r="BL128" s="1564">
        <f>BL$134*BL139</f>
        <v/>
      </c>
      <c r="BM128" s="1564">
        <f>BM$134*BM139</f>
        <v/>
      </c>
      <c r="BN128" s="1564">
        <f>BN$134*BN139</f>
        <v/>
      </c>
      <c r="BO128" s="1715">
        <f>BO$134*BO139</f>
        <v/>
      </c>
      <c r="BP128" s="1562" t="n"/>
      <c r="BQ128" s="1562" t="n"/>
      <c r="BR128" s="1562" t="n"/>
      <c r="BS128" s="1562" t="n"/>
      <c r="BT128" s="1637" t="n"/>
      <c r="BU128" s="1562" t="n"/>
      <c r="BV128" s="1562" t="n"/>
      <c r="BW128" s="1562" t="n"/>
      <c r="BX128" s="1562" t="n"/>
      <c r="BY128" s="1637" t="n"/>
      <c r="BZ128" s="1637" t="n"/>
      <c r="CA128" s="1637" t="n"/>
      <c r="CB128" s="1637" t="n"/>
      <c r="CC128" s="1564" t="n"/>
    </row>
    <row r="129" hidden="1" outlineLevel="2" ht="15" customFormat="1" customHeight="1" s="1561">
      <c r="A129" s="1734" t="inlineStr">
        <is>
          <t>Rest of Asia net system sales, mm</t>
        </is>
      </c>
      <c r="B129" s="1636" t="n"/>
      <c r="C129" s="1637" t="n"/>
      <c r="D129" s="1637" t="n"/>
      <c r="E129" s="1637" t="n"/>
      <c r="F129" s="1637" t="n"/>
      <c r="G129" s="1637" t="n"/>
      <c r="H129" s="1564">
        <f>H$134*H140</f>
        <v/>
      </c>
      <c r="I129" s="1564">
        <f>I$134*I140</f>
        <v/>
      </c>
      <c r="J129" s="1564">
        <f>J$134*J140</f>
        <v/>
      </c>
      <c r="K129" s="1564">
        <f>K$134*K140</f>
        <v/>
      </c>
      <c r="L129" s="1637">
        <f>SUM(H129,I129,J129,K129)</f>
        <v/>
      </c>
      <c r="M129" s="1564">
        <f>M$134*M140</f>
        <v/>
      </c>
      <c r="N129" s="1564">
        <f>N$134*N140</f>
        <v/>
      </c>
      <c r="O129" s="1564">
        <f>O$134*O140</f>
        <v/>
      </c>
      <c r="P129" s="1564">
        <f>P$134*P140</f>
        <v/>
      </c>
      <c r="Q129" s="1637">
        <f>SUM(M129,N129,O129,P129)</f>
        <v/>
      </c>
      <c r="R129" s="1564">
        <f>R$134*R140</f>
        <v/>
      </c>
      <c r="S129" s="1564">
        <f>S$134*S140</f>
        <v/>
      </c>
      <c r="T129" s="1564">
        <f>T$134*T140</f>
        <v/>
      </c>
      <c r="U129" s="1564">
        <f>U$134*U140</f>
        <v/>
      </c>
      <c r="V129" s="1637">
        <f>SUM(R129,S129,T129,U129)</f>
        <v/>
      </c>
      <c r="W129" s="1564">
        <f>W$134*W140</f>
        <v/>
      </c>
      <c r="X129" s="1564">
        <f>X$134*X140</f>
        <v/>
      </c>
      <c r="Y129" s="1564">
        <f>Y$134*Y140</f>
        <v/>
      </c>
      <c r="Z129" s="1564">
        <f>Z$134*Z140</f>
        <v/>
      </c>
      <c r="AA129" s="1713">
        <f>AA$134*AA140</f>
        <v/>
      </c>
      <c r="AB129" s="1564">
        <f>AB$134*AB140</f>
        <v/>
      </c>
      <c r="AC129" s="1564">
        <f>AC$134*AC140</f>
        <v/>
      </c>
      <c r="AD129" s="1564">
        <f>AD$134*AD140</f>
        <v/>
      </c>
      <c r="AE129" s="1564">
        <f>AE$134*AE140</f>
        <v/>
      </c>
      <c r="AF129" s="1713">
        <f>AF$134*AF140</f>
        <v/>
      </c>
      <c r="AG129" s="1564">
        <f>AG$134*AG140</f>
        <v/>
      </c>
      <c r="AH129" s="1564">
        <f>AH$134*AH140</f>
        <v/>
      </c>
      <c r="AI129" s="1564">
        <f>AI$134*AI140</f>
        <v/>
      </c>
      <c r="AJ129" s="1564">
        <f>AJ$134*AJ140</f>
        <v/>
      </c>
      <c r="AK129" s="1713">
        <f>AK$134*AK140</f>
        <v/>
      </c>
      <c r="AL129" s="1564">
        <f>AL$134*AL140</f>
        <v/>
      </c>
      <c r="AM129" s="1564">
        <f>AM$134*AM140</f>
        <v/>
      </c>
      <c r="AN129" s="1564">
        <f>AN$134*AN140</f>
        <v/>
      </c>
      <c r="AO129" s="1564">
        <f>AO$134*AO140</f>
        <v/>
      </c>
      <c r="AP129" s="1713">
        <f>AP$134*AP140</f>
        <v/>
      </c>
      <c r="AQ129" s="1564">
        <f>AQ$134*AQ140</f>
        <v/>
      </c>
      <c r="AR129" s="1564">
        <f>AR$134*AR140</f>
        <v/>
      </c>
      <c r="AS129" s="1564">
        <f>AS$134*AS140</f>
        <v/>
      </c>
      <c r="AT129" s="1564">
        <f>AT$134*AT140</f>
        <v/>
      </c>
      <c r="AU129" s="1713">
        <f>AU$134*AU140</f>
        <v/>
      </c>
      <c r="AV129" s="1564">
        <f>AV$134*AV140</f>
        <v/>
      </c>
      <c r="AW129" s="1564">
        <f>AW$134*AW140</f>
        <v/>
      </c>
      <c r="AX129" s="1564">
        <f>AX$134*AX140</f>
        <v/>
      </c>
      <c r="AY129" s="1564">
        <f>AY$134*AY140</f>
        <v/>
      </c>
      <c r="AZ129" s="1713">
        <f>AZ$134*AZ140</f>
        <v/>
      </c>
      <c r="BA129" s="1564">
        <f>BA$134*BA140</f>
        <v/>
      </c>
      <c r="BB129" s="1564">
        <f>BB$134*BB140</f>
        <v/>
      </c>
      <c r="BC129" s="1564">
        <f>BC$134*BC140</f>
        <v/>
      </c>
      <c r="BD129" s="1564">
        <f>BD$134*BD140</f>
        <v/>
      </c>
      <c r="BE129" s="1713">
        <f>BE$134*BE140</f>
        <v/>
      </c>
      <c r="BF129" s="1564">
        <f>BF$134*BF140</f>
        <v/>
      </c>
      <c r="BG129" s="1564">
        <f>BG$134*BG140</f>
        <v/>
      </c>
      <c r="BH129" s="1564">
        <f>BH$134*BH140</f>
        <v/>
      </c>
      <c r="BI129" s="1564">
        <f>BI$134*BI140</f>
        <v/>
      </c>
      <c r="BJ129" s="1713">
        <f>BJ$134*BJ140</f>
        <v/>
      </c>
      <c r="BK129" s="1564">
        <f>BK$134*BK140</f>
        <v/>
      </c>
      <c r="BL129" s="1564">
        <f>BL$134*BL140</f>
        <v/>
      </c>
      <c r="BM129" s="1564">
        <f>BM$134*BM140</f>
        <v/>
      </c>
      <c r="BN129" s="1564">
        <f>BN$134*BN140</f>
        <v/>
      </c>
      <c r="BO129" s="1715">
        <f>BO$134*BO140</f>
        <v/>
      </c>
      <c r="BP129" s="1562" t="n"/>
      <c r="BQ129" s="1562" t="n"/>
      <c r="BR129" s="1562" t="n"/>
      <c r="BS129" s="1562" t="n"/>
      <c r="BT129" s="1637" t="n"/>
      <c r="BU129" s="1562" t="n"/>
      <c r="BV129" s="1562" t="n"/>
      <c r="BW129" s="1562" t="n"/>
      <c r="BX129" s="1562" t="n"/>
      <c r="BY129" s="1637" t="n"/>
      <c r="BZ129" s="1637" t="n"/>
      <c r="CA129" s="1637" t="n"/>
      <c r="CB129" s="1637" t="n"/>
      <c r="CC129" s="1564" t="n"/>
    </row>
    <row r="130" hidden="1" outlineLevel="2" ht="15" customFormat="1" customHeight="1" s="1561">
      <c r="A130" s="1734" t="inlineStr">
        <is>
          <t>Japan net system sales, mm</t>
        </is>
      </c>
      <c r="B130" s="1636" t="n"/>
      <c r="C130" s="1637" t="n"/>
      <c r="D130" s="1637" t="n"/>
      <c r="E130" s="1624" t="n"/>
      <c r="F130" s="1637" t="n"/>
      <c r="G130" s="1637" t="n"/>
      <c r="H130" s="1564">
        <f>H$134*H141</f>
        <v/>
      </c>
      <c r="I130" s="1564">
        <f>I$134*I141</f>
        <v/>
      </c>
      <c r="J130" s="1564">
        <f>J$134*J141</f>
        <v/>
      </c>
      <c r="K130" s="1564">
        <f>K$134*K141</f>
        <v/>
      </c>
      <c r="L130" s="1637">
        <f>SUM(H130,I130,J130,K130)</f>
        <v/>
      </c>
      <c r="M130" s="1564">
        <f>M$134*M141</f>
        <v/>
      </c>
      <c r="N130" s="1564">
        <f>N$134*N141</f>
        <v/>
      </c>
      <c r="O130" s="1564">
        <f>O$134*O141</f>
        <v/>
      </c>
      <c r="P130" s="1564">
        <f>P$134*P141</f>
        <v/>
      </c>
      <c r="Q130" s="1637">
        <f>SUM(M130,N130,O130,P130)</f>
        <v/>
      </c>
      <c r="R130" s="1564">
        <f>R$134*R141</f>
        <v/>
      </c>
      <c r="S130" s="1564">
        <f>S$134*S141</f>
        <v/>
      </c>
      <c r="T130" s="1564">
        <f>T$134*T141</f>
        <v/>
      </c>
      <c r="U130" s="1564">
        <f>U$134*U141</f>
        <v/>
      </c>
      <c r="V130" s="1637">
        <f>SUM(R130,S130,T130,U130)</f>
        <v/>
      </c>
      <c r="W130" s="1564">
        <f>W$134*W141</f>
        <v/>
      </c>
      <c r="X130" s="1564">
        <f>X$134*X141</f>
        <v/>
      </c>
      <c r="Y130" s="1564">
        <f>Y$134*Y141</f>
        <v/>
      </c>
      <c r="Z130" s="1564">
        <f>Z$134*Z141</f>
        <v/>
      </c>
      <c r="AA130" s="1713">
        <f>AA$134*AA141</f>
        <v/>
      </c>
      <c r="AB130" s="1564">
        <f>AB$134*AB141</f>
        <v/>
      </c>
      <c r="AC130" s="1564">
        <f>AC$134*AC141</f>
        <v/>
      </c>
      <c r="AD130" s="1564">
        <f>AD$134*AD141</f>
        <v/>
      </c>
      <c r="AE130" s="1564">
        <f>AE$134*AE141</f>
        <v/>
      </c>
      <c r="AF130" s="1713">
        <f>AF$134*AF141</f>
        <v/>
      </c>
      <c r="AG130" s="1564">
        <f>AG$134*AG141</f>
        <v/>
      </c>
      <c r="AH130" s="1564">
        <f>AH$134*AH141</f>
        <v/>
      </c>
      <c r="AI130" s="1564">
        <f>AI$134*AI141</f>
        <v/>
      </c>
      <c r="AJ130" s="1564">
        <f>AJ$134*AJ141</f>
        <v/>
      </c>
      <c r="AK130" s="1713">
        <f>AK$134*AK141</f>
        <v/>
      </c>
      <c r="AL130" s="1564">
        <f>AL$134*AL141</f>
        <v/>
      </c>
      <c r="AM130" s="1564">
        <f>AM$134*AM141</f>
        <v/>
      </c>
      <c r="AN130" s="1564">
        <f>AN$134*AN141</f>
        <v/>
      </c>
      <c r="AO130" s="1564">
        <f>AO$134*AO141</f>
        <v/>
      </c>
      <c r="AP130" s="1713">
        <f>AP$134*AP141</f>
        <v/>
      </c>
      <c r="AQ130" s="1564">
        <f>AQ$134*AQ141</f>
        <v/>
      </c>
      <c r="AR130" s="1564">
        <f>AR$134*AR141</f>
        <v/>
      </c>
      <c r="AS130" s="1564">
        <f>AS$134*AS141</f>
        <v/>
      </c>
      <c r="AT130" s="1564">
        <f>AT$134*AT141</f>
        <v/>
      </c>
      <c r="AU130" s="1713">
        <f>AU$134*AU141</f>
        <v/>
      </c>
      <c r="AV130" s="1564">
        <f>AV$134*AV141</f>
        <v/>
      </c>
      <c r="AW130" s="1564">
        <f>AW$134*AW141</f>
        <v/>
      </c>
      <c r="AX130" s="1564">
        <f>AX$134*AX141</f>
        <v/>
      </c>
      <c r="AY130" s="1564">
        <f>AY$134*AY141</f>
        <v/>
      </c>
      <c r="AZ130" s="1713">
        <f>AZ$134*AZ141</f>
        <v/>
      </c>
      <c r="BA130" s="1564">
        <f>BA$134*BA141</f>
        <v/>
      </c>
      <c r="BB130" s="1564">
        <f>BB$134*BB141</f>
        <v/>
      </c>
      <c r="BC130" s="1564">
        <f>BC$134*BC141</f>
        <v/>
      </c>
      <c r="BD130" s="1564">
        <f>BD$134*BD141</f>
        <v/>
      </c>
      <c r="BE130" s="1713">
        <f>BE$134*BE141</f>
        <v/>
      </c>
      <c r="BF130" s="1564">
        <f>BF$134*BF141</f>
        <v/>
      </c>
      <c r="BG130" s="1564">
        <f>BG$134*BG141</f>
        <v/>
      </c>
      <c r="BH130" s="1564">
        <f>BH$134*BH141</f>
        <v/>
      </c>
      <c r="BI130" s="1564">
        <f>BI$134*BI141</f>
        <v/>
      </c>
      <c r="BJ130" s="1713">
        <f>BJ$134*BJ141</f>
        <v/>
      </c>
      <c r="BK130" s="1564">
        <f>BK$134*BK141</f>
        <v/>
      </c>
      <c r="BL130" s="1564">
        <f>BL$134*BL141</f>
        <v/>
      </c>
      <c r="BM130" s="1564">
        <f>BM$134*BM141</f>
        <v/>
      </c>
      <c r="BN130" s="1564">
        <f>BN$134*BN141</f>
        <v/>
      </c>
      <c r="BO130" s="1715">
        <f>BO$134*BO141</f>
        <v/>
      </c>
      <c r="BP130" s="1562" t="n"/>
      <c r="BQ130" s="1562" t="n"/>
      <c r="BR130" s="1562" t="n"/>
      <c r="BS130" s="1562" t="n"/>
      <c r="BT130" s="1637" t="n"/>
      <c r="BU130" s="1562" t="n"/>
      <c r="BV130" s="1562" t="n"/>
      <c r="BW130" s="1562" t="n"/>
      <c r="BX130" s="1562" t="n"/>
      <c r="BY130" s="1637" t="n"/>
      <c r="BZ130" s="1637" t="n"/>
      <c r="CA130" s="1637" t="n"/>
      <c r="CB130" s="1637" t="n"/>
      <c r="CC130" s="1564" t="n"/>
    </row>
    <row r="131" hidden="1" outlineLevel="2" ht="15" customFormat="1" customHeight="1" s="1561">
      <c r="A131" s="1734" t="inlineStr">
        <is>
          <t>China net system sales, mm</t>
        </is>
      </c>
      <c r="B131" s="1636" t="n"/>
      <c r="C131" s="1637" t="n"/>
      <c r="D131" s="1637" t="n"/>
      <c r="E131" s="1637" t="n"/>
      <c r="F131" s="1637" t="n"/>
      <c r="G131" s="1637" t="n"/>
      <c r="H131" s="1564">
        <f>H$134*H142</f>
        <v/>
      </c>
      <c r="I131" s="1564">
        <f>I$134*I142</f>
        <v/>
      </c>
      <c r="J131" s="1564">
        <f>J$134*J142</f>
        <v/>
      </c>
      <c r="K131" s="1564">
        <f>K$134*K142</f>
        <v/>
      </c>
      <c r="L131" s="1637">
        <f>SUM(H131,I131,J131,K131)</f>
        <v/>
      </c>
      <c r="M131" s="1564">
        <f>M$134*M142</f>
        <v/>
      </c>
      <c r="N131" s="1564">
        <f>N$134*N142</f>
        <v/>
      </c>
      <c r="O131" s="1564">
        <f>O$134*O142</f>
        <v/>
      </c>
      <c r="P131" s="1564">
        <f>P$134*P142</f>
        <v/>
      </c>
      <c r="Q131" s="1637">
        <f>SUM(M131,N131,O131,P131)</f>
        <v/>
      </c>
      <c r="R131" s="1564">
        <f>R$134*R142</f>
        <v/>
      </c>
      <c r="S131" s="1564">
        <f>S$134*S142</f>
        <v/>
      </c>
      <c r="T131" s="1564">
        <f>T$134*T142</f>
        <v/>
      </c>
      <c r="U131" s="1564">
        <f>U$134*U142</f>
        <v/>
      </c>
      <c r="V131" s="1637">
        <f>SUM(R131,S131,T131,U131)</f>
        <v/>
      </c>
      <c r="W131" s="1564">
        <f>W$134*W142</f>
        <v/>
      </c>
      <c r="X131" s="1564">
        <f>X$134*X142</f>
        <v/>
      </c>
      <c r="Y131" s="1564">
        <f>Y$134*Y142</f>
        <v/>
      </c>
      <c r="Z131" s="1564">
        <f>Z$134*Z142</f>
        <v/>
      </c>
      <c r="AA131" s="1713">
        <f>AA$134*AA142</f>
        <v/>
      </c>
      <c r="AB131" s="1564">
        <f>AB$134*AB142</f>
        <v/>
      </c>
      <c r="AC131" s="1564">
        <f>AC$134*AC142</f>
        <v/>
      </c>
      <c r="AD131" s="1564">
        <f>AD$134*AD142</f>
        <v/>
      </c>
      <c r="AE131" s="1564">
        <f>AE$134*AE142</f>
        <v/>
      </c>
      <c r="AF131" s="1713">
        <f>AF$134*AF142</f>
        <v/>
      </c>
      <c r="AG131" s="1564">
        <f>AG$134*AG142</f>
        <v/>
      </c>
      <c r="AH131" s="1564">
        <f>AH$134*AH142</f>
        <v/>
      </c>
      <c r="AI131" s="1564">
        <f>AI$134*AI142</f>
        <v/>
      </c>
      <c r="AJ131" s="1564">
        <f>AJ$134*AJ142</f>
        <v/>
      </c>
      <c r="AK131" s="1713">
        <f>AK$134*AK142</f>
        <v/>
      </c>
      <c r="AL131" s="1564">
        <f>AL$134*AL142</f>
        <v/>
      </c>
      <c r="AM131" s="1564">
        <f>AM$134*AM142</f>
        <v/>
      </c>
      <c r="AN131" s="1564">
        <f>AN$134*AN142</f>
        <v/>
      </c>
      <c r="AO131" s="1564">
        <f>AO$134*AO142</f>
        <v/>
      </c>
      <c r="AP131" s="1713">
        <f>AP$134*AP142</f>
        <v/>
      </c>
      <c r="AQ131" s="1564">
        <f>AQ$134*AQ142</f>
        <v/>
      </c>
      <c r="AR131" s="1564">
        <f>AR$134*AR142</f>
        <v/>
      </c>
      <c r="AS131" s="1564">
        <f>AS$134*AS142</f>
        <v/>
      </c>
      <c r="AT131" s="1564">
        <f>AT$134*AT142</f>
        <v/>
      </c>
      <c r="AU131" s="1713">
        <f>AU$134*AU142</f>
        <v/>
      </c>
      <c r="AV131" s="1564">
        <f>AV$134*AV142</f>
        <v/>
      </c>
      <c r="AW131" s="1564">
        <f>AW$134*AW142</f>
        <v/>
      </c>
      <c r="AX131" s="1564">
        <f>AX$134*AX142</f>
        <v/>
      </c>
      <c r="AY131" s="1564">
        <f>AY$134*AY142</f>
        <v/>
      </c>
      <c r="AZ131" s="1713">
        <f>AZ$134*AZ142</f>
        <v/>
      </c>
      <c r="BA131" s="1564">
        <f>BA$134*BA142</f>
        <v/>
      </c>
      <c r="BB131" s="1564">
        <f>BB$134*BB142</f>
        <v/>
      </c>
      <c r="BC131" s="1564">
        <f>BC$134*BC142</f>
        <v/>
      </c>
      <c r="BD131" s="1564">
        <f>BD$134*BD142</f>
        <v/>
      </c>
      <c r="BE131" s="1713">
        <f>BE$134*BE142</f>
        <v/>
      </c>
      <c r="BF131" s="1564">
        <f>BF$134*BF142</f>
        <v/>
      </c>
      <c r="BG131" s="1564">
        <f>BG$134*BG142</f>
        <v/>
      </c>
      <c r="BH131" s="1564">
        <f>BH$134*BH142</f>
        <v/>
      </c>
      <c r="BI131" s="1564">
        <f>BI$134*BI142</f>
        <v/>
      </c>
      <c r="BJ131" s="1713">
        <f>BJ$134*BJ142</f>
        <v/>
      </c>
      <c r="BK131" s="1564">
        <f>BK$134*BK142</f>
        <v/>
      </c>
      <c r="BL131" s="1564">
        <f>BL$134*BL142</f>
        <v/>
      </c>
      <c r="BM131" s="1564">
        <f>BM$134*BM142</f>
        <v/>
      </c>
      <c r="BN131" s="1564">
        <f>BN$134*BN142</f>
        <v/>
      </c>
      <c r="BO131" s="1715">
        <f>BO$134*BO142</f>
        <v/>
      </c>
      <c r="BP131" s="1562" t="n"/>
      <c r="BQ131" s="1562" t="n"/>
      <c r="BR131" s="1562" t="n"/>
      <c r="BS131" s="1562" t="n"/>
      <c r="BT131" s="1637" t="n"/>
      <c r="BU131" s="1562" t="n"/>
      <c r="BV131" s="1562" t="n"/>
      <c r="BW131" s="1562" t="n"/>
      <c r="BX131" s="1562" t="n"/>
      <c r="BY131" s="1637" t="n"/>
      <c r="BZ131" s="1637" t="n"/>
      <c r="CA131" s="1637" t="n"/>
      <c r="CB131" s="1637" t="n"/>
      <c r="CC131" s="1564" t="n"/>
    </row>
    <row r="132" hidden="1" outlineLevel="2" ht="15" customFormat="1" customHeight="1" s="1561">
      <c r="A132" s="1734" t="inlineStr">
        <is>
          <t>Singapore net system sales, mm</t>
        </is>
      </c>
      <c r="B132" s="1636" t="n"/>
      <c r="C132" s="1637" t="n"/>
      <c r="D132" s="1637" t="n"/>
      <c r="E132" s="1624" t="n"/>
      <c r="F132" s="1637" t="n"/>
      <c r="G132" s="1637" t="n"/>
      <c r="H132" s="1564">
        <f>H$134*H143</f>
        <v/>
      </c>
      <c r="I132" s="1564">
        <f>I$134*I143</f>
        <v/>
      </c>
      <c r="J132" s="1564">
        <f>J$134*J143</f>
        <v/>
      </c>
      <c r="K132" s="1564">
        <f>K$134*K143</f>
        <v/>
      </c>
      <c r="L132" s="1637">
        <f>SUM(H132,I132,J132,K132)</f>
        <v/>
      </c>
      <c r="M132" s="1564">
        <f>M$134*M143</f>
        <v/>
      </c>
      <c r="N132" s="1564">
        <f>N$134*N143</f>
        <v/>
      </c>
      <c r="O132" s="1564">
        <f>O$134*O143</f>
        <v/>
      </c>
      <c r="P132" s="1564">
        <f>P$134*P143</f>
        <v/>
      </c>
      <c r="Q132" s="1637">
        <f>SUM(M132,N132,O132,P132)</f>
        <v/>
      </c>
      <c r="R132" s="1564">
        <f>R$134*R143</f>
        <v/>
      </c>
      <c r="S132" s="1564">
        <f>S$134*S143</f>
        <v/>
      </c>
      <c r="T132" s="1564">
        <f>T$134*T143</f>
        <v/>
      </c>
      <c r="U132" s="1564">
        <f>U$134*U143</f>
        <v/>
      </c>
      <c r="V132" s="1637">
        <f>SUM(R132,S132,T132,U132)</f>
        <v/>
      </c>
      <c r="W132" s="1564">
        <f>W$134*W143</f>
        <v/>
      </c>
      <c r="X132" s="1564">
        <f>X$134*X143</f>
        <v/>
      </c>
      <c r="Y132" s="1564">
        <f>Y$134*Y143</f>
        <v/>
      </c>
      <c r="Z132" s="1564">
        <f>Z$134*Z143</f>
        <v/>
      </c>
      <c r="AA132" s="1713">
        <f>AA$134*AA143</f>
        <v/>
      </c>
      <c r="AB132" s="1564">
        <f>AB$134*AB143</f>
        <v/>
      </c>
      <c r="AC132" s="1564">
        <f>AC$134*AC143</f>
        <v/>
      </c>
      <c r="AD132" s="1564">
        <f>AD$134*AD143</f>
        <v/>
      </c>
      <c r="AE132" s="1564">
        <f>AE$134*AE143</f>
        <v/>
      </c>
      <c r="AF132" s="1713">
        <f>AF$134*AF143</f>
        <v/>
      </c>
      <c r="AG132" s="1564">
        <f>AG$134*AG143</f>
        <v/>
      </c>
      <c r="AH132" s="1564">
        <f>AH$134*AH143</f>
        <v/>
      </c>
      <c r="AI132" s="1564">
        <f>AI$134*AI143</f>
        <v/>
      </c>
      <c r="AJ132" s="1564">
        <f>AJ$134*AJ143</f>
        <v/>
      </c>
      <c r="AK132" s="1713">
        <f>AK$134*AK143</f>
        <v/>
      </c>
      <c r="AL132" s="1564">
        <f>AL$134*AL143</f>
        <v/>
      </c>
      <c r="AM132" s="1564">
        <f>AM$134*AM143</f>
        <v/>
      </c>
      <c r="AN132" s="1564">
        <f>AN$134*AN143</f>
        <v/>
      </c>
      <c r="AO132" s="1564">
        <f>AO$134*AO143</f>
        <v/>
      </c>
      <c r="AP132" s="1713">
        <f>AP$134*AP143</f>
        <v/>
      </c>
      <c r="AQ132" s="1564">
        <f>AQ$134*AQ143</f>
        <v/>
      </c>
      <c r="AR132" s="1564">
        <f>AR$134*AR143</f>
        <v/>
      </c>
      <c r="AS132" s="1564">
        <f>AS$134*AS143</f>
        <v/>
      </c>
      <c r="AT132" s="1564">
        <f>AT$134*AT143</f>
        <v/>
      </c>
      <c r="AU132" s="1713">
        <f>AU$134*AU143</f>
        <v/>
      </c>
      <c r="AV132" s="1564">
        <f>AV$134*AV143</f>
        <v/>
      </c>
      <c r="AW132" s="1564">
        <f>AW$134*AW143</f>
        <v/>
      </c>
      <c r="AX132" s="1564">
        <f>AX$134*AX143</f>
        <v/>
      </c>
      <c r="AY132" s="1564">
        <f>AY$134*AY143</f>
        <v/>
      </c>
      <c r="AZ132" s="1713">
        <f>AZ$134*AZ143</f>
        <v/>
      </c>
      <c r="BA132" s="1564">
        <f>BA$134*BA143</f>
        <v/>
      </c>
      <c r="BB132" s="1564">
        <f>BB$134*BB143</f>
        <v/>
      </c>
      <c r="BC132" s="1564">
        <f>BC$134*BC143</f>
        <v/>
      </c>
      <c r="BD132" s="1564">
        <f>BD$134*BD143</f>
        <v/>
      </c>
      <c r="BE132" s="1713">
        <f>BE$134*BE143</f>
        <v/>
      </c>
      <c r="BF132" s="1564">
        <f>BF$134*BF143</f>
        <v/>
      </c>
      <c r="BG132" s="1564">
        <f>BG$134*BG143</f>
        <v/>
      </c>
      <c r="BH132" s="1564">
        <f>BH$134*BH143</f>
        <v/>
      </c>
      <c r="BI132" s="1564">
        <f>BI$134*BI143</f>
        <v/>
      </c>
      <c r="BJ132" s="1713">
        <f>BJ$134*BJ143</f>
        <v/>
      </c>
      <c r="BK132" s="1564">
        <f>BK$134*BK143</f>
        <v/>
      </c>
      <c r="BL132" s="1564">
        <f>BL$134*BL143</f>
        <v/>
      </c>
      <c r="BM132" s="1564">
        <f>BM$134*BM143</f>
        <v/>
      </c>
      <c r="BN132" s="1564">
        <f>BN$134*BN143</f>
        <v/>
      </c>
      <c r="BO132" s="1715">
        <f>BO$134*BO143</f>
        <v/>
      </c>
      <c r="BP132" s="1562" t="n"/>
      <c r="BQ132" s="1562" t="n"/>
      <c r="BR132" s="1562" t="n"/>
      <c r="BS132" s="1562" t="n"/>
      <c r="BT132" s="1637" t="n"/>
      <c r="BU132" s="1562" t="n"/>
      <c r="BV132" s="1562" t="n"/>
      <c r="BW132" s="1562" t="n"/>
      <c r="BX132" s="1562" t="n"/>
      <c r="BY132" s="1637" t="n"/>
      <c r="BZ132" s="1637" t="n"/>
      <c r="CA132" s="1637" t="n"/>
      <c r="CB132" s="1637" t="n"/>
      <c r="CC132" s="1564" t="n"/>
    </row>
    <row r="133" hidden="1" outlineLevel="2" ht="15" customFormat="1" customHeight="1" s="1561">
      <c r="A133" s="1734" t="inlineStr">
        <is>
          <t>Netherlands net system sales, mm</t>
        </is>
      </c>
      <c r="B133" s="1636" t="n"/>
      <c r="C133" s="1637" t="n"/>
      <c r="D133" s="1637" t="n"/>
      <c r="E133" s="1637" t="n"/>
      <c r="F133" s="1637" t="n"/>
      <c r="G133" s="1637" t="n"/>
      <c r="H133" s="1564">
        <f>H$134*H144</f>
        <v/>
      </c>
      <c r="I133" s="1564">
        <f>I$134*I144</f>
        <v/>
      </c>
      <c r="J133" s="1564">
        <f>J$134*J144</f>
        <v/>
      </c>
      <c r="K133" s="1564">
        <f>K$134*K144</f>
        <v/>
      </c>
      <c r="L133" s="1637">
        <f>SUM(H133,I133,J133,K133)</f>
        <v/>
      </c>
      <c r="M133" s="1564">
        <f>M$134*M144</f>
        <v/>
      </c>
      <c r="N133" s="1564">
        <f>N$134*N144</f>
        <v/>
      </c>
      <c r="O133" s="1564">
        <f>O$134*O144</f>
        <v/>
      </c>
      <c r="P133" s="1564">
        <f>P$134*P144</f>
        <v/>
      </c>
      <c r="Q133" s="1637">
        <f>SUM(M133,N133,O133,P133)</f>
        <v/>
      </c>
      <c r="R133" s="1564">
        <f>R$134*R144</f>
        <v/>
      </c>
      <c r="S133" s="1564">
        <f>S$134*S144</f>
        <v/>
      </c>
      <c r="T133" s="1564">
        <f>T$134*T144</f>
        <v/>
      </c>
      <c r="U133" s="1564">
        <f>U$134*U144</f>
        <v/>
      </c>
      <c r="V133" s="1637">
        <f>SUM(R133,S133,T133,U133)</f>
        <v/>
      </c>
      <c r="W133" s="1564">
        <f>W$134*W144</f>
        <v/>
      </c>
      <c r="X133" s="1564">
        <f>X$134*X144</f>
        <v/>
      </c>
      <c r="Y133" s="1564">
        <f>Y$134*Y144</f>
        <v/>
      </c>
      <c r="Z133" s="1564">
        <f>Z$134*Z144</f>
        <v/>
      </c>
      <c r="AA133" s="1713">
        <f>AA$134*AA144</f>
        <v/>
      </c>
      <c r="AB133" s="1564">
        <f>AB$134*AB144</f>
        <v/>
      </c>
      <c r="AC133" s="1564">
        <f>AC$134*AC144</f>
        <v/>
      </c>
      <c r="AD133" s="1564">
        <f>AD$134*AD144</f>
        <v/>
      </c>
      <c r="AE133" s="1564">
        <f>AE$134*AE144</f>
        <v/>
      </c>
      <c r="AF133" s="1713">
        <f>AF$134*AF144</f>
        <v/>
      </c>
      <c r="AG133" s="1564">
        <f>AG$134*AG144</f>
        <v/>
      </c>
      <c r="AH133" s="1564">
        <f>AH$134*AH144</f>
        <v/>
      </c>
      <c r="AI133" s="1564">
        <f>AI$134*AI144</f>
        <v/>
      </c>
      <c r="AJ133" s="1564">
        <f>AJ$134*AJ144</f>
        <v/>
      </c>
      <c r="AK133" s="1713">
        <f>AK$134*AK144</f>
        <v/>
      </c>
      <c r="AL133" s="1564">
        <f>AL$134*AL144</f>
        <v/>
      </c>
      <c r="AM133" s="1564">
        <f>AM$134*AM144</f>
        <v/>
      </c>
      <c r="AN133" s="1564">
        <f>AN$134*AN144</f>
        <v/>
      </c>
      <c r="AO133" s="1564">
        <f>AO$134*AO144</f>
        <v/>
      </c>
      <c r="AP133" s="1713">
        <f>AP$134*AP144</f>
        <v/>
      </c>
      <c r="AQ133" s="1564">
        <f>AQ$134*AQ144</f>
        <v/>
      </c>
      <c r="AR133" s="1564">
        <f>AR$134*AR144</f>
        <v/>
      </c>
      <c r="AS133" s="1564">
        <f>AS$134*AS144</f>
        <v/>
      </c>
      <c r="AT133" s="1564">
        <f>AT$134*AT144</f>
        <v/>
      </c>
      <c r="AU133" s="1713">
        <f>AU$134*AU144</f>
        <v/>
      </c>
      <c r="AV133" s="1564">
        <f>AV$134*AV144</f>
        <v/>
      </c>
      <c r="AW133" s="1564">
        <f>AW$134*AW144</f>
        <v/>
      </c>
      <c r="AX133" s="1564">
        <f>AX$134*AX144</f>
        <v/>
      </c>
      <c r="AY133" s="1564">
        <f>AY$134*AY144</f>
        <v/>
      </c>
      <c r="AZ133" s="1713">
        <f>AZ$134*AZ144</f>
        <v/>
      </c>
      <c r="BA133" s="1564">
        <f>BA$134*BA144</f>
        <v/>
      </c>
      <c r="BB133" s="1564">
        <f>BB$134*BB144</f>
        <v/>
      </c>
      <c r="BC133" s="1564">
        <f>BC$134*BC144</f>
        <v/>
      </c>
      <c r="BD133" s="1564">
        <f>BD$134*BD144</f>
        <v/>
      </c>
      <c r="BE133" s="1713">
        <f>BE$134*BE144</f>
        <v/>
      </c>
      <c r="BF133" s="1564">
        <f>BF$134*BF144</f>
        <v/>
      </c>
      <c r="BG133" s="1564">
        <f>BG$134*BG144</f>
        <v/>
      </c>
      <c r="BH133" s="1564">
        <f>BH$134*BH144</f>
        <v/>
      </c>
      <c r="BI133" s="1564">
        <f>BI$134*BI144</f>
        <v/>
      </c>
      <c r="BJ133" s="1713">
        <f>BJ$134*BJ144</f>
        <v/>
      </c>
      <c r="BK133" s="1564">
        <f>BK$134*BK144</f>
        <v/>
      </c>
      <c r="BL133" s="1564">
        <f>BL$134*BL144</f>
        <v/>
      </c>
      <c r="BM133" s="1564">
        <f>BM$134*BM144</f>
        <v/>
      </c>
      <c r="BN133" s="1564">
        <f>BN$134*BN144</f>
        <v/>
      </c>
      <c r="BO133" s="1715">
        <f>BO$134*BO144</f>
        <v/>
      </c>
      <c r="BP133" s="1562" t="n"/>
      <c r="BQ133" s="1562" t="n"/>
      <c r="BR133" s="1562" t="n"/>
      <c r="BS133" s="1562" t="n"/>
      <c r="BT133" s="1637" t="n"/>
      <c r="BU133" s="1562" t="n"/>
      <c r="BV133" s="1562" t="n"/>
      <c r="BW133" s="1562" t="n"/>
      <c r="BX133" s="1562" t="n"/>
      <c r="BY133" s="1637" t="n"/>
      <c r="BZ133" s="1637" t="n"/>
      <c r="CA133" s="1637" t="n"/>
      <c r="CB133" s="1637" t="n"/>
      <c r="CC133" s="1564" t="n"/>
    </row>
    <row r="134" hidden="1" outlineLevel="2" ht="15" customFormat="1" customHeight="1" s="1628">
      <c r="A134" s="1639" t="inlineStr">
        <is>
          <t>Total net system sales by region, mm</t>
        </is>
      </c>
      <c r="B134" s="1640" t="n"/>
      <c r="C134" s="1641">
        <f>+C39</f>
        <v/>
      </c>
      <c r="D134" s="1641">
        <f>+D39</f>
        <v/>
      </c>
      <c r="E134" s="1641">
        <f>+E39</f>
        <v/>
      </c>
      <c r="F134" s="1641">
        <f>+F39</f>
        <v/>
      </c>
      <c r="G134" s="1641">
        <f>+G39</f>
        <v/>
      </c>
      <c r="H134" s="1642">
        <f>+H39</f>
        <v/>
      </c>
      <c r="I134" s="1642">
        <f>+I39</f>
        <v/>
      </c>
      <c r="J134" s="1642">
        <f>+J39</f>
        <v/>
      </c>
      <c r="K134" s="1642">
        <f>+K39</f>
        <v/>
      </c>
      <c r="L134" s="1641">
        <f>SUM(L125:L133)</f>
        <v/>
      </c>
      <c r="M134" s="1642">
        <f>+M39</f>
        <v/>
      </c>
      <c r="N134" s="1642">
        <f>+N39</f>
        <v/>
      </c>
      <c r="O134" s="1642">
        <f>+O39</f>
        <v/>
      </c>
      <c r="P134" s="1642">
        <f>+P39</f>
        <v/>
      </c>
      <c r="Q134" s="1641">
        <f>SUM(Q125:Q133)</f>
        <v/>
      </c>
      <c r="R134" s="1642">
        <f>+R39</f>
        <v/>
      </c>
      <c r="S134" s="1642">
        <f>+S39</f>
        <v/>
      </c>
      <c r="T134" s="1642">
        <f>+T39</f>
        <v/>
      </c>
      <c r="U134" s="1642">
        <f>+U39</f>
        <v/>
      </c>
      <c r="V134" s="1641">
        <f>SUM(V125:V133)</f>
        <v/>
      </c>
      <c r="W134" s="1642">
        <f>+W39</f>
        <v/>
      </c>
      <c r="X134" s="1642">
        <f>+X39</f>
        <v/>
      </c>
      <c r="Y134" s="1642">
        <f>+Y39</f>
        <v/>
      </c>
      <c r="Z134" s="1642">
        <f>+Z39</f>
        <v/>
      </c>
      <c r="AA134" s="1641">
        <f>+AA39</f>
        <v/>
      </c>
      <c r="AB134" s="1642">
        <f>+AB39</f>
        <v/>
      </c>
      <c r="AC134" s="1642">
        <f>+AC39</f>
        <v/>
      </c>
      <c r="AD134" s="1642">
        <f>+AD39</f>
        <v/>
      </c>
      <c r="AE134" s="1642">
        <f>+AE39</f>
        <v/>
      </c>
      <c r="AF134" s="1641">
        <f>+AF39</f>
        <v/>
      </c>
      <c r="AG134" s="1642">
        <f>+AG39</f>
        <v/>
      </c>
      <c r="AH134" s="1642">
        <f>+AH39</f>
        <v/>
      </c>
      <c r="AI134" s="1642">
        <f>+AI39</f>
        <v/>
      </c>
      <c r="AJ134" s="1642">
        <f>+AJ39</f>
        <v/>
      </c>
      <c r="AK134" s="1641">
        <f>+AK39</f>
        <v/>
      </c>
      <c r="AL134" s="1642">
        <f>+AL39</f>
        <v/>
      </c>
      <c r="AM134" s="1642">
        <f>+AM39</f>
        <v/>
      </c>
      <c r="AN134" s="1642">
        <f>+AN39</f>
        <v/>
      </c>
      <c r="AO134" s="1642">
        <f>+AO39</f>
        <v/>
      </c>
      <c r="AP134" s="1641">
        <f>+AP39</f>
        <v/>
      </c>
      <c r="AQ134" s="1642">
        <f>+AQ39</f>
        <v/>
      </c>
      <c r="AR134" s="1642">
        <f>+AR39</f>
        <v/>
      </c>
      <c r="AS134" s="1642">
        <f>+AS39</f>
        <v/>
      </c>
      <c r="AT134" s="1642">
        <f>+AT39</f>
        <v/>
      </c>
      <c r="AU134" s="1641">
        <f>+AU39</f>
        <v/>
      </c>
      <c r="AV134" s="1642">
        <f>+AV39</f>
        <v/>
      </c>
      <c r="AW134" s="1642">
        <f>+AW39</f>
        <v/>
      </c>
      <c r="AX134" s="1642">
        <f>+AX39</f>
        <v/>
      </c>
      <c r="AY134" s="1642">
        <f>+AY39</f>
        <v/>
      </c>
      <c r="AZ134" s="1641">
        <f>+AZ39</f>
        <v/>
      </c>
      <c r="BA134" s="1642">
        <f>+BA39</f>
        <v/>
      </c>
      <c r="BB134" s="1642">
        <f>+BB39</f>
        <v/>
      </c>
      <c r="BC134" s="1642">
        <f>+BC39</f>
        <v/>
      </c>
      <c r="BD134" s="1642">
        <f>+BD39</f>
        <v/>
      </c>
      <c r="BE134" s="1641">
        <f>+BE39</f>
        <v/>
      </c>
      <c r="BF134" s="1642">
        <f>+BF39</f>
        <v/>
      </c>
      <c r="BG134" s="1642">
        <f>+BG39</f>
        <v/>
      </c>
      <c r="BH134" s="1642">
        <f>+BH39</f>
        <v/>
      </c>
      <c r="BI134" s="1642">
        <f>+BI39</f>
        <v/>
      </c>
      <c r="BJ134" s="1641">
        <f>+BJ39</f>
        <v/>
      </c>
      <c r="BK134" s="1642">
        <f>+BK39</f>
        <v/>
      </c>
      <c r="BL134" s="1642">
        <f>+BL39</f>
        <v/>
      </c>
      <c r="BM134" s="1642">
        <f>+BM39</f>
        <v/>
      </c>
      <c r="BN134" s="1642">
        <f>+BN39</f>
        <v/>
      </c>
      <c r="BO134" s="1643">
        <f>+BO39</f>
        <v/>
      </c>
      <c r="BP134" s="1642" t="n"/>
      <c r="BQ134" s="1642" t="n"/>
      <c r="BR134" s="1642" t="n"/>
      <c r="BS134" s="1642" t="n"/>
      <c r="BT134" s="1641" t="n"/>
      <c r="BU134" s="1642" t="n"/>
      <c r="BV134" s="1642" t="n"/>
      <c r="BW134" s="1642" t="n"/>
      <c r="BX134" s="1642" t="n"/>
      <c r="BY134" s="1641" t="n"/>
      <c r="BZ134" s="1641" t="n"/>
      <c r="CA134" s="1641" t="n"/>
      <c r="CB134" s="1641" t="n"/>
      <c r="CC134" s="1634" t="n"/>
    </row>
    <row r="135" hidden="1" outlineLevel="2" ht="15" customFormat="1" customHeight="1" s="1628">
      <c r="A135" s="1703" t="n"/>
      <c r="B135" s="1682" t="n"/>
      <c r="C135" s="1683" t="n"/>
      <c r="D135" s="1683" t="n"/>
      <c r="E135" s="1683" t="n"/>
      <c r="F135" s="1683" t="n"/>
      <c r="G135" s="1683" t="n"/>
      <c r="H135" s="1684" t="n"/>
      <c r="I135" s="1684" t="n"/>
      <c r="J135" s="1684" t="n"/>
      <c r="K135" s="1684" t="n"/>
      <c r="L135" s="1683" t="n"/>
      <c r="M135" s="1684" t="n"/>
      <c r="N135" s="1684" t="n"/>
      <c r="O135" s="1684" t="n"/>
      <c r="P135" s="1684" t="n"/>
      <c r="Q135" s="1683" t="n"/>
      <c r="R135" s="1684" t="n"/>
      <c r="S135" s="1684" t="n"/>
      <c r="T135" s="1684" t="n"/>
      <c r="U135" s="1684" t="n"/>
      <c r="V135" s="1683" t="n"/>
      <c r="W135" s="1684" t="n"/>
      <c r="X135" s="1684" t="n"/>
      <c r="Y135" s="1684" t="n"/>
      <c r="Z135" s="1684" t="n"/>
      <c r="AA135" s="1683" t="n"/>
      <c r="AB135" s="1684" t="n"/>
      <c r="AC135" s="1684" t="n"/>
      <c r="AD135" s="1684" t="n"/>
      <c r="AE135" s="1684" t="n"/>
      <c r="AF135" s="1683" t="n"/>
      <c r="AG135" s="1684" t="n"/>
      <c r="AH135" s="1684" t="n"/>
      <c r="AI135" s="1684" t="n"/>
      <c r="AJ135" s="1684" t="n"/>
      <c r="AK135" s="1683" t="n"/>
      <c r="AL135" s="1684" t="n"/>
      <c r="AM135" s="1684" t="n"/>
      <c r="AN135" s="1684" t="n"/>
      <c r="AO135" s="1684" t="n"/>
      <c r="AP135" s="1683" t="n"/>
      <c r="AQ135" s="1684" t="n"/>
      <c r="AR135" s="1684" t="n"/>
      <c r="AS135" s="1684" t="n"/>
      <c r="AT135" s="1684" t="n"/>
      <c r="AU135" s="1683" t="n"/>
      <c r="AV135" s="1684" t="n"/>
      <c r="AW135" s="1684" t="n"/>
      <c r="AX135" s="1684" t="n"/>
      <c r="AY135" s="1684" t="n"/>
      <c r="AZ135" s="1683" t="n"/>
      <c r="BA135" s="1684" t="n"/>
      <c r="BB135" s="1684" t="n"/>
      <c r="BC135" s="1684" t="n"/>
      <c r="BD135" s="1684" t="n"/>
      <c r="BE135" s="1683" t="n"/>
      <c r="BF135" s="1684" t="n"/>
      <c r="BG135" s="1684" t="n"/>
      <c r="BH135" s="1684" t="n"/>
      <c r="BI135" s="1684" t="n"/>
      <c r="BJ135" s="1683" t="n"/>
      <c r="BK135" s="1684" t="n"/>
      <c r="BL135" s="1684" t="n"/>
      <c r="BM135" s="1684" t="n"/>
      <c r="BN135" s="1684" t="n"/>
      <c r="BO135" s="1685" t="n"/>
      <c r="BP135" s="1684" t="n"/>
      <c r="BQ135" s="1684" t="n"/>
      <c r="BR135" s="1684" t="n"/>
      <c r="BS135" s="1684" t="n"/>
      <c r="BT135" s="1683" t="n"/>
      <c r="BU135" s="1684" t="n"/>
      <c r="BV135" s="1684" t="n"/>
      <c r="BW135" s="1684" t="n"/>
      <c r="BX135" s="1684" t="n"/>
      <c r="BY135" s="1683" t="n"/>
      <c r="BZ135" s="1683" t="n"/>
      <c r="CA135" s="1683" t="n"/>
      <c r="CB135" s="1683" t="n"/>
      <c r="CC135" s="1634" t="n"/>
    </row>
    <row r="136" hidden="1" outlineLevel="2" ht="15" customFormat="1" customHeight="1" s="1644">
      <c r="A136" s="1735" t="inlineStr">
        <is>
          <t>Taiwan net system sales as % of total net system sales, %</t>
        </is>
      </c>
      <c r="B136" s="1736" t="n"/>
      <c r="C136" s="1737" t="n"/>
      <c r="D136" s="1737" t="n"/>
      <c r="E136" s="1737" t="n"/>
      <c r="F136" s="1737" t="n"/>
      <c r="G136" s="1737" t="n"/>
      <c r="H136" s="1738" t="n">
        <v>0.13</v>
      </c>
      <c r="I136" s="1738" t="n">
        <v>0.13</v>
      </c>
      <c r="J136" s="1738" t="n">
        <v>0.29</v>
      </c>
      <c r="K136" s="1738" t="n">
        <v>0.2</v>
      </c>
      <c r="L136" s="1737">
        <f>L125/L$134</f>
        <v/>
      </c>
      <c r="M136" s="1738" t="n">
        <v>0.19</v>
      </c>
      <c r="N136" s="1738" t="n">
        <v>0.31</v>
      </c>
      <c r="O136" s="1738" t="n">
        <v>0.3</v>
      </c>
      <c r="P136" s="1738" t="n">
        <v>0.31</v>
      </c>
      <c r="Q136" s="1737">
        <f>Q125/Q$134</f>
        <v/>
      </c>
      <c r="R136" s="1738" t="n">
        <v>0.2</v>
      </c>
      <c r="S136" s="1738" t="n">
        <v>0.28</v>
      </c>
      <c r="T136" s="1738" t="n">
        <v>0.55</v>
      </c>
      <c r="U136" s="1738" t="n">
        <v>0.36</v>
      </c>
      <c r="V136" s="1737">
        <f>V125/V$134</f>
        <v/>
      </c>
      <c r="W136" s="1738" t="n">
        <v>0.24</v>
      </c>
      <c r="X136" s="1738" t="n">
        <v>0.27</v>
      </c>
      <c r="Y136" s="1738" t="n">
        <v>0.23</v>
      </c>
      <c r="Z136" s="1738" t="n">
        <v>0.29</v>
      </c>
      <c r="AA136" s="1739" t="n">
        <v>0.26</v>
      </c>
      <c r="AB136" s="1738" t="n">
        <v>0.03</v>
      </c>
      <c r="AC136" s="1738" t="n">
        <v>0.18</v>
      </c>
      <c r="AD136" s="1738" t="n">
        <v>0.3</v>
      </c>
      <c r="AE136" s="1738" t="n">
        <v>0.2</v>
      </c>
      <c r="AF136" s="1739" t="n">
        <v>0.19</v>
      </c>
      <c r="AG136" s="1738" t="n">
        <v>0.43</v>
      </c>
      <c r="AH136" s="1738" t="n">
        <v>0.46</v>
      </c>
      <c r="AI136" s="1738" t="n">
        <v>0.54</v>
      </c>
      <c r="AJ136" s="1738" t="n">
        <v>0.57</v>
      </c>
      <c r="AK136" s="1739" t="n">
        <v>0.51</v>
      </c>
      <c r="AL136" s="1738" t="n">
        <v>0.3</v>
      </c>
      <c r="AM136" s="1738" t="n">
        <v>0.21</v>
      </c>
      <c r="AN136" s="1738" t="n">
        <v>0.47</v>
      </c>
      <c r="AO136" s="1738" t="n">
        <v>0.39</v>
      </c>
      <c r="AP136" s="1739" t="n">
        <v>0.36</v>
      </c>
      <c r="AQ136" s="1738" t="n">
        <v>0.43</v>
      </c>
      <c r="AR136" s="1738" t="n">
        <v>0.36</v>
      </c>
      <c r="AS136" s="1738" t="n">
        <v>0.46</v>
      </c>
      <c r="AT136" s="1738" t="n">
        <v>0.51</v>
      </c>
      <c r="AU136" s="1739" t="n">
        <v>0.44</v>
      </c>
      <c r="AV136" s="1738" t="n">
        <v>0.22</v>
      </c>
      <c r="AW136" s="1738" t="n">
        <v>0.41</v>
      </c>
      <c r="AX136" s="1738" t="n">
        <v>0.47</v>
      </c>
      <c r="AY136" s="1738" t="n">
        <v>0.48</v>
      </c>
      <c r="AZ136" s="1739" t="n">
        <v>0.42</v>
      </c>
      <c r="BA136" s="1738" t="n">
        <v>0.49</v>
      </c>
      <c r="BB136" s="1738" t="n">
        <v>0.34</v>
      </c>
      <c r="BC136" s="1738" t="n">
        <v>0.24</v>
      </c>
      <c r="BD136" s="1738" t="n">
        <v>0.13</v>
      </c>
      <c r="BE136" s="1739" t="n">
        <v>0.3</v>
      </c>
      <c r="BF136" s="1738" t="n">
        <v>0.06</v>
      </c>
      <c r="BG136" s="1738" t="n">
        <v>0.11</v>
      </c>
      <c r="BH136" s="1738" t="n">
        <v>0.15</v>
      </c>
      <c r="BI136" s="1738" t="n">
        <v>0.1</v>
      </c>
      <c r="BJ136" s="1739" t="n">
        <v>0.11</v>
      </c>
      <c r="BK136" s="1738" t="n">
        <v>0.16</v>
      </c>
      <c r="BL136" s="1738" t="n">
        <v>0.35</v>
      </c>
      <c r="BM136" s="1738" t="n">
        <v>0.3</v>
      </c>
      <c r="BN136" s="1738" t="n">
        <v>0.13</v>
      </c>
      <c r="BO136" s="1740" t="n">
        <v>0.22</v>
      </c>
      <c r="BP136" s="1741" t="n"/>
      <c r="BQ136" s="1741" t="n"/>
      <c r="BR136" s="1741" t="n"/>
      <c r="BS136" s="1741" t="n"/>
      <c r="BT136" s="1737" t="n"/>
      <c r="BU136" s="1741" t="n"/>
      <c r="BV136" s="1741" t="n"/>
      <c r="BW136" s="1741" t="n"/>
      <c r="BX136" s="1741" t="n"/>
      <c r="BY136" s="1737" t="n"/>
      <c r="BZ136" s="1737" t="n"/>
      <c r="CA136" s="1737" t="n"/>
      <c r="CB136" s="1737" t="n"/>
      <c r="CC136" s="1652" t="n"/>
    </row>
    <row r="137" hidden="1" outlineLevel="2" ht="15" customFormat="1" customHeight="1" s="1644">
      <c r="A137" s="1735" t="inlineStr">
        <is>
          <t>South Korea net system sales as % of total net system sales, %</t>
        </is>
      </c>
      <c r="B137" s="1736" t="n"/>
      <c r="C137" s="1737" t="n"/>
      <c r="D137" s="1737" t="n"/>
      <c r="E137" s="1737" t="n"/>
      <c r="F137" s="1737" t="n"/>
      <c r="G137" s="1737" t="n"/>
      <c r="H137" s="1738" t="n">
        <v>0.38</v>
      </c>
      <c r="I137" s="1738" t="n">
        <v>0.24</v>
      </c>
      <c r="J137" s="1738" t="n">
        <v>0.07000000000000001</v>
      </c>
      <c r="K137" s="1738" t="n">
        <v>0.41</v>
      </c>
      <c r="L137" s="1737">
        <f>L126/L$134</f>
        <v/>
      </c>
      <c r="M137" s="1738" t="n">
        <v>0.37</v>
      </c>
      <c r="N137" s="1738" t="n">
        <v>0.27</v>
      </c>
      <c r="O137" s="1738" t="n">
        <v>0.28</v>
      </c>
      <c r="P137" s="1738" t="n">
        <v>0.36</v>
      </c>
      <c r="Q137" s="1737">
        <f>Q126/Q$134</f>
        <v/>
      </c>
      <c r="R137" s="1738" t="n">
        <v>0.27</v>
      </c>
      <c r="S137" s="1738" t="n">
        <v>0.2</v>
      </c>
      <c r="T137" s="1738" t="n">
        <v>0.1</v>
      </c>
      <c r="U137" s="1738" t="n">
        <v>0.22</v>
      </c>
      <c r="V137" s="1737">
        <f>V126/V$134</f>
        <v/>
      </c>
      <c r="W137" s="1738" t="n">
        <v>0.28</v>
      </c>
      <c r="X137" s="1738" t="n">
        <v>0.51</v>
      </c>
      <c r="Y137" s="1738" t="n">
        <v>0.34</v>
      </c>
      <c r="Z137" s="1738" t="n">
        <v>0.32</v>
      </c>
      <c r="AA137" s="1739" t="n">
        <v>0.36</v>
      </c>
      <c r="AB137" s="1738" t="n">
        <v>0.51</v>
      </c>
      <c r="AC137" s="1738" t="n">
        <v>0.35</v>
      </c>
      <c r="AD137" s="1738" t="n">
        <v>0.33</v>
      </c>
      <c r="AE137" s="1738" t="n">
        <v>0.26</v>
      </c>
      <c r="AF137" s="1739" t="n">
        <v>0.35</v>
      </c>
      <c r="AG137" s="1738" t="n">
        <v>0.25</v>
      </c>
      <c r="AH137" s="1738" t="n">
        <v>0.26</v>
      </c>
      <c r="AI137" s="1738" t="n">
        <v>0.11</v>
      </c>
      <c r="AJ137" s="1738" t="n">
        <v>0.1</v>
      </c>
      <c r="AK137" s="1739" t="n">
        <v>0.16</v>
      </c>
      <c r="AL137" s="1738" t="n">
        <v>0.29</v>
      </c>
      <c r="AM137" s="1738" t="n">
        <v>0.38</v>
      </c>
      <c r="AN137" s="1738" t="n">
        <v>0.26</v>
      </c>
      <c r="AO137" s="1738" t="n">
        <v>0.31</v>
      </c>
      <c r="AP137" s="1739" t="n">
        <v>0.31</v>
      </c>
      <c r="AQ137" s="1738" t="n">
        <v>0.44</v>
      </c>
      <c r="AR137" s="1738" t="n">
        <v>0.39</v>
      </c>
      <c r="AS137" s="1738" t="n">
        <v>0.33</v>
      </c>
      <c r="AT137" s="1738" t="n">
        <v>0.27</v>
      </c>
      <c r="AU137" s="1739" t="n">
        <v>0.35</v>
      </c>
      <c r="AV137" s="1738" t="n">
        <v>0.29</v>
      </c>
      <c r="AW137" s="1738" t="n">
        <v>0.33</v>
      </c>
      <c r="AX137" s="1738" t="n">
        <v>0.24</v>
      </c>
      <c r="AY137" s="1738" t="n">
        <v>0.28</v>
      </c>
      <c r="AZ137" s="1739" t="n">
        <v>0.29</v>
      </c>
      <c r="BA137" s="1738" t="n">
        <v>0.26</v>
      </c>
      <c r="BB137" s="1738" t="n">
        <v>0.27</v>
      </c>
      <c r="BC137" s="1738" t="n">
        <v>0.2</v>
      </c>
      <c r="BD137" s="1738" t="n">
        <v>0.25</v>
      </c>
      <c r="BE137" s="1739" t="n">
        <v>0.24</v>
      </c>
      <c r="BF137" s="1738" t="n">
        <v>0.19</v>
      </c>
      <c r="BG137" s="1738" t="n">
        <v>0.28</v>
      </c>
      <c r="BH137" s="1738" t="n">
        <v>0.15</v>
      </c>
      <c r="BI137" s="1738" t="n">
        <v>0.25</v>
      </c>
      <c r="BJ137" s="1739" t="n">
        <v>0.21</v>
      </c>
      <c r="BK137" s="1738" t="n">
        <v>0.4</v>
      </c>
      <c r="BL137" s="1738" t="n">
        <v>0.19</v>
      </c>
      <c r="BM137" s="1738" t="n">
        <v>0.18</v>
      </c>
      <c r="BN137" s="1738" t="n">
        <v>0.22</v>
      </c>
      <c r="BO137" s="1740" t="n">
        <v>0.25</v>
      </c>
      <c r="BP137" s="1741" t="n"/>
      <c r="BQ137" s="1741" t="n"/>
      <c r="BR137" s="1741" t="n"/>
      <c r="BS137" s="1741" t="n"/>
      <c r="BT137" s="1737" t="n"/>
      <c r="BU137" s="1741" t="n"/>
      <c r="BV137" s="1741" t="n"/>
      <c r="BW137" s="1741" t="n"/>
      <c r="BX137" s="1741" t="n"/>
      <c r="BY137" s="1737" t="n"/>
      <c r="BZ137" s="1737" t="n"/>
      <c r="CA137" s="1737" t="n"/>
      <c r="CB137" s="1737" t="n"/>
      <c r="CC137" s="1652" t="n"/>
    </row>
    <row r="138" hidden="1" outlineLevel="2" ht="15" customFormat="1" customHeight="1" s="1644">
      <c r="A138" s="1735" t="inlineStr">
        <is>
          <t>United States net system sales as % of total net system sales, %</t>
        </is>
      </c>
      <c r="B138" s="1736" t="n"/>
      <c r="C138" s="1737" t="n"/>
      <c r="D138" s="1737" t="n"/>
      <c r="E138" s="1737" t="n"/>
      <c r="F138" s="1737" t="n"/>
      <c r="G138" s="1737" t="n"/>
      <c r="H138" s="1738" t="n">
        <v>0.25</v>
      </c>
      <c r="I138" s="1738" t="n">
        <v>0.47</v>
      </c>
      <c r="J138" s="1738" t="n">
        <v>0.4</v>
      </c>
      <c r="K138" s="1738" t="n">
        <v>0.24</v>
      </c>
      <c r="L138" s="1737">
        <f>L127/L$134</f>
        <v/>
      </c>
      <c r="M138" s="1738" t="n">
        <v>0.17</v>
      </c>
      <c r="N138" s="1738" t="n">
        <v>0.22</v>
      </c>
      <c r="O138" s="1738" t="n">
        <v>0.15</v>
      </c>
      <c r="P138" s="1738" t="n">
        <v>0.13</v>
      </c>
      <c r="Q138" s="1737">
        <f>Q127/Q$134</f>
        <v/>
      </c>
      <c r="R138" s="1738" t="n">
        <v>0.1</v>
      </c>
      <c r="S138" s="1738" t="n">
        <v>0.21</v>
      </c>
      <c r="T138" s="1738" t="n">
        <v>0.09</v>
      </c>
      <c r="U138" s="1738" t="n">
        <v>0.19</v>
      </c>
      <c r="V138" s="1737">
        <f>V127/V$134</f>
        <v/>
      </c>
      <c r="W138" s="1738" t="n">
        <v>0.08</v>
      </c>
      <c r="X138" s="1738" t="n">
        <v>0.1</v>
      </c>
      <c r="Y138" s="1738" t="n">
        <v>0.19</v>
      </c>
      <c r="Z138" s="1738" t="n">
        <v>0.12</v>
      </c>
      <c r="AA138" s="1739" t="n">
        <v>0.13</v>
      </c>
      <c r="AB138" s="1738" t="n">
        <v>0.05</v>
      </c>
      <c r="AC138" s="1738" t="n">
        <v>0.19</v>
      </c>
      <c r="AD138" s="1738" t="n">
        <v>0.05</v>
      </c>
      <c r="AE138" s="1738" t="n">
        <v>0.32</v>
      </c>
      <c r="AF138" s="1739" t="n">
        <v>0.16</v>
      </c>
      <c r="AG138" s="1738" t="n">
        <v>0.15</v>
      </c>
      <c r="AH138" s="1738" t="n">
        <v>0.1</v>
      </c>
      <c r="AI138" s="1738" t="n">
        <v>0.26</v>
      </c>
      <c r="AJ138" s="1738" t="n">
        <v>0.12</v>
      </c>
      <c r="AK138" s="1739" t="n">
        <v>0.16</v>
      </c>
      <c r="AL138" s="1738" t="n">
        <v>0.15</v>
      </c>
      <c r="AM138" s="1738" t="n">
        <v>0.17</v>
      </c>
      <c r="AN138" s="1738" t="n">
        <v>0.05</v>
      </c>
      <c r="AO138" s="1738" t="n">
        <v>0.04</v>
      </c>
      <c r="AP138" s="1739" t="n">
        <v>0.09</v>
      </c>
      <c r="AQ138" s="1738" t="n">
        <v>0.03</v>
      </c>
      <c r="AR138" s="1738" t="n">
        <v>0.06</v>
      </c>
      <c r="AS138" s="1738" t="n">
        <v>0.1</v>
      </c>
      <c r="AT138" s="1738" t="n">
        <v>0</v>
      </c>
      <c r="AU138" s="1739" t="n">
        <v>0.04</v>
      </c>
      <c r="AV138" s="1738" t="n">
        <v>0.06</v>
      </c>
      <c r="AW138" s="1738" t="n">
        <v>0.1</v>
      </c>
      <c r="AX138" s="1738" t="n">
        <v>0.05</v>
      </c>
      <c r="AY138" s="1738" t="n">
        <v>0.07000000000000001</v>
      </c>
      <c r="AZ138" s="1739" t="n">
        <v>0.07000000000000001</v>
      </c>
      <c r="BA138" s="1738" t="n">
        <v>0.15</v>
      </c>
      <c r="BB138" s="1738" t="n">
        <v>0.1</v>
      </c>
      <c r="BC138" s="1738" t="n">
        <v>0.05</v>
      </c>
      <c r="BD138" s="1738" t="n">
        <v>0.11</v>
      </c>
      <c r="BE138" s="1739" t="n">
        <v>0.1</v>
      </c>
      <c r="BF138" s="1738" t="n">
        <v>0.06</v>
      </c>
      <c r="BG138" s="1738" t="n">
        <v>0.03</v>
      </c>
      <c r="BH138" s="1738" t="n">
        <v>0.21</v>
      </c>
      <c r="BI138" s="1738" t="n">
        <v>0.28</v>
      </c>
      <c r="BJ138" s="1739" t="n">
        <v>0.17</v>
      </c>
      <c r="BK138" s="1738" t="n">
        <v>0.16</v>
      </c>
      <c r="BL138" s="1738" t="n">
        <v>0.1</v>
      </c>
      <c r="BM138" s="1738" t="n">
        <v>0.06</v>
      </c>
      <c r="BN138" s="1738" t="n">
        <v>0.17</v>
      </c>
      <c r="BO138" s="1740" t="n">
        <v>0.12</v>
      </c>
      <c r="BP138" s="1741" t="n"/>
      <c r="BQ138" s="1741" t="n"/>
      <c r="BR138" s="1741" t="n"/>
      <c r="BS138" s="1741" t="n"/>
      <c r="BT138" s="1737" t="n"/>
      <c r="BU138" s="1741" t="n"/>
      <c r="BV138" s="1741" t="n"/>
      <c r="BW138" s="1741" t="n"/>
      <c r="BX138" s="1741" t="n"/>
      <c r="BY138" s="1737" t="n"/>
      <c r="BZ138" s="1737" t="n"/>
      <c r="CA138" s="1737" t="n"/>
      <c r="CB138" s="1737" t="n"/>
      <c r="CC138" s="1652" t="n"/>
    </row>
    <row r="139" hidden="1" outlineLevel="2" ht="15" customFormat="1" customHeight="1" s="1644">
      <c r="A139" s="1735" t="inlineStr">
        <is>
          <t>EMEA net system sales as % of total net system sales, %</t>
        </is>
      </c>
      <c r="B139" s="1736" t="n"/>
      <c r="C139" s="1737" t="n"/>
      <c r="D139" s="1737" t="n"/>
      <c r="E139" s="1737" t="n"/>
      <c r="F139" s="1737" t="n"/>
      <c r="G139" s="1737" t="n"/>
      <c r="H139" s="1738" t="n">
        <v>0</v>
      </c>
      <c r="I139" s="1738" t="n">
        <v>0.01</v>
      </c>
      <c r="J139" s="1738" t="n">
        <v>0.08</v>
      </c>
      <c r="K139" s="1738" t="n">
        <v>0</v>
      </c>
      <c r="L139" s="1737">
        <f>L128/L$134</f>
        <v/>
      </c>
      <c r="M139" s="1738" t="n">
        <v>0.03</v>
      </c>
      <c r="N139" s="1738" t="n">
        <v>0.04</v>
      </c>
      <c r="O139" s="1738" t="n">
        <v>0</v>
      </c>
      <c r="P139" s="1738" t="n">
        <v>0.01</v>
      </c>
      <c r="Q139" s="1737">
        <f>Q128/Q$134</f>
        <v/>
      </c>
      <c r="R139" s="1738" t="n">
        <v>0</v>
      </c>
      <c r="S139" s="1738" t="n">
        <v>0.04</v>
      </c>
      <c r="T139" s="1738" t="n">
        <v>0.08</v>
      </c>
      <c r="U139" s="1738" t="n">
        <v>0.18</v>
      </c>
      <c r="V139" s="1737">
        <f>V128/V$134</f>
        <v/>
      </c>
      <c r="W139" s="1738" t="n">
        <v>0.08</v>
      </c>
      <c r="X139" s="1738" t="n">
        <v>0.04</v>
      </c>
      <c r="Y139" s="1738" t="n">
        <v>0.15</v>
      </c>
      <c r="Z139" s="1738" t="n">
        <v>0.12</v>
      </c>
      <c r="AA139" s="1739" t="n">
        <v>0.1</v>
      </c>
      <c r="AB139" s="1738" t="n">
        <v>0.2</v>
      </c>
      <c r="AC139" s="1738" t="n">
        <v>0.04</v>
      </c>
      <c r="AD139" s="1738" t="n">
        <v>0.02</v>
      </c>
      <c r="AE139" s="1738" t="n">
        <v>0</v>
      </c>
      <c r="AF139" s="1739" t="n">
        <v>0.06</v>
      </c>
      <c r="AG139" s="1738" t="n">
        <v>0</v>
      </c>
      <c r="AH139" s="1738" t="n">
        <v>0.03</v>
      </c>
      <c r="AI139" s="1738" t="n">
        <v>0</v>
      </c>
      <c r="AJ139" s="1738" t="n">
        <v>0.03</v>
      </c>
      <c r="AK139" s="1739" t="n">
        <v>0.02</v>
      </c>
      <c r="AL139" s="1738" t="n">
        <v>0.03</v>
      </c>
      <c r="AM139" s="1738" t="n">
        <v>0.01</v>
      </c>
      <c r="AN139" s="1738" t="n">
        <v>0.01</v>
      </c>
      <c r="AO139" s="1738" t="n">
        <v>0.08</v>
      </c>
      <c r="AP139" s="1739" t="n">
        <v>0.03</v>
      </c>
      <c r="AQ139" s="1738" t="n">
        <v>-0.06</v>
      </c>
      <c r="AR139" s="1738" t="n">
        <v>0.01</v>
      </c>
      <c r="AS139" s="1738" t="n">
        <v>0</v>
      </c>
      <c r="AT139" s="1738" t="n">
        <v>0</v>
      </c>
      <c r="AU139" s="1739" t="n">
        <v>0</v>
      </c>
      <c r="AV139" s="1738" t="n">
        <v>0.01</v>
      </c>
      <c r="AW139" s="1738" t="n">
        <v>0.02</v>
      </c>
      <c r="AX139" s="1738" t="n">
        <v>0.04</v>
      </c>
      <c r="AY139" s="1738" t="n">
        <v>0.02</v>
      </c>
      <c r="AZ139" s="1739" t="n">
        <v>0.02</v>
      </c>
      <c r="BA139" s="1738" t="n">
        <v>0.01</v>
      </c>
      <c r="BB139" s="1738" t="n">
        <v>0.02</v>
      </c>
      <c r="BC139" s="1738" t="n">
        <v>0.04</v>
      </c>
      <c r="BD139" s="1738" t="n">
        <v>0.08</v>
      </c>
      <c r="BE139" s="1739" t="n">
        <v>0.04</v>
      </c>
      <c r="BF139" s="1738" t="n">
        <v>0.2</v>
      </c>
      <c r="BG139" s="1738" t="n">
        <v>0.04</v>
      </c>
      <c r="BH139" s="1741" t="n"/>
      <c r="BI139" s="1741" t="n"/>
      <c r="BJ139" s="1739" t="n">
        <v>0.05</v>
      </c>
      <c r="BK139" s="1741" t="n"/>
      <c r="BL139" s="1738" t="n">
        <v>0.02</v>
      </c>
      <c r="BM139" s="1741" t="n"/>
      <c r="BN139" s="1741" t="n"/>
      <c r="BO139" s="1740" t="n">
        <v>0.01</v>
      </c>
      <c r="BP139" s="1741" t="n"/>
      <c r="BQ139" s="1741" t="n"/>
      <c r="BR139" s="1741" t="n"/>
      <c r="BS139" s="1741" t="n"/>
      <c r="BT139" s="1737" t="n"/>
      <c r="BU139" s="1741" t="n"/>
      <c r="BV139" s="1741" t="n"/>
      <c r="BW139" s="1741" t="n"/>
      <c r="BX139" s="1741" t="n"/>
      <c r="BY139" s="1737" t="n"/>
      <c r="BZ139" s="1737" t="n"/>
      <c r="CA139" s="1737" t="n"/>
      <c r="CB139" s="1737" t="n"/>
      <c r="CC139" s="1652" t="n"/>
    </row>
    <row r="140" hidden="1" outlineLevel="2" ht="15" customFormat="1" customHeight="1" s="1644">
      <c r="A140" s="1735" t="inlineStr">
        <is>
          <t>Rest of Asia net system sales as % of total net system sales, %</t>
        </is>
      </c>
      <c r="B140" s="1736" t="n"/>
      <c r="C140" s="1737" t="n"/>
      <c r="D140" s="1737" t="n"/>
      <c r="E140" s="1737" t="n"/>
      <c r="F140" s="1737" t="n"/>
      <c r="G140" s="1737" t="n"/>
      <c r="H140" s="1738" t="n">
        <v>0.01</v>
      </c>
      <c r="I140" s="1738" t="n">
        <v>0</v>
      </c>
      <c r="J140" s="1738" t="n">
        <v>0.09</v>
      </c>
      <c r="K140" s="1738" t="n">
        <v>0.02</v>
      </c>
      <c r="L140" s="1737">
        <f>L129/L$134</f>
        <v/>
      </c>
      <c r="M140" s="1738" t="n">
        <v>0.02</v>
      </c>
      <c r="N140" s="1738" t="n">
        <v>0</v>
      </c>
      <c r="O140" s="1738" t="n">
        <v>0.02</v>
      </c>
      <c r="P140" s="1738" t="n">
        <v>0</v>
      </c>
      <c r="Q140" s="1737">
        <f>Q129/Q$134</f>
        <v/>
      </c>
      <c r="R140" s="1738" t="n">
        <v>0.01</v>
      </c>
      <c r="S140" s="1738" t="n">
        <v>0.08</v>
      </c>
      <c r="T140" s="1738" t="n">
        <v>0.07000000000000001</v>
      </c>
      <c r="U140" s="1738" t="n">
        <v>0</v>
      </c>
      <c r="V140" s="1737">
        <f>V129/V$134</f>
        <v/>
      </c>
      <c r="W140" s="1738" t="n">
        <v>0.01</v>
      </c>
      <c r="X140" s="1738" t="n">
        <v>0.01</v>
      </c>
      <c r="Y140" s="1738" t="n">
        <v>0</v>
      </c>
      <c r="Z140" s="1738" t="n">
        <v>0.02</v>
      </c>
      <c r="AA140" s="1739" t="n">
        <v>0.01</v>
      </c>
      <c r="AB140" s="1738" t="n">
        <v>0.01</v>
      </c>
      <c r="AC140" s="1738" t="n">
        <v>0.01</v>
      </c>
      <c r="AD140" s="1738" t="n">
        <v>0.03</v>
      </c>
      <c r="AE140" s="1738" t="n">
        <v>0.01</v>
      </c>
      <c r="AF140" s="1739" t="n">
        <v>0.01</v>
      </c>
      <c r="AG140" s="1738" t="n">
        <v>0.01</v>
      </c>
      <c r="AH140" s="1738" t="n">
        <v>0</v>
      </c>
      <c r="AI140" s="1738" t="n">
        <v>0</v>
      </c>
      <c r="AJ140" s="1738" t="n">
        <v>0</v>
      </c>
      <c r="AK140" s="1739" t="n">
        <v>0</v>
      </c>
      <c r="AL140" s="1738" t="n">
        <v>0</v>
      </c>
      <c r="AM140" s="1738" t="n">
        <v>0</v>
      </c>
      <c r="AN140" s="1738" t="n">
        <v>0</v>
      </c>
      <c r="AO140" s="1738" t="n">
        <v>0</v>
      </c>
      <c r="AP140" s="1739" t="n">
        <v>0</v>
      </c>
      <c r="AQ140" s="1738" t="n">
        <v>0</v>
      </c>
      <c r="AR140" s="1738" t="n">
        <v>0</v>
      </c>
      <c r="AS140" s="1738" t="n">
        <v>0</v>
      </c>
      <c r="AT140" s="1738" t="n">
        <v>0</v>
      </c>
      <c r="AU140" s="1739" t="n">
        <v>0</v>
      </c>
      <c r="AV140" s="1738" t="n">
        <v>0.01</v>
      </c>
      <c r="AW140" s="1738" t="n">
        <v>0.01</v>
      </c>
      <c r="AX140" s="1738" t="n">
        <v>0.01</v>
      </c>
      <c r="AY140" s="1738" t="n">
        <v>0.03</v>
      </c>
      <c r="AZ140" s="1739" t="n">
        <v>0.02</v>
      </c>
      <c r="BA140" s="1738" t="n">
        <v>0</v>
      </c>
      <c r="BB140" s="1738" t="n">
        <v>0.01</v>
      </c>
      <c r="BC140" s="1738" t="n">
        <v>0.01</v>
      </c>
      <c r="BD140" s="1738" t="n">
        <v>0.01</v>
      </c>
      <c r="BE140" s="1739" t="n">
        <v>0.01</v>
      </c>
      <c r="BF140" s="1738" t="n">
        <v>0</v>
      </c>
      <c r="BG140" s="1738" t="n">
        <v>0.02</v>
      </c>
      <c r="BH140" s="1741" t="n"/>
      <c r="BI140" s="1741" t="n"/>
      <c r="BJ140" s="1739" t="n">
        <v>0.01</v>
      </c>
      <c r="BK140" s="1741" t="n"/>
      <c r="BL140" s="1738" t="n">
        <v>0.02</v>
      </c>
      <c r="BM140" s="1738" t="n">
        <v>0.03</v>
      </c>
      <c r="BN140" s="1738" t="n">
        <v>0.02</v>
      </c>
      <c r="BO140" s="1740" t="n">
        <v>0.02</v>
      </c>
      <c r="BP140" s="1741" t="n"/>
      <c r="BQ140" s="1741" t="n"/>
      <c r="BR140" s="1741" t="n"/>
      <c r="BS140" s="1741" t="n"/>
      <c r="BT140" s="1737" t="n"/>
      <c r="BU140" s="1741" t="n"/>
      <c r="BV140" s="1741" t="n"/>
      <c r="BW140" s="1741" t="n"/>
      <c r="BX140" s="1741" t="n"/>
      <c r="BY140" s="1737" t="n"/>
      <c r="BZ140" s="1737" t="n"/>
      <c r="CA140" s="1737" t="n"/>
      <c r="CB140" s="1737" t="n"/>
      <c r="CC140" s="1652" t="n"/>
    </row>
    <row r="141" hidden="1" outlineLevel="2" ht="15" customFormat="1" customHeight="1" s="1644">
      <c r="A141" s="1735" t="inlineStr">
        <is>
          <t>Japan net system sales as % of total net system sales, %</t>
        </is>
      </c>
      <c r="B141" s="1736" t="n"/>
      <c r="C141" s="1737" t="n"/>
      <c r="D141" s="1737" t="n"/>
      <c r="E141" s="1737" t="n"/>
      <c r="F141" s="1737" t="n"/>
      <c r="G141" s="1737" t="n"/>
      <c r="H141" s="1738" t="n">
        <v>0</v>
      </c>
      <c r="I141" s="1738" t="n">
        <v>0.11</v>
      </c>
      <c r="J141" s="1738" t="n">
        <v>0</v>
      </c>
      <c r="K141" s="1738" t="n">
        <v>0.13</v>
      </c>
      <c r="L141" s="1737">
        <f>L130/L$134</f>
        <v/>
      </c>
      <c r="M141" s="1738" t="n">
        <v>0.11</v>
      </c>
      <c r="N141" s="1738" t="n">
        <v>0.13</v>
      </c>
      <c r="O141" s="1738" t="n">
        <v>0.11</v>
      </c>
      <c r="P141" s="1738" t="n">
        <v>0.09</v>
      </c>
      <c r="Q141" s="1737">
        <f>Q130/Q$134</f>
        <v/>
      </c>
      <c r="R141" s="1738" t="n">
        <v>0.07000000000000001</v>
      </c>
      <c r="S141" s="1738" t="n">
        <v>0.04</v>
      </c>
      <c r="T141" s="1738" t="n">
        <v>0.05</v>
      </c>
      <c r="U141" s="1738" t="n">
        <v>0.02</v>
      </c>
      <c r="V141" s="1737">
        <f>V130/V$134</f>
        <v/>
      </c>
      <c r="W141" s="1738" t="n">
        <v>0.05</v>
      </c>
      <c r="X141" s="1738" t="n">
        <v>0.01</v>
      </c>
      <c r="Y141" s="1738" t="n">
        <v>0.01</v>
      </c>
      <c r="Z141" s="1738" t="n">
        <v>0.04</v>
      </c>
      <c r="AA141" s="1739" t="n">
        <v>0.03</v>
      </c>
      <c r="AB141" s="1738" t="n">
        <v>0</v>
      </c>
      <c r="AC141" s="1738" t="n">
        <v>0.04</v>
      </c>
      <c r="AD141" s="1738" t="n">
        <v>0.09</v>
      </c>
      <c r="AE141" s="1738" t="n">
        <v>0.03</v>
      </c>
      <c r="AF141" s="1739" t="n">
        <v>0.04</v>
      </c>
      <c r="AG141" s="1738" t="n">
        <v>0.01</v>
      </c>
      <c r="AH141" s="1738" t="n">
        <v>0.03</v>
      </c>
      <c r="AI141" s="1738" t="n">
        <v>0.02</v>
      </c>
      <c r="AJ141" s="1738" t="n">
        <v>0.04</v>
      </c>
      <c r="AK141" s="1739" t="n">
        <v>0.03</v>
      </c>
      <c r="AL141" s="1738" t="n">
        <v>0.04</v>
      </c>
      <c r="AM141" s="1738" t="n">
        <v>0</v>
      </c>
      <c r="AN141" s="1738" t="n">
        <v>0</v>
      </c>
      <c r="AO141" s="1738" t="n">
        <v>0.06</v>
      </c>
      <c r="AP141" s="1739" t="n">
        <v>0.03</v>
      </c>
      <c r="AQ141" s="1738" t="n">
        <v>0.01</v>
      </c>
      <c r="AR141" s="1738" t="n">
        <v>0.01</v>
      </c>
      <c r="AS141" s="1738" t="n">
        <v>0.01</v>
      </c>
      <c r="AT141" s="1738" t="n">
        <v>0</v>
      </c>
      <c r="AU141" s="1739" t="n">
        <v>0.01</v>
      </c>
      <c r="AV141" s="1738" t="n">
        <v>0.07000000000000001</v>
      </c>
      <c r="AW141" s="1738" t="n">
        <v>0.03</v>
      </c>
      <c r="AX141" s="1738" t="n">
        <v>0.04</v>
      </c>
      <c r="AY141" s="1738" t="n">
        <v>0.03</v>
      </c>
      <c r="AZ141" s="1739" t="n">
        <v>0.04</v>
      </c>
      <c r="BA141" s="1738" t="n">
        <v>0.01</v>
      </c>
      <c r="BB141" s="1738" t="n">
        <v>0.02</v>
      </c>
      <c r="BC141" s="1741" t="n"/>
      <c r="BD141" s="1738" t="n">
        <v>0.03</v>
      </c>
      <c r="BE141" s="1739" t="n">
        <v>0.02</v>
      </c>
      <c r="BF141" s="1738" t="n">
        <v>0</v>
      </c>
      <c r="BG141" s="1738" t="n">
        <v>0.03</v>
      </c>
      <c r="BH141" s="1738" t="n">
        <v>0.02</v>
      </c>
      <c r="BI141" s="1738" t="n">
        <v>0.1</v>
      </c>
      <c r="BJ141" s="1739" t="n">
        <v>0.04</v>
      </c>
      <c r="BK141" s="1738" t="n">
        <v>0.01</v>
      </c>
      <c r="BL141" s="1738" t="n">
        <v>0.05</v>
      </c>
      <c r="BM141" s="1738" t="n">
        <v>0.01</v>
      </c>
      <c r="BN141" s="1738" t="n">
        <v>0.1</v>
      </c>
      <c r="BO141" s="1740" t="n">
        <v>0.05</v>
      </c>
      <c r="BP141" s="1741" t="n"/>
      <c r="BQ141" s="1741" t="n"/>
      <c r="BR141" s="1741" t="n"/>
      <c r="BS141" s="1741" t="n"/>
      <c r="BT141" s="1737" t="n"/>
      <c r="BU141" s="1741" t="n"/>
      <c r="BV141" s="1741" t="n"/>
      <c r="BW141" s="1741" t="n"/>
      <c r="BX141" s="1741" t="n"/>
      <c r="BY141" s="1737" t="n"/>
      <c r="BZ141" s="1737" t="n"/>
      <c r="CA141" s="1737" t="n"/>
      <c r="CB141" s="1737" t="n"/>
      <c r="CC141" s="1652" t="n"/>
    </row>
    <row r="142" hidden="1" outlineLevel="2" ht="15" customFormat="1" customHeight="1" s="1644">
      <c r="A142" s="1735" t="inlineStr">
        <is>
          <t>China net system sales as % of total net system sales, %</t>
        </is>
      </c>
      <c r="B142" s="1736" t="n"/>
      <c r="C142" s="1737" t="n"/>
      <c r="D142" s="1737" t="n"/>
      <c r="E142" s="1737" t="n"/>
      <c r="F142" s="1737" t="n"/>
      <c r="G142" s="1737" t="n"/>
      <c r="H142" s="1738" t="n">
        <v>0.23</v>
      </c>
      <c r="I142" s="1738" t="n">
        <v>0.04</v>
      </c>
      <c r="J142" s="1738" t="n">
        <v>0.07000000000000001</v>
      </c>
      <c r="K142" s="1738" t="n">
        <v>0</v>
      </c>
      <c r="L142" s="1737">
        <f>L131/L$134</f>
        <v/>
      </c>
      <c r="M142" s="1738" t="n">
        <v>0.11</v>
      </c>
      <c r="N142" s="1738" t="n">
        <v>0.03</v>
      </c>
      <c r="O142" s="1738" t="n">
        <v>0.14</v>
      </c>
      <c r="P142" s="1738" t="n">
        <v>0.1</v>
      </c>
      <c r="Q142" s="1737">
        <f>Q131/Q$134</f>
        <v/>
      </c>
      <c r="R142" s="1738" t="n">
        <v>0.35</v>
      </c>
      <c r="S142" s="1738" t="n">
        <v>0.15</v>
      </c>
      <c r="T142" s="1738" t="n">
        <v>0.06</v>
      </c>
      <c r="U142" s="1738" t="n">
        <v>0.03</v>
      </c>
      <c r="V142" s="1737">
        <f>V131/V$134</f>
        <v/>
      </c>
      <c r="W142" s="1738" t="n">
        <v>0.26</v>
      </c>
      <c r="X142" s="1738" t="n">
        <v>0.06</v>
      </c>
      <c r="Y142" s="1738" t="n">
        <v>0.08</v>
      </c>
      <c r="Z142" s="1738" t="n">
        <v>0.09</v>
      </c>
      <c r="AA142" s="1739" t="n">
        <v>0.11</v>
      </c>
      <c r="AB142" s="1738" t="n">
        <v>0.2</v>
      </c>
      <c r="AC142" s="1738" t="n">
        <v>0.19</v>
      </c>
      <c r="AD142" s="1738" t="n">
        <v>0.18</v>
      </c>
      <c r="AE142" s="1738" t="n">
        <v>0.18</v>
      </c>
      <c r="AF142" s="1739" t="n">
        <v>0.19</v>
      </c>
      <c r="AG142" s="1738" t="n">
        <v>0.15</v>
      </c>
      <c r="AH142" s="1738" t="n">
        <v>0.12</v>
      </c>
      <c r="AI142" s="1738" t="n">
        <v>0.07000000000000001</v>
      </c>
      <c r="AJ142" s="1738" t="n">
        <v>0.14</v>
      </c>
      <c r="AK142" s="1739" t="n">
        <v>0.12</v>
      </c>
      <c r="AL142" s="1738" t="n">
        <v>0.19</v>
      </c>
      <c r="AM142" s="1738" t="n">
        <v>0.23</v>
      </c>
      <c r="AN142" s="1738" t="n">
        <v>0.21</v>
      </c>
      <c r="AO142" s="1738" t="n">
        <v>0.12</v>
      </c>
      <c r="AP142" s="1739" t="n">
        <v>0.18</v>
      </c>
      <c r="AQ142" s="1738" t="n">
        <v>0.15</v>
      </c>
      <c r="AR142" s="1738" t="n">
        <v>0.17</v>
      </c>
      <c r="AS142" s="1738" t="n">
        <v>0.1</v>
      </c>
      <c r="AT142" s="1738" t="n">
        <v>0.22</v>
      </c>
      <c r="AU142" s="1739" t="n">
        <v>0.16</v>
      </c>
      <c r="AV142" s="1738" t="n">
        <v>0.34</v>
      </c>
      <c r="AW142" s="1738" t="n">
        <v>0.1</v>
      </c>
      <c r="AX142" s="1738" t="n">
        <v>0.15</v>
      </c>
      <c r="AY142" s="1738" t="n">
        <v>0.09</v>
      </c>
      <c r="AZ142" s="1739" t="n">
        <v>0.14</v>
      </c>
      <c r="BA142" s="1738" t="n">
        <v>0.08</v>
      </c>
      <c r="BB142" s="1738" t="n">
        <v>0.24</v>
      </c>
      <c r="BC142" s="1738" t="n">
        <v>0.46</v>
      </c>
      <c r="BD142" s="1738" t="n">
        <v>0.39</v>
      </c>
      <c r="BE142" s="1739" t="n">
        <v>0.29</v>
      </c>
      <c r="BF142" s="1738" t="n">
        <v>0.49</v>
      </c>
      <c r="BG142" s="1738" t="n">
        <v>0.49</v>
      </c>
      <c r="BH142" s="1738" t="n">
        <v>0.47</v>
      </c>
      <c r="BI142" s="1738" t="n">
        <v>0.27</v>
      </c>
      <c r="BJ142" s="1739" t="n">
        <v>0.41</v>
      </c>
      <c r="BK142" s="1738" t="n">
        <v>0.27</v>
      </c>
      <c r="BL142" s="1738" t="n">
        <v>0.27</v>
      </c>
      <c r="BM142" s="1738" t="n">
        <v>0.42</v>
      </c>
      <c r="BN142" s="1738" t="n">
        <v>0.36</v>
      </c>
      <c r="BO142" s="1740" t="n">
        <v>0.33</v>
      </c>
      <c r="BP142" s="1741" t="n"/>
      <c r="BQ142" s="1741" t="n"/>
      <c r="BR142" s="1741" t="n"/>
      <c r="BS142" s="1741" t="n"/>
      <c r="BT142" s="1737" t="n"/>
      <c r="BU142" s="1741" t="n"/>
      <c r="BV142" s="1741" t="n"/>
      <c r="BW142" s="1741" t="n"/>
      <c r="BX142" s="1741" t="n"/>
      <c r="BY142" s="1737" t="n"/>
      <c r="BZ142" s="1737" t="n"/>
      <c r="CA142" s="1737" t="n"/>
      <c r="CB142" s="1737" t="n"/>
      <c r="CC142" s="1652" t="n"/>
    </row>
    <row r="143" hidden="1" outlineLevel="2" ht="15" customFormat="1" customHeight="1" s="1644">
      <c r="A143" s="1735" t="inlineStr">
        <is>
          <t>Singapore net system sales as % of total net system sales, %</t>
        </is>
      </c>
      <c r="B143" s="1736" t="n"/>
      <c r="C143" s="1737" t="n"/>
      <c r="D143" s="1737" t="n"/>
      <c r="E143" s="1737" t="n"/>
      <c r="F143" s="1737" t="n"/>
      <c r="G143" s="1737" t="n"/>
      <c r="H143" s="1741" t="n"/>
      <c r="I143" s="1741" t="n"/>
      <c r="J143" s="1741" t="n"/>
      <c r="K143" s="1741" t="n"/>
      <c r="L143" s="1737" t="n"/>
      <c r="M143" s="1741" t="n"/>
      <c r="N143" s="1741" t="n"/>
      <c r="O143" s="1741" t="n"/>
      <c r="P143" s="1741" t="n"/>
      <c r="Q143" s="1737" t="n"/>
      <c r="R143" s="1741" t="n"/>
      <c r="S143" s="1741" t="n"/>
      <c r="T143" s="1741" t="n"/>
      <c r="U143" s="1741" t="n"/>
      <c r="V143" s="1737" t="n"/>
      <c r="W143" s="1741" t="n"/>
      <c r="X143" s="1741" t="n"/>
      <c r="Y143" s="1741" t="n"/>
      <c r="Z143" s="1741" t="n"/>
      <c r="AA143" s="1737" t="n"/>
      <c r="AB143" s="1741" t="n"/>
      <c r="AC143" s="1741" t="n"/>
      <c r="AD143" s="1741" t="n"/>
      <c r="AE143" s="1741" t="n"/>
      <c r="AF143" s="1737" t="n"/>
      <c r="AG143" s="1741" t="n"/>
      <c r="AH143" s="1741" t="n"/>
      <c r="AI143" s="1741" t="n"/>
      <c r="AJ143" s="1741" t="n"/>
      <c r="AK143" s="1737" t="n"/>
      <c r="AL143" s="1741" t="n"/>
      <c r="AM143" s="1741" t="n"/>
      <c r="AN143" s="1741" t="n"/>
      <c r="AO143" s="1741" t="n"/>
      <c r="AP143" s="1737" t="n"/>
      <c r="AQ143" s="1741" t="n"/>
      <c r="AR143" s="1741" t="n"/>
      <c r="AS143" s="1741" t="n"/>
      <c r="AT143" s="1741" t="n"/>
      <c r="AU143" s="1737" t="n"/>
      <c r="AV143" s="1741" t="n"/>
      <c r="AW143" s="1741" t="n"/>
      <c r="AX143" s="1741" t="n"/>
      <c r="AY143" s="1741" t="n"/>
      <c r="AZ143" s="1737" t="n"/>
      <c r="BA143" s="1741" t="n"/>
      <c r="BB143" s="1741" t="n"/>
      <c r="BC143" s="1741" t="n"/>
      <c r="BD143" s="1741" t="n"/>
      <c r="BE143" s="1737" t="n"/>
      <c r="BF143" s="1741" t="n"/>
      <c r="BG143" s="1741" t="n"/>
      <c r="BH143" s="1741" t="n"/>
      <c r="BI143" s="1741" t="n"/>
      <c r="BJ143" s="1737" t="n"/>
      <c r="BK143" s="1741" t="n"/>
      <c r="BL143" s="1741" t="n"/>
      <c r="BM143" s="1741" t="n"/>
      <c r="BN143" s="1741" t="n"/>
      <c r="BO143" s="1742" t="n"/>
      <c r="BP143" s="1741" t="n"/>
      <c r="BQ143" s="1741" t="n"/>
      <c r="BR143" s="1741" t="n"/>
      <c r="BS143" s="1741" t="n"/>
      <c r="BT143" s="1737" t="n"/>
      <c r="BU143" s="1741" t="n"/>
      <c r="BV143" s="1741" t="n"/>
      <c r="BW143" s="1741" t="n"/>
      <c r="BX143" s="1741" t="n"/>
      <c r="BY143" s="1737" t="n"/>
      <c r="BZ143" s="1737" t="n"/>
      <c r="CA143" s="1737" t="n"/>
      <c r="CB143" s="1737" t="n"/>
      <c r="CC143" s="1652" t="n"/>
    </row>
    <row r="144" hidden="1" outlineLevel="2" ht="15" customFormat="1" customHeight="1" s="1644">
      <c r="A144" s="1735" t="inlineStr">
        <is>
          <t>Netherlands net system sales as % of total net system sales, %</t>
        </is>
      </c>
      <c r="B144" s="1736" t="n"/>
      <c r="C144" s="1737" t="n"/>
      <c r="D144" s="1737" t="n"/>
      <c r="E144" s="1737" t="n"/>
      <c r="F144" s="1737" t="n"/>
      <c r="G144" s="1737" t="n"/>
      <c r="H144" s="1741" t="n"/>
      <c r="I144" s="1741" t="n"/>
      <c r="J144" s="1741" t="n"/>
      <c r="K144" s="1741" t="n"/>
      <c r="L144" s="1737" t="n"/>
      <c r="M144" s="1741" t="n"/>
      <c r="N144" s="1741" t="n"/>
      <c r="O144" s="1741" t="n"/>
      <c r="P144" s="1741" t="n"/>
      <c r="Q144" s="1737" t="n"/>
      <c r="R144" s="1741" t="n"/>
      <c r="S144" s="1741" t="n"/>
      <c r="T144" s="1741" t="n"/>
      <c r="U144" s="1741" t="n"/>
      <c r="V144" s="1737" t="n"/>
      <c r="W144" s="1741" t="n"/>
      <c r="X144" s="1741" t="n"/>
      <c r="Y144" s="1741" t="n"/>
      <c r="Z144" s="1741" t="n"/>
      <c r="AA144" s="1737" t="n"/>
      <c r="AB144" s="1741" t="n"/>
      <c r="AC144" s="1741" t="n"/>
      <c r="AD144" s="1741" t="n"/>
      <c r="AE144" s="1741" t="n"/>
      <c r="AF144" s="1737" t="n"/>
      <c r="AG144" s="1741" t="n"/>
      <c r="AH144" s="1741" t="n"/>
      <c r="AI144" s="1741" t="n"/>
      <c r="AJ144" s="1741" t="n"/>
      <c r="AK144" s="1737" t="n"/>
      <c r="AL144" s="1741" t="n"/>
      <c r="AM144" s="1741" t="n"/>
      <c r="AN144" s="1741" t="n"/>
      <c r="AO144" s="1741" t="n"/>
      <c r="AP144" s="1737" t="n"/>
      <c r="AQ144" s="1741" t="n"/>
      <c r="AR144" s="1741" t="n"/>
      <c r="AS144" s="1741" t="n"/>
      <c r="AT144" s="1741" t="n"/>
      <c r="AU144" s="1737" t="n"/>
      <c r="AV144" s="1741" t="n"/>
      <c r="AW144" s="1741" t="n"/>
      <c r="AX144" s="1741" t="n"/>
      <c r="AY144" s="1741" t="n"/>
      <c r="AZ144" s="1737" t="n"/>
      <c r="BA144" s="1741" t="n"/>
      <c r="BB144" s="1741" t="n"/>
      <c r="BC144" s="1741" t="n"/>
      <c r="BD144" s="1741" t="n"/>
      <c r="BE144" s="1737" t="n"/>
      <c r="BF144" s="1741" t="n"/>
      <c r="BG144" s="1741" t="n"/>
      <c r="BH144" s="1741" t="n"/>
      <c r="BI144" s="1741" t="n"/>
      <c r="BJ144" s="1737" t="n"/>
      <c r="BK144" s="1741" t="n"/>
      <c r="BL144" s="1741" t="n"/>
      <c r="BM144" s="1741" t="n"/>
      <c r="BN144" s="1741" t="n"/>
      <c r="BO144" s="1742" t="n"/>
      <c r="BP144" s="1741" t="n"/>
      <c r="BQ144" s="1741" t="n"/>
      <c r="BR144" s="1741" t="n"/>
      <c r="BS144" s="1741" t="n"/>
      <c r="BT144" s="1737" t="n"/>
      <c r="BU144" s="1741" t="n"/>
      <c r="BV144" s="1741" t="n"/>
      <c r="BW144" s="1741" t="n"/>
      <c r="BX144" s="1741" t="n"/>
      <c r="BY144" s="1737" t="n"/>
      <c r="BZ144" s="1737" t="n"/>
      <c r="CA144" s="1737" t="n"/>
      <c r="CB144" s="1737" t="n"/>
      <c r="CC144" s="1652" t="n"/>
    </row>
    <row r="145" hidden="1" outlineLevel="2" ht="15" customFormat="1" customHeight="1" s="1660">
      <c r="A145" s="1743" t="inlineStr">
        <is>
          <t>Total net system sales by region, %</t>
        </is>
      </c>
      <c r="B145" s="1744" t="n"/>
      <c r="C145" s="1745">
        <f>C134/C134</f>
        <v/>
      </c>
      <c r="D145" s="1745">
        <f>D134/D134</f>
        <v/>
      </c>
      <c r="E145" s="1745">
        <f>E134/E134</f>
        <v/>
      </c>
      <c r="F145" s="1745">
        <f>F134/F134</f>
        <v/>
      </c>
      <c r="G145" s="1745">
        <f>G134/G134</f>
        <v/>
      </c>
      <c r="H145" s="1746">
        <f>SUM(H136:H144)</f>
        <v/>
      </c>
      <c r="I145" s="1746">
        <f>SUM(I136:I144)</f>
        <v/>
      </c>
      <c r="J145" s="1746">
        <f>SUM(J136:J144)</f>
        <v/>
      </c>
      <c r="K145" s="1746">
        <f>SUM(K136:K144)</f>
        <v/>
      </c>
      <c r="L145" s="1745">
        <f>SUM(L136:L144)</f>
        <v/>
      </c>
      <c r="M145" s="1746">
        <f>SUM(M136:M144)</f>
        <v/>
      </c>
      <c r="N145" s="1746">
        <f>SUM(N136:N144)</f>
        <v/>
      </c>
      <c r="O145" s="1746">
        <f>SUM(O136:O144)</f>
        <v/>
      </c>
      <c r="P145" s="1746">
        <f>SUM(P136:P144)</f>
        <v/>
      </c>
      <c r="Q145" s="1745">
        <f>SUM(Q136:Q144)</f>
        <v/>
      </c>
      <c r="R145" s="1746">
        <f>SUM(R136:R144)</f>
        <v/>
      </c>
      <c r="S145" s="1746">
        <f>SUM(S136:S144)</f>
        <v/>
      </c>
      <c r="T145" s="1746">
        <f>SUM(T136:T144)</f>
        <v/>
      </c>
      <c r="U145" s="1746">
        <f>SUM(U136:U144)</f>
        <v/>
      </c>
      <c r="V145" s="1745">
        <f>SUM(V136:V144)</f>
        <v/>
      </c>
      <c r="W145" s="1746">
        <f>SUM(W136:W144)</f>
        <v/>
      </c>
      <c r="X145" s="1746">
        <f>SUM(X136:X144)</f>
        <v/>
      </c>
      <c r="Y145" s="1746">
        <f>SUM(Y136:Y144)</f>
        <v/>
      </c>
      <c r="Z145" s="1746">
        <f>SUM(Z136:Z144)</f>
        <v/>
      </c>
      <c r="AA145" s="1747">
        <f>SUM(AA136:AA144)</f>
        <v/>
      </c>
      <c r="AB145" s="1746">
        <f>SUM(AB136:AB144)</f>
        <v/>
      </c>
      <c r="AC145" s="1746">
        <f>SUM(AC136:AC144)</f>
        <v/>
      </c>
      <c r="AD145" s="1746">
        <f>SUM(AD136:AD144)</f>
        <v/>
      </c>
      <c r="AE145" s="1746">
        <f>SUM(AE136:AE144)</f>
        <v/>
      </c>
      <c r="AF145" s="1747">
        <f>SUM(AF136:AF144)</f>
        <v/>
      </c>
      <c r="AG145" s="1746">
        <f>SUM(AG136:AG144)</f>
        <v/>
      </c>
      <c r="AH145" s="1746">
        <f>SUM(AH136:AH144)</f>
        <v/>
      </c>
      <c r="AI145" s="1746">
        <f>SUM(AI136:AI144)</f>
        <v/>
      </c>
      <c r="AJ145" s="1746">
        <f>SUM(AJ136:AJ144)</f>
        <v/>
      </c>
      <c r="AK145" s="1747">
        <f>SUM(AK136:AK144)</f>
        <v/>
      </c>
      <c r="AL145" s="1746">
        <f>SUM(AL136:AL144)</f>
        <v/>
      </c>
      <c r="AM145" s="1746">
        <f>SUM(AM136:AM144)</f>
        <v/>
      </c>
      <c r="AN145" s="1746">
        <f>SUM(AN136:AN144)</f>
        <v/>
      </c>
      <c r="AO145" s="1746">
        <f>SUM(AO136:AO144)</f>
        <v/>
      </c>
      <c r="AP145" s="1747">
        <f>SUM(AP136:AP144)</f>
        <v/>
      </c>
      <c r="AQ145" s="1746">
        <f>SUM(AQ136:AQ144)</f>
        <v/>
      </c>
      <c r="AR145" s="1746">
        <f>SUM(AR136:AR144)</f>
        <v/>
      </c>
      <c r="AS145" s="1746">
        <f>SUM(AS136:AS144)</f>
        <v/>
      </c>
      <c r="AT145" s="1746">
        <f>SUM(AT136:AT144)</f>
        <v/>
      </c>
      <c r="AU145" s="1747">
        <f>SUM(AU136:AU144)</f>
        <v/>
      </c>
      <c r="AV145" s="1746">
        <f>SUM(AV136:AV144)</f>
        <v/>
      </c>
      <c r="AW145" s="1746">
        <f>SUM(AW136:AW144)</f>
        <v/>
      </c>
      <c r="AX145" s="1746">
        <f>SUM(AX136:AX144)</f>
        <v/>
      </c>
      <c r="AY145" s="1746">
        <f>SUM(AY136:AY144)</f>
        <v/>
      </c>
      <c r="AZ145" s="1747">
        <f>SUM(AZ136:AZ144)</f>
        <v/>
      </c>
      <c r="BA145" s="1746">
        <f>SUM(BA136:BA144)</f>
        <v/>
      </c>
      <c r="BB145" s="1746">
        <f>SUM(BB136:BB144)</f>
        <v/>
      </c>
      <c r="BC145" s="1746">
        <f>SUM(BC136:BC144)</f>
        <v/>
      </c>
      <c r="BD145" s="1746">
        <f>SUM(BD136:BD144)</f>
        <v/>
      </c>
      <c r="BE145" s="1747">
        <f>SUM(BE136:BE144)</f>
        <v/>
      </c>
      <c r="BF145" s="1746">
        <f>SUM(BF136:BF144)</f>
        <v/>
      </c>
      <c r="BG145" s="1746">
        <f>SUM(BG136:BG144)</f>
        <v/>
      </c>
      <c r="BH145" s="1746">
        <f>SUM(BH136:BH144)</f>
        <v/>
      </c>
      <c r="BI145" s="1746">
        <f>SUM(BI136:BI144)</f>
        <v/>
      </c>
      <c r="BJ145" s="1747">
        <f>SUM(BJ136:BJ144)</f>
        <v/>
      </c>
      <c r="BK145" s="1746">
        <f>SUM(BK136:BK144)</f>
        <v/>
      </c>
      <c r="BL145" s="1746">
        <f>SUM(BL136:BL144)</f>
        <v/>
      </c>
      <c r="BM145" s="1746">
        <f>SUM(BM136:BM144)</f>
        <v/>
      </c>
      <c r="BN145" s="1746">
        <f>SUM(BN136:BN144)</f>
        <v/>
      </c>
      <c r="BO145" s="1748">
        <f>SUM(BO136:BO144)</f>
        <v/>
      </c>
      <c r="BP145" s="1749" t="n"/>
      <c r="BQ145" s="1749" t="n"/>
      <c r="BR145" s="1749" t="n"/>
      <c r="BS145" s="1749" t="n"/>
      <c r="BT145" s="1745" t="n"/>
      <c r="BU145" s="1749" t="n"/>
      <c r="BV145" s="1749" t="n"/>
      <c r="BW145" s="1749" t="n"/>
      <c r="BX145" s="1749" t="n"/>
      <c r="BY145" s="1745" t="n"/>
      <c r="BZ145" s="1745" t="n"/>
      <c r="CA145" s="1745" t="n"/>
      <c r="CB145" s="1745" t="n"/>
      <c r="CC145" s="1668" t="n"/>
    </row>
    <row r="146" hidden="1" outlineLevel="2" ht="15" customFormat="1" customHeight="1" s="1660">
      <c r="A146" s="1729" t="n"/>
      <c r="B146" s="1730" t="n"/>
      <c r="C146" s="1731" t="n"/>
      <c r="D146" s="1731" t="n"/>
      <c r="E146" s="1731" t="n"/>
      <c r="F146" s="1731" t="n"/>
      <c r="G146" s="1731" t="n"/>
      <c r="H146" s="1732" t="n"/>
      <c r="I146" s="1732" t="n"/>
      <c r="J146" s="1732" t="n"/>
      <c r="K146" s="1732" t="n"/>
      <c r="L146" s="1731" t="n"/>
      <c r="M146" s="1732" t="n"/>
      <c r="N146" s="1732" t="n"/>
      <c r="O146" s="1732" t="n"/>
      <c r="P146" s="1732" t="n"/>
      <c r="Q146" s="1731" t="n"/>
      <c r="R146" s="1732" t="n"/>
      <c r="S146" s="1732" t="n"/>
      <c r="T146" s="1732" t="n"/>
      <c r="U146" s="1732" t="n"/>
      <c r="V146" s="1731" t="n"/>
      <c r="W146" s="1732" t="n"/>
      <c r="X146" s="1732" t="n"/>
      <c r="Y146" s="1732" t="n"/>
      <c r="Z146" s="1732" t="n"/>
      <c r="AA146" s="1731" t="n"/>
      <c r="AB146" s="1732" t="n"/>
      <c r="AC146" s="1732" t="n"/>
      <c r="AD146" s="1732" t="n"/>
      <c r="AE146" s="1732" t="n"/>
      <c r="AF146" s="1731" t="n"/>
      <c r="AG146" s="1732" t="n"/>
      <c r="AH146" s="1732" t="n"/>
      <c r="AI146" s="1732" t="n"/>
      <c r="AJ146" s="1732" t="n"/>
      <c r="AK146" s="1731" t="n"/>
      <c r="AL146" s="1732" t="n"/>
      <c r="AM146" s="1732" t="n"/>
      <c r="AN146" s="1732" t="n"/>
      <c r="AO146" s="1732" t="n"/>
      <c r="AP146" s="1731" t="n"/>
      <c r="AQ146" s="1732" t="n"/>
      <c r="AR146" s="1732" t="n"/>
      <c r="AS146" s="1732" t="n"/>
      <c r="AT146" s="1732" t="n"/>
      <c r="AU146" s="1731" t="n"/>
      <c r="AV146" s="1732" t="n"/>
      <c r="AW146" s="1732" t="n"/>
      <c r="AX146" s="1732" t="n"/>
      <c r="AY146" s="1732" t="n"/>
      <c r="AZ146" s="1731" t="n"/>
      <c r="BA146" s="1732" t="n"/>
      <c r="BB146" s="1732" t="n"/>
      <c r="BC146" s="1732" t="n"/>
      <c r="BD146" s="1732" t="n"/>
      <c r="BE146" s="1731" t="n"/>
      <c r="BF146" s="1732" t="n"/>
      <c r="BG146" s="1732" t="n"/>
      <c r="BH146" s="1732" t="n"/>
      <c r="BI146" s="1732" t="n"/>
      <c r="BJ146" s="1731" t="n"/>
      <c r="BK146" s="1732" t="n"/>
      <c r="BL146" s="1732" t="n"/>
      <c r="BM146" s="1732" t="n"/>
      <c r="BN146" s="1732" t="n"/>
      <c r="BO146" s="1733" t="n"/>
      <c r="BP146" s="1732" t="n"/>
      <c r="BQ146" s="1732" t="n"/>
      <c r="BR146" s="1732" t="n"/>
      <c r="BS146" s="1732" t="n"/>
      <c r="BT146" s="1731" t="n"/>
      <c r="BU146" s="1732" t="n"/>
      <c r="BV146" s="1732" t="n"/>
      <c r="BW146" s="1732" t="n"/>
      <c r="BX146" s="1732" t="n"/>
      <c r="BY146" s="1731" t="n"/>
      <c r="BZ146" s="1731" t="n"/>
      <c r="CA146" s="1731" t="n"/>
      <c r="CB146" s="1731" t="n"/>
      <c r="CC146" s="1668" t="n"/>
    </row>
    <row r="147" hidden="1" outlineLevel="2" ht="15" customFormat="1" customHeight="1" s="1574">
      <c r="A147" s="1693" t="inlineStr">
        <is>
          <t>Cumulative Installed base management sales, mm</t>
        </is>
      </c>
      <c r="B147" s="1576" t="n"/>
      <c r="C147" s="1580" t="n">
        <v>421</v>
      </c>
      <c r="D147" s="1580" t="n">
        <v>613</v>
      </c>
      <c r="E147" s="1580" t="n">
        <v>767</v>
      </c>
      <c r="F147" s="1580" t="n">
        <v>930</v>
      </c>
      <c r="G147" s="1580" t="n">
        <v>1252</v>
      </c>
      <c r="H147" s="1579" t="n">
        <v>367</v>
      </c>
      <c r="I147" s="1579" t="n">
        <v>767</v>
      </c>
      <c r="J147" s="1579" t="n">
        <v>1205</v>
      </c>
      <c r="K147" s="1579" t="n">
        <v>1614</v>
      </c>
      <c r="L147" s="1750">
        <f>K147</f>
        <v/>
      </c>
      <c r="M147" s="1579" t="n">
        <v>403</v>
      </c>
      <c r="N147" s="1579" t="n">
        <v>923</v>
      </c>
      <c r="O147" s="1579" t="n">
        <v>1497</v>
      </c>
      <c r="P147" s="1579" t="n">
        <v>2050</v>
      </c>
      <c r="Q147" s="1750">
        <f>P147</f>
        <v/>
      </c>
      <c r="R147" s="1579" t="n">
        <v>477</v>
      </c>
      <c r="S147" s="1579" t="n">
        <v>963</v>
      </c>
      <c r="T147" s="1579" t="n">
        <v>1540</v>
      </c>
      <c r="U147" s="1579" t="n">
        <v>2224</v>
      </c>
      <c r="V147" s="1750">
        <f>U147</f>
        <v/>
      </c>
      <c r="W147" s="1579" t="n">
        <v>728</v>
      </c>
      <c r="X147" s="1579" t="n">
        <v>1445</v>
      </c>
      <c r="Y147" s="1579" t="n">
        <v>2073</v>
      </c>
      <c r="Z147" s="1579" t="n">
        <v>2679</v>
      </c>
      <c r="AA147" s="1750">
        <f>Z147</f>
        <v/>
      </c>
      <c r="AB147" s="1579" t="n">
        <v>617</v>
      </c>
      <c r="AC147" s="1579" t="n">
        <v>1271</v>
      </c>
      <c r="AD147" s="1579" t="n">
        <v>1966</v>
      </c>
      <c r="AE147" s="1751">
        <f>AF147</f>
        <v/>
      </c>
      <c r="AF147" s="1580" t="n">
        <v>2685</v>
      </c>
      <c r="AG147" s="1579" t="n">
        <v>540</v>
      </c>
      <c r="AH147" s="1579" t="n">
        <v>1257</v>
      </c>
      <c r="AI147" s="1579" t="n">
        <v>1918</v>
      </c>
      <c r="AJ147" s="1751">
        <f>AK147</f>
        <v/>
      </c>
      <c r="AK147" s="1580" t="n">
        <v>2824</v>
      </c>
      <c r="AL147" s="1579" t="n">
        <v>857</v>
      </c>
      <c r="AM147" s="1579" t="n">
        <v>1744</v>
      </c>
      <c r="AN147" s="1579" t="n">
        <v>2606</v>
      </c>
      <c r="AO147" s="1751">
        <f>AP147</f>
        <v/>
      </c>
      <c r="AP147" s="1580" t="n">
        <v>3662</v>
      </c>
      <c r="AQ147" s="1579" t="n">
        <v>1235</v>
      </c>
      <c r="AR147" s="1579" t="n">
        <v>2306</v>
      </c>
      <c r="AS147" s="1579" t="n">
        <v>3436</v>
      </c>
      <c r="AT147" s="1751">
        <f>AU147</f>
        <v/>
      </c>
      <c r="AU147" s="1580" t="n">
        <v>4958</v>
      </c>
      <c r="AV147" s="1579" t="n">
        <v>1247</v>
      </c>
      <c r="AW147" s="1579" t="n">
        <v>2537</v>
      </c>
      <c r="AX147" s="1579" t="n">
        <v>4060</v>
      </c>
      <c r="AY147" s="1751">
        <f>AZ147</f>
        <v/>
      </c>
      <c r="AZ147" s="1580" t="n">
        <v>5743</v>
      </c>
      <c r="BA147" s="1579" t="n">
        <v>1404</v>
      </c>
      <c r="BB147" s="1579" t="n">
        <v>2701</v>
      </c>
      <c r="BC147" s="1579" t="n">
        <v>4066</v>
      </c>
      <c r="BD147" s="1751">
        <f>BE147</f>
        <v/>
      </c>
      <c r="BE147" s="1580" t="n">
        <v>5620</v>
      </c>
      <c r="BF147" s="1579" t="n">
        <v>1324</v>
      </c>
      <c r="BG147" s="1579" t="n">
        <v>2806</v>
      </c>
      <c r="BH147" s="1579" t="n">
        <v>4347</v>
      </c>
      <c r="BI147" s="1751">
        <f>BJ147</f>
        <v/>
      </c>
      <c r="BJ147" s="1580" t="n">
        <v>6494</v>
      </c>
      <c r="BK147" s="1579" t="n">
        <v>2001</v>
      </c>
      <c r="BL147" s="1579" t="n">
        <v>4096.7</v>
      </c>
      <c r="BM147" s="1579" t="n">
        <v>6059</v>
      </c>
      <c r="BN147" s="1751">
        <f>BO147</f>
        <v/>
      </c>
      <c r="BO147" s="1591" t="n">
        <v>8193</v>
      </c>
      <c r="BP147" s="1578" t="n"/>
      <c r="BQ147" s="1578" t="n"/>
      <c r="BR147" s="1578" t="n"/>
      <c r="BS147" s="1578" t="n"/>
      <c r="BT147" s="1577" t="n"/>
      <c r="BU147" s="1578" t="n"/>
      <c r="BV147" s="1578" t="n"/>
      <c r="BW147" s="1578" t="n"/>
      <c r="BX147" s="1578" t="n"/>
      <c r="BY147" s="1577" t="n"/>
      <c r="BZ147" s="1577" t="n"/>
      <c r="CA147" s="1577" t="n"/>
      <c r="CB147" s="1577" t="n"/>
      <c r="CC147" s="1582" t="n"/>
    </row>
    <row r="148" hidden="1" outlineLevel="2" ht="15" customFormat="1" customHeight="1" s="1574">
      <c r="A148" s="1752" t="inlineStr">
        <is>
          <t>Cumulative Foundry sales, mm</t>
        </is>
      </c>
      <c r="B148" s="1576" t="n"/>
      <c r="C148" s="1580" t="n">
        <v>315</v>
      </c>
      <c r="D148" s="1580" t="n">
        <v>944</v>
      </c>
      <c r="E148" s="1580" t="n">
        <v>1856</v>
      </c>
      <c r="F148" s="1580" t="n">
        <v>2279</v>
      </c>
      <c r="G148" s="1580" t="n">
        <v>2064</v>
      </c>
      <c r="H148" s="1579" t="n">
        <v>145</v>
      </c>
      <c r="I148" s="1579" t="n">
        <v>473</v>
      </c>
      <c r="J148" s="1579" t="n">
        <v>913</v>
      </c>
      <c r="K148" s="1579" t="n">
        <v>1186</v>
      </c>
      <c r="L148" s="1750">
        <f>K148</f>
        <v/>
      </c>
      <c r="M148" s="1579" t="n">
        <v>414</v>
      </c>
      <c r="N148" s="1579" t="n">
        <v>872</v>
      </c>
      <c r="O148" s="1579" t="n">
        <v>1218</v>
      </c>
      <c r="P148" s="1579" t="n">
        <v>1608</v>
      </c>
      <c r="Q148" s="1750">
        <f>P148</f>
        <v/>
      </c>
      <c r="R148" s="1579" t="n">
        <v>409</v>
      </c>
      <c r="S148" s="1579" t="n">
        <v>915</v>
      </c>
      <c r="T148" s="1579" t="n">
        <v>1731</v>
      </c>
      <c r="U148" s="1579" t="n">
        <v>2155</v>
      </c>
      <c r="V148" s="1750">
        <f>U148</f>
        <v/>
      </c>
      <c r="W148" s="1579" t="n">
        <v>489</v>
      </c>
      <c r="X148" s="1579" t="n">
        <v>995</v>
      </c>
      <c r="Y148" s="1579" t="n">
        <v>1725</v>
      </c>
      <c r="Z148" s="1579" t="n">
        <v>2289</v>
      </c>
      <c r="AA148" s="1750">
        <f>Z148</f>
        <v/>
      </c>
      <c r="AB148" s="1578" t="n"/>
      <c r="AC148" s="1578" t="n"/>
      <c r="AD148" s="1578" t="n"/>
      <c r="AE148" s="1578" t="n"/>
      <c r="AF148" s="1577" t="n"/>
      <c r="AG148" s="1578" t="n"/>
      <c r="AH148" s="1578" t="n"/>
      <c r="AI148" s="1578" t="n"/>
      <c r="AJ148" s="1578" t="n"/>
      <c r="AK148" s="1577" t="n"/>
      <c r="AL148" s="1578" t="n"/>
      <c r="AM148" s="1578" t="n"/>
      <c r="AN148" s="1578" t="n"/>
      <c r="AO148" s="1578" t="n"/>
      <c r="AP148" s="1577" t="n"/>
      <c r="AQ148" s="1578" t="n"/>
      <c r="AR148" s="1578" t="n"/>
      <c r="AS148" s="1578" t="n"/>
      <c r="AT148" s="1578" t="n"/>
      <c r="AU148" s="1577" t="n"/>
      <c r="AV148" s="1578" t="n"/>
      <c r="AW148" s="1578" t="n"/>
      <c r="AX148" s="1578" t="n"/>
      <c r="AY148" s="1578" t="n"/>
      <c r="AZ148" s="1577" t="n"/>
      <c r="BA148" s="1578" t="n"/>
      <c r="BB148" s="1578" t="n"/>
      <c r="BC148" s="1578" t="n"/>
      <c r="BD148" s="1578" t="n"/>
      <c r="BE148" s="1577" t="n"/>
      <c r="BF148" s="1578" t="n"/>
      <c r="BG148" s="1578" t="n"/>
      <c r="BH148" s="1578" t="n"/>
      <c r="BI148" s="1578" t="n"/>
      <c r="BJ148" s="1577" t="n"/>
      <c r="BK148" s="1578" t="n"/>
      <c r="BL148" s="1578" t="n"/>
      <c r="BM148" s="1578" t="n"/>
      <c r="BN148" s="1578" t="n"/>
      <c r="BO148" s="1581" t="n"/>
      <c r="BP148" s="1578" t="n"/>
      <c r="BQ148" s="1578" t="n"/>
      <c r="BR148" s="1578" t="n"/>
      <c r="BS148" s="1578" t="n"/>
      <c r="BT148" s="1577" t="n"/>
      <c r="BU148" s="1578" t="n"/>
      <c r="BV148" s="1578" t="n"/>
      <c r="BW148" s="1578" t="n"/>
      <c r="BX148" s="1578" t="n"/>
      <c r="BY148" s="1577" t="n"/>
      <c r="BZ148" s="1577" t="n"/>
      <c r="CA148" s="1577" t="n"/>
      <c r="CB148" s="1577" t="n"/>
      <c r="CC148" s="1582" t="n"/>
    </row>
    <row r="149" hidden="1" outlineLevel="2" ht="15" customFormat="1" customHeight="1" s="1574">
      <c r="A149" s="1753" t="inlineStr">
        <is>
          <t>Cumulative IDM sales, mm</t>
        </is>
      </c>
      <c r="B149" s="1593" t="n"/>
      <c r="C149" s="1595" t="n">
        <v>233</v>
      </c>
      <c r="D149" s="1595" t="n">
        <v>366</v>
      </c>
      <c r="E149" s="1595" t="n">
        <v>844</v>
      </c>
      <c r="F149" s="1595" t="n">
        <v>588</v>
      </c>
      <c r="G149" s="1595" t="n">
        <v>440</v>
      </c>
      <c r="H149" s="1596" t="n">
        <v>199</v>
      </c>
      <c r="I149" s="1596" t="n">
        <v>526</v>
      </c>
      <c r="J149" s="1596" t="n">
        <v>722</v>
      </c>
      <c r="K149" s="1596" t="n">
        <v>831</v>
      </c>
      <c r="L149" s="1754">
        <f>K149</f>
        <v/>
      </c>
      <c r="M149" s="1596" t="n">
        <v>154</v>
      </c>
      <c r="N149" s="1596" t="n">
        <v>301</v>
      </c>
      <c r="O149" s="1596" t="n">
        <v>408</v>
      </c>
      <c r="P149" s="1596" t="n">
        <v>514</v>
      </c>
      <c r="Q149" s="1754">
        <f>P149</f>
        <v/>
      </c>
      <c r="R149" s="1596" t="n">
        <v>90</v>
      </c>
      <c r="S149" s="1596" t="n">
        <v>402</v>
      </c>
      <c r="T149" s="1596" t="n">
        <v>628</v>
      </c>
      <c r="U149" s="1596" t="n">
        <v>945</v>
      </c>
      <c r="V149" s="1754">
        <f>U149</f>
        <v/>
      </c>
      <c r="W149" s="1596" t="n">
        <v>153</v>
      </c>
      <c r="X149" s="1596" t="n">
        <v>271</v>
      </c>
      <c r="Y149" s="1596" t="n">
        <v>773</v>
      </c>
      <c r="Z149" s="1596" t="n">
        <v>1117</v>
      </c>
      <c r="AA149" s="1754">
        <f>Z149</f>
        <v/>
      </c>
      <c r="AB149" s="1607" t="n"/>
      <c r="AC149" s="1607" t="n"/>
      <c r="AD149" s="1607" t="n"/>
      <c r="AE149" s="1607" t="n"/>
      <c r="AF149" s="1594" t="n"/>
      <c r="AG149" s="1607" t="n"/>
      <c r="AH149" s="1607" t="n"/>
      <c r="AI149" s="1607" t="n"/>
      <c r="AJ149" s="1607" t="n"/>
      <c r="AK149" s="1594" t="n"/>
      <c r="AL149" s="1607" t="n"/>
      <c r="AM149" s="1607" t="n"/>
      <c r="AN149" s="1607" t="n"/>
      <c r="AO149" s="1607" t="n"/>
      <c r="AP149" s="1594" t="n"/>
      <c r="AQ149" s="1607" t="n"/>
      <c r="AR149" s="1607" t="n"/>
      <c r="AS149" s="1607" t="n"/>
      <c r="AT149" s="1607" t="n"/>
      <c r="AU149" s="1594" t="n"/>
      <c r="AV149" s="1607" t="n"/>
      <c r="AW149" s="1607" t="n"/>
      <c r="AX149" s="1607" t="n"/>
      <c r="AY149" s="1607" t="n"/>
      <c r="AZ149" s="1594" t="n"/>
      <c r="BA149" s="1607" t="n"/>
      <c r="BB149" s="1607" t="n"/>
      <c r="BC149" s="1607" t="n"/>
      <c r="BD149" s="1607" t="n"/>
      <c r="BE149" s="1594" t="n"/>
      <c r="BF149" s="1607" t="n"/>
      <c r="BG149" s="1607" t="n"/>
      <c r="BH149" s="1607" t="n"/>
      <c r="BI149" s="1607" t="n"/>
      <c r="BJ149" s="1594" t="n"/>
      <c r="BK149" s="1607" t="n"/>
      <c r="BL149" s="1607" t="n"/>
      <c r="BM149" s="1607" t="n"/>
      <c r="BN149" s="1607" t="n"/>
      <c r="BO149" s="1755" t="n"/>
      <c r="BP149" s="1607" t="n"/>
      <c r="BQ149" s="1607" t="n"/>
      <c r="BR149" s="1607" t="n"/>
      <c r="BS149" s="1607" t="n"/>
      <c r="BT149" s="1594" t="n"/>
      <c r="BU149" s="1607" t="n"/>
      <c r="BV149" s="1607" t="n"/>
      <c r="BW149" s="1607" t="n"/>
      <c r="BX149" s="1607" t="n"/>
      <c r="BY149" s="1594" t="n"/>
      <c r="BZ149" s="1594" t="n"/>
      <c r="CA149" s="1594" t="n"/>
      <c r="CB149" s="1594" t="n"/>
      <c r="CC149" s="1582" t="n"/>
    </row>
    <row r="150" hidden="1" outlineLevel="2" ht="15" customFormat="1" customHeight="1" s="1574">
      <c r="A150" s="1756" t="inlineStr">
        <is>
          <t>Cumulative Total Logic sales, mm</t>
        </is>
      </c>
      <c r="B150" s="1584" t="n"/>
      <c r="C150" s="1757">
        <f>SUM(C148:C149)</f>
        <v/>
      </c>
      <c r="D150" s="1757">
        <f>SUM(D148:D149)</f>
        <v/>
      </c>
      <c r="E150" s="1757">
        <f>SUM(E148:E149)</f>
        <v/>
      </c>
      <c r="F150" s="1757">
        <f>SUM(F148:F149)</f>
        <v/>
      </c>
      <c r="G150" s="1757">
        <f>SUM(G148:G149)</f>
        <v/>
      </c>
      <c r="H150" s="1758">
        <f>SUM(H148:H149)</f>
        <v/>
      </c>
      <c r="I150" s="1758">
        <f>SUM(I148:I149)</f>
        <v/>
      </c>
      <c r="J150" s="1758">
        <f>SUM(J148:J149)</f>
        <v/>
      </c>
      <c r="K150" s="1758">
        <f>SUM(K148:K149)</f>
        <v/>
      </c>
      <c r="L150" s="1757">
        <f>SUM(L148:L149)</f>
        <v/>
      </c>
      <c r="M150" s="1758">
        <f>SUM(M148:M149)</f>
        <v/>
      </c>
      <c r="N150" s="1758">
        <f>SUM(N148:N149)</f>
        <v/>
      </c>
      <c r="O150" s="1758">
        <f>SUM(O148:O149)</f>
        <v/>
      </c>
      <c r="P150" s="1758">
        <f>SUM(P148:P149)</f>
        <v/>
      </c>
      <c r="Q150" s="1757">
        <f>SUM(Q148:Q149)</f>
        <v/>
      </c>
      <c r="R150" s="1758">
        <f>SUM(R148:R149)</f>
        <v/>
      </c>
      <c r="S150" s="1758">
        <f>SUM(S148:S149)</f>
        <v/>
      </c>
      <c r="T150" s="1758">
        <f>SUM(T148:T149)</f>
        <v/>
      </c>
      <c r="U150" s="1758">
        <f>SUM(U148:U149)</f>
        <v/>
      </c>
      <c r="V150" s="1757">
        <f>SUM(V148:V149)</f>
        <v/>
      </c>
      <c r="W150" s="1758">
        <f>SUM(W148:W149)</f>
        <v/>
      </c>
      <c r="X150" s="1758">
        <f>SUM(X148:X149)</f>
        <v/>
      </c>
      <c r="Y150" s="1758">
        <f>SUM(Y148:Y149)</f>
        <v/>
      </c>
      <c r="Z150" s="1758">
        <f>SUM(Z148:Z149)</f>
        <v/>
      </c>
      <c r="AA150" s="1757">
        <f>SUM(AA148:AA149)</f>
        <v/>
      </c>
      <c r="AB150" s="1587" t="n">
        <v>441</v>
      </c>
      <c r="AC150" s="1587" t="n">
        <v>1411</v>
      </c>
      <c r="AD150" s="1587" t="n">
        <v>2271</v>
      </c>
      <c r="AE150" s="1758">
        <f>AF150</f>
        <v/>
      </c>
      <c r="AF150" s="1586" t="n">
        <v>3714</v>
      </c>
      <c r="AG150" s="1587" t="n">
        <v>1005</v>
      </c>
      <c r="AH150" s="1587" t="n">
        <v>2129</v>
      </c>
      <c r="AI150" s="1587" t="n">
        <v>3959</v>
      </c>
      <c r="AJ150" s="1758">
        <f>AK150</f>
        <v/>
      </c>
      <c r="AK150" s="1586" t="n">
        <v>6566</v>
      </c>
      <c r="AL150" s="1587" t="n">
        <v>1158</v>
      </c>
      <c r="AM150" s="1587" t="n">
        <v>2668</v>
      </c>
      <c r="AN150" s="1587" t="n">
        <v>5098</v>
      </c>
      <c r="AO150" s="1758">
        <f>AP150</f>
        <v/>
      </c>
      <c r="AP150" s="1586" t="n">
        <v>7393</v>
      </c>
      <c r="AQ150" s="1587" t="n">
        <v>2427</v>
      </c>
      <c r="AR150" s="1587" t="n">
        <v>4556</v>
      </c>
      <c r="AS150" s="1587" t="n">
        <v>7049</v>
      </c>
      <c r="AT150" s="1758">
        <f>AU150</f>
        <v/>
      </c>
      <c r="AU150" s="1586" t="n">
        <v>9589</v>
      </c>
      <c r="AV150" s="1587" t="n">
        <v>1154</v>
      </c>
      <c r="AW150" s="1587" t="n">
        <v>4074</v>
      </c>
      <c r="AX150" s="1587" t="n">
        <v>6954</v>
      </c>
      <c r="AY150" s="1758">
        <f>AZ150</f>
        <v/>
      </c>
      <c r="AZ150" s="1586" t="n">
        <v>9977</v>
      </c>
      <c r="BA150" s="1587" t="n">
        <v>3761</v>
      </c>
      <c r="BB150" s="1587" t="n">
        <v>8480</v>
      </c>
      <c r="BC150" s="1587" t="n">
        <v>12534</v>
      </c>
      <c r="BD150" s="1758">
        <f>BE150</f>
        <v/>
      </c>
      <c r="BE150" s="1586" t="n">
        <v>15985</v>
      </c>
      <c r="BF150" s="1587" t="n">
        <v>2498</v>
      </c>
      <c r="BG150" s="1587" t="n">
        <v>5077</v>
      </c>
      <c r="BH150" s="1587" t="n">
        <v>8873</v>
      </c>
      <c r="BI150" s="1758">
        <f>BJ150</f>
        <v/>
      </c>
      <c r="BJ150" s="1586" t="n">
        <v>13195</v>
      </c>
      <c r="BK150" s="1587" t="n">
        <v>3315</v>
      </c>
      <c r="BL150" s="1587" t="n">
        <v>7157</v>
      </c>
      <c r="BM150" s="1587" t="n">
        <v>10777</v>
      </c>
      <c r="BN150" s="1758">
        <f>BO150</f>
        <v/>
      </c>
      <c r="BO150" s="1589" t="n">
        <v>16054</v>
      </c>
      <c r="BP150" s="1588" t="n"/>
      <c r="BQ150" s="1588" t="n"/>
      <c r="BR150" s="1588" t="n"/>
      <c r="BS150" s="1588" t="n"/>
      <c r="BT150" s="1585" t="n"/>
      <c r="BU150" s="1588" t="n"/>
      <c r="BV150" s="1588" t="n"/>
      <c r="BW150" s="1588" t="n"/>
      <c r="BX150" s="1588" t="n"/>
      <c r="BY150" s="1585" t="n"/>
      <c r="BZ150" s="1585" t="n"/>
      <c r="CA150" s="1585" t="n"/>
      <c r="CB150" s="1585" t="n"/>
      <c r="CC150" s="1582" t="n"/>
    </row>
    <row r="151" hidden="1" outlineLevel="2" ht="15" customFormat="1" customHeight="1" s="1574">
      <c r="A151" s="1759" t="inlineStr">
        <is>
          <t>Cumulative Memory sales, mm</t>
        </is>
      </c>
      <c r="B151" s="1593" t="n"/>
      <c r="C151" s="1595" t="n">
        <v>627</v>
      </c>
      <c r="D151" s="1595" t="n">
        <v>2585</v>
      </c>
      <c r="E151" s="1595" t="n">
        <v>2184</v>
      </c>
      <c r="F151" s="1595" t="n">
        <v>935</v>
      </c>
      <c r="G151" s="1595" t="n">
        <v>1489</v>
      </c>
      <c r="H151" s="1596" t="n">
        <v>686</v>
      </c>
      <c r="I151" s="1596" t="n">
        <v>1274</v>
      </c>
      <c r="J151" s="1596" t="n">
        <v>1522</v>
      </c>
      <c r="K151" s="1596" t="n">
        <v>2225</v>
      </c>
      <c r="L151" s="1754">
        <f>K151</f>
        <v/>
      </c>
      <c r="M151" s="1596" t="n">
        <v>679</v>
      </c>
      <c r="N151" s="1596" t="n">
        <v>1208</v>
      </c>
      <c r="O151" s="1596" t="n">
        <v>1730</v>
      </c>
      <c r="P151" s="1596" t="n">
        <v>2115</v>
      </c>
      <c r="Q151" s="1754">
        <f>P151</f>
        <v/>
      </c>
      <c r="R151" s="1596" t="n">
        <v>357</v>
      </c>
      <c r="S151" s="1596" t="n">
        <v>793</v>
      </c>
      <c r="T151" s="1596" t="n">
        <v>989</v>
      </c>
      <c r="U151" s="1596" t="n">
        <v>1471</v>
      </c>
      <c r="V151" s="1754">
        <f>U151</f>
        <v/>
      </c>
      <c r="W151" s="1596" t="n">
        <v>574</v>
      </c>
      <c r="X151" s="1596" t="n">
        <v>1334</v>
      </c>
      <c r="Y151" s="1596" t="n">
        <v>1921</v>
      </c>
      <c r="Z151" s="1596" t="n">
        <v>2968</v>
      </c>
      <c r="AA151" s="1754">
        <f>Z151</f>
        <v/>
      </c>
      <c r="AB151" s="1596" t="n">
        <v>1227</v>
      </c>
      <c r="AC151" s="1596" t="n">
        <v>2343</v>
      </c>
      <c r="AD151" s="1596" t="n">
        <v>3564</v>
      </c>
      <c r="AE151" s="1760">
        <f>AF151</f>
        <v/>
      </c>
      <c r="AF151" s="1595" t="n">
        <v>4545</v>
      </c>
      <c r="AG151" s="1596" t="n">
        <v>684</v>
      </c>
      <c r="AH151" s="1596" t="n">
        <v>1411</v>
      </c>
      <c r="AI151" s="1596" t="n">
        <v>1907</v>
      </c>
      <c r="AJ151" s="1760">
        <f>AK151</f>
        <v/>
      </c>
      <c r="AK151" s="1595" t="n">
        <v>2430</v>
      </c>
      <c r="AL151" s="1596" t="n">
        <v>426</v>
      </c>
      <c r="AM151" s="1596" t="n">
        <v>1355</v>
      </c>
      <c r="AN151" s="1596" t="n">
        <v>2020</v>
      </c>
      <c r="AO151" s="1760">
        <f>AP151</f>
        <v/>
      </c>
      <c r="AP151" s="1595" t="n">
        <v>2924</v>
      </c>
      <c r="AQ151" s="1596" t="n">
        <v>702</v>
      </c>
      <c r="AR151" s="1596" t="n">
        <v>1522</v>
      </c>
      <c r="AS151" s="1596" t="n">
        <v>3140</v>
      </c>
      <c r="AT151" s="1760">
        <f>AU151</f>
        <v/>
      </c>
      <c r="AU151" s="1595" t="n">
        <v>4064</v>
      </c>
      <c r="AV151" s="1596" t="n">
        <v>1133</v>
      </c>
      <c r="AW151" s="1596" t="n">
        <v>2353</v>
      </c>
      <c r="AX151" s="1596" t="n">
        <v>3729</v>
      </c>
      <c r="AY151" s="1760">
        <f>AZ151</f>
        <v/>
      </c>
      <c r="AZ151" s="1595" t="n">
        <v>5453</v>
      </c>
      <c r="BA151" s="1596" t="n">
        <v>1581</v>
      </c>
      <c r="BB151" s="1596" t="n">
        <v>2468</v>
      </c>
      <c r="BC151" s="1596" t="n">
        <v>3722</v>
      </c>
      <c r="BD151" s="1760">
        <f>BE151</f>
        <v/>
      </c>
      <c r="BE151" s="1595" t="n">
        <v>5954</v>
      </c>
      <c r="BF151" s="1596" t="n">
        <v>1468</v>
      </c>
      <c r="BG151" s="1596" t="n">
        <v>3650</v>
      </c>
      <c r="BH151" s="1596" t="n">
        <v>5780</v>
      </c>
      <c r="BI151" s="1760">
        <f>BJ151</f>
        <v/>
      </c>
      <c r="BJ151" s="1595" t="n">
        <v>8574</v>
      </c>
      <c r="BK151" s="1596" t="n">
        <v>2426</v>
      </c>
      <c r="BL151" s="1596" t="n">
        <v>4179</v>
      </c>
      <c r="BM151" s="1596" t="n">
        <v>6113</v>
      </c>
      <c r="BN151" s="1760">
        <f>BO151</f>
        <v/>
      </c>
      <c r="BO151" s="1597" t="n">
        <v>8420</v>
      </c>
      <c r="BP151" s="1607" t="n"/>
      <c r="BQ151" s="1607" t="n"/>
      <c r="BR151" s="1607" t="n"/>
      <c r="BS151" s="1607" t="n"/>
      <c r="BT151" s="1594" t="n"/>
      <c r="BU151" s="1607" t="n"/>
      <c r="BV151" s="1607" t="n"/>
      <c r="BW151" s="1607" t="n"/>
      <c r="BX151" s="1607" t="n"/>
      <c r="BY151" s="1594" t="n"/>
      <c r="BZ151" s="1594" t="n"/>
      <c r="CA151" s="1594" t="n"/>
      <c r="CB151" s="1594" t="n"/>
      <c r="CC151" s="1582" t="n"/>
    </row>
    <row r="152" hidden="1" outlineLevel="2" ht="15" customFormat="1" customHeight="1" s="1598">
      <c r="A152" s="1761" t="inlineStr">
        <is>
          <t>Cumulative Total net sales, mm</t>
        </is>
      </c>
      <c r="B152" s="1609" t="n"/>
      <c r="C152" s="1762">
        <f>C147+SUM(C150:C151)</f>
        <v/>
      </c>
      <c r="D152" s="1762">
        <f>D147+SUM(D150:D151)</f>
        <v/>
      </c>
      <c r="E152" s="1762">
        <f>E147+SUM(E150:E151)</f>
        <v/>
      </c>
      <c r="F152" s="1762">
        <f>F147+SUM(F150:F151)</f>
        <v/>
      </c>
      <c r="G152" s="1762">
        <f>G147+SUM(G150:G151)</f>
        <v/>
      </c>
      <c r="H152" s="1763">
        <f>H147+SUM(H150:H151)</f>
        <v/>
      </c>
      <c r="I152" s="1763">
        <f>I147+SUM(I150:I151)</f>
        <v/>
      </c>
      <c r="J152" s="1763">
        <f>J147+SUM(J150:J151)</f>
        <v/>
      </c>
      <c r="K152" s="1763">
        <f>K147+SUM(K150:K151)</f>
        <v/>
      </c>
      <c r="L152" s="1762">
        <f>L147+SUM(L150:L151)</f>
        <v/>
      </c>
      <c r="M152" s="1763">
        <f>M147+SUM(M150:M151)</f>
        <v/>
      </c>
      <c r="N152" s="1763">
        <f>N147+SUM(N150:N151)</f>
        <v/>
      </c>
      <c r="O152" s="1763">
        <f>O147+SUM(O150:O151)</f>
        <v/>
      </c>
      <c r="P152" s="1763">
        <f>P147+SUM(P150:P151)</f>
        <v/>
      </c>
      <c r="Q152" s="1762">
        <f>Q147+SUM(Q150:Q151)</f>
        <v/>
      </c>
      <c r="R152" s="1763">
        <f>R147+SUM(R150:R151)</f>
        <v/>
      </c>
      <c r="S152" s="1763">
        <f>S147+SUM(S150:S151)</f>
        <v/>
      </c>
      <c r="T152" s="1763">
        <f>T147+SUM(T150:T151)</f>
        <v/>
      </c>
      <c r="U152" s="1763">
        <f>U147+SUM(U150:U151)</f>
        <v/>
      </c>
      <c r="V152" s="1762">
        <f>V147+SUM(V150:V151)</f>
        <v/>
      </c>
      <c r="W152" s="1763">
        <f>W147+SUM(W150:W151)</f>
        <v/>
      </c>
      <c r="X152" s="1763">
        <f>X147+SUM(X150:X151)</f>
        <v/>
      </c>
      <c r="Y152" s="1763">
        <f>Y147+SUM(Y150:Y151)</f>
        <v/>
      </c>
      <c r="Z152" s="1763">
        <f>Z147+SUM(Z150:Z151)</f>
        <v/>
      </c>
      <c r="AA152" s="1762">
        <f>AA147+SUM(AA150:AA151)</f>
        <v/>
      </c>
      <c r="AB152" s="1763">
        <f>AB147+SUM(AB150:AB151)</f>
        <v/>
      </c>
      <c r="AC152" s="1763">
        <f>AC147+SUM(AC150:AC151)</f>
        <v/>
      </c>
      <c r="AD152" s="1763">
        <f>AD147+SUM(AD150:AD151)</f>
        <v/>
      </c>
      <c r="AE152" s="1763">
        <f>AE147+SUM(AE150:AE151)</f>
        <v/>
      </c>
      <c r="AF152" s="1762">
        <f>AF147+SUM(AF150:AF151)</f>
        <v/>
      </c>
      <c r="AG152" s="1763">
        <f>AG147+SUM(AG150:AG151)</f>
        <v/>
      </c>
      <c r="AH152" s="1763">
        <f>AH147+SUM(AH150:AH151)</f>
        <v/>
      </c>
      <c r="AI152" s="1763">
        <f>AI147+SUM(AI150:AI151)</f>
        <v/>
      </c>
      <c r="AJ152" s="1763">
        <f>AJ147+SUM(AJ150:AJ151)</f>
        <v/>
      </c>
      <c r="AK152" s="1762">
        <f>AK147+SUM(AK150:AK151)</f>
        <v/>
      </c>
      <c r="AL152" s="1763">
        <f>AL147+SUM(AL150:AL151)</f>
        <v/>
      </c>
      <c r="AM152" s="1763">
        <f>AM147+SUM(AM150:AM151)</f>
        <v/>
      </c>
      <c r="AN152" s="1763">
        <f>AN147+SUM(AN150:AN151)</f>
        <v/>
      </c>
      <c r="AO152" s="1763">
        <f>AO147+SUM(AO150:AO151)</f>
        <v/>
      </c>
      <c r="AP152" s="1762">
        <f>AP147+SUM(AP150:AP151)</f>
        <v/>
      </c>
      <c r="AQ152" s="1763">
        <f>AQ147+SUM(AQ150:AQ151)</f>
        <v/>
      </c>
      <c r="AR152" s="1763">
        <f>AR147+SUM(AR150:AR151)</f>
        <v/>
      </c>
      <c r="AS152" s="1763">
        <f>AS147+SUM(AS150:AS151)</f>
        <v/>
      </c>
      <c r="AT152" s="1763">
        <f>AT147+SUM(AT150:AT151)</f>
        <v/>
      </c>
      <c r="AU152" s="1762">
        <f>AU147+SUM(AU150:AU151)</f>
        <v/>
      </c>
      <c r="AV152" s="1763">
        <f>AV147+SUM(AV150:AV151)</f>
        <v/>
      </c>
      <c r="AW152" s="1764" t="n">
        <v>8965</v>
      </c>
      <c r="AX152" s="1763">
        <f>AX147+SUM(AX150:AX151)</f>
        <v/>
      </c>
      <c r="AY152" s="1763">
        <f>AY147+SUM(AY150:AY151)</f>
        <v/>
      </c>
      <c r="AZ152" s="1762">
        <f>AZ147+SUM(AZ150:AZ151)</f>
        <v/>
      </c>
      <c r="BA152" s="1763">
        <f>BA147+SUM(BA150:BA151)</f>
        <v/>
      </c>
      <c r="BB152" s="1763">
        <f>BB147+SUM(BB150:BB151)</f>
        <v/>
      </c>
      <c r="BC152" s="1763">
        <f>BC147+SUM(BC150:BC151)</f>
        <v/>
      </c>
      <c r="BD152" s="1763">
        <f>BD147+SUM(BD150:BD151)</f>
        <v/>
      </c>
      <c r="BE152" s="1762">
        <f>BE147+SUM(BE150:BE151)</f>
        <v/>
      </c>
      <c r="BF152" s="1763">
        <f>BF147+SUM(BF150:BF151)</f>
        <v/>
      </c>
      <c r="BG152" s="1763">
        <f>BG147+SUM(BG150:BG151)</f>
        <v/>
      </c>
      <c r="BH152" s="1763">
        <f>BH147+SUM(BH150:BH151)</f>
        <v/>
      </c>
      <c r="BI152" s="1763">
        <f>BI147+SUM(BI150:BI151)</f>
        <v/>
      </c>
      <c r="BJ152" s="1762">
        <f>BJ147+SUM(BJ150:BJ151)</f>
        <v/>
      </c>
      <c r="BK152" s="1763">
        <f>BK147+SUM(BK150:BK151)</f>
        <v/>
      </c>
      <c r="BL152" s="1763">
        <f>BL147+SUM(BL150:BL151)</f>
        <v/>
      </c>
      <c r="BM152" s="1763">
        <f>BM147+SUM(BM150:BM151)</f>
        <v/>
      </c>
      <c r="BN152" s="1763">
        <f>BN147+SUM(BN150:BN151)</f>
        <v/>
      </c>
      <c r="BO152" s="1765">
        <f>BO147+SUM(BO150:BO151)</f>
        <v/>
      </c>
      <c r="BP152" s="1611" t="n"/>
      <c r="BQ152" s="1611" t="n"/>
      <c r="BR152" s="1611" t="n"/>
      <c r="BS152" s="1611" t="n"/>
      <c r="BT152" s="1610" t="n"/>
      <c r="BU152" s="1611" t="n"/>
      <c r="BV152" s="1611" t="n"/>
      <c r="BW152" s="1611" t="n"/>
      <c r="BX152" s="1611" t="n"/>
      <c r="BY152" s="1610" t="n"/>
      <c r="BZ152" s="1610" t="n"/>
      <c r="CA152" s="1610" t="n"/>
      <c r="CB152" s="1610" t="n"/>
      <c r="CC152" s="1605" t="n"/>
    </row>
    <row r="153" hidden="1" outlineLevel="2" ht="15" customFormat="1" customHeight="1" s="1598">
      <c r="A153" s="1613" t="n"/>
      <c r="B153" s="1600" t="n"/>
      <c r="C153" s="1602" t="n"/>
      <c r="D153" s="1602" t="n"/>
      <c r="E153" s="1602" t="n"/>
      <c r="F153" s="1602" t="n"/>
      <c r="G153" s="1602" t="n"/>
      <c r="H153" s="1603" t="n"/>
      <c r="I153" s="1603" t="n"/>
      <c r="J153" s="1603" t="n"/>
      <c r="K153" s="1603" t="n"/>
      <c r="L153" s="1602" t="n"/>
      <c r="M153" s="1603" t="n"/>
      <c r="N153" s="1603" t="n"/>
      <c r="O153" s="1603" t="n"/>
      <c r="P153" s="1603" t="n"/>
      <c r="Q153" s="1602" t="n"/>
      <c r="R153" s="1603" t="n"/>
      <c r="S153" s="1603" t="n"/>
      <c r="T153" s="1603" t="n"/>
      <c r="U153" s="1603" t="n"/>
      <c r="V153" s="1602" t="n"/>
      <c r="W153" s="1603" t="n"/>
      <c r="X153" s="1603" t="n"/>
      <c r="Y153" s="1603" t="n"/>
      <c r="Z153" s="1603" t="n"/>
      <c r="AA153" s="1602" t="n"/>
      <c r="AB153" s="1603" t="n"/>
      <c r="AC153" s="1603" t="n"/>
      <c r="AD153" s="1603" t="n"/>
      <c r="AE153" s="1603" t="n"/>
      <c r="AF153" s="1602" t="n"/>
      <c r="AG153" s="1603" t="n"/>
      <c r="AH153" s="1603" t="n"/>
      <c r="AI153" s="1603" t="n"/>
      <c r="AJ153" s="1603" t="n"/>
      <c r="AK153" s="1602" t="n"/>
      <c r="AL153" s="1603" t="n"/>
      <c r="AM153" s="1603" t="n"/>
      <c r="AN153" s="1603" t="n"/>
      <c r="AO153" s="1603" t="n"/>
      <c r="AP153" s="1602" t="n"/>
      <c r="AQ153" s="1603" t="n"/>
      <c r="AR153" s="1603" t="n"/>
      <c r="AS153" s="1603" t="n"/>
      <c r="AT153" s="1603" t="n"/>
      <c r="AU153" s="1602" t="n"/>
      <c r="AV153" s="1603" t="n"/>
      <c r="AW153" s="1603" t="n"/>
      <c r="AX153" s="1603" t="n"/>
      <c r="AY153" s="1603" t="n"/>
      <c r="AZ153" s="1602" t="n"/>
      <c r="BA153" s="1603" t="n"/>
      <c r="BB153" s="1603" t="n"/>
      <c r="BC153" s="1603" t="n"/>
      <c r="BD153" s="1603" t="n"/>
      <c r="BE153" s="1602" t="n"/>
      <c r="BF153" s="1603" t="n"/>
      <c r="BG153" s="1603" t="n"/>
      <c r="BH153" s="1603" t="n"/>
      <c r="BI153" s="1603" t="n"/>
      <c r="BJ153" s="1602" t="n"/>
      <c r="BK153" s="1603" t="n"/>
      <c r="BL153" s="1603" t="n"/>
      <c r="BM153" s="1603" t="n"/>
      <c r="BN153" s="1603" t="n"/>
      <c r="BO153" s="1604" t="n"/>
      <c r="BP153" s="1603" t="n"/>
      <c r="BQ153" s="1603" t="n"/>
      <c r="BR153" s="1603" t="n"/>
      <c r="BS153" s="1603" t="n"/>
      <c r="BT153" s="1602" t="n"/>
      <c r="BU153" s="1603" t="n"/>
      <c r="BV153" s="1603" t="n"/>
      <c r="BW153" s="1603" t="n"/>
      <c r="BX153" s="1603" t="n"/>
      <c r="BY153" s="1602" t="n"/>
      <c r="BZ153" s="1602" t="n"/>
      <c r="CA153" s="1602" t="n"/>
      <c r="CB153" s="1602" t="n"/>
      <c r="CC153" s="1605" t="n"/>
    </row>
    <row r="154" hidden="1" outlineLevel="2" ht="15" customFormat="1" customHeight="1" s="1574">
      <c r="A154" s="1693" t="inlineStr">
        <is>
          <t>Installed base management sales, mm</t>
        </is>
      </c>
      <c r="B154" s="1576" t="n"/>
      <c r="C154" s="1750">
        <f>C147</f>
        <v/>
      </c>
      <c r="D154" s="1750">
        <f>D147</f>
        <v/>
      </c>
      <c r="E154" s="1750">
        <f>E147</f>
        <v/>
      </c>
      <c r="F154" s="1750">
        <f>F147</f>
        <v/>
      </c>
      <c r="G154" s="1750">
        <f>G147</f>
        <v/>
      </c>
      <c r="H154" s="1751">
        <f>H147</f>
        <v/>
      </c>
      <c r="I154" s="1751">
        <f>+I147-H147</f>
        <v/>
      </c>
      <c r="J154" s="1751">
        <f>+J147-I147</f>
        <v/>
      </c>
      <c r="K154" s="1751">
        <f>+K147-J147</f>
        <v/>
      </c>
      <c r="L154" s="1750">
        <f>L147</f>
        <v/>
      </c>
      <c r="M154" s="1751">
        <f>M147</f>
        <v/>
      </c>
      <c r="N154" s="1751">
        <f>+N147-M147</f>
        <v/>
      </c>
      <c r="O154" s="1751">
        <f>+O147-N147</f>
        <v/>
      </c>
      <c r="P154" s="1751">
        <f>+P147-O147</f>
        <v/>
      </c>
      <c r="Q154" s="1750">
        <f>Q147</f>
        <v/>
      </c>
      <c r="R154" s="1751">
        <f>R147</f>
        <v/>
      </c>
      <c r="S154" s="1751">
        <f>+S147-R147</f>
        <v/>
      </c>
      <c r="T154" s="1751">
        <f>+T147-S147</f>
        <v/>
      </c>
      <c r="U154" s="1751">
        <f>+U147-T147</f>
        <v/>
      </c>
      <c r="V154" s="1750">
        <f>V147</f>
        <v/>
      </c>
      <c r="W154" s="1751">
        <f>W147</f>
        <v/>
      </c>
      <c r="X154" s="1751">
        <f>+X147-W147</f>
        <v/>
      </c>
      <c r="Y154" s="1751">
        <f>+Y147-X147</f>
        <v/>
      </c>
      <c r="Z154" s="1751">
        <f>+Z147-Y147</f>
        <v/>
      </c>
      <c r="AA154" s="1580" t="n">
        <v>2679</v>
      </c>
      <c r="AB154" s="1751">
        <f>AB147</f>
        <v/>
      </c>
      <c r="AC154" s="1751">
        <f>+AC147-AB147</f>
        <v/>
      </c>
      <c r="AD154" s="1751">
        <f>+AD147-AC147</f>
        <v/>
      </c>
      <c r="AE154" s="1751">
        <f>AF154-SUM(AB154,AC154,AD154)</f>
        <v/>
      </c>
      <c r="AF154" s="1750">
        <f>AF147</f>
        <v/>
      </c>
      <c r="AG154" s="1751">
        <f>AG147</f>
        <v/>
      </c>
      <c r="AH154" s="1751">
        <f>+AH147-AG147</f>
        <v/>
      </c>
      <c r="AI154" s="1751">
        <f>+AI147-AH147</f>
        <v/>
      </c>
      <c r="AJ154" s="1751">
        <f>AK154-SUM(AG154,AH154,AI154)</f>
        <v/>
      </c>
      <c r="AK154" s="1750">
        <f>AK147</f>
        <v/>
      </c>
      <c r="AL154" s="1751">
        <f>AL147</f>
        <v/>
      </c>
      <c r="AM154" s="1751">
        <f>+AM147-AL147</f>
        <v/>
      </c>
      <c r="AN154" s="1751">
        <f>+AN147-AM147</f>
        <v/>
      </c>
      <c r="AO154" s="1751">
        <f>AP154-SUM(AL154,AM154,AN154)</f>
        <v/>
      </c>
      <c r="AP154" s="1750">
        <f>AP147</f>
        <v/>
      </c>
      <c r="AQ154" s="1751">
        <f>AQ147</f>
        <v/>
      </c>
      <c r="AR154" s="1751">
        <f>+AR147-AQ147</f>
        <v/>
      </c>
      <c r="AS154" s="1751">
        <f>+AS147-AR147</f>
        <v/>
      </c>
      <c r="AT154" s="1751">
        <f>AU154-SUM(AQ154,AR154,AS154)</f>
        <v/>
      </c>
      <c r="AU154" s="1750">
        <f>AU147</f>
        <v/>
      </c>
      <c r="AV154" s="1751">
        <f>AV147</f>
        <v/>
      </c>
      <c r="AW154" s="1751">
        <f>+AW147-AV147</f>
        <v/>
      </c>
      <c r="AX154" s="1751">
        <f>+AX147-AW147</f>
        <v/>
      </c>
      <c r="AY154" s="1751">
        <f>AZ154-SUM(AV154,AW154,AX154)</f>
        <v/>
      </c>
      <c r="AZ154" s="1750">
        <f>AZ147</f>
        <v/>
      </c>
      <c r="BA154" s="1751">
        <f>BA147</f>
        <v/>
      </c>
      <c r="BB154" s="1751">
        <f>+BB147-BA147</f>
        <v/>
      </c>
      <c r="BC154" s="1751">
        <f>+BC147-BB147</f>
        <v/>
      </c>
      <c r="BD154" s="1751">
        <f>BE154-SUM(BA154,BB154,BC154)</f>
        <v/>
      </c>
      <c r="BE154" s="1750">
        <f>BE147</f>
        <v/>
      </c>
      <c r="BF154" s="1751">
        <f>BF147</f>
        <v/>
      </c>
      <c r="BG154" s="1751">
        <f>+BG147-BF147</f>
        <v/>
      </c>
      <c r="BH154" s="1751">
        <f>+BH147-BG147</f>
        <v/>
      </c>
      <c r="BI154" s="1751">
        <f>BJ154-SUM(BF154,BG154,BH154)</f>
        <v/>
      </c>
      <c r="BJ154" s="1750">
        <f>BJ147</f>
        <v/>
      </c>
      <c r="BK154" s="1751">
        <f>BK147</f>
        <v/>
      </c>
      <c r="BL154" s="1751">
        <f>+BL147-BK147</f>
        <v/>
      </c>
      <c r="BM154" s="1751">
        <f>+BM147-BL147</f>
        <v/>
      </c>
      <c r="BN154" s="1751">
        <f>BO154-SUM(BK154,BL154,BM154)</f>
        <v/>
      </c>
      <c r="BO154" s="1766">
        <f>BO147</f>
        <v/>
      </c>
      <c r="BP154" s="1578" t="n"/>
      <c r="BQ154" s="1578" t="n"/>
      <c r="BR154" s="1578" t="n"/>
      <c r="BS154" s="1578" t="n"/>
      <c r="BT154" s="1577" t="n"/>
      <c r="BU154" s="1578" t="n"/>
      <c r="BV154" s="1578" t="n"/>
      <c r="BW154" s="1578" t="n"/>
      <c r="BX154" s="1578" t="n"/>
      <c r="BY154" s="1577" t="n"/>
      <c r="BZ154" s="1577" t="n"/>
      <c r="CA154" s="1577" t="n"/>
      <c r="CB154" s="1577" t="n"/>
      <c r="CC154" s="1582" t="n"/>
    </row>
    <row r="155" hidden="1" outlineLevel="2" ht="15" customFormat="1" customHeight="1" s="1574">
      <c r="A155" s="1752" t="inlineStr">
        <is>
          <t>Foundry sales, mm</t>
        </is>
      </c>
      <c r="B155" s="1576" t="n"/>
      <c r="C155" s="1750">
        <f>C148</f>
        <v/>
      </c>
      <c r="D155" s="1750">
        <f>D148</f>
        <v/>
      </c>
      <c r="E155" s="1750">
        <f>E148</f>
        <v/>
      </c>
      <c r="F155" s="1750">
        <f>F148</f>
        <v/>
      </c>
      <c r="G155" s="1750">
        <f>G148</f>
        <v/>
      </c>
      <c r="H155" s="1751">
        <f>H148</f>
        <v/>
      </c>
      <c r="I155" s="1751">
        <f>+I148-H148</f>
        <v/>
      </c>
      <c r="J155" s="1751">
        <f>+J148-I148</f>
        <v/>
      </c>
      <c r="K155" s="1751">
        <f>+K148-J148</f>
        <v/>
      </c>
      <c r="L155" s="1750">
        <f>L148</f>
        <v/>
      </c>
      <c r="M155" s="1751">
        <f>M148</f>
        <v/>
      </c>
      <c r="N155" s="1751">
        <f>+N148-M148</f>
        <v/>
      </c>
      <c r="O155" s="1751">
        <f>+O148-N148</f>
        <v/>
      </c>
      <c r="P155" s="1751">
        <f>+P148-O148</f>
        <v/>
      </c>
      <c r="Q155" s="1750">
        <f>Q148</f>
        <v/>
      </c>
      <c r="R155" s="1751">
        <f>R148</f>
        <v/>
      </c>
      <c r="S155" s="1751">
        <f>+S148-R148</f>
        <v/>
      </c>
      <c r="T155" s="1751">
        <f>+T148-S148</f>
        <v/>
      </c>
      <c r="U155" s="1751">
        <f>+U148-T148</f>
        <v/>
      </c>
      <c r="V155" s="1750">
        <f>V148</f>
        <v/>
      </c>
      <c r="W155" s="1751">
        <f>W148</f>
        <v/>
      </c>
      <c r="X155" s="1751">
        <f>+X148-W148</f>
        <v/>
      </c>
      <c r="Y155" s="1751">
        <f>+Y148-X148</f>
        <v/>
      </c>
      <c r="Z155" s="1751">
        <f>+Z148-Y148</f>
        <v/>
      </c>
      <c r="AA155" s="1580" t="n">
        <v>2289</v>
      </c>
      <c r="AB155" s="1578" t="n"/>
      <c r="AC155" s="1578" t="n"/>
      <c r="AD155" s="1578" t="n"/>
      <c r="AE155" s="1578" t="n"/>
      <c r="AF155" s="1577" t="n"/>
      <c r="AG155" s="1578" t="n"/>
      <c r="AH155" s="1578" t="n"/>
      <c r="AI155" s="1578" t="n"/>
      <c r="AJ155" s="1578" t="n"/>
      <c r="AK155" s="1577" t="n"/>
      <c r="AL155" s="1578" t="n"/>
      <c r="AM155" s="1578" t="n"/>
      <c r="AN155" s="1578" t="n"/>
      <c r="AO155" s="1578" t="n"/>
      <c r="AP155" s="1577" t="n"/>
      <c r="AQ155" s="1578" t="n"/>
      <c r="AR155" s="1578" t="n"/>
      <c r="AS155" s="1578" t="n"/>
      <c r="AT155" s="1578" t="n"/>
      <c r="AU155" s="1577" t="n"/>
      <c r="AV155" s="1578" t="n"/>
      <c r="AW155" s="1578" t="n"/>
      <c r="AX155" s="1578" t="n"/>
      <c r="AY155" s="1578" t="n"/>
      <c r="AZ155" s="1577" t="n"/>
      <c r="BA155" s="1578" t="n"/>
      <c r="BB155" s="1578" t="n"/>
      <c r="BC155" s="1578" t="n"/>
      <c r="BD155" s="1578" t="n"/>
      <c r="BE155" s="1577" t="n"/>
      <c r="BF155" s="1578" t="n"/>
      <c r="BG155" s="1578" t="n"/>
      <c r="BH155" s="1578" t="n"/>
      <c r="BI155" s="1578" t="n"/>
      <c r="BJ155" s="1577" t="n"/>
      <c r="BK155" s="1578" t="n"/>
      <c r="BL155" s="1578" t="n"/>
      <c r="BM155" s="1578" t="n"/>
      <c r="BN155" s="1578" t="n"/>
      <c r="BO155" s="1581" t="n"/>
      <c r="BP155" s="1578" t="n"/>
      <c r="BQ155" s="1578" t="n"/>
      <c r="BR155" s="1578" t="n"/>
      <c r="BS155" s="1578" t="n"/>
      <c r="BT155" s="1577" t="n"/>
      <c r="BU155" s="1578" t="n"/>
      <c r="BV155" s="1578" t="n"/>
      <c r="BW155" s="1578" t="n"/>
      <c r="BX155" s="1578" t="n"/>
      <c r="BY155" s="1577" t="n"/>
      <c r="BZ155" s="1577" t="n"/>
      <c r="CA155" s="1577" t="n"/>
      <c r="CB155" s="1577" t="n"/>
      <c r="CC155" s="1582" t="n"/>
    </row>
    <row r="156" hidden="1" outlineLevel="2" ht="15" customFormat="1" customHeight="1" s="1574">
      <c r="A156" s="1753" t="inlineStr">
        <is>
          <t>IDM sales, mm</t>
        </is>
      </c>
      <c r="B156" s="1593" t="n"/>
      <c r="C156" s="1754">
        <f>C149</f>
        <v/>
      </c>
      <c r="D156" s="1754">
        <f>D149</f>
        <v/>
      </c>
      <c r="E156" s="1754">
        <f>E149</f>
        <v/>
      </c>
      <c r="F156" s="1754">
        <f>F149</f>
        <v/>
      </c>
      <c r="G156" s="1754">
        <f>G149</f>
        <v/>
      </c>
      <c r="H156" s="1760">
        <f>H149</f>
        <v/>
      </c>
      <c r="I156" s="1760">
        <f>+I149-H149</f>
        <v/>
      </c>
      <c r="J156" s="1760">
        <f>+J149-I149</f>
        <v/>
      </c>
      <c r="K156" s="1760">
        <f>+K149-J149</f>
        <v/>
      </c>
      <c r="L156" s="1754">
        <f>L149</f>
        <v/>
      </c>
      <c r="M156" s="1760">
        <f>M149</f>
        <v/>
      </c>
      <c r="N156" s="1760">
        <f>+N149-M149</f>
        <v/>
      </c>
      <c r="O156" s="1760">
        <f>+O149-N149</f>
        <v/>
      </c>
      <c r="P156" s="1760">
        <f>+P149-O149</f>
        <v/>
      </c>
      <c r="Q156" s="1754">
        <f>Q149</f>
        <v/>
      </c>
      <c r="R156" s="1760">
        <f>R149</f>
        <v/>
      </c>
      <c r="S156" s="1760">
        <f>+S149-R149</f>
        <v/>
      </c>
      <c r="T156" s="1760">
        <f>+T149-S149</f>
        <v/>
      </c>
      <c r="U156" s="1760">
        <f>+U149-T149</f>
        <v/>
      </c>
      <c r="V156" s="1754">
        <f>V149</f>
        <v/>
      </c>
      <c r="W156" s="1760">
        <f>W149</f>
        <v/>
      </c>
      <c r="X156" s="1760">
        <f>+X149-W149</f>
        <v/>
      </c>
      <c r="Y156" s="1760">
        <f>+Y149-X149</f>
        <v/>
      </c>
      <c r="Z156" s="1760">
        <f>+Z149-Y149</f>
        <v/>
      </c>
      <c r="AA156" s="1595" t="n">
        <v>1117</v>
      </c>
      <c r="AB156" s="1607" t="n"/>
      <c r="AC156" s="1607" t="n"/>
      <c r="AD156" s="1607" t="n"/>
      <c r="AE156" s="1607" t="n"/>
      <c r="AF156" s="1594" t="n"/>
      <c r="AG156" s="1607" t="n"/>
      <c r="AH156" s="1607" t="n"/>
      <c r="AI156" s="1607" t="n"/>
      <c r="AJ156" s="1607" t="n"/>
      <c r="AK156" s="1594" t="n"/>
      <c r="AL156" s="1607" t="n"/>
      <c r="AM156" s="1607" t="n"/>
      <c r="AN156" s="1607" t="n"/>
      <c r="AO156" s="1607" t="n"/>
      <c r="AP156" s="1594" t="n"/>
      <c r="AQ156" s="1607" t="n"/>
      <c r="AR156" s="1607" t="n"/>
      <c r="AS156" s="1607" t="n"/>
      <c r="AT156" s="1607" t="n"/>
      <c r="AU156" s="1594" t="n"/>
      <c r="AV156" s="1607" t="n"/>
      <c r="AW156" s="1607" t="n"/>
      <c r="AX156" s="1607" t="n"/>
      <c r="AY156" s="1607" t="n"/>
      <c r="AZ156" s="1594" t="n"/>
      <c r="BA156" s="1607" t="n"/>
      <c r="BB156" s="1607" t="n"/>
      <c r="BC156" s="1607" t="n"/>
      <c r="BD156" s="1607" t="n"/>
      <c r="BE156" s="1594" t="n"/>
      <c r="BF156" s="1607" t="n"/>
      <c r="BG156" s="1607" t="n"/>
      <c r="BH156" s="1607" t="n"/>
      <c r="BI156" s="1607" t="n"/>
      <c r="BJ156" s="1594" t="n"/>
      <c r="BK156" s="1607" t="n"/>
      <c r="BL156" s="1607" t="n"/>
      <c r="BM156" s="1607" t="n"/>
      <c r="BN156" s="1607" t="n"/>
      <c r="BO156" s="1755" t="n"/>
      <c r="BP156" s="1607" t="n"/>
      <c r="BQ156" s="1607" t="n"/>
      <c r="BR156" s="1607" t="n"/>
      <c r="BS156" s="1607" t="n"/>
      <c r="BT156" s="1594" t="n"/>
      <c r="BU156" s="1607" t="n"/>
      <c r="BV156" s="1607" t="n"/>
      <c r="BW156" s="1607" t="n"/>
      <c r="BX156" s="1607" t="n"/>
      <c r="BY156" s="1594" t="n"/>
      <c r="BZ156" s="1594" t="n"/>
      <c r="CA156" s="1594" t="n"/>
      <c r="CB156" s="1594" t="n"/>
      <c r="CC156" s="1582" t="n"/>
    </row>
    <row r="157" hidden="1" outlineLevel="2" ht="15" customFormat="1" customHeight="1" s="1574">
      <c r="A157" s="1756" t="inlineStr">
        <is>
          <t>Total Logic sales, mm</t>
        </is>
      </c>
      <c r="B157" s="1584" t="n"/>
      <c r="C157" s="1757">
        <f>SUM(C155:C156)</f>
        <v/>
      </c>
      <c r="D157" s="1757">
        <f>SUM(D155:D156)</f>
        <v/>
      </c>
      <c r="E157" s="1757">
        <f>SUM(E155:E156)</f>
        <v/>
      </c>
      <c r="F157" s="1757">
        <f>SUM(F155:F156)</f>
        <v/>
      </c>
      <c r="G157" s="1757">
        <f>SUM(G155:G156)</f>
        <v/>
      </c>
      <c r="H157" s="1758">
        <f>SUM(H155:H156)</f>
        <v/>
      </c>
      <c r="I157" s="1758">
        <f>SUM(I155:I156)</f>
        <v/>
      </c>
      <c r="J157" s="1758">
        <f>SUM(J155:J156)</f>
        <v/>
      </c>
      <c r="K157" s="1758">
        <f>SUM(K155:K156)</f>
        <v/>
      </c>
      <c r="L157" s="1757">
        <f>SUM(L155:L156)</f>
        <v/>
      </c>
      <c r="M157" s="1758">
        <f>SUM(M155:M156)</f>
        <v/>
      </c>
      <c r="N157" s="1758">
        <f>SUM(N155:N156)</f>
        <v/>
      </c>
      <c r="O157" s="1758">
        <f>SUM(O155:O156)</f>
        <v/>
      </c>
      <c r="P157" s="1758">
        <f>SUM(P155:P156)</f>
        <v/>
      </c>
      <c r="Q157" s="1757">
        <f>SUM(Q155:Q156)</f>
        <v/>
      </c>
      <c r="R157" s="1758">
        <f>SUM(R155:R156)</f>
        <v/>
      </c>
      <c r="S157" s="1758">
        <f>SUM(S155:S156)</f>
        <v/>
      </c>
      <c r="T157" s="1758">
        <f>SUM(T155:T156)</f>
        <v/>
      </c>
      <c r="U157" s="1758">
        <f>SUM(U155:U156)</f>
        <v/>
      </c>
      <c r="V157" s="1757">
        <f>SUM(V155:V156)</f>
        <v/>
      </c>
      <c r="W157" s="1758">
        <f>SUM(W155:W156)</f>
        <v/>
      </c>
      <c r="X157" s="1758">
        <f>SUM(X155:X156)</f>
        <v/>
      </c>
      <c r="Y157" s="1758">
        <f>SUM(Y155:Y156)</f>
        <v/>
      </c>
      <c r="Z157" s="1758">
        <f>SUM(Z155:Z156)</f>
        <v/>
      </c>
      <c r="AA157" s="1757">
        <f>SUM(AA155:AA156)</f>
        <v/>
      </c>
      <c r="AB157" s="1758">
        <f>AB150</f>
        <v/>
      </c>
      <c r="AC157" s="1758">
        <f>+AC150-AB150</f>
        <v/>
      </c>
      <c r="AD157" s="1758">
        <f>+AD150-AC150</f>
        <v/>
      </c>
      <c r="AE157" s="1758">
        <f>AF157-SUM(AB157,AC157,AD157)</f>
        <v/>
      </c>
      <c r="AF157" s="1757">
        <f>AF150</f>
        <v/>
      </c>
      <c r="AG157" s="1758">
        <f>AG150</f>
        <v/>
      </c>
      <c r="AH157" s="1758">
        <f>+AH150-AG150</f>
        <v/>
      </c>
      <c r="AI157" s="1758">
        <f>+AI150-AH150</f>
        <v/>
      </c>
      <c r="AJ157" s="1758">
        <f>AK157-SUM(AG157,AH157,AI157)</f>
        <v/>
      </c>
      <c r="AK157" s="1757">
        <f>AK150</f>
        <v/>
      </c>
      <c r="AL157" s="1758">
        <f>AL150</f>
        <v/>
      </c>
      <c r="AM157" s="1758">
        <f>+AM150-AL150</f>
        <v/>
      </c>
      <c r="AN157" s="1758">
        <f>+AN150-AM150</f>
        <v/>
      </c>
      <c r="AO157" s="1758">
        <f>AP157-SUM(AL157,AM157,AN157)</f>
        <v/>
      </c>
      <c r="AP157" s="1757">
        <f>AP150</f>
        <v/>
      </c>
      <c r="AQ157" s="1758">
        <f>AQ150</f>
        <v/>
      </c>
      <c r="AR157" s="1758">
        <f>+AR150-AQ150</f>
        <v/>
      </c>
      <c r="AS157" s="1758">
        <f>+AS150-AR150</f>
        <v/>
      </c>
      <c r="AT157" s="1758">
        <f>AU157-SUM(AQ157,AR157,AS157)</f>
        <v/>
      </c>
      <c r="AU157" s="1757">
        <f>AU150</f>
        <v/>
      </c>
      <c r="AV157" s="1758">
        <f>AV150</f>
        <v/>
      </c>
      <c r="AW157" s="1758">
        <f>+AW150-AV150</f>
        <v/>
      </c>
      <c r="AX157" s="1758">
        <f>+AX150-AW150</f>
        <v/>
      </c>
      <c r="AY157" s="1758">
        <f>AZ157-SUM(AV157,AW157,AX157)</f>
        <v/>
      </c>
      <c r="AZ157" s="1757">
        <f>AZ150</f>
        <v/>
      </c>
      <c r="BA157" s="1758">
        <f>BA150</f>
        <v/>
      </c>
      <c r="BB157" s="1758">
        <f>+BB150-BA150</f>
        <v/>
      </c>
      <c r="BC157" s="1758">
        <f>+BC150-BB150</f>
        <v/>
      </c>
      <c r="BD157" s="1758">
        <f>BE157-SUM(BA157,BB157,BC157)</f>
        <v/>
      </c>
      <c r="BE157" s="1757">
        <f>BE150</f>
        <v/>
      </c>
      <c r="BF157" s="1758">
        <f>BF150</f>
        <v/>
      </c>
      <c r="BG157" s="1758">
        <f>+BG150-BF150</f>
        <v/>
      </c>
      <c r="BH157" s="1758">
        <f>+BH150-BG150</f>
        <v/>
      </c>
      <c r="BI157" s="1758">
        <f>BJ157-SUM(BF157,BG157,BH157)</f>
        <v/>
      </c>
      <c r="BJ157" s="1757">
        <f>BJ150</f>
        <v/>
      </c>
      <c r="BK157" s="1758">
        <f>BK150</f>
        <v/>
      </c>
      <c r="BL157" s="1758">
        <f>+BL150-BK150</f>
        <v/>
      </c>
      <c r="BM157" s="1758">
        <f>+BM150-BL150</f>
        <v/>
      </c>
      <c r="BN157" s="1758">
        <f>BO157-SUM(BK157,BL157,BM157)</f>
        <v/>
      </c>
      <c r="BO157" s="1767">
        <f>BO150</f>
        <v/>
      </c>
      <c r="BP157" s="1588" t="n"/>
      <c r="BQ157" s="1588" t="n"/>
      <c r="BR157" s="1588" t="n"/>
      <c r="BS157" s="1588" t="n"/>
      <c r="BT157" s="1585" t="n"/>
      <c r="BU157" s="1588" t="n"/>
      <c r="BV157" s="1588" t="n"/>
      <c r="BW157" s="1588" t="n"/>
      <c r="BX157" s="1588" t="n"/>
      <c r="BY157" s="1585" t="n"/>
      <c r="BZ157" s="1585" t="n"/>
      <c r="CA157" s="1585" t="n"/>
      <c r="CB157" s="1585" t="n"/>
      <c r="CC157" s="1582" t="n"/>
    </row>
    <row r="158" hidden="1" outlineLevel="2" ht="15" customFormat="1" customHeight="1" s="1574">
      <c r="A158" s="1759" t="inlineStr">
        <is>
          <t>Memory sales, mm</t>
        </is>
      </c>
      <c r="B158" s="1593" t="n"/>
      <c r="C158" s="1754">
        <f>C151</f>
        <v/>
      </c>
      <c r="D158" s="1754">
        <f>D151</f>
        <v/>
      </c>
      <c r="E158" s="1754">
        <f>E151</f>
        <v/>
      </c>
      <c r="F158" s="1754">
        <f>F151</f>
        <v/>
      </c>
      <c r="G158" s="1754">
        <f>G151</f>
        <v/>
      </c>
      <c r="H158" s="1760">
        <f>H151</f>
        <v/>
      </c>
      <c r="I158" s="1760">
        <f>+I151-H151</f>
        <v/>
      </c>
      <c r="J158" s="1760">
        <f>+J151-I151</f>
        <v/>
      </c>
      <c r="K158" s="1760">
        <f>+K151-J151</f>
        <v/>
      </c>
      <c r="L158" s="1754">
        <f>L151</f>
        <v/>
      </c>
      <c r="M158" s="1760">
        <f>M151</f>
        <v/>
      </c>
      <c r="N158" s="1760">
        <f>+N151-M151</f>
        <v/>
      </c>
      <c r="O158" s="1760">
        <f>+O151-N151</f>
        <v/>
      </c>
      <c r="P158" s="1760">
        <f>+P151-O151</f>
        <v/>
      </c>
      <c r="Q158" s="1754">
        <f>Q151</f>
        <v/>
      </c>
      <c r="R158" s="1760">
        <f>R151</f>
        <v/>
      </c>
      <c r="S158" s="1760">
        <f>+S151-R151</f>
        <v/>
      </c>
      <c r="T158" s="1760">
        <f>+T151-S151</f>
        <v/>
      </c>
      <c r="U158" s="1760">
        <f>+U151-T151</f>
        <v/>
      </c>
      <c r="V158" s="1754">
        <f>V151</f>
        <v/>
      </c>
      <c r="W158" s="1760">
        <f>W151</f>
        <v/>
      </c>
      <c r="X158" s="1760">
        <f>+X151-W151</f>
        <v/>
      </c>
      <c r="Y158" s="1760">
        <f>+Y151-X151</f>
        <v/>
      </c>
      <c r="Z158" s="1760">
        <f>+Z151-Y151</f>
        <v/>
      </c>
      <c r="AA158" s="1595" t="n">
        <v>2968</v>
      </c>
      <c r="AB158" s="1760">
        <f>AB151</f>
        <v/>
      </c>
      <c r="AC158" s="1760">
        <f>+AC151-AB151</f>
        <v/>
      </c>
      <c r="AD158" s="1760">
        <f>+AD151-AC151</f>
        <v/>
      </c>
      <c r="AE158" s="1760">
        <f>AF158-SUM(AB158,AC158,AD158)</f>
        <v/>
      </c>
      <c r="AF158" s="1754">
        <f>AF151</f>
        <v/>
      </c>
      <c r="AG158" s="1760">
        <f>AG151</f>
        <v/>
      </c>
      <c r="AH158" s="1760">
        <f>+AH151-AG151</f>
        <v/>
      </c>
      <c r="AI158" s="1760">
        <f>+AI151-AH151</f>
        <v/>
      </c>
      <c r="AJ158" s="1760">
        <f>AK158-SUM(AG158,AH158,AI158)</f>
        <v/>
      </c>
      <c r="AK158" s="1754">
        <f>AK151</f>
        <v/>
      </c>
      <c r="AL158" s="1760">
        <f>AL151</f>
        <v/>
      </c>
      <c r="AM158" s="1760">
        <f>+AM151-AL151</f>
        <v/>
      </c>
      <c r="AN158" s="1760">
        <f>+AN151-AM151</f>
        <v/>
      </c>
      <c r="AO158" s="1760">
        <f>AP158-SUM(AL158,AM158,AN158)</f>
        <v/>
      </c>
      <c r="AP158" s="1754">
        <f>AP151</f>
        <v/>
      </c>
      <c r="AQ158" s="1760">
        <f>AQ151</f>
        <v/>
      </c>
      <c r="AR158" s="1760">
        <f>+AR151-AQ151</f>
        <v/>
      </c>
      <c r="AS158" s="1760">
        <f>+AS151-AR151</f>
        <v/>
      </c>
      <c r="AT158" s="1760">
        <f>AU158-SUM(AQ158,AR158,AS158)</f>
        <v/>
      </c>
      <c r="AU158" s="1754">
        <f>AU151</f>
        <v/>
      </c>
      <c r="AV158" s="1760">
        <f>AV151</f>
        <v/>
      </c>
      <c r="AW158" s="1760">
        <f>+AW151-AV151</f>
        <v/>
      </c>
      <c r="AX158" s="1760">
        <f>+AX151-AW151</f>
        <v/>
      </c>
      <c r="AY158" s="1760">
        <f>AZ158-SUM(AV158,AW158,AX158)</f>
        <v/>
      </c>
      <c r="AZ158" s="1754">
        <f>AZ151</f>
        <v/>
      </c>
      <c r="BA158" s="1760">
        <f>BA151</f>
        <v/>
      </c>
      <c r="BB158" s="1760">
        <f>+BB151-BA151</f>
        <v/>
      </c>
      <c r="BC158" s="1760">
        <f>+BC151-BB151</f>
        <v/>
      </c>
      <c r="BD158" s="1760">
        <f>BE158-SUM(BA158,BB158,BC158)</f>
        <v/>
      </c>
      <c r="BE158" s="1754">
        <f>BE151</f>
        <v/>
      </c>
      <c r="BF158" s="1760">
        <f>BF151</f>
        <v/>
      </c>
      <c r="BG158" s="1760">
        <f>+BG151-BF151</f>
        <v/>
      </c>
      <c r="BH158" s="1760">
        <f>+BH151-BG151</f>
        <v/>
      </c>
      <c r="BI158" s="1760">
        <f>BJ158-SUM(BF158,BG158,BH158)</f>
        <v/>
      </c>
      <c r="BJ158" s="1754">
        <f>BJ151</f>
        <v/>
      </c>
      <c r="BK158" s="1760">
        <f>BK151</f>
        <v/>
      </c>
      <c r="BL158" s="1760">
        <f>+BL151-BK151</f>
        <v/>
      </c>
      <c r="BM158" s="1760">
        <f>+BM151-BL151</f>
        <v/>
      </c>
      <c r="BN158" s="1760">
        <f>BO158-SUM(BK158,BL158,BM158)</f>
        <v/>
      </c>
      <c r="BO158" s="1768">
        <f>BO151</f>
        <v/>
      </c>
      <c r="BP158" s="1607" t="n"/>
      <c r="BQ158" s="1607" t="n"/>
      <c r="BR158" s="1607" t="n"/>
      <c r="BS158" s="1607" t="n"/>
      <c r="BT158" s="1594" t="n"/>
      <c r="BU158" s="1607" t="n"/>
      <c r="BV158" s="1607" t="n"/>
      <c r="BW158" s="1607" t="n"/>
      <c r="BX158" s="1607" t="n"/>
      <c r="BY158" s="1594" t="n"/>
      <c r="BZ158" s="1594" t="n"/>
      <c r="CA158" s="1594" t="n"/>
      <c r="CB158" s="1594" t="n"/>
      <c r="CC158" s="1582" t="n"/>
    </row>
    <row r="159" hidden="1" outlineLevel="2" ht="15" customFormat="1" customHeight="1" s="1598">
      <c r="A159" s="1761" t="inlineStr">
        <is>
          <t>Total net sales, mm</t>
        </is>
      </c>
      <c r="B159" s="1609" t="n"/>
      <c r="C159" s="1762">
        <f>C154+SUM(C157:C158)</f>
        <v/>
      </c>
      <c r="D159" s="1762">
        <f>D154+SUM(D157:D158)</f>
        <v/>
      </c>
      <c r="E159" s="1762">
        <f>E154+SUM(E157:E158)</f>
        <v/>
      </c>
      <c r="F159" s="1762">
        <f>F154+SUM(F157:F158)</f>
        <v/>
      </c>
      <c r="G159" s="1762">
        <f>G154+SUM(G157:G158)</f>
        <v/>
      </c>
      <c r="H159" s="1763">
        <f>H154+SUM(H157:H158)</f>
        <v/>
      </c>
      <c r="I159" s="1763">
        <f>I154+SUM(I157:I158)</f>
        <v/>
      </c>
      <c r="J159" s="1763">
        <f>J154+SUM(J157:J158)</f>
        <v/>
      </c>
      <c r="K159" s="1763">
        <f>K154+SUM(K157:K158)</f>
        <v/>
      </c>
      <c r="L159" s="1762">
        <f>L154+SUM(L157:L158)</f>
        <v/>
      </c>
      <c r="M159" s="1763">
        <f>M154+SUM(M157:M158)</f>
        <v/>
      </c>
      <c r="N159" s="1763">
        <f>N154+SUM(N157:N158)</f>
        <v/>
      </c>
      <c r="O159" s="1763">
        <f>O154+SUM(O157:O158)</f>
        <v/>
      </c>
      <c r="P159" s="1763">
        <f>P154+SUM(P157:P158)</f>
        <v/>
      </c>
      <c r="Q159" s="1762">
        <f>Q154+SUM(Q157:Q158)</f>
        <v/>
      </c>
      <c r="R159" s="1763">
        <f>R154+SUM(R157:R158)</f>
        <v/>
      </c>
      <c r="S159" s="1763">
        <f>S154+SUM(S157:S158)</f>
        <v/>
      </c>
      <c r="T159" s="1763">
        <f>T154+SUM(T157:T158)</f>
        <v/>
      </c>
      <c r="U159" s="1763">
        <f>U154+SUM(U157:U158)</f>
        <v/>
      </c>
      <c r="V159" s="1762">
        <f>V154+SUM(V157:V158)</f>
        <v/>
      </c>
      <c r="W159" s="1763">
        <f>W154+SUM(W157:W158)</f>
        <v/>
      </c>
      <c r="X159" s="1763">
        <f>X154+SUM(X157:X158)</f>
        <v/>
      </c>
      <c r="Y159" s="1763">
        <f>Y154+SUM(Y157:Y158)</f>
        <v/>
      </c>
      <c r="Z159" s="1763">
        <f>Z154+SUM(Z157:Z158)</f>
        <v/>
      </c>
      <c r="AA159" s="1762">
        <f>AA154+SUM(AA157:AA158)</f>
        <v/>
      </c>
      <c r="AB159" s="1763">
        <f>AB154+SUM(AB157:AB158)</f>
        <v/>
      </c>
      <c r="AC159" s="1763">
        <f>AC154+SUM(AC157:AC158)</f>
        <v/>
      </c>
      <c r="AD159" s="1763">
        <f>AD154+SUM(AD157:AD158)</f>
        <v/>
      </c>
      <c r="AE159" s="1763">
        <f>AE154+SUM(AE157:AE158)</f>
        <v/>
      </c>
      <c r="AF159" s="1762">
        <f>AF154+SUM(AF157:AF158)</f>
        <v/>
      </c>
      <c r="AG159" s="1763">
        <f>AG154+SUM(AG157:AG158)</f>
        <v/>
      </c>
      <c r="AH159" s="1763">
        <f>AH154+SUM(AH157:AH158)</f>
        <v/>
      </c>
      <c r="AI159" s="1763">
        <f>AI154+SUM(AI157:AI158)</f>
        <v/>
      </c>
      <c r="AJ159" s="1763">
        <f>AJ154+SUM(AJ157:AJ158)</f>
        <v/>
      </c>
      <c r="AK159" s="1762">
        <f>AK154+SUM(AK157:AK158)</f>
        <v/>
      </c>
      <c r="AL159" s="1763">
        <f>AL154+SUM(AL157:AL158)</f>
        <v/>
      </c>
      <c r="AM159" s="1763">
        <f>AM154+SUM(AM157:AM158)</f>
        <v/>
      </c>
      <c r="AN159" s="1763">
        <f>AN154+SUM(AN157:AN158)</f>
        <v/>
      </c>
      <c r="AO159" s="1763">
        <f>AO154+SUM(AO157:AO158)</f>
        <v/>
      </c>
      <c r="AP159" s="1762">
        <f>AP154+SUM(AP157:AP158)</f>
        <v/>
      </c>
      <c r="AQ159" s="1763">
        <f>AQ154+SUM(AQ157:AQ158)</f>
        <v/>
      </c>
      <c r="AR159" s="1763">
        <f>AR154+SUM(AR157:AR158)</f>
        <v/>
      </c>
      <c r="AS159" s="1763">
        <f>AS154+SUM(AS157:AS158)</f>
        <v/>
      </c>
      <c r="AT159" s="1763">
        <f>AT154+SUM(AT157:AT158)</f>
        <v/>
      </c>
      <c r="AU159" s="1762">
        <f>AU154+SUM(AU157:AU158)</f>
        <v/>
      </c>
      <c r="AV159" s="1763">
        <f>AV154+SUM(AV157:AV158)</f>
        <v/>
      </c>
      <c r="AW159" s="1763">
        <f>AW154+SUM(AW157:AW158)</f>
        <v/>
      </c>
      <c r="AX159" s="1763">
        <f>AX154+SUM(AX157:AX158)</f>
        <v/>
      </c>
      <c r="AY159" s="1763">
        <f>AY154+SUM(AY157:AY158)</f>
        <v/>
      </c>
      <c r="AZ159" s="1762">
        <f>AZ154+SUM(AZ157:AZ158)</f>
        <v/>
      </c>
      <c r="BA159" s="1763">
        <f>BA154+SUM(BA157:BA158)</f>
        <v/>
      </c>
      <c r="BB159" s="1763">
        <f>BB154+SUM(BB157:BB158)</f>
        <v/>
      </c>
      <c r="BC159" s="1763">
        <f>BC154+SUM(BC157:BC158)</f>
        <v/>
      </c>
      <c r="BD159" s="1763">
        <f>BD154+SUM(BD157:BD158)</f>
        <v/>
      </c>
      <c r="BE159" s="1762">
        <f>BE154+SUM(BE157:BE158)</f>
        <v/>
      </c>
      <c r="BF159" s="1763">
        <f>BF154+SUM(BF157:BF158)</f>
        <v/>
      </c>
      <c r="BG159" s="1763">
        <f>BG154+SUM(BG157:BG158)</f>
        <v/>
      </c>
      <c r="BH159" s="1763">
        <f>BH154+SUM(BH157:BH158)</f>
        <v/>
      </c>
      <c r="BI159" s="1763">
        <f>BI154+SUM(BI157:BI158)</f>
        <v/>
      </c>
      <c r="BJ159" s="1762">
        <f>BJ154+SUM(BJ157:BJ158)</f>
        <v/>
      </c>
      <c r="BK159" s="1763">
        <f>BK154+SUM(BK157:BK158)</f>
        <v/>
      </c>
      <c r="BL159" s="1763">
        <f>BL154+SUM(BL157:BL158)</f>
        <v/>
      </c>
      <c r="BM159" s="1763">
        <f>BM154+SUM(BM157:BM158)</f>
        <v/>
      </c>
      <c r="BN159" s="1763">
        <f>BN154+SUM(BN157:BN158)</f>
        <v/>
      </c>
      <c r="BO159" s="1765">
        <f>BO154+SUM(BO157:BO158)</f>
        <v/>
      </c>
      <c r="BP159" s="1611" t="n"/>
      <c r="BQ159" s="1611" t="n"/>
      <c r="BR159" s="1611" t="n"/>
      <c r="BS159" s="1611" t="n"/>
      <c r="BT159" s="1610" t="n"/>
      <c r="BU159" s="1611" t="n"/>
      <c r="BV159" s="1611" t="n"/>
      <c r="BW159" s="1611" t="n"/>
      <c r="BX159" s="1611" t="n"/>
      <c r="BY159" s="1610" t="n"/>
      <c r="BZ159" s="1610" t="n"/>
      <c r="CA159" s="1610" t="n"/>
      <c r="CB159" s="1610" t="n"/>
      <c r="CC159" s="1605" t="n"/>
    </row>
    <row r="160" hidden="1" outlineLevel="2" ht="15" customFormat="1" customHeight="1" s="1628">
      <c r="A160" s="1703" t="n"/>
      <c r="B160" s="1682" t="n"/>
      <c r="C160" s="1683" t="n"/>
      <c r="D160" s="1683" t="n"/>
      <c r="E160" s="1683" t="n"/>
      <c r="F160" s="1683" t="n"/>
      <c r="G160" s="1683" t="n"/>
      <c r="H160" s="1684" t="n"/>
      <c r="I160" s="1684" t="n"/>
      <c r="J160" s="1684" t="n"/>
      <c r="K160" s="1684" t="n"/>
      <c r="L160" s="1683" t="n"/>
      <c r="M160" s="1684" t="n"/>
      <c r="N160" s="1684" t="n"/>
      <c r="O160" s="1684" t="n"/>
      <c r="P160" s="1684" t="n"/>
      <c r="Q160" s="1683" t="n"/>
      <c r="R160" s="1684" t="n"/>
      <c r="S160" s="1684" t="n"/>
      <c r="T160" s="1684" t="n"/>
      <c r="U160" s="1684" t="n"/>
      <c r="V160" s="1683" t="n"/>
      <c r="W160" s="1684" t="n"/>
      <c r="X160" s="1684" t="n"/>
      <c r="Y160" s="1684" t="n"/>
      <c r="Z160" s="1684" t="n"/>
      <c r="AA160" s="1683" t="n"/>
      <c r="AB160" s="1684" t="n"/>
      <c r="AC160" s="1684" t="n"/>
      <c r="AD160" s="1684" t="n"/>
      <c r="AE160" s="1684" t="n"/>
      <c r="AF160" s="1683" t="n"/>
      <c r="AG160" s="1684" t="n"/>
      <c r="AH160" s="1684" t="n"/>
      <c r="AI160" s="1684" t="n"/>
      <c r="AJ160" s="1684" t="n"/>
      <c r="AK160" s="1683" t="n"/>
      <c r="AL160" s="1684" t="n"/>
      <c r="AM160" s="1684" t="n"/>
      <c r="AN160" s="1684" t="n"/>
      <c r="AO160" s="1684" t="n"/>
      <c r="AP160" s="1683" t="n"/>
      <c r="AQ160" s="1684" t="n"/>
      <c r="AR160" s="1684" t="n"/>
      <c r="AS160" s="1684" t="n"/>
      <c r="AT160" s="1684" t="n"/>
      <c r="AU160" s="1683" t="n"/>
      <c r="AV160" s="1684" t="n"/>
      <c r="AW160" s="1684" t="n"/>
      <c r="AX160" s="1684" t="n"/>
      <c r="AY160" s="1684" t="n"/>
      <c r="AZ160" s="1683" t="n"/>
      <c r="BA160" s="1684" t="n"/>
      <c r="BB160" s="1684" t="n"/>
      <c r="BC160" s="1684" t="n"/>
      <c r="BD160" s="1684" t="n"/>
      <c r="BE160" s="1683" t="n"/>
      <c r="BF160" s="1684" t="n"/>
      <c r="BG160" s="1684" t="n"/>
      <c r="BH160" s="1684" t="n"/>
      <c r="BI160" s="1684" t="n"/>
      <c r="BJ160" s="1683" t="n"/>
      <c r="BK160" s="1684" t="n"/>
      <c r="BL160" s="1684" t="n"/>
      <c r="BM160" s="1684" t="n"/>
      <c r="BN160" s="1684" t="n"/>
      <c r="BO160" s="1685" t="n"/>
      <c r="BP160" s="1684" t="n"/>
      <c r="BQ160" s="1684" t="n"/>
      <c r="BR160" s="1684" t="n"/>
      <c r="BS160" s="1684" t="n"/>
      <c r="BT160" s="1683" t="n"/>
      <c r="BU160" s="1684" t="n"/>
      <c r="BV160" s="1684" t="n"/>
      <c r="BW160" s="1684" t="n"/>
      <c r="BX160" s="1684" t="n"/>
      <c r="BY160" s="1683" t="n"/>
      <c r="BZ160" s="1683" t="n"/>
      <c r="CA160" s="1683" t="n"/>
      <c r="CB160" s="1683" t="n"/>
      <c r="CC160" s="1634" t="n"/>
    </row>
    <row r="161" hidden="1" outlineLevel="2" ht="15" customFormat="1" customHeight="1" s="607">
      <c r="A161" s="54" t="inlineStr">
        <is>
          <t>Foundry revenue as a % of bookings, %</t>
        </is>
      </c>
      <c r="B161" s="126" t="n"/>
      <c r="C161" s="1294" t="n"/>
      <c r="D161" s="1294" t="n"/>
      <c r="E161" s="1294" t="n"/>
      <c r="F161" s="1294" t="n"/>
      <c r="G161" s="1294" t="n"/>
      <c r="H161" s="695">
        <f>+H155/H196</f>
        <v/>
      </c>
      <c r="I161" s="695">
        <f>+I155/I196</f>
        <v/>
      </c>
      <c r="J161" s="695">
        <f>+J155/J196</f>
        <v/>
      </c>
      <c r="K161" s="695">
        <f>+K155/K196</f>
        <v/>
      </c>
      <c r="L161" s="1333">
        <f>+L155/L196</f>
        <v/>
      </c>
      <c r="M161" s="695">
        <f>+M155/M196</f>
        <v/>
      </c>
      <c r="N161" s="695">
        <f>+N155/N196</f>
        <v/>
      </c>
      <c r="O161" s="695">
        <f>+O155/O196</f>
        <v/>
      </c>
      <c r="P161" s="695">
        <f>+P155/P196</f>
        <v/>
      </c>
      <c r="Q161" s="1333">
        <f>+Q155/Q196</f>
        <v/>
      </c>
      <c r="R161" s="695">
        <f>+R155/R196</f>
        <v/>
      </c>
      <c r="S161" s="695">
        <f>+S155/S196</f>
        <v/>
      </c>
      <c r="T161" s="695">
        <f>+T155/T196</f>
        <v/>
      </c>
      <c r="U161" s="695">
        <f>+U155/U196</f>
        <v/>
      </c>
      <c r="V161" s="1333">
        <f>+V155/V196</f>
        <v/>
      </c>
      <c r="W161" s="695">
        <f>+W155/W196</f>
        <v/>
      </c>
      <c r="X161" s="695">
        <f>+X155/X196</f>
        <v/>
      </c>
      <c r="Y161" s="695">
        <f>+Y155/Y196</f>
        <v/>
      </c>
      <c r="Z161" s="695">
        <f>+Z155/Z196</f>
        <v/>
      </c>
      <c r="AA161" s="1333">
        <f>+AA155/AA196</f>
        <v/>
      </c>
      <c r="AB161" s="686" t="n"/>
      <c r="AC161" s="686" t="n"/>
      <c r="AD161" s="686" t="n"/>
      <c r="AE161" s="686" t="n"/>
      <c r="AF161" s="1294" t="n"/>
      <c r="AG161" s="686" t="n"/>
      <c r="AH161" s="686" t="n"/>
      <c r="AI161" s="686" t="n"/>
      <c r="AJ161" s="686" t="n"/>
      <c r="AK161" s="1294" t="n"/>
      <c r="AL161" s="686" t="n"/>
      <c r="AM161" s="686" t="n"/>
      <c r="AN161" s="686" t="n"/>
      <c r="AO161" s="686" t="n"/>
      <c r="AP161" s="1294" t="n"/>
      <c r="AQ161" s="686" t="n"/>
      <c r="AR161" s="686" t="n"/>
      <c r="AS161" s="686" t="n"/>
      <c r="AT161" s="686" t="n"/>
      <c r="AU161" s="1294" t="n"/>
      <c r="AV161" s="686" t="n"/>
      <c r="AW161" s="686" t="n"/>
      <c r="AX161" s="686" t="n"/>
      <c r="AY161" s="686" t="n"/>
      <c r="AZ161" s="1294" t="n"/>
      <c r="BA161" s="686" t="n"/>
      <c r="BB161" s="686" t="n"/>
      <c r="BC161" s="686" t="n"/>
      <c r="BD161" s="686" t="n"/>
      <c r="BE161" s="1294" t="n"/>
      <c r="BF161" s="686" t="n"/>
      <c r="BG161" s="686" t="n"/>
      <c r="BH161" s="686" t="n"/>
      <c r="BI161" s="686" t="n"/>
      <c r="BJ161" s="1294" t="n"/>
      <c r="BK161" s="686" t="n"/>
      <c r="BL161" s="686" t="n"/>
      <c r="BM161" s="686" t="n"/>
      <c r="BN161" s="686" t="n"/>
      <c r="BO161" s="1293" t="n"/>
      <c r="BP161" s="686" t="n"/>
      <c r="BQ161" s="686" t="n"/>
      <c r="BR161" s="686" t="n"/>
      <c r="BS161" s="686" t="n"/>
      <c r="BT161" s="1294" t="n"/>
      <c r="BU161" s="686" t="n"/>
      <c r="BV161" s="686" t="n"/>
      <c r="BW161" s="686" t="n"/>
      <c r="BX161" s="686" t="n"/>
      <c r="BY161" s="1294" t="n"/>
      <c r="BZ161" s="1294" t="n"/>
      <c r="CA161" s="1294" t="n"/>
      <c r="CB161" s="1294" t="n"/>
      <c r="CC161" s="102" t="n"/>
    </row>
    <row r="162" hidden="1" outlineLevel="2" ht="15" customFormat="1" customHeight="1" s="607">
      <c r="A162" s="221" t="inlineStr">
        <is>
          <t>IDM revenue as a % of bookings, %</t>
        </is>
      </c>
      <c r="B162" s="292" t="n"/>
      <c r="C162" s="1334" t="n"/>
      <c r="D162" s="1334" t="n"/>
      <c r="E162" s="1334" t="n"/>
      <c r="F162" s="1334" t="n"/>
      <c r="G162" s="1334" t="n"/>
      <c r="H162" s="450">
        <f>+H156/H197</f>
        <v/>
      </c>
      <c r="I162" s="450">
        <f>+I156/I197</f>
        <v/>
      </c>
      <c r="J162" s="450">
        <f>+J156/J197</f>
        <v/>
      </c>
      <c r="K162" s="450">
        <f>+K156/K197</f>
        <v/>
      </c>
      <c r="L162" s="1335">
        <f>+L156/L197</f>
        <v/>
      </c>
      <c r="M162" s="450">
        <f>+M156/M197</f>
        <v/>
      </c>
      <c r="N162" s="450">
        <f>+N156/N197</f>
        <v/>
      </c>
      <c r="O162" s="450">
        <f>+O156/O197</f>
        <v/>
      </c>
      <c r="P162" s="450">
        <f>+P156/P197</f>
        <v/>
      </c>
      <c r="Q162" s="1335">
        <f>+Q156/Q197</f>
        <v/>
      </c>
      <c r="R162" s="450">
        <f>+R156/R197</f>
        <v/>
      </c>
      <c r="S162" s="450">
        <f>+S156/S197</f>
        <v/>
      </c>
      <c r="T162" s="450">
        <f>+T156/T197</f>
        <v/>
      </c>
      <c r="U162" s="450">
        <f>+U156/U197</f>
        <v/>
      </c>
      <c r="V162" s="1335">
        <f>+V156/V197</f>
        <v/>
      </c>
      <c r="W162" s="450">
        <f>+W156/W197</f>
        <v/>
      </c>
      <c r="X162" s="450">
        <f>+X156/X197</f>
        <v/>
      </c>
      <c r="Y162" s="450">
        <f>+Y156/Y197</f>
        <v/>
      </c>
      <c r="Z162" s="450">
        <f>+Z156/Z197</f>
        <v/>
      </c>
      <c r="AA162" s="1335">
        <f>+AA156/AA197</f>
        <v/>
      </c>
      <c r="AB162" s="293" t="n"/>
      <c r="AC162" s="293" t="n"/>
      <c r="AD162" s="293" t="n"/>
      <c r="AE162" s="293" t="n"/>
      <c r="AF162" s="1334" t="n"/>
      <c r="AG162" s="293" t="n"/>
      <c r="AH162" s="293" t="n"/>
      <c r="AI162" s="293" t="n"/>
      <c r="AJ162" s="293" t="n"/>
      <c r="AK162" s="1334" t="n"/>
      <c r="AL162" s="293" t="n"/>
      <c r="AM162" s="293" t="n"/>
      <c r="AN162" s="293" t="n"/>
      <c r="AO162" s="293" t="n"/>
      <c r="AP162" s="1334" t="n"/>
      <c r="AQ162" s="293" t="n"/>
      <c r="AR162" s="293" t="n"/>
      <c r="AS162" s="293" t="n"/>
      <c r="AT162" s="293" t="n"/>
      <c r="AU162" s="1334" t="n"/>
      <c r="AV162" s="293" t="n"/>
      <c r="AW162" s="293" t="n"/>
      <c r="AX162" s="293" t="n"/>
      <c r="AY162" s="293" t="n"/>
      <c r="AZ162" s="1334" t="n"/>
      <c r="BA162" s="293" t="n"/>
      <c r="BB162" s="293" t="n"/>
      <c r="BC162" s="293" t="n"/>
      <c r="BD162" s="293" t="n"/>
      <c r="BE162" s="1334" t="n"/>
      <c r="BF162" s="293" t="n"/>
      <c r="BG162" s="293" t="n"/>
      <c r="BH162" s="293" t="n"/>
      <c r="BI162" s="293" t="n"/>
      <c r="BJ162" s="1334" t="n"/>
      <c r="BK162" s="293" t="n"/>
      <c r="BL162" s="293" t="n"/>
      <c r="BM162" s="293" t="n"/>
      <c r="BN162" s="293" t="n"/>
      <c r="BO162" s="1336" t="n"/>
      <c r="BP162" s="293" t="n"/>
      <c r="BQ162" s="293" t="n"/>
      <c r="BR162" s="293" t="n"/>
      <c r="BS162" s="293" t="n"/>
      <c r="BT162" s="1334" t="n"/>
      <c r="BU162" s="293" t="n"/>
      <c r="BV162" s="293" t="n"/>
      <c r="BW162" s="293" t="n"/>
      <c r="BX162" s="293" t="n"/>
      <c r="BY162" s="1334" t="n"/>
      <c r="BZ162" s="1334" t="n"/>
      <c r="CA162" s="1334" t="n"/>
      <c r="CB162" s="1334" t="n"/>
      <c r="CC162" s="102" t="n"/>
    </row>
    <row r="163" hidden="1" outlineLevel="2" ht="15" customFormat="1" customHeight="1" s="607">
      <c r="A163" s="124" t="inlineStr">
        <is>
          <t>Total logic revenue as a % of bookings, %</t>
        </is>
      </c>
      <c r="B163" s="300" t="n"/>
      <c r="C163" s="1337" t="n"/>
      <c r="D163" s="1337" t="n"/>
      <c r="E163" s="1337" t="n"/>
      <c r="F163" s="1337" t="n"/>
      <c r="G163" s="1337" t="n"/>
      <c r="H163" s="451">
        <f>+H157/H198</f>
        <v/>
      </c>
      <c r="I163" s="451">
        <f>+I157/I198</f>
        <v/>
      </c>
      <c r="J163" s="451">
        <f>+J157/J198</f>
        <v/>
      </c>
      <c r="K163" s="451">
        <f>+K157/K198</f>
        <v/>
      </c>
      <c r="L163" s="1338">
        <f>+L157/L198</f>
        <v/>
      </c>
      <c r="M163" s="451">
        <f>+M157/M198</f>
        <v/>
      </c>
      <c r="N163" s="451">
        <f>+N157/N198</f>
        <v/>
      </c>
      <c r="O163" s="451">
        <f>+O157/O198</f>
        <v/>
      </c>
      <c r="P163" s="451">
        <f>+P157/P198</f>
        <v/>
      </c>
      <c r="Q163" s="1338">
        <f>+Q157/Q198</f>
        <v/>
      </c>
      <c r="R163" s="451">
        <f>+R157/R198</f>
        <v/>
      </c>
      <c r="S163" s="451">
        <f>+S157/S198</f>
        <v/>
      </c>
      <c r="T163" s="451">
        <f>+T157/T198</f>
        <v/>
      </c>
      <c r="U163" s="451">
        <f>+U157/U198</f>
        <v/>
      </c>
      <c r="V163" s="1338">
        <f>+V157/V198</f>
        <v/>
      </c>
      <c r="W163" s="451">
        <f>+W157/W198</f>
        <v/>
      </c>
      <c r="X163" s="451">
        <f>+X157/X198</f>
        <v/>
      </c>
      <c r="Y163" s="451">
        <f>+Y157/Y198</f>
        <v/>
      </c>
      <c r="Z163" s="451">
        <f>+Z157/Z198</f>
        <v/>
      </c>
      <c r="AA163" s="1338">
        <f>+AA157/AA198</f>
        <v/>
      </c>
      <c r="AB163" s="451">
        <f>+AB157/AB198</f>
        <v/>
      </c>
      <c r="AC163" s="451">
        <f>+AC157/AC198</f>
        <v/>
      </c>
      <c r="AD163" s="451">
        <f>+AD157/AD198</f>
        <v/>
      </c>
      <c r="AE163" s="451">
        <f>+AE157/AE198</f>
        <v/>
      </c>
      <c r="AF163" s="1338">
        <f>+AF157/AF198</f>
        <v/>
      </c>
      <c r="AG163" s="451">
        <f>+AG157/AG198</f>
        <v/>
      </c>
      <c r="AH163" s="451">
        <f>+AH157/AH198</f>
        <v/>
      </c>
      <c r="AI163" s="451">
        <f>+AI157/AI198</f>
        <v/>
      </c>
      <c r="AJ163" s="451">
        <f>+AJ157/AJ198</f>
        <v/>
      </c>
      <c r="AK163" s="1338">
        <f>+AK157/AK198</f>
        <v/>
      </c>
      <c r="AL163" s="451">
        <f>+AL157/AL198</f>
        <v/>
      </c>
      <c r="AM163" s="451">
        <f>+AM157/AM198</f>
        <v/>
      </c>
      <c r="AN163" s="451">
        <f>+AN157/AN198</f>
        <v/>
      </c>
      <c r="AO163" s="451">
        <f>+AO157/AO198</f>
        <v/>
      </c>
      <c r="AP163" s="1338">
        <f>+AP157/AP198</f>
        <v/>
      </c>
      <c r="AQ163" s="451">
        <f>+AQ157/AQ198</f>
        <v/>
      </c>
      <c r="AR163" s="451">
        <f>+AR157/AR198</f>
        <v/>
      </c>
      <c r="AS163" s="451">
        <f>+AS157/AS198</f>
        <v/>
      </c>
      <c r="AT163" s="451">
        <f>+AT157/AT198</f>
        <v/>
      </c>
      <c r="AU163" s="1338">
        <f>+AU157/AU198</f>
        <v/>
      </c>
      <c r="AV163" s="451">
        <f>+AV157/AV198</f>
        <v/>
      </c>
      <c r="AW163" s="451">
        <f>+AW157/AW198</f>
        <v/>
      </c>
      <c r="AX163" s="451">
        <f>+AX157/AX198</f>
        <v/>
      </c>
      <c r="AY163" s="451">
        <f>+AY157/AY198</f>
        <v/>
      </c>
      <c r="AZ163" s="1338">
        <f>+AZ157/AZ198</f>
        <v/>
      </c>
      <c r="BA163" s="451">
        <f>+BA157/BA198</f>
        <v/>
      </c>
      <c r="BB163" s="451">
        <f>+BB157/BB198</f>
        <v/>
      </c>
      <c r="BC163" s="451">
        <f>+BC157/BC198</f>
        <v/>
      </c>
      <c r="BD163" s="451">
        <f>+BD157/BD198</f>
        <v/>
      </c>
      <c r="BE163" s="1338">
        <f>+BE157/BE198</f>
        <v/>
      </c>
      <c r="BF163" s="451">
        <f>+BF157/BF198</f>
        <v/>
      </c>
      <c r="BG163" s="451">
        <f>+BG157/BG198</f>
        <v/>
      </c>
      <c r="BH163" s="451">
        <f>+BH157/BH198</f>
        <v/>
      </c>
      <c r="BI163" s="451">
        <f>+BI157/BI198</f>
        <v/>
      </c>
      <c r="BJ163" s="1338">
        <f>+BJ157/BJ198</f>
        <v/>
      </c>
      <c r="BK163" s="451">
        <f>+BK157/BK198</f>
        <v/>
      </c>
      <c r="BL163" s="451">
        <f>+BL157/BL198</f>
        <v/>
      </c>
      <c r="BM163" s="451">
        <f>+BM157/BM198</f>
        <v/>
      </c>
      <c r="BN163" s="451">
        <f>+BN157/BN198</f>
        <v/>
      </c>
      <c r="BO163" s="1339">
        <f>+BO157/BO198</f>
        <v/>
      </c>
      <c r="BP163" s="301" t="n"/>
      <c r="BQ163" s="301" t="n"/>
      <c r="BR163" s="301" t="n"/>
      <c r="BS163" s="301" t="n"/>
      <c r="BT163" s="1337" t="n"/>
      <c r="BU163" s="301" t="n"/>
      <c r="BV163" s="301" t="n"/>
      <c r="BW163" s="301" t="n"/>
      <c r="BX163" s="301" t="n"/>
      <c r="BY163" s="1337" t="n"/>
      <c r="BZ163" s="1337" t="n"/>
      <c r="CA163" s="1337" t="n"/>
      <c r="CB163" s="1337" t="n"/>
      <c r="CC163" s="102" t="n"/>
    </row>
    <row r="164" hidden="1" outlineLevel="2" ht="15" customFormat="1" customHeight="1" s="607">
      <c r="A164" s="29" t="inlineStr">
        <is>
          <t>Total memory revenue as a % of bookings, %</t>
        </is>
      </c>
      <c r="B164" s="126" t="n"/>
      <c r="C164" s="1294" t="n"/>
      <c r="D164" s="1294" t="n"/>
      <c r="E164" s="1294" t="n"/>
      <c r="F164" s="1294" t="n"/>
      <c r="G164" s="1294" t="n"/>
      <c r="H164" s="695">
        <f>+H158/H199</f>
        <v/>
      </c>
      <c r="I164" s="695">
        <f>+I158/I199</f>
        <v/>
      </c>
      <c r="J164" s="695">
        <f>+J158/J199</f>
        <v/>
      </c>
      <c r="K164" s="695">
        <f>+K158/K199</f>
        <v/>
      </c>
      <c r="L164" s="1333">
        <f>+L158/L199</f>
        <v/>
      </c>
      <c r="M164" s="695">
        <f>+M158/M199</f>
        <v/>
      </c>
      <c r="N164" s="695">
        <f>+N158/N199</f>
        <v/>
      </c>
      <c r="O164" s="695">
        <f>+O158/O199</f>
        <v/>
      </c>
      <c r="P164" s="695">
        <f>+P158/P199</f>
        <v/>
      </c>
      <c r="Q164" s="1333">
        <f>+Q158/Q199</f>
        <v/>
      </c>
      <c r="R164" s="695">
        <f>+R158/R199</f>
        <v/>
      </c>
      <c r="S164" s="695">
        <f>+S158/S199</f>
        <v/>
      </c>
      <c r="T164" s="695">
        <f>+T158/T199</f>
        <v/>
      </c>
      <c r="U164" s="695">
        <f>+U158/U199</f>
        <v/>
      </c>
      <c r="V164" s="1333">
        <f>+V158/V199</f>
        <v/>
      </c>
      <c r="W164" s="695">
        <f>+W158/W199</f>
        <v/>
      </c>
      <c r="X164" s="695">
        <f>+X158/X199</f>
        <v/>
      </c>
      <c r="Y164" s="695">
        <f>+Y158/Y199</f>
        <v/>
      </c>
      <c r="Z164" s="695">
        <f>+Z158/Z199</f>
        <v/>
      </c>
      <c r="AA164" s="1333">
        <f>+AA158/AA199</f>
        <v/>
      </c>
      <c r="AB164" s="695">
        <f>+AB158/AB199</f>
        <v/>
      </c>
      <c r="AC164" s="695">
        <f>+AC158/AC199</f>
        <v/>
      </c>
      <c r="AD164" s="695">
        <f>+AD158/AD199</f>
        <v/>
      </c>
      <c r="AE164" s="695">
        <f>+AE158/AE199</f>
        <v/>
      </c>
      <c r="AF164" s="1333">
        <f>+AF158/AF199</f>
        <v/>
      </c>
      <c r="AG164" s="695">
        <f>+AG158/AG199</f>
        <v/>
      </c>
      <c r="AH164" s="695">
        <f>+AH158/AH199</f>
        <v/>
      </c>
      <c r="AI164" s="695">
        <f>+AI158/AI199</f>
        <v/>
      </c>
      <c r="AJ164" s="695">
        <f>+AJ158/AJ199</f>
        <v/>
      </c>
      <c r="AK164" s="1333">
        <f>+AK158/AK199</f>
        <v/>
      </c>
      <c r="AL164" s="695">
        <f>+AL158/AL199</f>
        <v/>
      </c>
      <c r="AM164" s="695">
        <f>+AM158/AM199</f>
        <v/>
      </c>
      <c r="AN164" s="695">
        <f>+AN158/AN199</f>
        <v/>
      </c>
      <c r="AO164" s="695">
        <f>+AO158/AO199</f>
        <v/>
      </c>
      <c r="AP164" s="1333">
        <f>+AP158/AP199</f>
        <v/>
      </c>
      <c r="AQ164" s="695">
        <f>+AQ158/AQ199</f>
        <v/>
      </c>
      <c r="AR164" s="695">
        <f>+AR158/AR199</f>
        <v/>
      </c>
      <c r="AS164" s="695">
        <f>+AS158/AS199</f>
        <v/>
      </c>
      <c r="AT164" s="695">
        <f>+AT158/AT199</f>
        <v/>
      </c>
      <c r="AU164" s="1333">
        <f>+AU158/AU199</f>
        <v/>
      </c>
      <c r="AV164" s="695">
        <f>+AV158/AV199</f>
        <v/>
      </c>
      <c r="AW164" s="695">
        <f>+AW158/AW199</f>
        <v/>
      </c>
      <c r="AX164" s="695">
        <f>+AX158/AX199</f>
        <v/>
      </c>
      <c r="AY164" s="695">
        <f>+AY158/AY199</f>
        <v/>
      </c>
      <c r="AZ164" s="1333">
        <f>+AZ158/AZ199</f>
        <v/>
      </c>
      <c r="BA164" s="695">
        <f>+BA158/BA199</f>
        <v/>
      </c>
      <c r="BB164" s="695">
        <f>+BB158/BB199</f>
        <v/>
      </c>
      <c r="BC164" s="695">
        <f>+BC158/BC199</f>
        <v/>
      </c>
      <c r="BD164" s="695">
        <f>+BD158/BD199</f>
        <v/>
      </c>
      <c r="BE164" s="1333">
        <f>+BE158/BE199</f>
        <v/>
      </c>
      <c r="BF164" s="695">
        <f>+BF158/BF199</f>
        <v/>
      </c>
      <c r="BG164" s="695">
        <f>+BG158/BG199</f>
        <v/>
      </c>
      <c r="BH164" s="695">
        <f>+BH158/BH199</f>
        <v/>
      </c>
      <c r="BI164" s="695">
        <f>+BI158/BI199</f>
        <v/>
      </c>
      <c r="BJ164" s="1333">
        <f>+BJ158/BJ199</f>
        <v/>
      </c>
      <c r="BK164" s="695">
        <f>+BK158/BK199</f>
        <v/>
      </c>
      <c r="BL164" s="695">
        <f>+BL158/BL199</f>
        <v/>
      </c>
      <c r="BM164" s="695">
        <f>+BM158/BM199</f>
        <v/>
      </c>
      <c r="BN164" s="695">
        <f>+BN158/BN199</f>
        <v/>
      </c>
      <c r="BO164" s="1340">
        <f>+BO158/BO199</f>
        <v/>
      </c>
      <c r="BP164" s="686" t="n"/>
      <c r="BQ164" s="686" t="n"/>
      <c r="BR164" s="686" t="n"/>
      <c r="BS164" s="686" t="n"/>
      <c r="BT164" s="1294" t="n"/>
      <c r="BU164" s="686" t="n"/>
      <c r="BV164" s="686" t="n"/>
      <c r="BW164" s="686" t="n"/>
      <c r="BX164" s="686" t="n"/>
      <c r="BY164" s="1294" t="n"/>
      <c r="BZ164" s="1294" t="n"/>
      <c r="CA164" s="1294" t="n"/>
      <c r="CB164" s="1294" t="n"/>
      <c r="CC164" s="102" t="n"/>
    </row>
    <row r="165" hidden="1" outlineLevel="2" ht="15" customFormat="1" customHeight="1" s="1598">
      <c r="A165" s="1613" t="n"/>
      <c r="B165" s="1600" t="n"/>
      <c r="C165" s="1602" t="n"/>
      <c r="D165" s="1602" t="n"/>
      <c r="E165" s="1602" t="n"/>
      <c r="F165" s="1602" t="n"/>
      <c r="G165" s="1602" t="n"/>
      <c r="H165" s="1603" t="n"/>
      <c r="I165" s="1603" t="n"/>
      <c r="J165" s="1603" t="n"/>
      <c r="K165" s="1603" t="n"/>
      <c r="L165" s="1602" t="n"/>
      <c r="M165" s="1603" t="n"/>
      <c r="N165" s="1603" t="n"/>
      <c r="O165" s="1603" t="n"/>
      <c r="P165" s="1603" t="n"/>
      <c r="Q165" s="1602" t="n"/>
      <c r="R165" s="1603" t="n"/>
      <c r="S165" s="1603" t="n"/>
      <c r="T165" s="1603" t="n"/>
      <c r="U165" s="1603" t="n"/>
      <c r="V165" s="1602" t="n"/>
      <c r="W165" s="1603" t="n"/>
      <c r="X165" s="1603" t="n"/>
      <c r="Y165" s="1603" t="n"/>
      <c r="Z165" s="1603" t="n"/>
      <c r="AA165" s="1602" t="n"/>
      <c r="AB165" s="1603" t="n"/>
      <c r="AC165" s="1603" t="n"/>
      <c r="AD165" s="1603" t="n"/>
      <c r="AE165" s="1603" t="n"/>
      <c r="AF165" s="1602" t="n"/>
      <c r="AG165" s="1603" t="n"/>
      <c r="AH165" s="1603" t="n"/>
      <c r="AI165" s="1603" t="n"/>
      <c r="AJ165" s="1603" t="n"/>
      <c r="AK165" s="1602" t="n"/>
      <c r="AL165" s="1603" t="n"/>
      <c r="AM165" s="1603" t="n"/>
      <c r="AN165" s="1603" t="n"/>
      <c r="AO165" s="1603" t="n"/>
      <c r="AP165" s="1602" t="n"/>
      <c r="AQ165" s="1603" t="n"/>
      <c r="AR165" s="1603" t="n"/>
      <c r="AS165" s="1603" t="n"/>
      <c r="AT165" s="1603" t="n"/>
      <c r="AU165" s="1602" t="n"/>
      <c r="AV165" s="1603" t="n"/>
      <c r="AW165" s="1603" t="n"/>
      <c r="AX165" s="1603" t="n"/>
      <c r="AY165" s="1603" t="n"/>
      <c r="AZ165" s="1602" t="n"/>
      <c r="BA165" s="1603" t="n"/>
      <c r="BB165" s="1603" t="n"/>
      <c r="BC165" s="1603" t="n"/>
      <c r="BD165" s="1603" t="n"/>
      <c r="BE165" s="1602" t="n"/>
      <c r="BF165" s="1603" t="n"/>
      <c r="BG165" s="1603" t="n"/>
      <c r="BH165" s="1603" t="n"/>
      <c r="BI165" s="1603" t="n"/>
      <c r="BJ165" s="1602" t="n"/>
      <c r="BK165" s="1603" t="n"/>
      <c r="BL165" s="1603" t="n"/>
      <c r="BM165" s="1603" t="n"/>
      <c r="BN165" s="1603" t="n"/>
      <c r="BO165" s="1604" t="n"/>
      <c r="BP165" s="1603" t="n"/>
      <c r="BQ165" s="1603" t="n"/>
      <c r="BR165" s="1603" t="n"/>
      <c r="BS165" s="1603" t="n"/>
      <c r="BT165" s="1602" t="n"/>
      <c r="BU165" s="1603" t="n"/>
      <c r="BV165" s="1603" t="n"/>
      <c r="BW165" s="1603" t="n"/>
      <c r="BX165" s="1603" t="n"/>
      <c r="BY165" s="1602" t="n"/>
      <c r="BZ165" s="1602" t="n"/>
      <c r="CA165" s="1602" t="n"/>
      <c r="CB165" s="1602" t="n"/>
      <c r="CC165" s="1605" t="n"/>
    </row>
    <row r="166" hidden="1" outlineLevel="2" ht="15" customFormat="1" customHeight="1" s="1561">
      <c r="A166" s="1721" t="inlineStr">
        <is>
          <t>New systems, mm</t>
        </is>
      </c>
      <c r="B166" s="1623" t="n"/>
      <c r="C166" s="1625" t="n">
        <v>993.26</v>
      </c>
      <c r="D166" s="1625" t="n">
        <v>3704.29</v>
      </c>
      <c r="E166" s="1625" t="n">
        <v>4780.72</v>
      </c>
      <c r="F166" s="1625" t="n">
        <v>3620.26</v>
      </c>
      <c r="G166" s="1625" t="n">
        <v>3890.154</v>
      </c>
      <c r="H166" s="1626" t="n"/>
      <c r="I166" s="1626" t="n"/>
      <c r="J166" s="1626" t="n"/>
      <c r="K166" s="1626" t="n"/>
      <c r="L166" s="1625" t="n">
        <v>4127.433</v>
      </c>
      <c r="M166" s="1626" t="n"/>
      <c r="N166" s="1626" t="n"/>
      <c r="O166" s="1626" t="n"/>
      <c r="P166" s="1626" t="n"/>
      <c r="Q166" s="1625" t="n">
        <v>4109.439</v>
      </c>
      <c r="R166" s="1626" t="n"/>
      <c r="S166" s="1626" t="n"/>
      <c r="T166" s="1626" t="n"/>
      <c r="U166" s="1626" t="n"/>
      <c r="V166" s="1625" t="n">
        <v>4600.2</v>
      </c>
      <c r="W166" s="1626" t="n"/>
      <c r="X166" s="1626" t="n"/>
      <c r="Y166" s="1626" t="n"/>
      <c r="Z166" s="1626" t="n"/>
      <c r="AA166" s="1625" t="n">
        <v>6266.7</v>
      </c>
      <c r="AB166" s="1626" t="n"/>
      <c r="AC166" s="1626" t="n"/>
      <c r="AD166" s="1626" t="n"/>
      <c r="AE166" s="1626" t="n"/>
      <c r="AF166" s="1625" t="n">
        <v>8115.6</v>
      </c>
      <c r="AG166" s="1626" t="n"/>
      <c r="AH166" s="1626" t="n"/>
      <c r="AI166" s="1626" t="n"/>
      <c r="AJ166" s="1626" t="n"/>
      <c r="AK166" s="1625" t="n">
        <v>8807.1</v>
      </c>
      <c r="AL166" s="1626" t="n"/>
      <c r="AM166" s="1626" t="n"/>
      <c r="AN166" s="1626" t="n"/>
      <c r="AO166" s="1626" t="n"/>
      <c r="AP166" s="1625" t="n">
        <v>10160.8</v>
      </c>
      <c r="AQ166" s="1626" t="n"/>
      <c r="AR166" s="1626" t="n"/>
      <c r="AS166" s="1626" t="n"/>
      <c r="AT166" s="1626" t="n"/>
      <c r="AU166" s="1625" t="n">
        <v>13446.1</v>
      </c>
      <c r="AV166" s="1626" t="n"/>
      <c r="AW166" s="1626" t="n"/>
      <c r="AX166" s="1626" t="n"/>
      <c r="AY166" s="1626" t="n"/>
      <c r="AZ166" s="1625" t="n">
        <v>15152.3</v>
      </c>
      <c r="BA166" s="1626" t="n"/>
      <c r="BB166" s="1626" t="n"/>
      <c r="BC166" s="1626" t="n"/>
      <c r="BD166" s="1626" t="n"/>
      <c r="BE166" s="1625" t="n">
        <v>21622.4</v>
      </c>
      <c r="BF166" s="1626" t="n"/>
      <c r="BG166" s="1626" t="n"/>
      <c r="BH166" s="1626" t="n"/>
      <c r="BI166" s="1626" t="n"/>
      <c r="BJ166" s="1625" t="n">
        <v>21139.7</v>
      </c>
      <c r="BK166" s="1626" t="n"/>
      <c r="BL166" s="1626" t="n"/>
      <c r="BM166" s="1626" t="n"/>
      <c r="BN166" s="1626" t="n"/>
      <c r="BO166" s="1627" t="n"/>
      <c r="BP166" s="1626" t="n"/>
      <c r="BQ166" s="1626" t="n"/>
      <c r="BR166" s="1626" t="n"/>
      <c r="BS166" s="1626" t="n"/>
      <c r="BT166" s="1624" t="n"/>
      <c r="BU166" s="1626" t="n"/>
      <c r="BV166" s="1626" t="n"/>
      <c r="BW166" s="1626" t="n"/>
      <c r="BX166" s="1626" t="n"/>
      <c r="BY166" s="1624" t="n"/>
      <c r="BZ166" s="1624" t="n"/>
      <c r="CA166" s="1624" t="n"/>
      <c r="CB166" s="1624" t="n"/>
      <c r="CC166" s="1564" t="n"/>
    </row>
    <row r="167" hidden="1" outlineLevel="2" ht="15" customFormat="1" customHeight="1" s="1561">
      <c r="A167" s="1686" t="inlineStr">
        <is>
          <t>Used systems, mm</t>
        </is>
      </c>
      <c r="B167" s="1687" t="n"/>
      <c r="C167" s="1769" t="n">
        <v>181.598</v>
      </c>
      <c r="D167" s="1769" t="n">
        <v>190.452</v>
      </c>
      <c r="E167" s="1769" t="n">
        <v>103.193</v>
      </c>
      <c r="F167" s="1769" t="n">
        <v>181.372</v>
      </c>
      <c r="G167" s="1769" t="n">
        <v>102.975</v>
      </c>
      <c r="H167" s="1689" t="n"/>
      <c r="I167" s="1689" t="n"/>
      <c r="J167" s="1689" t="n"/>
      <c r="K167" s="1689" t="n"/>
      <c r="L167" s="1769" t="n">
        <v>115.357</v>
      </c>
      <c r="M167" s="1689" t="n"/>
      <c r="N167" s="1689" t="n"/>
      <c r="O167" s="1689" t="n"/>
      <c r="P167" s="1689" t="n"/>
      <c r="Q167" s="1769" t="n">
        <v>127.744</v>
      </c>
      <c r="R167" s="1689" t="n"/>
      <c r="S167" s="1689" t="n"/>
      <c r="T167" s="1689" t="n"/>
      <c r="U167" s="1689" t="n"/>
      <c r="V167" s="1769" t="n">
        <v>71.8</v>
      </c>
      <c r="W167" s="1689" t="n"/>
      <c r="X167" s="1689" t="n"/>
      <c r="Y167" s="1689" t="n"/>
      <c r="Z167" s="1689" t="n"/>
      <c r="AA167" s="1769" t="n">
        <v>107</v>
      </c>
      <c r="AB167" s="1689" t="n"/>
      <c r="AC167" s="1689" t="n"/>
      <c r="AD167" s="1689" t="n"/>
      <c r="AE167" s="1689" t="n"/>
      <c r="AF167" s="1769" t="n">
        <v>143.5</v>
      </c>
      <c r="AG167" s="1689" t="n"/>
      <c r="AH167" s="1689" t="n"/>
      <c r="AI167" s="1689" t="n"/>
      <c r="AJ167" s="1689" t="n"/>
      <c r="AK167" s="1769" t="n">
        <v>189.1</v>
      </c>
      <c r="AL167" s="1689" t="n"/>
      <c r="AM167" s="1689" t="n"/>
      <c r="AN167" s="1689" t="n"/>
      <c r="AO167" s="1689" t="n"/>
      <c r="AP167" s="1769" t="n">
        <v>155.8</v>
      </c>
      <c r="AQ167" s="1689" t="n"/>
      <c r="AR167" s="1689" t="n"/>
      <c r="AS167" s="1689" t="n"/>
      <c r="AT167" s="1689" t="n"/>
      <c r="AU167" s="1769" t="n">
        <v>206.7</v>
      </c>
      <c r="AV167" s="1689" t="n"/>
      <c r="AW167" s="1689" t="n"/>
      <c r="AX167" s="1689" t="n"/>
      <c r="AY167" s="1689" t="n"/>
      <c r="AZ167" s="1769" t="n">
        <v>278</v>
      </c>
      <c r="BA167" s="1689" t="n"/>
      <c r="BB167" s="1689" t="n"/>
      <c r="BC167" s="1689" t="n"/>
      <c r="BD167" s="1689" t="n"/>
      <c r="BE167" s="1769" t="n">
        <v>316.2</v>
      </c>
      <c r="BF167" s="1689" t="n"/>
      <c r="BG167" s="1689" t="n"/>
      <c r="BH167" s="1689" t="n"/>
      <c r="BI167" s="1689" t="n"/>
      <c r="BJ167" s="1769" t="n">
        <v>629</v>
      </c>
      <c r="BK167" s="1689" t="n"/>
      <c r="BL167" s="1689" t="n"/>
      <c r="BM167" s="1689" t="n"/>
      <c r="BN167" s="1689" t="n"/>
      <c r="BO167" s="1690" t="n"/>
      <c r="BP167" s="1689" t="n"/>
      <c r="BQ167" s="1689" t="n"/>
      <c r="BR167" s="1689" t="n"/>
      <c r="BS167" s="1689" t="n"/>
      <c r="BT167" s="1688" t="n"/>
      <c r="BU167" s="1689" t="n"/>
      <c r="BV167" s="1689" t="n"/>
      <c r="BW167" s="1689" t="n"/>
      <c r="BX167" s="1689" t="n"/>
      <c r="BY167" s="1688" t="n"/>
      <c r="BZ167" s="1688" t="n"/>
      <c r="CA167" s="1688" t="n"/>
      <c r="CB167" s="1688" t="n"/>
      <c r="CC167" s="1564" t="n"/>
    </row>
    <row r="168" hidden="1" outlineLevel="2" ht="15" customFormat="1" customHeight="1" s="1628">
      <c r="A168" s="1695" t="inlineStr">
        <is>
          <t>Net system sales, mm</t>
        </is>
      </c>
      <c r="B168" s="1630" t="n"/>
      <c r="C168" s="1723">
        <f>SUM(C166:C167)</f>
        <v/>
      </c>
      <c r="D168" s="1723">
        <f>SUM(D166:D167)</f>
        <v/>
      </c>
      <c r="E168" s="1723">
        <f>SUM(E166:E167)</f>
        <v/>
      </c>
      <c r="F168" s="1723">
        <f>SUM(F166:F167)</f>
        <v/>
      </c>
      <c r="G168" s="1723">
        <f>SUM(G166:G167)</f>
        <v/>
      </c>
      <c r="H168" s="1632" t="n"/>
      <c r="I168" s="1632" t="n"/>
      <c r="J168" s="1632" t="n"/>
      <c r="K168" s="1632" t="n"/>
      <c r="L168" s="1723">
        <f>SUM(L166:L167)</f>
        <v/>
      </c>
      <c r="M168" s="1632" t="n"/>
      <c r="N168" s="1632" t="n"/>
      <c r="O168" s="1632" t="n"/>
      <c r="P168" s="1632" t="n"/>
      <c r="Q168" s="1723">
        <f>SUM(Q166:Q167)</f>
        <v/>
      </c>
      <c r="R168" s="1632" t="n"/>
      <c r="S168" s="1632" t="n"/>
      <c r="T168" s="1632" t="n"/>
      <c r="U168" s="1632" t="n"/>
      <c r="V168" s="1723">
        <f>SUM(V166:V167)</f>
        <v/>
      </c>
      <c r="W168" s="1632" t="n"/>
      <c r="X168" s="1632" t="n"/>
      <c r="Y168" s="1632" t="n"/>
      <c r="Z168" s="1632" t="n"/>
      <c r="AA168" s="1723">
        <f>SUM(AA166:AA167)</f>
        <v/>
      </c>
      <c r="AB168" s="1632" t="n"/>
      <c r="AC168" s="1632" t="n"/>
      <c r="AD168" s="1632" t="n"/>
      <c r="AE168" s="1632" t="n"/>
      <c r="AF168" s="1723">
        <f>SUM(AF166:AF167)</f>
        <v/>
      </c>
      <c r="AG168" s="1632" t="n"/>
      <c r="AH168" s="1632" t="n"/>
      <c r="AI168" s="1632" t="n"/>
      <c r="AJ168" s="1632" t="n"/>
      <c r="AK168" s="1723">
        <f>SUM(AK166:AK167)</f>
        <v/>
      </c>
      <c r="AL168" s="1632" t="n"/>
      <c r="AM168" s="1632" t="n"/>
      <c r="AN168" s="1632" t="n"/>
      <c r="AO168" s="1632" t="n"/>
      <c r="AP168" s="1723">
        <f>SUM(AP166:AP167)</f>
        <v/>
      </c>
      <c r="AQ168" s="1632" t="n"/>
      <c r="AR168" s="1632" t="n"/>
      <c r="AS168" s="1632" t="n"/>
      <c r="AT168" s="1632" t="n"/>
      <c r="AU168" s="1631">
        <f>SUM(AU166:AU167)</f>
        <v/>
      </c>
      <c r="AV168" s="1632" t="n"/>
      <c r="AW168" s="1632" t="n"/>
      <c r="AX168" s="1632" t="n"/>
      <c r="AY168" s="1632" t="n"/>
      <c r="AZ168" s="1631">
        <f>SUM(AZ166:AZ167)</f>
        <v/>
      </c>
      <c r="BA168" s="1632" t="n"/>
      <c r="BB168" s="1632" t="n"/>
      <c r="BC168" s="1632" t="n"/>
      <c r="BD168" s="1632" t="n"/>
      <c r="BE168" s="1631">
        <f>SUM(BE166:BE167)</f>
        <v/>
      </c>
      <c r="BF168" s="1632" t="n"/>
      <c r="BG168" s="1632" t="n"/>
      <c r="BH168" s="1632" t="n"/>
      <c r="BI168" s="1632" t="n"/>
      <c r="BJ168" s="1631">
        <f>SUM(BJ166:BJ167)</f>
        <v/>
      </c>
      <c r="BK168" s="1632" t="n"/>
      <c r="BL168" s="1632" t="n"/>
      <c r="BM168" s="1632" t="n"/>
      <c r="BN168" s="1632" t="n"/>
      <c r="BO168" s="1633" t="n"/>
      <c r="BP168" s="1632" t="n"/>
      <c r="BQ168" s="1632" t="n"/>
      <c r="BR168" s="1632" t="n"/>
      <c r="BS168" s="1632" t="n"/>
      <c r="BT168" s="1631" t="n"/>
      <c r="BU168" s="1632" t="n"/>
      <c r="BV168" s="1632" t="n"/>
      <c r="BW168" s="1632" t="n"/>
      <c r="BX168" s="1632" t="n"/>
      <c r="BY168" s="1631" t="n"/>
      <c r="BZ168" s="1631" t="n"/>
      <c r="CA168" s="1631" t="n"/>
      <c r="CB168" s="1631" t="n"/>
      <c r="CC168" s="1634" t="n"/>
    </row>
    <row r="169" hidden="1" outlineLevel="1" collapsed="1" ht="15" customFormat="1" customHeight="1" s="1628">
      <c r="A169" s="1703" t="n"/>
      <c r="B169" s="1682" t="n"/>
      <c r="C169" s="1683" t="n"/>
      <c r="D169" s="1683" t="n"/>
      <c r="E169" s="1683" t="n"/>
      <c r="F169" s="1683" t="n"/>
      <c r="G169" s="1683" t="n"/>
      <c r="H169" s="1684" t="n"/>
      <c r="I169" s="1684" t="n"/>
      <c r="J169" s="1684" t="n"/>
      <c r="K169" s="1684" t="n"/>
      <c r="L169" s="1683" t="n"/>
      <c r="M169" s="1684" t="n"/>
      <c r="N169" s="1684" t="n"/>
      <c r="O169" s="1684" t="n"/>
      <c r="P169" s="1684" t="n"/>
      <c r="Q169" s="1683" t="n"/>
      <c r="R169" s="1684" t="n"/>
      <c r="S169" s="1684" t="n"/>
      <c r="T169" s="1684" t="n"/>
      <c r="U169" s="1684" t="n"/>
      <c r="V169" s="1683" t="n"/>
      <c r="W169" s="1684" t="n"/>
      <c r="X169" s="1684" t="n"/>
      <c r="Y169" s="1684" t="n"/>
      <c r="Z169" s="1684" t="n"/>
      <c r="AA169" s="1683" t="n"/>
      <c r="AB169" s="1684" t="n"/>
      <c r="AC169" s="1684" t="n"/>
      <c r="AD169" s="1684" t="n"/>
      <c r="AE169" s="1684" t="n"/>
      <c r="AF169" s="1683" t="n"/>
      <c r="AG169" s="1684" t="n"/>
      <c r="AH169" s="1684" t="n"/>
      <c r="AI169" s="1684" t="n"/>
      <c r="AJ169" s="1684" t="n"/>
      <c r="AK169" s="1683" t="n"/>
      <c r="AL169" s="1684" t="n"/>
      <c r="AM169" s="1684" t="n"/>
      <c r="AN169" s="1684" t="n"/>
      <c r="AO169" s="1684" t="n"/>
      <c r="AP169" s="1683" t="n"/>
      <c r="AQ169" s="1684" t="n"/>
      <c r="AR169" s="1684" t="n"/>
      <c r="AS169" s="1684" t="n"/>
      <c r="AT169" s="1684" t="n"/>
      <c r="AU169" s="1683" t="n"/>
      <c r="AV169" s="1684" t="n"/>
      <c r="AW169" s="1684" t="n"/>
      <c r="AX169" s="1684" t="n"/>
      <c r="AY169" s="1684" t="n"/>
      <c r="AZ169" s="1683" t="n"/>
      <c r="BA169" s="1684" t="n"/>
      <c r="BB169" s="1684" t="n"/>
      <c r="BC169" s="1684" t="n"/>
      <c r="BD169" s="1684" t="n"/>
      <c r="BE169" s="1683" t="n"/>
      <c r="BF169" s="1684" t="n"/>
      <c r="BG169" s="1684" t="n"/>
      <c r="BH169" s="1684" t="n"/>
      <c r="BI169" s="1684" t="n"/>
      <c r="BJ169" s="1683" t="n"/>
      <c r="BK169" s="1684" t="n"/>
      <c r="BL169" s="1684" t="n"/>
      <c r="BM169" s="1684" t="n"/>
      <c r="BN169" s="1684" t="n"/>
      <c r="BO169" s="1685" t="n"/>
      <c r="BP169" s="1684" t="n"/>
      <c r="BQ169" s="1684" t="n"/>
      <c r="BR169" s="1684" t="n"/>
      <c r="BS169" s="1684" t="n"/>
      <c r="BT169" s="1683" t="n"/>
      <c r="BU169" s="1684" t="n"/>
      <c r="BV169" s="1684" t="n"/>
      <c r="BW169" s="1684" t="n"/>
      <c r="BX169" s="1684" t="n"/>
      <c r="BY169" s="1683" t="n"/>
      <c r="BZ169" s="1683" t="n"/>
      <c r="CA169" s="1683" t="n"/>
      <c r="CB169" s="1683" t="n"/>
      <c r="CC169" s="1634" t="n"/>
    </row>
    <row r="170" hidden="1" outlineLevel="1" ht="15" customFormat="1" customHeight="1" s="1628">
      <c r="A170" s="1679" t="inlineStr">
        <is>
          <t>Key Metrics - Units Sold (PR/IP)</t>
        </is>
      </c>
      <c r="B170" s="1679" t="n"/>
      <c r="C170" s="1679" t="n"/>
      <c r="D170" s="1679" t="n"/>
      <c r="E170" s="1679" t="n"/>
      <c r="F170" s="1679" t="n"/>
      <c r="G170" s="1679" t="n"/>
      <c r="H170" s="1679" t="n"/>
      <c r="I170" s="1679" t="n"/>
      <c r="J170" s="1679" t="n"/>
      <c r="K170" s="1679" t="n"/>
      <c r="L170" s="1679" t="n"/>
      <c r="M170" s="1679" t="n"/>
      <c r="N170" s="1679" t="n"/>
      <c r="O170" s="1679" t="n"/>
      <c r="P170" s="1679" t="n"/>
      <c r="Q170" s="1679" t="n"/>
      <c r="R170" s="1679" t="n"/>
      <c r="S170" s="1679" t="n"/>
      <c r="T170" s="1679" t="n"/>
      <c r="U170" s="1679" t="n"/>
      <c r="V170" s="1679" t="n"/>
      <c r="W170" s="1679" t="n"/>
      <c r="X170" s="1679" t="n"/>
      <c r="Y170" s="1679" t="n"/>
      <c r="Z170" s="1679" t="n"/>
      <c r="AA170" s="1679" t="n"/>
      <c r="AB170" s="1679" t="n"/>
      <c r="AC170" s="1679" t="n"/>
      <c r="AD170" s="1679" t="n"/>
      <c r="AE170" s="1679" t="n"/>
      <c r="AF170" s="1679" t="n"/>
      <c r="AG170" s="1679" t="n"/>
      <c r="AH170" s="1679" t="n"/>
      <c r="AI170" s="1679" t="n"/>
      <c r="AJ170" s="1679" t="n"/>
      <c r="AK170" s="1679" t="n"/>
      <c r="AL170" s="1679" t="n"/>
      <c r="AM170" s="1679" t="n"/>
      <c r="AN170" s="1679" t="n"/>
      <c r="AO170" s="1679" t="n"/>
      <c r="AP170" s="1679" t="n"/>
      <c r="AQ170" s="1679" t="n"/>
      <c r="AR170" s="1679" t="n"/>
      <c r="AS170" s="1679" t="n"/>
      <c r="AT170" s="1679" t="n"/>
      <c r="AU170" s="1679" t="n"/>
      <c r="AV170" s="1679" t="n"/>
      <c r="AW170" s="1679" t="n"/>
      <c r="AX170" s="1679" t="n"/>
      <c r="AY170" s="1679" t="n"/>
      <c r="AZ170" s="1679" t="n"/>
      <c r="BA170" s="1679" t="n"/>
      <c r="BB170" s="1679" t="n"/>
      <c r="BC170" s="1679" t="n"/>
      <c r="BD170" s="1679" t="n"/>
      <c r="BE170" s="1679" t="n"/>
      <c r="BF170" s="1679" t="n"/>
      <c r="BG170" s="1679" t="n"/>
      <c r="BH170" s="1679" t="n"/>
      <c r="BI170" s="1679" t="n"/>
      <c r="BJ170" s="1679" t="n"/>
      <c r="BK170" s="1679" t="n"/>
      <c r="BL170" s="1679" t="n"/>
      <c r="BM170" s="1679" t="n"/>
      <c r="BN170" s="1679" t="n"/>
      <c r="BO170" s="1680" t="n"/>
      <c r="BP170" s="1679" t="n"/>
      <c r="BQ170" s="1679" t="n"/>
      <c r="BR170" s="1679" t="n"/>
      <c r="BS170" s="1679" t="n"/>
      <c r="BT170" s="1679" t="n"/>
      <c r="BU170" s="1679" t="n"/>
      <c r="BV170" s="1679" t="n"/>
      <c r="BW170" s="1679" t="n"/>
      <c r="BX170" s="1679" t="n"/>
      <c r="BY170" s="1679" t="n"/>
      <c r="BZ170" s="1679" t="n"/>
      <c r="CA170" s="1679" t="n"/>
      <c r="CB170" s="1679" t="n"/>
      <c r="CC170" s="1634" t="n"/>
    </row>
    <row r="171" hidden="1" outlineLevel="2" ht="15" customFormat="1" customHeight="1" s="1574">
      <c r="A171" s="1693" t="inlineStr">
        <is>
          <t>New lithography systems sold, # of units</t>
        </is>
      </c>
      <c r="B171" s="1576" t="n"/>
      <c r="C171" s="1580" t="n">
        <v>47</v>
      </c>
      <c r="D171" s="1580" t="n">
        <v>154</v>
      </c>
      <c r="E171" s="1580" t="n">
        <v>195</v>
      </c>
      <c r="F171" s="1580" t="n">
        <v>146</v>
      </c>
      <c r="G171" s="1580" t="n">
        <v>142</v>
      </c>
      <c r="H171" s="1579" t="n">
        <v>35</v>
      </c>
      <c r="I171" s="1579" t="n">
        <v>27</v>
      </c>
      <c r="J171" s="1579" t="n">
        <v>24</v>
      </c>
      <c r="K171" s="1579" t="n">
        <v>30</v>
      </c>
      <c r="L171" s="1580" t="n">
        <v>116</v>
      </c>
      <c r="M171" s="1579" t="n">
        <v>39</v>
      </c>
      <c r="N171" s="1579" t="n">
        <v>34</v>
      </c>
      <c r="O171" s="1579" t="n">
        <v>39</v>
      </c>
      <c r="P171" s="1579" t="n">
        <v>32</v>
      </c>
      <c r="Q171" s="1580" t="n">
        <v>144</v>
      </c>
      <c r="R171" s="1579" t="n">
        <v>28</v>
      </c>
      <c r="S171" s="1579" t="n">
        <v>39</v>
      </c>
      <c r="T171" s="1579" t="n">
        <v>38</v>
      </c>
      <c r="U171" s="1579" t="n">
        <v>34</v>
      </c>
      <c r="V171" s="1580" t="n">
        <v>139</v>
      </c>
      <c r="W171" s="1579" t="n">
        <v>39</v>
      </c>
      <c r="X171" s="1579" t="n">
        <v>39</v>
      </c>
      <c r="Y171" s="1579" t="n">
        <v>48</v>
      </c>
      <c r="Z171" s="1579" t="n">
        <v>48</v>
      </c>
      <c r="AA171" s="1580" t="n">
        <v>174</v>
      </c>
      <c r="AB171" s="1579" t="n">
        <v>48</v>
      </c>
      <c r="AC171" s="1579" t="n">
        <v>50</v>
      </c>
      <c r="AD171" s="1579" t="n">
        <v>51</v>
      </c>
      <c r="AE171" s="1579" t="n">
        <v>58</v>
      </c>
      <c r="AF171" s="1580" t="n">
        <v>207</v>
      </c>
      <c r="AG171" s="1579" t="n">
        <v>43</v>
      </c>
      <c r="AH171" s="1579" t="n">
        <v>41</v>
      </c>
      <c r="AI171" s="1579" t="n">
        <v>52</v>
      </c>
      <c r="AJ171" s="1579" t="n">
        <v>67</v>
      </c>
      <c r="AK171" s="1580" t="n">
        <v>203</v>
      </c>
      <c r="AL171" s="1579" t="n">
        <v>49</v>
      </c>
      <c r="AM171" s="1579" t="n">
        <v>57</v>
      </c>
      <c r="AN171" s="1579" t="n">
        <v>57</v>
      </c>
      <c r="AO171" s="1579" t="n">
        <v>73</v>
      </c>
      <c r="AP171" s="1580" t="n">
        <v>236</v>
      </c>
      <c r="AQ171" s="1579" t="n">
        <v>73</v>
      </c>
      <c r="AR171" s="1579" t="n">
        <v>69</v>
      </c>
      <c r="AS171" s="1579" t="n">
        <v>72</v>
      </c>
      <c r="AT171" s="1579" t="n">
        <v>72</v>
      </c>
      <c r="AU171" s="1750">
        <f>SUM(AQ171,AR171,AS171,AT171)</f>
        <v/>
      </c>
      <c r="AV171" s="1579" t="n">
        <v>59</v>
      </c>
      <c r="AW171" s="1579" t="n">
        <v>83</v>
      </c>
      <c r="AX171" s="1579" t="n">
        <v>80</v>
      </c>
      <c r="AY171" s="1579" t="n">
        <v>95</v>
      </c>
      <c r="AZ171" s="1750">
        <f>SUM(AV171,AW171,AX171,AY171)</f>
        <v/>
      </c>
      <c r="BA171" s="1579" t="n">
        <v>96</v>
      </c>
      <c r="BB171" s="1579" t="n">
        <v>107</v>
      </c>
      <c r="BC171" s="1579" t="n">
        <v>105</v>
      </c>
      <c r="BD171" s="1579" t="n">
        <v>113</v>
      </c>
      <c r="BE171" s="1750">
        <f>SUM(BA171,BB171,BC171,BD171)</f>
        <v/>
      </c>
      <c r="BF171" s="1579" t="n">
        <v>66</v>
      </c>
      <c r="BG171" s="1579" t="n">
        <v>89</v>
      </c>
      <c r="BH171" s="1579" t="n">
        <v>106</v>
      </c>
      <c r="BI171" s="1579" t="n">
        <v>119</v>
      </c>
      <c r="BJ171" s="1750">
        <f>SUM(BF171,BG171,BH171,BI171)</f>
        <v/>
      </c>
      <c r="BK171" s="1579" t="n">
        <v>73</v>
      </c>
      <c r="BL171" s="1579" t="n">
        <v>67</v>
      </c>
      <c r="BM171" s="1579" t="n">
        <v>66</v>
      </c>
      <c r="BN171" s="1579" t="n">
        <v>94</v>
      </c>
      <c r="BO171" s="1766">
        <f>SUM(BK171,BL171,BM171,BN171)</f>
        <v/>
      </c>
      <c r="BP171" s="1578" t="n"/>
      <c r="BQ171" s="1578" t="n"/>
      <c r="BR171" s="1578" t="n"/>
      <c r="BS171" s="1578" t="n"/>
      <c r="BT171" s="1577" t="n"/>
      <c r="BU171" s="1578" t="n"/>
      <c r="BV171" s="1578" t="n"/>
      <c r="BW171" s="1578" t="n"/>
      <c r="BX171" s="1578" t="n"/>
      <c r="BY171" s="1577" t="n"/>
      <c r="BZ171" s="1577" t="n"/>
      <c r="CA171" s="1577" t="n"/>
      <c r="CB171" s="1577" t="n"/>
      <c r="CC171" s="1582" t="n"/>
    </row>
    <row r="172" hidden="1" outlineLevel="2" ht="15" customFormat="1" customHeight="1" s="1574">
      <c r="A172" s="1759" t="inlineStr">
        <is>
          <t>Used lithography systems sold, # of units</t>
        </is>
      </c>
      <c r="B172" s="1593" t="n"/>
      <c r="C172" s="1595" t="n">
        <v>23</v>
      </c>
      <c r="D172" s="1595" t="n">
        <v>43</v>
      </c>
      <c r="E172" s="1595" t="n">
        <v>27</v>
      </c>
      <c r="F172" s="1595" t="n">
        <v>24</v>
      </c>
      <c r="G172" s="1595" t="n">
        <v>15</v>
      </c>
      <c r="H172" s="1596" t="n">
        <v>5</v>
      </c>
      <c r="I172" s="1596" t="n">
        <v>4</v>
      </c>
      <c r="J172" s="1596" t="n">
        <v>6</v>
      </c>
      <c r="K172" s="1596" t="n">
        <v>5</v>
      </c>
      <c r="L172" s="1595" t="n">
        <v>20</v>
      </c>
      <c r="M172" s="1596" t="n">
        <v>8</v>
      </c>
      <c r="N172" s="1596" t="n">
        <v>7</v>
      </c>
      <c r="O172" s="1596" t="n">
        <v>5</v>
      </c>
      <c r="P172" s="1596" t="n">
        <v>5</v>
      </c>
      <c r="Q172" s="1595" t="n">
        <v>25</v>
      </c>
      <c r="R172" s="1596" t="n">
        <v>5</v>
      </c>
      <c r="S172" s="1596" t="n">
        <v>7</v>
      </c>
      <c r="T172" s="1596" t="n">
        <v>2</v>
      </c>
      <c r="U172" s="1596" t="n">
        <v>4</v>
      </c>
      <c r="V172" s="1595" t="n">
        <v>18</v>
      </c>
      <c r="W172" s="1596" t="n">
        <v>5</v>
      </c>
      <c r="X172" s="1596" t="n">
        <v>3</v>
      </c>
      <c r="Y172" s="1596" t="n">
        <v>7</v>
      </c>
      <c r="Z172" s="1596" t="n">
        <v>9</v>
      </c>
      <c r="AA172" s="1595" t="n">
        <v>24</v>
      </c>
      <c r="AB172" s="1596" t="n">
        <v>1</v>
      </c>
      <c r="AC172" s="1596" t="n">
        <v>8</v>
      </c>
      <c r="AD172" s="1596" t="n">
        <v>2</v>
      </c>
      <c r="AE172" s="1596" t="n">
        <v>6</v>
      </c>
      <c r="AF172" s="1595" t="n">
        <v>17</v>
      </c>
      <c r="AG172" s="1596" t="n">
        <v>5</v>
      </c>
      <c r="AH172" s="1596" t="n">
        <v>7</v>
      </c>
      <c r="AI172" s="1596" t="n">
        <v>5</v>
      </c>
      <c r="AJ172" s="1596" t="n">
        <v>9</v>
      </c>
      <c r="AK172" s="1595" t="n">
        <v>26</v>
      </c>
      <c r="AL172" s="1596" t="n">
        <v>8</v>
      </c>
      <c r="AM172" s="1596" t="n">
        <v>4</v>
      </c>
      <c r="AN172" s="1596" t="n">
        <v>3</v>
      </c>
      <c r="AO172" s="1596" t="n">
        <v>7</v>
      </c>
      <c r="AP172" s="1595" t="n">
        <v>22</v>
      </c>
      <c r="AQ172" s="1596" t="n">
        <v>3</v>
      </c>
      <c r="AR172" s="1596" t="n">
        <v>3</v>
      </c>
      <c r="AS172" s="1596" t="n">
        <v>7</v>
      </c>
      <c r="AT172" s="1596" t="n">
        <v>10</v>
      </c>
      <c r="AU172" s="1754">
        <f>SUM(AQ172,AR172,AS172,AT172)</f>
        <v/>
      </c>
      <c r="AV172" s="1596" t="n">
        <v>3</v>
      </c>
      <c r="AW172" s="1596" t="n">
        <v>8</v>
      </c>
      <c r="AX172" s="1596" t="n">
        <v>6</v>
      </c>
      <c r="AY172" s="1596" t="n">
        <v>11</v>
      </c>
      <c r="AZ172" s="1754">
        <f>SUM(AV172,AW172,AX172,AY172)</f>
        <v/>
      </c>
      <c r="BA172" s="1596" t="n">
        <v>4</v>
      </c>
      <c r="BB172" s="1596" t="n">
        <v>6</v>
      </c>
      <c r="BC172" s="1596" t="n">
        <v>7</v>
      </c>
      <c r="BD172" s="1596" t="n">
        <v>11</v>
      </c>
      <c r="BE172" s="1754">
        <f>SUM(BA172,BB172,BC172,BD172)</f>
        <v/>
      </c>
      <c r="BF172" s="1596" t="n">
        <v>4</v>
      </c>
      <c r="BG172" s="1596" t="n">
        <v>11</v>
      </c>
      <c r="BH172" s="1596" t="n">
        <v>10</v>
      </c>
      <c r="BI172" s="1596" t="n">
        <v>13</v>
      </c>
      <c r="BJ172" s="1754">
        <f>SUM(BF172,BG172,BH172,BI172)</f>
        <v/>
      </c>
      <c r="BK172" s="1596" t="n">
        <v>4</v>
      </c>
      <c r="BL172" s="1596" t="n">
        <v>9</v>
      </c>
      <c r="BM172" s="1596" t="n">
        <v>6</v>
      </c>
      <c r="BN172" s="1596" t="n">
        <v>8</v>
      </c>
      <c r="BO172" s="1768">
        <f>SUM(BK172,BL172,BM172,BN172)</f>
        <v/>
      </c>
      <c r="BP172" s="1607" t="n"/>
      <c r="BQ172" s="1607" t="n"/>
      <c r="BR172" s="1607" t="n"/>
      <c r="BS172" s="1607" t="n"/>
      <c r="BT172" s="1594" t="n"/>
      <c r="BU172" s="1607" t="n"/>
      <c r="BV172" s="1607" t="n"/>
      <c r="BW172" s="1607" t="n"/>
      <c r="BX172" s="1607" t="n"/>
      <c r="BY172" s="1594" t="n"/>
      <c r="BZ172" s="1594" t="n"/>
      <c r="CA172" s="1594" t="n"/>
      <c r="CB172" s="1594" t="n"/>
      <c r="CC172" s="1582" t="n"/>
    </row>
    <row r="173" hidden="1" outlineLevel="2" ht="15" customFormat="1" customHeight="1" s="1598">
      <c r="A173" s="1761" t="inlineStr">
        <is>
          <t>Net lithography systems sold, # of units</t>
        </is>
      </c>
      <c r="B173" s="1609" t="n"/>
      <c r="C173" s="1762">
        <f>SUM(C171:C172)</f>
        <v/>
      </c>
      <c r="D173" s="1762">
        <f>SUM(D171:D172)</f>
        <v/>
      </c>
      <c r="E173" s="1762">
        <f>SUM(E171:E172)</f>
        <v/>
      </c>
      <c r="F173" s="1762">
        <f>SUM(F171:F172)</f>
        <v/>
      </c>
      <c r="G173" s="1762">
        <f>SUM(G171:G172)</f>
        <v/>
      </c>
      <c r="H173" s="1763">
        <f>SUM(H171:H172)</f>
        <v/>
      </c>
      <c r="I173" s="1763">
        <f>SUM(I171:I172)</f>
        <v/>
      </c>
      <c r="J173" s="1763">
        <f>SUM(J171:J172)</f>
        <v/>
      </c>
      <c r="K173" s="1763">
        <f>SUM(K171:K172)</f>
        <v/>
      </c>
      <c r="L173" s="1762">
        <f>SUM(L171:L172)</f>
        <v/>
      </c>
      <c r="M173" s="1763">
        <f>SUM(M171:M172)</f>
        <v/>
      </c>
      <c r="N173" s="1763">
        <f>SUM(N171:N172)</f>
        <v/>
      </c>
      <c r="O173" s="1763">
        <f>SUM(O171:O172)</f>
        <v/>
      </c>
      <c r="P173" s="1763">
        <f>SUM(P171:P172)</f>
        <v/>
      </c>
      <c r="Q173" s="1762">
        <f>SUM(Q171:Q172)</f>
        <v/>
      </c>
      <c r="R173" s="1763">
        <f>SUM(R171:R172)</f>
        <v/>
      </c>
      <c r="S173" s="1763">
        <f>SUM(S171:S172)</f>
        <v/>
      </c>
      <c r="T173" s="1763">
        <f>SUM(T171:T172)</f>
        <v/>
      </c>
      <c r="U173" s="1763">
        <f>SUM(U171:U172)</f>
        <v/>
      </c>
      <c r="V173" s="1762">
        <f>SUM(V171:V172)</f>
        <v/>
      </c>
      <c r="W173" s="1763">
        <f>SUM(W171:W172)</f>
        <v/>
      </c>
      <c r="X173" s="1763">
        <f>SUM(X171:X172)</f>
        <v/>
      </c>
      <c r="Y173" s="1763">
        <f>SUM(Y171:Y172)</f>
        <v/>
      </c>
      <c r="Z173" s="1763">
        <f>SUM(Z171:Z172)</f>
        <v/>
      </c>
      <c r="AA173" s="1762">
        <f>SUM(AA171:AA172)</f>
        <v/>
      </c>
      <c r="AB173" s="1763">
        <f>SUM(AB171:AB172)</f>
        <v/>
      </c>
      <c r="AC173" s="1763">
        <f>SUM(AC171:AC172)</f>
        <v/>
      </c>
      <c r="AD173" s="1763">
        <f>SUM(AD171:AD172)</f>
        <v/>
      </c>
      <c r="AE173" s="1763">
        <f>SUM(AE171:AE172)</f>
        <v/>
      </c>
      <c r="AF173" s="1762">
        <f>SUM(AF171:AF172)</f>
        <v/>
      </c>
      <c r="AG173" s="1763">
        <f>SUM(AG171:AG172)</f>
        <v/>
      </c>
      <c r="AH173" s="1763">
        <f>SUM(AH171:AH172)</f>
        <v/>
      </c>
      <c r="AI173" s="1763">
        <f>SUM(AI171:AI172)</f>
        <v/>
      </c>
      <c r="AJ173" s="1763">
        <f>SUM(AJ171:AJ172)</f>
        <v/>
      </c>
      <c r="AK173" s="1762">
        <f>SUM(AK171:AK172)</f>
        <v/>
      </c>
      <c r="AL173" s="1763">
        <f>SUM(AL171:AL172)</f>
        <v/>
      </c>
      <c r="AM173" s="1763">
        <f>SUM(AM171:AM172)</f>
        <v/>
      </c>
      <c r="AN173" s="1763">
        <f>SUM(AN171:AN172)</f>
        <v/>
      </c>
      <c r="AO173" s="1763">
        <f>SUM(AO171:AO172)</f>
        <v/>
      </c>
      <c r="AP173" s="1762">
        <f>SUM(AP171:AP172)</f>
        <v/>
      </c>
      <c r="AQ173" s="1763">
        <f>SUM(AQ171:AQ172)</f>
        <v/>
      </c>
      <c r="AR173" s="1763">
        <f>SUM(AR171:AR172)</f>
        <v/>
      </c>
      <c r="AS173" s="1763">
        <f>SUM(AS171:AS172)</f>
        <v/>
      </c>
      <c r="AT173" s="1763">
        <f>SUM(AT171:AT172)</f>
        <v/>
      </c>
      <c r="AU173" s="1762">
        <f>SUM(AU171:AU172)</f>
        <v/>
      </c>
      <c r="AV173" s="1763">
        <f>SUM(AV171:AV172)</f>
        <v/>
      </c>
      <c r="AW173" s="1763">
        <f>SUM(AW171:AW172)</f>
        <v/>
      </c>
      <c r="AX173" s="1763">
        <f>SUM(AX171:AX172)</f>
        <v/>
      </c>
      <c r="AY173" s="1763">
        <f>SUM(AY171:AY172)</f>
        <v/>
      </c>
      <c r="AZ173" s="1762">
        <f>SUM(AZ171:AZ172)</f>
        <v/>
      </c>
      <c r="BA173" s="1763">
        <f>SUM(BA171:BA172)</f>
        <v/>
      </c>
      <c r="BB173" s="1763">
        <f>SUM(BB171:BB172)</f>
        <v/>
      </c>
      <c r="BC173" s="1763">
        <f>SUM(BC171:BC172)</f>
        <v/>
      </c>
      <c r="BD173" s="1763">
        <f>SUM(BD171:BD172)</f>
        <v/>
      </c>
      <c r="BE173" s="1762">
        <f>SUM(BE171:BE172)</f>
        <v/>
      </c>
      <c r="BF173" s="1763">
        <f>SUM(BF171:BF172)</f>
        <v/>
      </c>
      <c r="BG173" s="1763">
        <f>SUM(BG171:BG172)</f>
        <v/>
      </c>
      <c r="BH173" s="1763">
        <f>SUM(BH171:BH172)</f>
        <v/>
      </c>
      <c r="BI173" s="1763">
        <f>SUM(BI171:BI172)</f>
        <v/>
      </c>
      <c r="BJ173" s="1762">
        <f>SUM(BJ171:BJ172)</f>
        <v/>
      </c>
      <c r="BK173" s="1763">
        <f>SUM(BK171:BK172)</f>
        <v/>
      </c>
      <c r="BL173" s="1763">
        <f>SUM(BL171:BL172)</f>
        <v/>
      </c>
      <c r="BM173" s="1763">
        <f>SUM(BM171:BM172)</f>
        <v/>
      </c>
      <c r="BN173" s="1763">
        <f>SUM(BN171:BN172)</f>
        <v/>
      </c>
      <c r="BO173" s="1765">
        <f>SUM(BO171:BO172)</f>
        <v/>
      </c>
      <c r="BP173" s="1611" t="n"/>
      <c r="BQ173" s="1611" t="n"/>
      <c r="BR173" s="1611" t="n"/>
      <c r="BS173" s="1611" t="n"/>
      <c r="BT173" s="1610" t="n"/>
      <c r="BU173" s="1611" t="n"/>
      <c r="BV173" s="1611" t="n"/>
      <c r="BW173" s="1611" t="n"/>
      <c r="BX173" s="1611" t="n"/>
      <c r="BY173" s="1610" t="n"/>
      <c r="BZ173" s="1610" t="n"/>
      <c r="CA173" s="1610" t="n"/>
      <c r="CB173" s="1610" t="n"/>
      <c r="CC173" s="1605" t="n"/>
    </row>
    <row r="174" hidden="1" outlineLevel="2" ht="15" customFormat="1" customHeight="1" s="1574">
      <c r="A174" s="1691" t="n"/>
      <c r="B174" s="1576" t="n"/>
      <c r="C174" s="1577" t="n"/>
      <c r="D174" s="1577" t="n"/>
      <c r="E174" s="1577" t="n"/>
      <c r="F174" s="1577" t="n"/>
      <c r="G174" s="1577" t="n"/>
      <c r="H174" s="1578" t="n"/>
      <c r="I174" s="1578" t="n"/>
      <c r="J174" s="1578" t="n"/>
      <c r="K174" s="1578" t="n"/>
      <c r="L174" s="1577" t="n"/>
      <c r="M174" s="1578" t="n"/>
      <c r="N174" s="1578" t="n"/>
      <c r="O174" s="1578" t="n"/>
      <c r="P174" s="1578" t="n"/>
      <c r="Q174" s="1577" t="n"/>
      <c r="R174" s="1578" t="n"/>
      <c r="S174" s="1578" t="n"/>
      <c r="T174" s="1578" t="n"/>
      <c r="U174" s="1578" t="n"/>
      <c r="V174" s="1577" t="n"/>
      <c r="W174" s="1578" t="n"/>
      <c r="X174" s="1578" t="n"/>
      <c r="Y174" s="1578" t="n"/>
      <c r="Z174" s="1578" t="n"/>
      <c r="AA174" s="1577" t="n"/>
      <c r="AB174" s="1578" t="n"/>
      <c r="AC174" s="1578" t="n"/>
      <c r="AD174" s="1578" t="n"/>
      <c r="AE174" s="1578" t="n"/>
      <c r="AF174" s="1577" t="n"/>
      <c r="AG174" s="1578" t="n"/>
      <c r="AH174" s="1578" t="n"/>
      <c r="AI174" s="1578" t="n"/>
      <c r="AJ174" s="1578" t="n"/>
      <c r="AK174" s="1577" t="n"/>
      <c r="AL174" s="1578" t="n"/>
      <c r="AM174" s="1578" t="n"/>
      <c r="AN174" s="1578" t="n"/>
      <c r="AO174" s="1578" t="n"/>
      <c r="AP174" s="1577" t="n"/>
      <c r="AQ174" s="1578" t="n"/>
      <c r="AR174" s="1578" t="n"/>
      <c r="AS174" s="1578" t="n"/>
      <c r="AT174" s="1578" t="n"/>
      <c r="AU174" s="1577" t="n"/>
      <c r="AV174" s="1578" t="n"/>
      <c r="AW174" s="1578" t="n"/>
      <c r="AX174" s="1578" t="n"/>
      <c r="AY174" s="1578" t="n"/>
      <c r="AZ174" s="1577" t="n"/>
      <c r="BA174" s="1578" t="n"/>
      <c r="BB174" s="1578" t="n"/>
      <c r="BC174" s="1578" t="n"/>
      <c r="BD174" s="1578" t="n"/>
      <c r="BE174" s="1577" t="n"/>
      <c r="BF174" s="1578" t="n"/>
      <c r="BG174" s="1578" t="n"/>
      <c r="BH174" s="1578" t="n"/>
      <c r="BI174" s="1578" t="n"/>
      <c r="BJ174" s="1577" t="n"/>
      <c r="BK174" s="1578" t="n"/>
      <c r="BL174" s="1578" t="n"/>
      <c r="BM174" s="1578" t="n"/>
      <c r="BN174" s="1578" t="n"/>
      <c r="BO174" s="1581" t="n"/>
      <c r="BP174" s="1578" t="n"/>
      <c r="BQ174" s="1578" t="n"/>
      <c r="BR174" s="1578" t="n"/>
      <c r="BS174" s="1578" t="n"/>
      <c r="BT174" s="1577" t="n"/>
      <c r="BU174" s="1578" t="n"/>
      <c r="BV174" s="1578" t="n"/>
      <c r="BW174" s="1578" t="n"/>
      <c r="BX174" s="1578" t="n"/>
      <c r="BY174" s="1577" t="n"/>
      <c r="BZ174" s="1577" t="n"/>
      <c r="CA174" s="1577" t="n"/>
      <c r="CB174" s="1577" t="n"/>
      <c r="CC174" s="1582" t="n"/>
    </row>
    <row r="175" hidden="1" outlineLevel="2" ht="15" customFormat="1" customHeight="1" s="1574">
      <c r="A175" s="1693" t="inlineStr">
        <is>
          <t>Logic Net system sales in units, # of units</t>
        </is>
      </c>
      <c r="B175" s="1576" t="n"/>
      <c r="C175" s="1577" t="n"/>
      <c r="D175" s="1577" t="n"/>
      <c r="E175" s="1577" t="n"/>
      <c r="F175" s="1577" t="n"/>
      <c r="G175" s="1577" t="n"/>
      <c r="H175" s="1578" t="n"/>
      <c r="I175" s="1578" t="n"/>
      <c r="J175" s="1578" t="n"/>
      <c r="K175" s="1578" t="n"/>
      <c r="L175" s="1577" t="n"/>
      <c r="M175" s="1578" t="n"/>
      <c r="N175" s="1578" t="n"/>
      <c r="O175" s="1578" t="n"/>
      <c r="P175" s="1578" t="n"/>
      <c r="Q175" s="1577" t="n"/>
      <c r="R175" s="1578" t="n"/>
      <c r="S175" s="1578" t="n"/>
      <c r="T175" s="1578" t="n"/>
      <c r="U175" s="1578" t="n"/>
      <c r="V175" s="1577" t="n"/>
      <c r="W175" s="1578" t="n"/>
      <c r="X175" s="1578" t="n"/>
      <c r="Y175" s="1578" t="n"/>
      <c r="Z175" s="1578" t="n"/>
      <c r="AA175" s="1580" t="n">
        <v>145</v>
      </c>
      <c r="AB175" s="1578" t="n"/>
      <c r="AC175" s="1578" t="n"/>
      <c r="AD175" s="1578" t="n"/>
      <c r="AE175" s="1578" t="n"/>
      <c r="AF175" s="1580" t="n">
        <v>125</v>
      </c>
      <c r="AG175" s="1578" t="n"/>
      <c r="AH175" s="1578" t="n"/>
      <c r="AI175" s="1578" t="n"/>
      <c r="AJ175" s="1578" t="n"/>
      <c r="AK175" s="1580" t="n">
        <v>238</v>
      </c>
      <c r="AL175" s="1578" t="n"/>
      <c r="AM175" s="1578" t="n"/>
      <c r="AN175" s="1578" t="n"/>
      <c r="AO175" s="1578" t="n"/>
      <c r="AP175" s="1580" t="n">
        <v>260</v>
      </c>
      <c r="AQ175" s="1578" t="n"/>
      <c r="AR175" s="1578" t="n"/>
      <c r="AS175" s="1578" t="n"/>
      <c r="AT175" s="1578" t="n"/>
      <c r="AU175" s="1580" t="n">
        <v>327</v>
      </c>
      <c r="AV175" s="1578" t="n"/>
      <c r="AW175" s="1578" t="n"/>
      <c r="AX175" s="1578" t="n"/>
      <c r="AY175" s="1578" t="n"/>
      <c r="AZ175" s="1580" t="n">
        <v>357</v>
      </c>
      <c r="BA175" s="1578" t="n"/>
      <c r="BB175" s="1578" t="n"/>
      <c r="BC175" s="1578" t="n"/>
      <c r="BD175" s="1578" t="n"/>
      <c r="BE175" s="1580" t="n">
        <v>439</v>
      </c>
      <c r="BF175" s="1578" t="n"/>
      <c r="BG175" s="1578" t="n"/>
      <c r="BH175" s="1578" t="n"/>
      <c r="BI175" s="1578" t="n"/>
      <c r="BJ175" s="1580" t="n">
        <v>399</v>
      </c>
      <c r="BK175" s="1578" t="n"/>
      <c r="BL175" s="1578" t="n"/>
      <c r="BM175" s="1578" t="n"/>
      <c r="BN175" s="1578" t="n"/>
      <c r="BO175" s="1581" t="n"/>
      <c r="BP175" s="1578" t="n"/>
      <c r="BQ175" s="1578" t="n"/>
      <c r="BR175" s="1578" t="n"/>
      <c r="BS175" s="1578" t="n"/>
      <c r="BT175" s="1577" t="n"/>
      <c r="BU175" s="1578" t="n"/>
      <c r="BV175" s="1578" t="n"/>
      <c r="BW175" s="1578" t="n"/>
      <c r="BX175" s="1578" t="n"/>
      <c r="BY175" s="1577" t="n"/>
      <c r="BZ175" s="1577" t="n"/>
      <c r="CA175" s="1577" t="n"/>
      <c r="CB175" s="1577" t="n"/>
      <c r="CC175" s="1582" t="n"/>
    </row>
    <row r="176" hidden="1" outlineLevel="2" ht="15" customFormat="1" customHeight="1" s="1574">
      <c r="A176" s="1693" t="inlineStr">
        <is>
          <t>Memory Net system sales in units, # of units</t>
        </is>
      </c>
      <c r="B176" s="1576" t="n"/>
      <c r="C176" s="1577" t="n"/>
      <c r="D176" s="1577" t="n"/>
      <c r="E176" s="1577" t="n"/>
      <c r="F176" s="1577" t="n"/>
      <c r="G176" s="1577" t="n"/>
      <c r="H176" s="1578" t="n"/>
      <c r="I176" s="1578" t="n"/>
      <c r="J176" s="1578" t="n"/>
      <c r="K176" s="1578" t="n"/>
      <c r="L176" s="1577" t="n"/>
      <c r="M176" s="1578" t="n"/>
      <c r="N176" s="1578" t="n"/>
      <c r="O176" s="1578" t="n"/>
      <c r="P176" s="1578" t="n"/>
      <c r="Q176" s="1577" t="n"/>
      <c r="R176" s="1578" t="n"/>
      <c r="S176" s="1578" t="n"/>
      <c r="T176" s="1578" t="n"/>
      <c r="U176" s="1578" t="n"/>
      <c r="V176" s="1577" t="n"/>
      <c r="W176" s="1578" t="n"/>
      <c r="X176" s="1578" t="n"/>
      <c r="Y176" s="1578" t="n"/>
      <c r="Z176" s="1578" t="n"/>
      <c r="AA176" s="1580" t="n">
        <v>147</v>
      </c>
      <c r="AB176" s="1578" t="n"/>
      <c r="AC176" s="1578" t="n"/>
      <c r="AD176" s="1578" t="n"/>
      <c r="AE176" s="1578" t="n"/>
      <c r="AF176" s="1580" t="n">
        <v>213</v>
      </c>
      <c r="AG176" s="1578" t="n"/>
      <c r="AH176" s="1578" t="n"/>
      <c r="AI176" s="1578" t="n"/>
      <c r="AJ176" s="1578" t="n"/>
      <c r="AK176" s="1580" t="n">
        <v>106</v>
      </c>
      <c r="AL176" s="1578" t="n"/>
      <c r="AM176" s="1578" t="n"/>
      <c r="AN176" s="1578" t="n"/>
      <c r="AO176" s="1578" t="n"/>
      <c r="AP176" s="1580" t="n">
        <v>135</v>
      </c>
      <c r="AQ176" s="1578" t="n"/>
      <c r="AR176" s="1578" t="n"/>
      <c r="AS176" s="1578" t="n"/>
      <c r="AT176" s="1578" t="n"/>
      <c r="AU176" s="1580" t="n">
        <v>178</v>
      </c>
      <c r="AV176" s="1578" t="n"/>
      <c r="AW176" s="1578" t="n"/>
      <c r="AX176" s="1578" t="n"/>
      <c r="AY176" s="1578" t="n"/>
      <c r="AZ176" s="1580" t="n">
        <v>204</v>
      </c>
      <c r="BA176" s="1578" t="n"/>
      <c r="BB176" s="1578" t="n"/>
      <c r="BC176" s="1578" t="n"/>
      <c r="BD176" s="1578" t="n"/>
      <c r="BE176" s="1580" t="n">
        <v>161</v>
      </c>
      <c r="BF176" s="1578" t="n"/>
      <c r="BG176" s="1578" t="n"/>
      <c r="BH176" s="1578" t="n"/>
      <c r="BI176" s="1578" t="n"/>
      <c r="BJ176" s="1580" t="n">
        <v>184</v>
      </c>
      <c r="BK176" s="1578" t="n"/>
      <c r="BL176" s="1578" t="n"/>
      <c r="BM176" s="1578" t="n"/>
      <c r="BN176" s="1578" t="n"/>
      <c r="BO176" s="1581" t="n"/>
      <c r="BP176" s="1578" t="n"/>
      <c r="BQ176" s="1578" t="n"/>
      <c r="BR176" s="1578" t="n"/>
      <c r="BS176" s="1578" t="n"/>
      <c r="BT176" s="1577" t="n"/>
      <c r="BU176" s="1578" t="n"/>
      <c r="BV176" s="1578" t="n"/>
      <c r="BW176" s="1578" t="n"/>
      <c r="BX176" s="1578" t="n"/>
      <c r="BY176" s="1577" t="n"/>
      <c r="BZ176" s="1577" t="n"/>
      <c r="CA176" s="1577" t="n"/>
      <c r="CB176" s="1577" t="n"/>
      <c r="CC176" s="1582" t="n"/>
    </row>
    <row r="177" hidden="1" outlineLevel="2" ht="15" customFormat="1" customHeight="1" s="1598">
      <c r="A177" s="1761" t="inlineStr">
        <is>
          <t>Total Net system sales in units, # of units</t>
        </is>
      </c>
      <c r="B177" s="1609" t="n"/>
      <c r="C177" s="1610" t="n"/>
      <c r="D177" s="1610" t="n"/>
      <c r="E177" s="1610" t="n"/>
      <c r="F177" s="1610" t="n"/>
      <c r="G177" s="1610" t="n"/>
      <c r="H177" s="1611" t="n"/>
      <c r="I177" s="1611" t="n"/>
      <c r="J177" s="1611" t="n"/>
      <c r="K177" s="1611" t="n"/>
      <c r="L177" s="1610" t="n"/>
      <c r="M177" s="1611" t="n"/>
      <c r="N177" s="1611" t="n"/>
      <c r="O177" s="1611" t="n"/>
      <c r="P177" s="1611" t="n"/>
      <c r="Q177" s="1610" t="n"/>
      <c r="R177" s="1611" t="n"/>
      <c r="S177" s="1611" t="n"/>
      <c r="T177" s="1611" t="n"/>
      <c r="U177" s="1611" t="n"/>
      <c r="V177" s="1610">
        <f>V18</f>
        <v/>
      </c>
      <c r="W177" s="1611" t="n"/>
      <c r="X177" s="1611" t="n"/>
      <c r="Y177" s="1611" t="n"/>
      <c r="Z177" s="1611" t="n"/>
      <c r="AA177" s="1610">
        <f>SUM(AA175:AA176)</f>
        <v/>
      </c>
      <c r="AB177" s="1611" t="n"/>
      <c r="AC177" s="1611" t="n"/>
      <c r="AD177" s="1611" t="n"/>
      <c r="AE177" s="1611" t="n"/>
      <c r="AF177" s="1762">
        <f>SUM(AF175:AF176)</f>
        <v/>
      </c>
      <c r="AG177" s="1611" t="n"/>
      <c r="AH177" s="1611" t="n"/>
      <c r="AI177" s="1611" t="n"/>
      <c r="AJ177" s="1611" t="n"/>
      <c r="AK177" s="1762">
        <f>SUM(AK175:AK176)</f>
        <v/>
      </c>
      <c r="AL177" s="1611" t="n"/>
      <c r="AM177" s="1611" t="n"/>
      <c r="AN177" s="1611" t="n"/>
      <c r="AO177" s="1611" t="n"/>
      <c r="AP177" s="1762">
        <f>SUM(AP175:AP176)</f>
        <v/>
      </c>
      <c r="AQ177" s="1611" t="n"/>
      <c r="AR177" s="1611" t="n"/>
      <c r="AS177" s="1611" t="n"/>
      <c r="AT177" s="1611" t="n"/>
      <c r="AU177" s="1762">
        <f>SUM(AU175:AU176)</f>
        <v/>
      </c>
      <c r="AV177" s="1611" t="n"/>
      <c r="AW177" s="1611" t="n"/>
      <c r="AX177" s="1611" t="n"/>
      <c r="AY177" s="1611" t="n"/>
      <c r="AZ177" s="1762">
        <f>SUM(AZ175:AZ176)</f>
        <v/>
      </c>
      <c r="BA177" s="1611" t="n"/>
      <c r="BB177" s="1611" t="n"/>
      <c r="BC177" s="1611" t="n"/>
      <c r="BD177" s="1611" t="n"/>
      <c r="BE177" s="1610">
        <f>SUM(BE175:BE176)</f>
        <v/>
      </c>
      <c r="BF177" s="1611" t="n"/>
      <c r="BG177" s="1611" t="n"/>
      <c r="BH177" s="1611" t="n"/>
      <c r="BI177" s="1611" t="n"/>
      <c r="BJ177" s="1610">
        <f>SUM(BJ175:BJ176)</f>
        <v/>
      </c>
      <c r="BK177" s="1611" t="n"/>
      <c r="BL177" s="1611" t="n"/>
      <c r="BM177" s="1611" t="n"/>
      <c r="BN177" s="1611" t="n"/>
      <c r="BO177" s="1612" t="n"/>
      <c r="BP177" s="1611" t="n"/>
      <c r="BQ177" s="1611" t="n"/>
      <c r="BR177" s="1611" t="n"/>
      <c r="BS177" s="1611" t="n"/>
      <c r="BT177" s="1610" t="n"/>
      <c r="BU177" s="1611" t="n"/>
      <c r="BV177" s="1611" t="n"/>
      <c r="BW177" s="1611" t="n"/>
      <c r="BX177" s="1611" t="n"/>
      <c r="BY177" s="1610" t="n"/>
      <c r="BZ177" s="1610" t="n"/>
      <c r="CA177" s="1610" t="n"/>
      <c r="CB177" s="1610" t="n"/>
      <c r="CC177" s="1605" t="n"/>
    </row>
    <row r="178" hidden="1" outlineLevel="1" collapsed="1" ht="15" customFormat="1" customHeight="1" s="598">
      <c r="A178" s="294" t="n"/>
      <c r="B178" s="64" t="n"/>
      <c r="C178" s="1254" t="n"/>
      <c r="D178" s="1254" t="n"/>
      <c r="E178" s="1254" t="n"/>
      <c r="F178" s="1254" t="n"/>
      <c r="G178" s="1254" t="n"/>
      <c r="H178" s="674" t="n"/>
      <c r="I178" s="674" t="n"/>
      <c r="J178" s="674" t="n"/>
      <c r="K178" s="674" t="n"/>
      <c r="L178" s="1254" t="n"/>
      <c r="M178" s="674" t="n"/>
      <c r="N178" s="674" t="n"/>
      <c r="O178" s="674" t="n"/>
      <c r="P178" s="674" t="n"/>
      <c r="Q178" s="1254" t="n"/>
      <c r="R178" s="674" t="n"/>
      <c r="S178" s="674" t="n"/>
      <c r="T178" s="674" t="n"/>
      <c r="U178" s="674" t="n"/>
      <c r="V178" s="1254" t="n"/>
      <c r="W178" s="674" t="n"/>
      <c r="X178" s="674" t="n"/>
      <c r="Y178" s="674" t="n"/>
      <c r="Z178" s="674" t="n"/>
      <c r="AA178" s="1254" t="n"/>
      <c r="AB178" s="674" t="n"/>
      <c r="AC178" s="674" t="n"/>
      <c r="AD178" s="674" t="n"/>
      <c r="AE178" s="674" t="n"/>
      <c r="AF178" s="1254" t="n"/>
      <c r="AG178" s="674" t="n"/>
      <c r="AH178" s="674" t="n"/>
      <c r="AI178" s="674" t="n"/>
      <c r="AJ178" s="674" t="n"/>
      <c r="AK178" s="1254" t="n"/>
      <c r="AL178" s="674" t="n"/>
      <c r="AM178" s="674" t="n"/>
      <c r="AN178" s="674" t="n"/>
      <c r="AO178" s="674" t="n"/>
      <c r="AP178" s="1254" t="n"/>
      <c r="AQ178" s="674" t="n"/>
      <c r="AR178" s="674" t="n"/>
      <c r="AS178" s="674" t="n"/>
      <c r="AT178" s="674" t="n"/>
      <c r="AU178" s="1254" t="n"/>
      <c r="AV178" s="674" t="n"/>
      <c r="AW178" s="674" t="n"/>
      <c r="AX178" s="674" t="n"/>
      <c r="AY178" s="674" t="n"/>
      <c r="AZ178" s="1254" t="n"/>
      <c r="BA178" s="674" t="n"/>
      <c r="BB178" s="674" t="n"/>
      <c r="BC178" s="674" t="n"/>
      <c r="BD178" s="674" t="n"/>
      <c r="BE178" s="1254" t="n"/>
      <c r="BF178" s="674" t="n"/>
      <c r="BG178" s="674" t="n"/>
      <c r="BH178" s="674" t="n"/>
      <c r="BI178" s="674" t="n"/>
      <c r="BJ178" s="1254" t="n"/>
      <c r="BK178" s="674" t="n"/>
      <c r="BL178" s="674" t="n"/>
      <c r="BM178" s="674" t="n"/>
      <c r="BN178" s="674" t="n"/>
      <c r="BO178" s="1253" t="n"/>
      <c r="BP178" s="674" t="n"/>
      <c r="BQ178" s="674" t="n"/>
      <c r="BR178" s="674" t="n"/>
      <c r="BS178" s="674" t="n"/>
      <c r="BT178" s="1254" t="n"/>
      <c r="BU178" s="674" t="n"/>
      <c r="BV178" s="674" t="n"/>
      <c r="BW178" s="674" t="n"/>
      <c r="BX178" s="674" t="n"/>
      <c r="BY178" s="1254" t="n"/>
      <c r="BZ178" s="1254" t="n"/>
      <c r="CA178" s="1254" t="n"/>
      <c r="CB178" s="1254" t="n"/>
      <c r="CC178" s="750" t="n"/>
    </row>
    <row r="179" hidden="1" outlineLevel="1" ht="15" customFormat="1" customHeight="1" s="1628">
      <c r="A179" s="1679" t="inlineStr">
        <is>
          <t>Key Metrics - Bookings (PR/IP)</t>
        </is>
      </c>
      <c r="B179" s="1679" t="n"/>
      <c r="C179" s="1679" t="n"/>
      <c r="D179" s="1679" t="n"/>
      <c r="E179" s="1679" t="n"/>
      <c r="F179" s="1679" t="n"/>
      <c r="G179" s="1679" t="n"/>
      <c r="H179" s="1679" t="n"/>
      <c r="I179" s="1679" t="n"/>
      <c r="J179" s="1679" t="n"/>
      <c r="K179" s="1679" t="n"/>
      <c r="L179" s="1679" t="n"/>
      <c r="M179" s="1679" t="n"/>
      <c r="N179" s="1679" t="n"/>
      <c r="O179" s="1679" t="n"/>
      <c r="P179" s="1679" t="n"/>
      <c r="Q179" s="1679" t="n"/>
      <c r="R179" s="1679" t="n"/>
      <c r="S179" s="1679" t="n"/>
      <c r="T179" s="1679" t="n"/>
      <c r="U179" s="1679" t="n"/>
      <c r="V179" s="1679" t="n"/>
      <c r="W179" s="1679" t="n"/>
      <c r="X179" s="1679" t="n"/>
      <c r="Y179" s="1679" t="n"/>
      <c r="Z179" s="1679" t="n"/>
      <c r="AA179" s="1679" t="n"/>
      <c r="AB179" s="1679" t="n"/>
      <c r="AC179" s="1679" t="n"/>
      <c r="AD179" s="1679" t="n"/>
      <c r="AE179" s="1679" t="n"/>
      <c r="AF179" s="1679" t="n"/>
      <c r="AG179" s="1679" t="n"/>
      <c r="AH179" s="1679" t="n"/>
      <c r="AI179" s="1679" t="n"/>
      <c r="AJ179" s="1679" t="n"/>
      <c r="AK179" s="1679" t="n"/>
      <c r="AL179" s="1679" t="n"/>
      <c r="AM179" s="1679" t="n"/>
      <c r="AN179" s="1679" t="n"/>
      <c r="AO179" s="1679" t="n"/>
      <c r="AP179" s="1679" t="n"/>
      <c r="AQ179" s="1679" t="n"/>
      <c r="AR179" s="1679" t="n"/>
      <c r="AS179" s="1679" t="n"/>
      <c r="AT179" s="1679" t="n"/>
      <c r="AU179" s="1679" t="n"/>
      <c r="AV179" s="1679" t="n"/>
      <c r="AW179" s="1679" t="n"/>
      <c r="AX179" s="1679" t="n"/>
      <c r="AY179" s="1679" t="n"/>
      <c r="AZ179" s="1679" t="n"/>
      <c r="BA179" s="1679" t="n"/>
      <c r="BB179" s="1679" t="n"/>
      <c r="BC179" s="1679" t="n"/>
      <c r="BD179" s="1679" t="n"/>
      <c r="BE179" s="1679" t="n"/>
      <c r="BF179" s="1679" t="n"/>
      <c r="BG179" s="1679" t="n"/>
      <c r="BH179" s="1679" t="n"/>
      <c r="BI179" s="1679" t="n"/>
      <c r="BJ179" s="1679" t="n"/>
      <c r="BK179" s="1679" t="n"/>
      <c r="BL179" s="1679" t="n"/>
      <c r="BM179" s="1679" t="n"/>
      <c r="BN179" s="1679" t="n"/>
      <c r="BO179" s="1680" t="n"/>
      <c r="BP179" s="1679" t="n"/>
      <c r="BQ179" s="1679" t="n"/>
      <c r="BR179" s="1679" t="n"/>
      <c r="BS179" s="1679" t="n"/>
      <c r="BT179" s="1679" t="n"/>
      <c r="BU179" s="1679" t="n"/>
      <c r="BV179" s="1679" t="n"/>
      <c r="BW179" s="1679" t="n"/>
      <c r="BX179" s="1679" t="n"/>
      <c r="BY179" s="1679" t="n"/>
      <c r="BZ179" s="1679" t="n"/>
      <c r="CA179" s="1679" t="n"/>
      <c r="CB179" s="1679" t="n"/>
      <c r="CC179" s="1634" t="n"/>
    </row>
    <row r="180" hidden="1" outlineLevel="2" ht="15" customFormat="1" customHeight="1" s="1574">
      <c r="A180" s="1693" t="inlineStr">
        <is>
          <t>New systems bookings, # of units</t>
        </is>
      </c>
      <c r="B180" s="1576" t="n"/>
      <c r="C180" s="1577" t="n"/>
      <c r="D180" s="1577" t="n"/>
      <c r="E180" s="1577" t="n"/>
      <c r="F180" s="1577" t="n"/>
      <c r="G180" s="1577" t="n"/>
      <c r="H180" s="1579" t="n">
        <v>27</v>
      </c>
      <c r="I180" s="1579" t="n">
        <v>22</v>
      </c>
      <c r="J180" s="1579" t="n">
        <v>37</v>
      </c>
      <c r="K180" s="1579" t="n">
        <v>43</v>
      </c>
      <c r="L180" s="1750">
        <f>SUM(H180,I180,J180,K180)</f>
        <v/>
      </c>
      <c r="M180" s="1579" t="n">
        <v>35</v>
      </c>
      <c r="N180" s="1579" t="n">
        <v>41</v>
      </c>
      <c r="O180" s="1579" t="n">
        <v>32</v>
      </c>
      <c r="P180" s="1579" t="n">
        <v>39</v>
      </c>
      <c r="Q180" s="1750">
        <f>SUM(M180,N180,O180,P180)</f>
        <v/>
      </c>
      <c r="R180" s="1579" t="n">
        <v>24</v>
      </c>
      <c r="S180" s="1579" t="n">
        <v>40</v>
      </c>
      <c r="T180" s="1579" t="n">
        <v>37</v>
      </c>
      <c r="U180" s="1579" t="n">
        <v>39</v>
      </c>
      <c r="V180" s="1750">
        <f>SUM(R180,S180,T180,U180)</f>
        <v/>
      </c>
      <c r="W180" s="1579" t="n">
        <v>52</v>
      </c>
      <c r="X180" s="1579" t="n">
        <v>49</v>
      </c>
      <c r="Y180" s="1579" t="n">
        <v>65</v>
      </c>
      <c r="Z180" s="1579" t="n">
        <v>68</v>
      </c>
      <c r="AA180" s="1750">
        <f>SUM(W180,X180,Y180,Z180)</f>
        <v/>
      </c>
      <c r="AB180" s="1579" t="n">
        <v>55</v>
      </c>
      <c r="AC180" s="1579" t="n">
        <v>52</v>
      </c>
      <c r="AD180" s="1579" t="n">
        <v>62</v>
      </c>
      <c r="AE180" s="1579" t="n">
        <v>43</v>
      </c>
      <c r="AF180" s="1750">
        <f>SUM(AB180,AC180,AD180,AE180)</f>
        <v/>
      </c>
      <c r="AG180" s="1579" t="n">
        <v>32</v>
      </c>
      <c r="AH180" s="1579" t="n">
        <v>50</v>
      </c>
      <c r="AI180" s="1579" t="n">
        <v>78</v>
      </c>
      <c r="AJ180" s="1579" t="n">
        <v>57</v>
      </c>
      <c r="AK180" s="1750">
        <f>SUM(AG180,AH180,AI180,AJ180)</f>
        <v/>
      </c>
      <c r="AL180" s="1579" t="n">
        <v>72</v>
      </c>
      <c r="AM180" s="1579" t="n">
        <v>28</v>
      </c>
      <c r="AN180" s="1579" t="n">
        <v>67</v>
      </c>
      <c r="AO180" s="1579" t="n">
        <v>114</v>
      </c>
      <c r="AP180" s="1750">
        <f>SUM(AL180,AM180,AN180,AO180)</f>
        <v/>
      </c>
      <c r="AQ180" s="1579" t="n">
        <v>110</v>
      </c>
      <c r="AR180" s="1579" t="n">
        <v>156</v>
      </c>
      <c r="AS180" s="1579" t="n">
        <v>168</v>
      </c>
      <c r="AT180" s="1579" t="n">
        <v>182</v>
      </c>
      <c r="AU180" s="1750">
        <f>SUM(AQ180,AR180,AS180,AT180)</f>
        <v/>
      </c>
      <c r="AV180" s="1579" t="n">
        <v>154</v>
      </c>
      <c r="AW180" s="1579" t="n">
        <v>137</v>
      </c>
      <c r="AX180" s="1579" t="n">
        <v>135</v>
      </c>
      <c r="AY180" s="1578" t="n"/>
      <c r="AZ180" s="1577" t="n"/>
      <c r="BA180" s="1578" t="n"/>
      <c r="BB180" s="1578" t="n"/>
      <c r="BC180" s="1578" t="n"/>
      <c r="BD180" s="1578" t="n"/>
      <c r="BE180" s="1577" t="n"/>
      <c r="BF180" s="1578" t="n"/>
      <c r="BG180" s="1578" t="n"/>
      <c r="BH180" s="1578" t="n"/>
      <c r="BI180" s="1578" t="n"/>
      <c r="BJ180" s="1577" t="n"/>
      <c r="BK180" s="1578" t="n"/>
      <c r="BL180" s="1578" t="n"/>
      <c r="BM180" s="1578" t="n"/>
      <c r="BN180" s="1578" t="n"/>
      <c r="BO180" s="1581" t="n"/>
      <c r="BP180" s="1578" t="n"/>
      <c r="BQ180" s="1578" t="n"/>
      <c r="BR180" s="1578" t="n"/>
      <c r="BS180" s="1578" t="n"/>
      <c r="BT180" s="1577" t="n"/>
      <c r="BU180" s="1578" t="n"/>
      <c r="BV180" s="1578" t="n"/>
      <c r="BW180" s="1578" t="n"/>
      <c r="BX180" s="1578" t="n"/>
      <c r="BY180" s="1577" t="n"/>
      <c r="BZ180" s="1577" t="n"/>
      <c r="CA180" s="1577" t="n"/>
      <c r="CB180" s="1577" t="n"/>
      <c r="CC180" s="1582" t="n"/>
    </row>
    <row r="181" hidden="1" outlineLevel="2" ht="15" customFormat="1" customHeight="1" s="1574">
      <c r="A181" s="1759" t="inlineStr">
        <is>
          <t>Used systems bookings, # of units</t>
        </is>
      </c>
      <c r="B181" s="1593" t="n"/>
      <c r="C181" s="1594" t="n"/>
      <c r="D181" s="1594" t="n"/>
      <c r="E181" s="1594" t="n"/>
      <c r="F181" s="1594" t="n"/>
      <c r="G181" s="1594" t="n"/>
      <c r="H181" s="1596" t="n">
        <v>3</v>
      </c>
      <c r="I181" s="1596" t="n">
        <v>7</v>
      </c>
      <c r="J181" s="1596" t="n">
        <v>10</v>
      </c>
      <c r="K181" s="1596" t="n">
        <v>8</v>
      </c>
      <c r="L181" s="1754">
        <f>SUM(H181,I181,J181,K181)</f>
        <v/>
      </c>
      <c r="M181" s="1596" t="n">
        <v>5</v>
      </c>
      <c r="N181" s="1596" t="n">
        <v>5</v>
      </c>
      <c r="O181" s="1596" t="n">
        <v>3</v>
      </c>
      <c r="P181" s="1596" t="n">
        <v>5</v>
      </c>
      <c r="Q181" s="1754">
        <f>SUM(M181,N181,O181,P181)</f>
        <v/>
      </c>
      <c r="R181" s="1596" t="n">
        <v>6</v>
      </c>
      <c r="S181" s="1596" t="n">
        <v>3</v>
      </c>
      <c r="T181" s="1596" t="n">
        <v>6</v>
      </c>
      <c r="U181" s="1596" t="n">
        <v>5</v>
      </c>
      <c r="V181" s="1754">
        <f>SUM(R181,S181,T181,U181)</f>
        <v/>
      </c>
      <c r="W181" s="1596" t="n">
        <v>3</v>
      </c>
      <c r="X181" s="1596" t="n">
        <v>6</v>
      </c>
      <c r="Y181" s="1596" t="n">
        <v>5</v>
      </c>
      <c r="Z181" s="1596" t="n">
        <v>7</v>
      </c>
      <c r="AA181" s="1754">
        <f>SUM(W181,X181,Y181,Z181)</f>
        <v/>
      </c>
      <c r="AB181" s="1596" t="n">
        <v>7</v>
      </c>
      <c r="AC181" s="1596" t="n">
        <v>7</v>
      </c>
      <c r="AD181" s="1596" t="n">
        <v>5</v>
      </c>
      <c r="AE181" s="1596" t="n">
        <v>10</v>
      </c>
      <c r="AF181" s="1754">
        <f>SUM(AB181,AC181,AD181,AE181)</f>
        <v/>
      </c>
      <c r="AG181" s="1596" t="n">
        <v>2</v>
      </c>
      <c r="AH181" s="1596" t="n">
        <v>11</v>
      </c>
      <c r="AI181" s="1596" t="n">
        <v>3</v>
      </c>
      <c r="AJ181" s="1596" t="n">
        <v>3</v>
      </c>
      <c r="AK181" s="1754">
        <f>SUM(AG181,AH181,AI181,AJ181)</f>
        <v/>
      </c>
      <c r="AL181" s="1596" t="n">
        <v>1</v>
      </c>
      <c r="AM181" s="1596" t="n">
        <v>6</v>
      </c>
      <c r="AN181" s="1596" t="n">
        <v>6</v>
      </c>
      <c r="AO181" s="1596" t="n">
        <v>9</v>
      </c>
      <c r="AP181" s="1754">
        <f>SUM(AL181,AM181,AN181,AO181)</f>
        <v/>
      </c>
      <c r="AQ181" s="1596" t="n">
        <v>10</v>
      </c>
      <c r="AR181" s="1596" t="n">
        <v>11</v>
      </c>
      <c r="AS181" s="1596" t="n">
        <v>10</v>
      </c>
      <c r="AT181" s="1596" t="n">
        <v>9</v>
      </c>
      <c r="AU181" s="1754">
        <f>SUM(AQ181,AR181,AS181,AT181)</f>
        <v/>
      </c>
      <c r="AV181" s="1596" t="n">
        <v>9</v>
      </c>
      <c r="AW181" s="1596" t="n">
        <v>2</v>
      </c>
      <c r="AX181" s="1596" t="n">
        <v>15</v>
      </c>
      <c r="AY181" s="1607" t="n"/>
      <c r="AZ181" s="1594" t="n"/>
      <c r="BA181" s="1607" t="n"/>
      <c r="BB181" s="1607" t="n"/>
      <c r="BC181" s="1607" t="n"/>
      <c r="BD181" s="1607" t="n"/>
      <c r="BE181" s="1594" t="n"/>
      <c r="BF181" s="1607" t="n"/>
      <c r="BG181" s="1607" t="n"/>
      <c r="BH181" s="1607" t="n"/>
      <c r="BI181" s="1607" t="n"/>
      <c r="BJ181" s="1594" t="n"/>
      <c r="BK181" s="1607" t="n"/>
      <c r="BL181" s="1607" t="n"/>
      <c r="BM181" s="1607" t="n"/>
      <c r="BN181" s="1607" t="n"/>
      <c r="BO181" s="1755" t="n"/>
      <c r="BP181" s="1607" t="n"/>
      <c r="BQ181" s="1607" t="n"/>
      <c r="BR181" s="1607" t="n"/>
      <c r="BS181" s="1607" t="n"/>
      <c r="BT181" s="1594" t="n"/>
      <c r="BU181" s="1607" t="n"/>
      <c r="BV181" s="1607" t="n"/>
      <c r="BW181" s="1607" t="n"/>
      <c r="BX181" s="1607" t="n"/>
      <c r="BY181" s="1594" t="n"/>
      <c r="BZ181" s="1594" t="n"/>
      <c r="CA181" s="1594" t="n"/>
      <c r="CB181" s="1594" t="n"/>
      <c r="CC181" s="1582" t="n"/>
    </row>
    <row r="182" hidden="1" outlineLevel="2" ht="15" customFormat="1" customHeight="1" s="1598">
      <c r="A182" s="1761" t="inlineStr">
        <is>
          <t>Net systems bookings, # of units</t>
        </is>
      </c>
      <c r="B182" s="1609" t="n"/>
      <c r="C182" s="1601" t="n">
        <v>98</v>
      </c>
      <c r="D182" s="1601" t="n">
        <v>285</v>
      </c>
      <c r="E182" s="1601" t="n">
        <v>134</v>
      </c>
      <c r="F182" s="1601" t="n">
        <v>144</v>
      </c>
      <c r="G182" s="1601" t="n">
        <v>166</v>
      </c>
      <c r="H182" s="1763">
        <f>SUM(H180:H181)</f>
        <v/>
      </c>
      <c r="I182" s="1763">
        <f>SUM(I180:I181)</f>
        <v/>
      </c>
      <c r="J182" s="1763">
        <f>SUM(J180:J181)</f>
        <v/>
      </c>
      <c r="K182" s="1763">
        <f>SUM(K180:K181)</f>
        <v/>
      </c>
      <c r="L182" s="1762">
        <f>SUM(L180:L181)</f>
        <v/>
      </c>
      <c r="M182" s="1763">
        <f>SUM(M180:M181)</f>
        <v/>
      </c>
      <c r="N182" s="1763">
        <f>SUM(N180:N181)</f>
        <v/>
      </c>
      <c r="O182" s="1763">
        <f>SUM(O180:O181)</f>
        <v/>
      </c>
      <c r="P182" s="1763">
        <f>SUM(P180:P181)</f>
        <v/>
      </c>
      <c r="Q182" s="1762">
        <f>SUM(Q180:Q181)</f>
        <v/>
      </c>
      <c r="R182" s="1763">
        <f>SUM(R180:R181)</f>
        <v/>
      </c>
      <c r="S182" s="1763">
        <f>SUM(S180:S181)</f>
        <v/>
      </c>
      <c r="T182" s="1763">
        <f>SUM(T180:T181)</f>
        <v/>
      </c>
      <c r="U182" s="1763">
        <f>SUM(U180:U181)</f>
        <v/>
      </c>
      <c r="V182" s="1762">
        <f>SUM(V180:V181)</f>
        <v/>
      </c>
      <c r="W182" s="1763">
        <f>SUM(W180:W181)</f>
        <v/>
      </c>
      <c r="X182" s="1763">
        <f>SUM(X180:X181)</f>
        <v/>
      </c>
      <c r="Y182" s="1763">
        <f>SUM(Y180:Y181)</f>
        <v/>
      </c>
      <c r="Z182" s="1763">
        <f>SUM(Z180:Z181)</f>
        <v/>
      </c>
      <c r="AA182" s="1762">
        <f>SUM(AA180:AA181)</f>
        <v/>
      </c>
      <c r="AB182" s="1763">
        <f>SUM(AB180:AB181)</f>
        <v/>
      </c>
      <c r="AC182" s="1763">
        <f>SUM(AC180:AC181)</f>
        <v/>
      </c>
      <c r="AD182" s="1763">
        <f>SUM(AD180:AD181)</f>
        <v/>
      </c>
      <c r="AE182" s="1763">
        <f>SUM(AE180:AE181)</f>
        <v/>
      </c>
      <c r="AF182" s="1762">
        <f>SUM(AF180:AF181)</f>
        <v/>
      </c>
      <c r="AG182" s="1763">
        <f>SUM(AG180:AG181)</f>
        <v/>
      </c>
      <c r="AH182" s="1763">
        <f>SUM(AH180:AH181)</f>
        <v/>
      </c>
      <c r="AI182" s="1763">
        <f>SUM(AI180:AI181)</f>
        <v/>
      </c>
      <c r="AJ182" s="1763">
        <f>SUM(AJ180:AJ181)</f>
        <v/>
      </c>
      <c r="AK182" s="1762">
        <f>SUM(AK180:AK181)</f>
        <v/>
      </c>
      <c r="AL182" s="1763">
        <f>SUM(AL180:AL181)</f>
        <v/>
      </c>
      <c r="AM182" s="1763">
        <f>SUM(AM180:AM181)</f>
        <v/>
      </c>
      <c r="AN182" s="1763">
        <f>SUM(AN180:AN181)</f>
        <v/>
      </c>
      <c r="AO182" s="1763">
        <f>SUM(AO180:AO181)</f>
        <v/>
      </c>
      <c r="AP182" s="1762">
        <f>SUM(AP180:AP181)</f>
        <v/>
      </c>
      <c r="AQ182" s="1763">
        <f>SUM(AQ180:AQ181)</f>
        <v/>
      </c>
      <c r="AR182" s="1763">
        <f>SUM(AR180:AR181)</f>
        <v/>
      </c>
      <c r="AS182" s="1763">
        <f>SUM(AS180:AS181)</f>
        <v/>
      </c>
      <c r="AT182" s="1763">
        <f>SUM(AT180:AT181)</f>
        <v/>
      </c>
      <c r="AU182" s="1762">
        <f>SUM(AU180:AU181)</f>
        <v/>
      </c>
      <c r="AV182" s="1763">
        <f>SUM(AV180:AV181)</f>
        <v/>
      </c>
      <c r="AW182" s="1763">
        <f>SUM(AW180:AW181)</f>
        <v/>
      </c>
      <c r="AX182" s="1763">
        <f>SUM(AX180:AX181)</f>
        <v/>
      </c>
      <c r="AY182" s="1764" t="n">
        <v>101</v>
      </c>
      <c r="AZ182" s="1601" t="n">
        <v>553</v>
      </c>
      <c r="BA182" s="1611" t="n"/>
      <c r="BB182" s="1611" t="n"/>
      <c r="BC182" s="1611" t="n"/>
      <c r="BD182" s="1611" t="n"/>
      <c r="BE182" s="1610" t="n"/>
      <c r="BF182" s="1611" t="n"/>
      <c r="BG182" s="1611" t="n"/>
      <c r="BH182" s="1611" t="n"/>
      <c r="BI182" s="1611" t="n"/>
      <c r="BJ182" s="1610" t="n"/>
      <c r="BK182" s="1611" t="n"/>
      <c r="BL182" s="1611" t="n"/>
      <c r="BM182" s="1611" t="n"/>
      <c r="BN182" s="1611" t="n"/>
      <c r="BO182" s="1612" t="n"/>
      <c r="BP182" s="1611" t="n"/>
      <c r="BQ182" s="1611" t="n"/>
      <c r="BR182" s="1611" t="n"/>
      <c r="BS182" s="1611" t="n"/>
      <c r="BT182" s="1610" t="n"/>
      <c r="BU182" s="1611" t="n"/>
      <c r="BV182" s="1611" t="n"/>
      <c r="BW182" s="1611" t="n"/>
      <c r="BX182" s="1611" t="n"/>
      <c r="BY182" s="1610" t="n"/>
      <c r="BZ182" s="1610" t="n"/>
      <c r="CA182" s="1610" t="n"/>
      <c r="CB182" s="1610" t="n"/>
      <c r="CC182" s="1605" t="n"/>
    </row>
    <row r="183" hidden="1" outlineLevel="2" ht="15" customFormat="1" customHeight="1" s="602">
      <c r="A183" s="376" t="inlineStr">
        <is>
          <t>Q/Q Net systems bookings growth, %</t>
        </is>
      </c>
      <c r="B183" s="95" t="n"/>
      <c r="C183" s="1249" t="n"/>
      <c r="D183" s="1249" t="n"/>
      <c r="E183" s="1249" t="n"/>
      <c r="F183" s="1249" t="n"/>
      <c r="G183" s="1249" t="n"/>
      <c r="H183" s="672" t="n"/>
      <c r="I183" s="672">
        <f>I182/H182-1</f>
        <v/>
      </c>
      <c r="J183" s="672">
        <f>J182/I182-1</f>
        <v/>
      </c>
      <c r="K183" s="672">
        <f>K182/J182-1</f>
        <v/>
      </c>
      <c r="L183" s="1249" t="n"/>
      <c r="M183" s="672">
        <f>M182/K182-1</f>
        <v/>
      </c>
      <c r="N183" s="672">
        <f>N182/M182-1</f>
        <v/>
      </c>
      <c r="O183" s="672">
        <f>O182/N182-1</f>
        <v/>
      </c>
      <c r="P183" s="672">
        <f>P182/O182-1</f>
        <v/>
      </c>
      <c r="Q183" s="1249" t="n"/>
      <c r="R183" s="672">
        <f>R182/P182-1</f>
        <v/>
      </c>
      <c r="S183" s="672">
        <f>S182/R182-1</f>
        <v/>
      </c>
      <c r="T183" s="672">
        <f>T182/S182-1</f>
        <v/>
      </c>
      <c r="U183" s="672">
        <f>U182/T182-1</f>
        <v/>
      </c>
      <c r="V183" s="1249" t="n"/>
      <c r="W183" s="672">
        <f>W182/U182-1</f>
        <v/>
      </c>
      <c r="X183" s="672">
        <f>X182/W182-1</f>
        <v/>
      </c>
      <c r="Y183" s="672">
        <f>Y182/X182-1</f>
        <v/>
      </c>
      <c r="Z183" s="672">
        <f>Z182/Y182-1</f>
        <v/>
      </c>
      <c r="AA183" s="1249" t="n"/>
      <c r="AB183" s="672">
        <f>AB182/Z182-1</f>
        <v/>
      </c>
      <c r="AC183" s="672">
        <f>AC182/AB182-1</f>
        <v/>
      </c>
      <c r="AD183" s="672">
        <f>AD182/AC182-1</f>
        <v/>
      </c>
      <c r="AE183" s="672">
        <f>AE182/AD182-1</f>
        <v/>
      </c>
      <c r="AF183" s="1249" t="n"/>
      <c r="AG183" s="672">
        <f>AG182/AE182-1</f>
        <v/>
      </c>
      <c r="AH183" s="672">
        <f>AH182/AG182-1</f>
        <v/>
      </c>
      <c r="AI183" s="672">
        <f>AI182/AH182-1</f>
        <v/>
      </c>
      <c r="AJ183" s="672">
        <f>AJ182/AI182-1</f>
        <v/>
      </c>
      <c r="AK183" s="1249" t="n"/>
      <c r="AL183" s="672">
        <f>AL182/AJ182-1</f>
        <v/>
      </c>
      <c r="AM183" s="672">
        <f>AM182/AL182-1</f>
        <v/>
      </c>
      <c r="AN183" s="672">
        <f>AN182/AM182-1</f>
        <v/>
      </c>
      <c r="AO183" s="672">
        <f>AO182/AN182-1</f>
        <v/>
      </c>
      <c r="AP183" s="1249" t="n"/>
      <c r="AQ183" s="672">
        <f>AQ182/AO182-1</f>
        <v/>
      </c>
      <c r="AR183" s="672">
        <f>AR182/AQ182-1</f>
        <v/>
      </c>
      <c r="AS183" s="672">
        <f>AS182/AR182-1</f>
        <v/>
      </c>
      <c r="AT183" s="672">
        <f>AT182/AS182-1</f>
        <v/>
      </c>
      <c r="AU183" s="1249" t="n"/>
      <c r="AV183" s="672">
        <f>AV182/AT182-1</f>
        <v/>
      </c>
      <c r="AW183" s="672">
        <f>AW182/AV182-1</f>
        <v/>
      </c>
      <c r="AX183" s="672">
        <f>AX182/AW182-1</f>
        <v/>
      </c>
      <c r="AY183" s="672">
        <f>AY182/AX182-1</f>
        <v/>
      </c>
      <c r="AZ183" s="1249" t="n"/>
      <c r="BA183" s="672" t="n"/>
      <c r="BB183" s="672" t="n"/>
      <c r="BC183" s="672" t="n"/>
      <c r="BD183" s="672" t="n"/>
      <c r="BE183" s="1249" t="n"/>
      <c r="BF183" s="672" t="n"/>
      <c r="BG183" s="672" t="n"/>
      <c r="BH183" s="672" t="n"/>
      <c r="BI183" s="672" t="n"/>
      <c r="BJ183" s="1249" t="n"/>
      <c r="BK183" s="672" t="n"/>
      <c r="BL183" s="672" t="n"/>
      <c r="BM183" s="672" t="n"/>
      <c r="BN183" s="672" t="n"/>
      <c r="BO183" s="1248" t="n"/>
      <c r="BP183" s="672" t="n"/>
      <c r="BQ183" s="672" t="n"/>
      <c r="BR183" s="672" t="n"/>
      <c r="BS183" s="672" t="n"/>
      <c r="BT183" s="1249" t="n"/>
      <c r="BU183" s="672" t="n"/>
      <c r="BV183" s="672" t="n"/>
      <c r="BW183" s="672" t="n"/>
      <c r="BX183" s="672" t="n"/>
      <c r="BY183" s="1249" t="n"/>
      <c r="BZ183" s="1249" t="n"/>
      <c r="CA183" s="1249" t="n"/>
      <c r="CB183" s="1249" t="n"/>
      <c r="CC183" s="715" t="n"/>
    </row>
    <row r="184" hidden="1" outlineLevel="2" ht="15" customFormat="1" customHeight="1" s="602">
      <c r="A184" s="1770" t="inlineStr">
        <is>
          <t>Y/Y Net systems bookings growth, %</t>
        </is>
      </c>
      <c r="B184" s="95" t="n"/>
      <c r="C184" s="1249" t="n"/>
      <c r="D184" s="1342">
        <f>D182/C182-1</f>
        <v/>
      </c>
      <c r="E184" s="1342">
        <f>E182/D182-1</f>
        <v/>
      </c>
      <c r="F184" s="1342">
        <f>F182/E182-1</f>
        <v/>
      </c>
      <c r="G184" s="1342">
        <f>G182/F182-1</f>
        <v/>
      </c>
      <c r="H184" s="672" t="n"/>
      <c r="I184" s="672" t="n"/>
      <c r="J184" s="672" t="n"/>
      <c r="K184" s="672" t="n"/>
      <c r="L184" s="1342">
        <f>L182/G182-1</f>
        <v/>
      </c>
      <c r="M184" s="698">
        <f>M182/H182-1</f>
        <v/>
      </c>
      <c r="N184" s="698">
        <f>N182/I182-1</f>
        <v/>
      </c>
      <c r="O184" s="698">
        <f>O182/J182-1</f>
        <v/>
      </c>
      <c r="P184" s="698">
        <f>P182/K182-1</f>
        <v/>
      </c>
      <c r="Q184" s="1342">
        <f>Q182/L182-1</f>
        <v/>
      </c>
      <c r="R184" s="698">
        <f>R182/M182-1</f>
        <v/>
      </c>
      <c r="S184" s="698">
        <f>S182/N182-1</f>
        <v/>
      </c>
      <c r="T184" s="698">
        <f>T182/O182-1</f>
        <v/>
      </c>
      <c r="U184" s="698">
        <f>U182/P182-1</f>
        <v/>
      </c>
      <c r="V184" s="1342">
        <f>V182/Q182-1</f>
        <v/>
      </c>
      <c r="W184" s="698">
        <f>W182/R182-1</f>
        <v/>
      </c>
      <c r="X184" s="698">
        <f>X182/S182-1</f>
        <v/>
      </c>
      <c r="Y184" s="698">
        <f>Y182/T182-1</f>
        <v/>
      </c>
      <c r="Z184" s="698">
        <f>Z182/U182-1</f>
        <v/>
      </c>
      <c r="AA184" s="1342">
        <f>AA182/V182-1</f>
        <v/>
      </c>
      <c r="AB184" s="672">
        <f>AB182/W182-1</f>
        <v/>
      </c>
      <c r="AC184" s="672">
        <f>AC182/X182-1</f>
        <v/>
      </c>
      <c r="AD184" s="672">
        <f>AD182/Y182-1</f>
        <v/>
      </c>
      <c r="AE184" s="672">
        <f>AE182/Z182-1</f>
        <v/>
      </c>
      <c r="AF184" s="1249">
        <f>AF182/AA182-1</f>
        <v/>
      </c>
      <c r="AG184" s="672">
        <f>AG182/AB182-1</f>
        <v/>
      </c>
      <c r="AH184" s="672">
        <f>AH182/AC182-1</f>
        <v/>
      </c>
      <c r="AI184" s="672">
        <f>AI182/AD182-1</f>
        <v/>
      </c>
      <c r="AJ184" s="672">
        <f>AJ182/AE182-1</f>
        <v/>
      </c>
      <c r="AK184" s="1249">
        <f>AK182/AF182-1</f>
        <v/>
      </c>
      <c r="AL184" s="672">
        <f>AL182/AG182-1</f>
        <v/>
      </c>
      <c r="AM184" s="672">
        <f>AM182/AH182-1</f>
        <v/>
      </c>
      <c r="AN184" s="672">
        <f>AN182/AI182-1</f>
        <v/>
      </c>
      <c r="AO184" s="672">
        <f>AO182/AJ182-1</f>
        <v/>
      </c>
      <c r="AP184" s="1249">
        <f>AP182/AK182-1</f>
        <v/>
      </c>
      <c r="AQ184" s="672">
        <f>AQ182/AL182-1</f>
        <v/>
      </c>
      <c r="AR184" s="672">
        <f>AR182/AM182-1</f>
        <v/>
      </c>
      <c r="AS184" s="672">
        <f>AS182/AN182-1</f>
        <v/>
      </c>
      <c r="AT184" s="672">
        <f>AT182/AO182-1</f>
        <v/>
      </c>
      <c r="AU184" s="1249">
        <f>AU182/AP182-1</f>
        <v/>
      </c>
      <c r="AV184" s="672">
        <f>AV182/AQ182-1</f>
        <v/>
      </c>
      <c r="AW184" s="672">
        <f>AW182/AR182-1</f>
        <v/>
      </c>
      <c r="AX184" s="672">
        <f>AX182/AS182-1</f>
        <v/>
      </c>
      <c r="AY184" s="672">
        <f>AY182/AT182-1</f>
        <v/>
      </c>
      <c r="AZ184" s="1249">
        <f>AZ182/AU182-1</f>
        <v/>
      </c>
      <c r="BA184" s="672" t="n"/>
      <c r="BB184" s="672" t="n"/>
      <c r="BC184" s="672" t="n"/>
      <c r="BD184" s="672" t="n"/>
      <c r="BE184" s="1249" t="n"/>
      <c r="BF184" s="672" t="n"/>
      <c r="BG184" s="672" t="n"/>
      <c r="BH184" s="672" t="n"/>
      <c r="BI184" s="672" t="n"/>
      <c r="BJ184" s="1249" t="n"/>
      <c r="BK184" s="672" t="n"/>
      <c r="BL184" s="672" t="n"/>
      <c r="BM184" s="672" t="n"/>
      <c r="BN184" s="672" t="n"/>
      <c r="BO184" s="1248" t="n"/>
      <c r="BP184" s="672" t="n"/>
      <c r="BQ184" s="672" t="n"/>
      <c r="BR184" s="672" t="n"/>
      <c r="BS184" s="672" t="n"/>
      <c r="BT184" s="1249" t="n"/>
      <c r="BU184" s="672" t="n"/>
      <c r="BV184" s="672" t="n"/>
      <c r="BW184" s="672" t="n"/>
      <c r="BX184" s="672" t="n"/>
      <c r="BY184" s="1249" t="n"/>
      <c r="BZ184" s="1249" t="n"/>
      <c r="CA184" s="1249" t="n"/>
      <c r="CB184" s="1249" t="n"/>
      <c r="CC184" s="715" t="n"/>
    </row>
    <row r="185" hidden="1" outlineLevel="2" ht="15" customFormat="1" customHeight="1" s="1598">
      <c r="A185" s="1771" t="inlineStr">
        <is>
          <t>LTM Net systems bookings, # of units</t>
        </is>
      </c>
      <c r="B185" s="1600" t="n"/>
      <c r="C185" s="1772">
        <f>C182</f>
        <v/>
      </c>
      <c r="D185" s="1772">
        <f>D182</f>
        <v/>
      </c>
      <c r="E185" s="1772">
        <f>E182</f>
        <v/>
      </c>
      <c r="F185" s="1772">
        <f>F182</f>
        <v/>
      </c>
      <c r="G185" s="1772">
        <f>G182</f>
        <v/>
      </c>
      <c r="H185" s="1603" t="n"/>
      <c r="I185" s="1603" t="n"/>
      <c r="J185" s="1603" t="n"/>
      <c r="K185" s="1603" t="n"/>
      <c r="L185" s="1772">
        <f>L182</f>
        <v/>
      </c>
      <c r="M185" s="1773">
        <f>SUM(M182,K182,J182,I182)</f>
        <v/>
      </c>
      <c r="N185" s="1773">
        <f>SUM(N182,M182,K182,J182)</f>
        <v/>
      </c>
      <c r="O185" s="1773">
        <f>SUM(O182,N182,M182,K182)</f>
        <v/>
      </c>
      <c r="P185" s="1773">
        <f>SUM(P182,O182,N182,M182)</f>
        <v/>
      </c>
      <c r="Q185" s="1772">
        <f>Q182</f>
        <v/>
      </c>
      <c r="R185" s="1773">
        <f>SUM(R182,P182,O182,N182)</f>
        <v/>
      </c>
      <c r="S185" s="1773">
        <f>SUM(S182,R182,P182,O182)</f>
        <v/>
      </c>
      <c r="T185" s="1773">
        <f>SUM(T182,S182,R182,P182)</f>
        <v/>
      </c>
      <c r="U185" s="1773">
        <f>SUM(U182,T182,S182,R182)</f>
        <v/>
      </c>
      <c r="V185" s="1772">
        <f>V182</f>
        <v/>
      </c>
      <c r="W185" s="1773">
        <f>SUM(W182,U182,T182,S182)</f>
        <v/>
      </c>
      <c r="X185" s="1773">
        <f>SUM(X182,W182,U182,T182)</f>
        <v/>
      </c>
      <c r="Y185" s="1773">
        <f>SUM(Y182,X182,W182,U182)</f>
        <v/>
      </c>
      <c r="Z185" s="1773">
        <f>SUM(Z182,Y182,X182,W182)</f>
        <v/>
      </c>
      <c r="AA185" s="1772">
        <f>AA182</f>
        <v/>
      </c>
      <c r="AB185" s="1603">
        <f>SUM(AB182,Z182,Y182,X182)</f>
        <v/>
      </c>
      <c r="AC185" s="1603">
        <f>SUM(AC182,AB182,Z182,Y182)</f>
        <v/>
      </c>
      <c r="AD185" s="1603">
        <f>SUM(AD182,AC182,AB182,Z182)</f>
        <v/>
      </c>
      <c r="AE185" s="1603">
        <f>SUM(AE182,AD182,AC182,AB182)</f>
        <v/>
      </c>
      <c r="AF185" s="1602">
        <f>AF182</f>
        <v/>
      </c>
      <c r="AG185" s="1603">
        <f>SUM(AG182,AE182,AD182,AC182)</f>
        <v/>
      </c>
      <c r="AH185" s="1603">
        <f>SUM(AH182,AG182,AE182,AD182)</f>
        <v/>
      </c>
      <c r="AI185" s="1603">
        <f>SUM(AI182,AH182,AG182,AE182)</f>
        <v/>
      </c>
      <c r="AJ185" s="1603">
        <f>SUM(AJ182,AI182,AH182,AG182)</f>
        <v/>
      </c>
      <c r="AK185" s="1602">
        <f>AK182</f>
        <v/>
      </c>
      <c r="AL185" s="1603">
        <f>SUM(AL182,AJ182,AI182,AH182)</f>
        <v/>
      </c>
      <c r="AM185" s="1603">
        <f>SUM(AM182,AL182,AJ182,AI182)</f>
        <v/>
      </c>
      <c r="AN185" s="1603">
        <f>SUM(AN182,AM182,AL182,AJ182)</f>
        <v/>
      </c>
      <c r="AO185" s="1603">
        <f>SUM(AO182,AN182,AM182,AL182)</f>
        <v/>
      </c>
      <c r="AP185" s="1602">
        <f>AP182</f>
        <v/>
      </c>
      <c r="AQ185" s="1603">
        <f>SUM(AQ182,AO182,AN182,AM182)</f>
        <v/>
      </c>
      <c r="AR185" s="1603">
        <f>SUM(AR182,AQ182,AO182,AN182)</f>
        <v/>
      </c>
      <c r="AS185" s="1603">
        <f>SUM(AS182,AR182,AQ182,AO182)</f>
        <v/>
      </c>
      <c r="AT185" s="1603">
        <f>SUM(AT182,AS182,AR182,AQ182)</f>
        <v/>
      </c>
      <c r="AU185" s="1602">
        <f>AU182</f>
        <v/>
      </c>
      <c r="AV185" s="1603">
        <f>SUM(AV182,AT182,AS182,AR182)</f>
        <v/>
      </c>
      <c r="AW185" s="1603">
        <f>SUM(AW182,AV182,AT182,AS182)</f>
        <v/>
      </c>
      <c r="AX185" s="1603">
        <f>SUM(AX182,AW182,AV182,AT182)</f>
        <v/>
      </c>
      <c r="AY185" s="1603">
        <f>SUM(AY182,AX182,AW182,AV182)</f>
        <v/>
      </c>
      <c r="AZ185" s="1602">
        <f>AZ182</f>
        <v/>
      </c>
      <c r="BA185" s="1603" t="n"/>
      <c r="BB185" s="1603" t="n"/>
      <c r="BC185" s="1603" t="n"/>
      <c r="BD185" s="1603" t="n"/>
      <c r="BE185" s="1602" t="n"/>
      <c r="BF185" s="1603" t="n"/>
      <c r="BG185" s="1603" t="n"/>
      <c r="BH185" s="1603" t="n"/>
      <c r="BI185" s="1603" t="n"/>
      <c r="BJ185" s="1602" t="n"/>
      <c r="BK185" s="1603" t="n"/>
      <c r="BL185" s="1603" t="n"/>
      <c r="BM185" s="1603" t="n"/>
      <c r="BN185" s="1603" t="n"/>
      <c r="BO185" s="1604" t="n"/>
      <c r="BP185" s="1603" t="n"/>
      <c r="BQ185" s="1603" t="n"/>
      <c r="BR185" s="1603" t="n"/>
      <c r="BS185" s="1603" t="n"/>
      <c r="BT185" s="1602" t="n"/>
      <c r="BU185" s="1603" t="n"/>
      <c r="BV185" s="1603" t="n"/>
      <c r="BW185" s="1603" t="n"/>
      <c r="BX185" s="1603" t="n"/>
      <c r="BY185" s="1602" t="n"/>
      <c r="BZ185" s="1602" t="n"/>
      <c r="CA185" s="1602" t="n"/>
      <c r="CB185" s="1602" t="n"/>
      <c r="CC185" s="1605" t="n"/>
    </row>
    <row r="186" hidden="1" outlineLevel="2" ht="15" customFormat="1" customHeight="1" s="1598">
      <c r="A186" s="1613" t="n"/>
      <c r="B186" s="1600" t="n"/>
      <c r="C186" s="1602" t="n"/>
      <c r="D186" s="1602" t="n"/>
      <c r="E186" s="1602" t="n"/>
      <c r="F186" s="1602" t="n"/>
      <c r="G186" s="1602" t="n"/>
      <c r="H186" s="1603" t="n"/>
      <c r="I186" s="1603" t="n"/>
      <c r="J186" s="1603" t="n"/>
      <c r="K186" s="1603" t="n"/>
      <c r="L186" s="1602" t="n"/>
      <c r="M186" s="1603" t="n"/>
      <c r="N186" s="1603" t="n"/>
      <c r="O186" s="1603" t="n"/>
      <c r="P186" s="1603" t="n"/>
      <c r="Q186" s="1602" t="n"/>
      <c r="R186" s="1603" t="n"/>
      <c r="S186" s="1603" t="n"/>
      <c r="T186" s="1603" t="n"/>
      <c r="U186" s="1603" t="n"/>
      <c r="V186" s="1602" t="n"/>
      <c r="W186" s="1603" t="n"/>
      <c r="X186" s="1603" t="n"/>
      <c r="Y186" s="1603" t="n"/>
      <c r="Z186" s="1603" t="n"/>
      <c r="AA186" s="1602" t="n"/>
      <c r="AB186" s="1603" t="n"/>
      <c r="AC186" s="1603" t="n"/>
      <c r="AD186" s="1603" t="n"/>
      <c r="AE186" s="1603" t="n"/>
      <c r="AF186" s="1602" t="n"/>
      <c r="AG186" s="1603" t="n"/>
      <c r="AH186" s="1603" t="n"/>
      <c r="AI186" s="1603" t="n"/>
      <c r="AJ186" s="1603" t="n"/>
      <c r="AK186" s="1602" t="n"/>
      <c r="AL186" s="1603" t="n"/>
      <c r="AM186" s="1603" t="n"/>
      <c r="AN186" s="1603" t="n"/>
      <c r="AO186" s="1603" t="n"/>
      <c r="AP186" s="1602" t="n"/>
      <c r="AQ186" s="1603" t="n"/>
      <c r="AR186" s="1603" t="n"/>
      <c r="AS186" s="1603" t="n"/>
      <c r="AT186" s="1603" t="n"/>
      <c r="AU186" s="1602" t="n"/>
      <c r="AV186" s="1603" t="n"/>
      <c r="AW186" s="1603" t="n"/>
      <c r="AX186" s="1603" t="n"/>
      <c r="AY186" s="1603" t="n"/>
      <c r="AZ186" s="1602" t="n"/>
      <c r="BA186" s="1603" t="n"/>
      <c r="BB186" s="1603" t="n"/>
      <c r="BC186" s="1603" t="n"/>
      <c r="BD186" s="1603" t="n"/>
      <c r="BE186" s="1602" t="n"/>
      <c r="BF186" s="1603" t="n"/>
      <c r="BG186" s="1603" t="n"/>
      <c r="BH186" s="1603" t="n"/>
      <c r="BI186" s="1603" t="n"/>
      <c r="BJ186" s="1602" t="n"/>
      <c r="BK186" s="1603" t="n"/>
      <c r="BL186" s="1603" t="n"/>
      <c r="BM186" s="1603" t="n"/>
      <c r="BN186" s="1603" t="n"/>
      <c r="BO186" s="1604" t="n"/>
      <c r="BP186" s="1603" t="n"/>
      <c r="BQ186" s="1603" t="n"/>
      <c r="BR186" s="1603" t="n"/>
      <c r="BS186" s="1603" t="n"/>
      <c r="BT186" s="1602" t="n"/>
      <c r="BU186" s="1603" t="n"/>
      <c r="BV186" s="1603" t="n"/>
      <c r="BW186" s="1603" t="n"/>
      <c r="BX186" s="1603" t="n"/>
      <c r="BY186" s="1602" t="n"/>
      <c r="BZ186" s="1602" t="n"/>
      <c r="CA186" s="1602" t="n"/>
      <c r="CB186" s="1602" t="n"/>
      <c r="CC186" s="1605" t="n"/>
    </row>
    <row r="187" hidden="1" outlineLevel="3" ht="15" customFormat="1" customHeight="1" s="1574">
      <c r="A187" s="1693" t="inlineStr">
        <is>
          <t>New systems bookings, mm</t>
        </is>
      </c>
      <c r="B187" s="1576" t="n"/>
      <c r="C187" s="1577" t="n"/>
      <c r="D187" s="1577" t="n"/>
      <c r="E187" s="1577" t="n"/>
      <c r="F187" s="1577" t="n"/>
      <c r="G187" s="1577" t="n"/>
      <c r="H187" s="1579" t="n">
        <v>1055</v>
      </c>
      <c r="I187" s="1579" t="n">
        <v>990</v>
      </c>
      <c r="J187" s="1579" t="n">
        <v>1346</v>
      </c>
      <c r="K187" s="1579" t="n">
        <v>1357</v>
      </c>
      <c r="L187" s="1750">
        <f>SUM(H187,I187,J187,K187)</f>
        <v/>
      </c>
      <c r="M187" s="1579" t="n">
        <v>998</v>
      </c>
      <c r="N187" s="1579" t="n">
        <v>1494</v>
      </c>
      <c r="O187" s="1579" t="n">
        <v>899</v>
      </c>
      <c r="P187" s="1579" t="n">
        <v>1174</v>
      </c>
      <c r="Q187" s="1750">
        <f>SUM(M187,N187,O187,P187)</f>
        <v/>
      </c>
      <c r="R187" s="1579" t="n">
        <v>802</v>
      </c>
      <c r="S187" s="1579" t="n">
        <v>1555</v>
      </c>
      <c r="T187" s="1579" t="n">
        <v>1396</v>
      </c>
      <c r="U187" s="1579" t="n">
        <v>1549</v>
      </c>
      <c r="V187" s="1750">
        <f>SUM(R187,S187,T187,U187)</f>
        <v/>
      </c>
      <c r="W187" s="1578" t="n"/>
      <c r="X187" s="1578" t="n"/>
      <c r="Y187" s="1578" t="n"/>
      <c r="Z187" s="1578" t="n"/>
      <c r="AA187" s="1577" t="n"/>
      <c r="AB187" s="1578" t="n"/>
      <c r="AC187" s="1578" t="n"/>
      <c r="AD187" s="1578" t="n"/>
      <c r="AE187" s="1578" t="n"/>
      <c r="AF187" s="1577" t="n"/>
      <c r="AG187" s="1578" t="n"/>
      <c r="AH187" s="1578" t="n"/>
      <c r="AI187" s="1578" t="n"/>
      <c r="AJ187" s="1578" t="n"/>
      <c r="AK187" s="1577" t="n"/>
      <c r="AL187" s="1578" t="n"/>
      <c r="AM187" s="1578" t="n"/>
      <c r="AN187" s="1578" t="n"/>
      <c r="AO187" s="1578" t="n"/>
      <c r="AP187" s="1577" t="n"/>
      <c r="AQ187" s="1578" t="n"/>
      <c r="AR187" s="1578" t="n"/>
      <c r="AS187" s="1578" t="n"/>
      <c r="AT187" s="1578" t="n"/>
      <c r="AU187" s="1577" t="n"/>
      <c r="AV187" s="1578" t="n"/>
      <c r="AW187" s="1578" t="n"/>
      <c r="AX187" s="1578" t="n"/>
      <c r="AY187" s="1578" t="n"/>
      <c r="AZ187" s="1577" t="n"/>
      <c r="BA187" s="1578" t="n"/>
      <c r="BB187" s="1578" t="n"/>
      <c r="BC187" s="1578" t="n"/>
      <c r="BD187" s="1578" t="n"/>
      <c r="BE187" s="1577" t="n"/>
      <c r="BF187" s="1578" t="n"/>
      <c r="BG187" s="1578" t="n"/>
      <c r="BH187" s="1578" t="n"/>
      <c r="BI187" s="1578" t="n"/>
      <c r="BJ187" s="1577" t="n"/>
      <c r="BK187" s="1578" t="n"/>
      <c r="BL187" s="1578" t="n"/>
      <c r="BM187" s="1578" t="n"/>
      <c r="BN187" s="1578" t="n"/>
      <c r="BO187" s="1581" t="n"/>
      <c r="BP187" s="1578" t="n"/>
      <c r="BQ187" s="1578" t="n"/>
      <c r="BR187" s="1578" t="n"/>
      <c r="BS187" s="1578" t="n"/>
      <c r="BT187" s="1577" t="n"/>
      <c r="BU187" s="1578" t="n"/>
      <c r="BV187" s="1578" t="n"/>
      <c r="BW187" s="1578" t="n"/>
      <c r="BX187" s="1578" t="n"/>
      <c r="BY187" s="1577" t="n"/>
      <c r="BZ187" s="1577" t="n"/>
      <c r="CA187" s="1577" t="n"/>
      <c r="CB187" s="1577" t="n"/>
      <c r="CC187" s="1582" t="n"/>
    </row>
    <row r="188" hidden="1" outlineLevel="3" ht="15" customFormat="1" customHeight="1" s="1574">
      <c r="A188" s="1759" t="inlineStr">
        <is>
          <t>Used systems bookings, mm</t>
        </is>
      </c>
      <c r="B188" s="1593" t="n"/>
      <c r="C188" s="1594" t="n"/>
      <c r="D188" s="1594" t="n"/>
      <c r="E188" s="1594" t="n"/>
      <c r="F188" s="1594" t="n"/>
      <c r="G188" s="1594" t="n"/>
      <c r="H188" s="1596" t="n">
        <v>15</v>
      </c>
      <c r="I188" s="1596" t="n">
        <v>58</v>
      </c>
      <c r="J188" s="1596" t="n">
        <v>51</v>
      </c>
      <c r="K188" s="1596" t="n">
        <v>30</v>
      </c>
      <c r="L188" s="1754">
        <f>SUM(H188,I188,J188,K188)</f>
        <v/>
      </c>
      <c r="M188" s="1596" t="n">
        <v>30</v>
      </c>
      <c r="N188" s="1596" t="n">
        <v>29</v>
      </c>
      <c r="O188" s="1596" t="n">
        <v>5</v>
      </c>
      <c r="P188" s="1596" t="n">
        <v>10</v>
      </c>
      <c r="Q188" s="1754">
        <f>SUM(M188,N188,O188,P188)</f>
        <v/>
      </c>
      <c r="R188" s="1596" t="n">
        <v>33</v>
      </c>
      <c r="S188" s="1596" t="n">
        <v>11</v>
      </c>
      <c r="T188" s="1596" t="n">
        <v>19</v>
      </c>
      <c r="U188" s="1596" t="n">
        <v>31</v>
      </c>
      <c r="V188" s="1754">
        <f>SUM(R188,S188,T188,U188)</f>
        <v/>
      </c>
      <c r="W188" s="1607" t="n"/>
      <c r="X188" s="1607" t="n"/>
      <c r="Y188" s="1607" t="n"/>
      <c r="Z188" s="1607" t="n"/>
      <c r="AA188" s="1594" t="n"/>
      <c r="AB188" s="1607" t="n"/>
      <c r="AC188" s="1607" t="n"/>
      <c r="AD188" s="1607" t="n"/>
      <c r="AE188" s="1607" t="n"/>
      <c r="AF188" s="1594" t="n"/>
      <c r="AG188" s="1607" t="n"/>
      <c r="AH188" s="1607" t="n"/>
      <c r="AI188" s="1607" t="n"/>
      <c r="AJ188" s="1607" t="n"/>
      <c r="AK188" s="1594" t="n"/>
      <c r="AL188" s="1607" t="n"/>
      <c r="AM188" s="1607" t="n"/>
      <c r="AN188" s="1607" t="n"/>
      <c r="AO188" s="1607" t="n"/>
      <c r="AP188" s="1594" t="n"/>
      <c r="AQ188" s="1607" t="n"/>
      <c r="AR188" s="1607" t="n"/>
      <c r="AS188" s="1607" t="n"/>
      <c r="AT188" s="1607" t="n"/>
      <c r="AU188" s="1594" t="n"/>
      <c r="AV188" s="1607" t="n"/>
      <c r="AW188" s="1607" t="n"/>
      <c r="AX188" s="1607" t="n"/>
      <c r="AY188" s="1607" t="n"/>
      <c r="AZ188" s="1594" t="n"/>
      <c r="BA188" s="1607" t="n"/>
      <c r="BB188" s="1607" t="n"/>
      <c r="BC188" s="1607" t="n"/>
      <c r="BD188" s="1607" t="n"/>
      <c r="BE188" s="1594" t="n"/>
      <c r="BF188" s="1607" t="n"/>
      <c r="BG188" s="1607" t="n"/>
      <c r="BH188" s="1607" t="n"/>
      <c r="BI188" s="1607" t="n"/>
      <c r="BJ188" s="1594" t="n"/>
      <c r="BK188" s="1607" t="n"/>
      <c r="BL188" s="1607" t="n"/>
      <c r="BM188" s="1607" t="n"/>
      <c r="BN188" s="1607" t="n"/>
      <c r="BO188" s="1755" t="n"/>
      <c r="BP188" s="1607" t="n"/>
      <c r="BQ188" s="1607" t="n"/>
      <c r="BR188" s="1607" t="n"/>
      <c r="BS188" s="1607" t="n"/>
      <c r="BT188" s="1594" t="n"/>
      <c r="BU188" s="1607" t="n"/>
      <c r="BV188" s="1607" t="n"/>
      <c r="BW188" s="1607" t="n"/>
      <c r="BX188" s="1607" t="n"/>
      <c r="BY188" s="1594" t="n"/>
      <c r="BZ188" s="1594" t="n"/>
      <c r="CA188" s="1594" t="n"/>
      <c r="CB188" s="1594" t="n"/>
      <c r="CC188" s="1582" t="n"/>
    </row>
    <row r="189" hidden="1" outlineLevel="2" collapsed="1" ht="15" customFormat="1" customHeight="1" s="1598">
      <c r="A189" s="1771" t="inlineStr">
        <is>
          <t>Net bookings, mm</t>
        </is>
      </c>
      <c r="B189" s="1600" t="n"/>
      <c r="C189" s="1774" t="n">
        <v>2535.4</v>
      </c>
      <c r="D189" s="1774" t="n">
        <v>6212.7</v>
      </c>
      <c r="E189" s="1774" t="n">
        <v>2909.3</v>
      </c>
      <c r="F189" s="1774" t="n">
        <v>3312.3</v>
      </c>
      <c r="G189" s="1774" t="n">
        <v>4644</v>
      </c>
      <c r="H189" s="1773">
        <f>SUM(H187:H188)</f>
        <v/>
      </c>
      <c r="I189" s="1773">
        <f>SUM(I187:I188)</f>
        <v/>
      </c>
      <c r="J189" s="1773">
        <f>SUM(J187:J188)</f>
        <v/>
      </c>
      <c r="K189" s="1773">
        <f>SUM(K187:K188)</f>
        <v/>
      </c>
      <c r="L189" s="1774" t="n">
        <v>4902</v>
      </c>
      <c r="M189" s="1773">
        <f>SUM(M187:M188)</f>
        <v/>
      </c>
      <c r="N189" s="1773">
        <f>SUM(N187:N188)</f>
        <v/>
      </c>
      <c r="O189" s="1773">
        <f>SUM(O187:O188)</f>
        <v/>
      </c>
      <c r="P189" s="1773">
        <f>SUM(P187:P188)</f>
        <v/>
      </c>
      <c r="Q189" s="1774" t="n">
        <v>4639</v>
      </c>
      <c r="R189" s="1773">
        <f>SUM(R187:R188)</f>
        <v/>
      </c>
      <c r="S189" s="1773">
        <f>SUM(S187:S188)</f>
        <v/>
      </c>
      <c r="T189" s="1773">
        <f>SUM(T187:T188)</f>
        <v/>
      </c>
      <c r="U189" s="1773">
        <f>SUM(U187:U188)</f>
        <v/>
      </c>
      <c r="V189" s="1774" t="n">
        <v>5396</v>
      </c>
      <c r="W189" s="1775" t="n">
        <v>1894</v>
      </c>
      <c r="X189" s="1775" t="n">
        <v>2375</v>
      </c>
      <c r="Y189" s="1775" t="n">
        <v>2154</v>
      </c>
      <c r="Z189" s="1775" t="n">
        <v>2935</v>
      </c>
      <c r="AA189" s="1774" t="n">
        <v>9358</v>
      </c>
      <c r="AB189" s="1775" t="n">
        <v>2442</v>
      </c>
      <c r="AC189" s="1775" t="n">
        <v>1952</v>
      </c>
      <c r="AD189" s="1775" t="n">
        <v>2200</v>
      </c>
      <c r="AE189" s="1775" t="n">
        <v>1587</v>
      </c>
      <c r="AF189" s="1774" t="n">
        <v>8181</v>
      </c>
      <c r="AG189" s="1775" t="n">
        <v>1399</v>
      </c>
      <c r="AH189" s="1775" t="n">
        <v>2828</v>
      </c>
      <c r="AI189" s="1775" t="n">
        <v>5111</v>
      </c>
      <c r="AJ189" s="1775" t="n">
        <v>2402</v>
      </c>
      <c r="AK189" s="1774" t="n">
        <v>11741</v>
      </c>
      <c r="AL189" s="1775" t="n">
        <v>3085</v>
      </c>
      <c r="AM189" s="1775" t="n">
        <v>1101</v>
      </c>
      <c r="AN189" s="1775" t="n">
        <v>2868</v>
      </c>
      <c r="AO189" s="1775" t="n">
        <v>4238</v>
      </c>
      <c r="AP189" s="1774" t="n">
        <v>11292</v>
      </c>
      <c r="AQ189" s="1775" t="n">
        <v>4740</v>
      </c>
      <c r="AR189" s="1775" t="n">
        <v>8271</v>
      </c>
      <c r="AS189" s="1775" t="n">
        <v>6179</v>
      </c>
      <c r="AT189" s="1775" t="n">
        <v>7050</v>
      </c>
      <c r="AU189" s="1772">
        <f>SUM(AQ189,AR189,AS189,AT189)</f>
        <v/>
      </c>
      <c r="AV189" s="1775" t="n">
        <v>6977</v>
      </c>
      <c r="AW189" s="1775" t="n">
        <v>8461</v>
      </c>
      <c r="AX189" s="1775" t="n">
        <v>8920</v>
      </c>
      <c r="AY189" s="1775" t="n">
        <v>6316</v>
      </c>
      <c r="AZ189" s="1772">
        <f>SUM(AV189,AW189,AX189,AY189)</f>
        <v/>
      </c>
      <c r="BA189" s="1775" t="n">
        <v>3752</v>
      </c>
      <c r="BB189" s="1775" t="n">
        <v>4500</v>
      </c>
      <c r="BC189" s="1775" t="n">
        <v>2602</v>
      </c>
      <c r="BD189" s="1775" t="n">
        <v>9186</v>
      </c>
      <c r="BE189" s="1772">
        <f>SUM(BA189,BB189,BC189,BD189)</f>
        <v/>
      </c>
      <c r="BF189" s="1775" t="n">
        <v>3611</v>
      </c>
      <c r="BG189" s="1775" t="n">
        <v>5567</v>
      </c>
      <c r="BH189" s="1775" t="n">
        <v>2633</v>
      </c>
      <c r="BI189" s="1775" t="n">
        <v>7088</v>
      </c>
      <c r="BJ189" s="1772">
        <f>SUM(BF189,BG189,BH189,BI189)</f>
        <v/>
      </c>
      <c r="BK189" s="1775" t="n">
        <v>3936</v>
      </c>
      <c r="BL189" s="1775" t="n">
        <v>5541</v>
      </c>
      <c r="BM189" s="1775" t="n">
        <v>5399</v>
      </c>
      <c r="BN189" s="1775" t="n">
        <v>13158</v>
      </c>
      <c r="BO189" s="1776" t="n">
        <v>28035</v>
      </c>
      <c r="BP189" s="1603" t="n"/>
      <c r="BQ189" s="1603" t="n"/>
      <c r="BR189" s="1603" t="n"/>
      <c r="BS189" s="1603" t="n"/>
      <c r="BT189" s="1602" t="n"/>
      <c r="BU189" s="1603" t="n"/>
      <c r="BV189" s="1603" t="n"/>
      <c r="BW189" s="1603" t="n"/>
      <c r="BX189" s="1603" t="n"/>
      <c r="BY189" s="1602" t="n"/>
      <c r="BZ189" s="1602" t="n"/>
      <c r="CA189" s="1602" t="n"/>
      <c r="CB189" s="1602" t="n"/>
      <c r="CC189" s="1605" t="n"/>
    </row>
    <row r="190" hidden="1" outlineLevel="2" ht="15" customFormat="1" customHeight="1" s="602">
      <c r="A190" s="94" t="inlineStr">
        <is>
          <t>Y/Y Net bookings growth, %</t>
        </is>
      </c>
      <c r="B190" s="95" t="n"/>
      <c r="C190" s="1249" t="n"/>
      <c r="D190" s="1249">
        <f>+D189/C189-1</f>
        <v/>
      </c>
      <c r="E190" s="1249">
        <f>+E189/D189-1</f>
        <v/>
      </c>
      <c r="F190" s="1249">
        <f>+F189/E189-1</f>
        <v/>
      </c>
      <c r="G190" s="1249">
        <f>+G189/F189-1</f>
        <v/>
      </c>
      <c r="H190" s="672" t="n"/>
      <c r="I190" s="672" t="n"/>
      <c r="J190" s="672" t="n"/>
      <c r="K190" s="672" t="n"/>
      <c r="L190" s="1249">
        <f>+L189/G189-1</f>
        <v/>
      </c>
      <c r="M190" s="672">
        <f>+M189/H189-1</f>
        <v/>
      </c>
      <c r="N190" s="672">
        <f>+N189/I189-1</f>
        <v/>
      </c>
      <c r="O190" s="672">
        <f>+O189/J189-1</f>
        <v/>
      </c>
      <c r="P190" s="672">
        <f>+P189/K189-1</f>
        <v/>
      </c>
      <c r="Q190" s="1249">
        <f>+Q189/L189-1</f>
        <v/>
      </c>
      <c r="R190" s="672">
        <f>+R189/M189-1</f>
        <v/>
      </c>
      <c r="S190" s="672">
        <f>+S189/N189-1</f>
        <v/>
      </c>
      <c r="T190" s="672">
        <f>+T189/O189-1</f>
        <v/>
      </c>
      <c r="U190" s="672">
        <f>+U189/P189-1</f>
        <v/>
      </c>
      <c r="V190" s="1249">
        <f>+V189/Q189-1</f>
        <v/>
      </c>
      <c r="W190" s="672">
        <f>+W189/R189-1</f>
        <v/>
      </c>
      <c r="X190" s="672">
        <f>+X189/S189-1</f>
        <v/>
      </c>
      <c r="Y190" s="672">
        <f>+Y189/T189-1</f>
        <v/>
      </c>
      <c r="Z190" s="672">
        <f>+Z189/U189-1</f>
        <v/>
      </c>
      <c r="AA190" s="1249">
        <f>+AA189/V189-1</f>
        <v/>
      </c>
      <c r="AB190" s="672">
        <f>+AB189/W189-1</f>
        <v/>
      </c>
      <c r="AC190" s="672">
        <f>+AC189/X189-1</f>
        <v/>
      </c>
      <c r="AD190" s="672">
        <f>+AD189/Y189-1</f>
        <v/>
      </c>
      <c r="AE190" s="672">
        <f>+AE189/Z189-1</f>
        <v/>
      </c>
      <c r="AF190" s="1249">
        <f>+AF189/AA189-1</f>
        <v/>
      </c>
      <c r="AG190" s="672">
        <f>+AG189/AB189-1</f>
        <v/>
      </c>
      <c r="AH190" s="672">
        <f>+AH189/AC189-1</f>
        <v/>
      </c>
      <c r="AI190" s="672">
        <f>+AI189/AD189-1</f>
        <v/>
      </c>
      <c r="AJ190" s="672">
        <f>+AJ189/AE189-1</f>
        <v/>
      </c>
      <c r="AK190" s="1249">
        <f>+AK189/AF189-1</f>
        <v/>
      </c>
      <c r="AL190" s="672">
        <f>+AL189/AG189-1</f>
        <v/>
      </c>
      <c r="AM190" s="672">
        <f>+AM189/AH189-1</f>
        <v/>
      </c>
      <c r="AN190" s="672">
        <f>+AN189/AI189-1</f>
        <v/>
      </c>
      <c r="AO190" s="672">
        <f>+AO189/AJ189-1</f>
        <v/>
      </c>
      <c r="AP190" s="1249">
        <f>+AP189/AK189-1</f>
        <v/>
      </c>
      <c r="AQ190" s="672">
        <f>+AQ189/AL189-1</f>
        <v/>
      </c>
      <c r="AR190" s="672">
        <f>+AR189/AM189-1</f>
        <v/>
      </c>
      <c r="AS190" s="672">
        <f>+AS189/AN189-1</f>
        <v/>
      </c>
      <c r="AT190" s="672">
        <f>+AT189/AO189-1</f>
        <v/>
      </c>
      <c r="AU190" s="1249">
        <f>+AU189/AP189-1</f>
        <v/>
      </c>
      <c r="AV190" s="672">
        <f>+AV189/AQ189-1</f>
        <v/>
      </c>
      <c r="AW190" s="672">
        <f>+AW189/AR189-1</f>
        <v/>
      </c>
      <c r="AX190" s="672">
        <f>+AX189/AS189-1</f>
        <v/>
      </c>
      <c r="AY190" s="672">
        <f>+AY189/AT189-1</f>
        <v/>
      </c>
      <c r="AZ190" s="1249">
        <f>+AZ189/AU189-1</f>
        <v/>
      </c>
      <c r="BA190" s="672">
        <f>+BA189/AV189-1</f>
        <v/>
      </c>
      <c r="BB190" s="672">
        <f>+BB189/AW189-1</f>
        <v/>
      </c>
      <c r="BC190" s="672">
        <f>+BC189/AX189-1</f>
        <v/>
      </c>
      <c r="BD190" s="672">
        <f>+BD189/AY189-1</f>
        <v/>
      </c>
      <c r="BE190" s="1249">
        <f>+BE189/AZ189-1</f>
        <v/>
      </c>
      <c r="BF190" s="672">
        <f>+BF189/BA189-1</f>
        <v/>
      </c>
      <c r="BG190" s="672">
        <f>+BG189/BB189-1</f>
        <v/>
      </c>
      <c r="BH190" s="672">
        <f>+BH189/BC189-1</f>
        <v/>
      </c>
      <c r="BI190" s="672">
        <f>+BI189/BD189-1</f>
        <v/>
      </c>
      <c r="BJ190" s="1249">
        <f>+BJ189/BE189-1</f>
        <v/>
      </c>
      <c r="BK190" s="672">
        <f>+BK189/BF189-1</f>
        <v/>
      </c>
      <c r="BL190" s="672">
        <f>+BL189/BG189-1</f>
        <v/>
      </c>
      <c r="BM190" s="672">
        <f>+BM189/BH189-1</f>
        <v/>
      </c>
      <c r="BN190" s="672">
        <f>+BN189/BI189-1</f>
        <v/>
      </c>
      <c r="BO190" s="1248">
        <f>+BO189/BJ189-1</f>
        <v/>
      </c>
      <c r="BP190" s="672" t="n"/>
      <c r="BQ190" s="672" t="n"/>
      <c r="BR190" s="672" t="n"/>
      <c r="BS190" s="672" t="n"/>
      <c r="BT190" s="1249" t="n"/>
      <c r="BU190" s="672" t="n"/>
      <c r="BV190" s="672" t="n"/>
      <c r="BW190" s="672" t="n"/>
      <c r="BX190" s="672" t="n"/>
      <c r="BY190" s="1249" t="n"/>
      <c r="BZ190" s="1249" t="n"/>
      <c r="CA190" s="1249" t="n"/>
      <c r="CB190" s="1249" t="n"/>
      <c r="CC190" s="715" t="n"/>
    </row>
    <row r="191" hidden="1" outlineLevel="2" ht="15" customFormat="1" customHeight="1" s="607">
      <c r="A191" s="302" t="inlineStr">
        <is>
          <t>Revenue recognized as a % of bookings, %</t>
        </is>
      </c>
      <c r="B191" s="126" t="n"/>
      <c r="C191" s="1294">
        <f>+C41/C189</f>
        <v/>
      </c>
      <c r="D191" s="1294">
        <f>+D41/D189</f>
        <v/>
      </c>
      <c r="E191" s="1294">
        <f>+E41/E189</f>
        <v/>
      </c>
      <c r="F191" s="1294">
        <f>+F41/F189</f>
        <v/>
      </c>
      <c r="G191" s="1294">
        <f>+G41/G189</f>
        <v/>
      </c>
      <c r="H191" s="686">
        <f>+H41/H189</f>
        <v/>
      </c>
      <c r="I191" s="686">
        <f>+I41/I189</f>
        <v/>
      </c>
      <c r="J191" s="686">
        <f>+J41/J189</f>
        <v/>
      </c>
      <c r="K191" s="686">
        <f>+K41/K189</f>
        <v/>
      </c>
      <c r="L191" s="1294">
        <f>+L41/L189</f>
        <v/>
      </c>
      <c r="M191" s="686">
        <f>+M41/M189</f>
        <v/>
      </c>
      <c r="N191" s="686">
        <f>+N41/N189</f>
        <v/>
      </c>
      <c r="O191" s="686">
        <f>+O41/O189</f>
        <v/>
      </c>
      <c r="P191" s="686">
        <f>+P41/P189</f>
        <v/>
      </c>
      <c r="Q191" s="1294">
        <f>+Q41/Q189</f>
        <v/>
      </c>
      <c r="R191" s="686">
        <f>+R41/R189</f>
        <v/>
      </c>
      <c r="S191" s="686">
        <f>+S41/S189</f>
        <v/>
      </c>
      <c r="T191" s="686">
        <f>+T41/T189</f>
        <v/>
      </c>
      <c r="U191" s="686">
        <f>+U41/U189</f>
        <v/>
      </c>
      <c r="V191" s="1294">
        <f>+V41/V189</f>
        <v/>
      </c>
      <c r="W191" s="686">
        <f>+W41/W189</f>
        <v/>
      </c>
      <c r="X191" s="686">
        <f>+X41/X189</f>
        <v/>
      </c>
      <c r="Y191" s="686">
        <f>+Y41/Y189</f>
        <v/>
      </c>
      <c r="Z191" s="686">
        <f>+Z41/Z189</f>
        <v/>
      </c>
      <c r="AA191" s="1294">
        <f>+AA41/AA189</f>
        <v/>
      </c>
      <c r="AB191" s="686">
        <f>+AB41/AB189</f>
        <v/>
      </c>
      <c r="AC191" s="686">
        <f>+AC41/AC189</f>
        <v/>
      </c>
      <c r="AD191" s="686">
        <f>+AD41/AD189</f>
        <v/>
      </c>
      <c r="AE191" s="686">
        <f>+AE41/AE189</f>
        <v/>
      </c>
      <c r="AF191" s="1294">
        <f>+AF41/AF189</f>
        <v/>
      </c>
      <c r="AG191" s="686">
        <f>+AG41/AG189</f>
        <v/>
      </c>
      <c r="AH191" s="686">
        <f>+AH41/AH189</f>
        <v/>
      </c>
      <c r="AI191" s="686">
        <f>+AI41/AI189</f>
        <v/>
      </c>
      <c r="AJ191" s="686">
        <f>+AJ41/AJ189</f>
        <v/>
      </c>
      <c r="AK191" s="1294">
        <f>+AK41/AK189</f>
        <v/>
      </c>
      <c r="AL191" s="686">
        <f>+AL41/AL189</f>
        <v/>
      </c>
      <c r="AM191" s="686">
        <f>+AM41/AM189</f>
        <v/>
      </c>
      <c r="AN191" s="686">
        <f>+AN41/AN189</f>
        <v/>
      </c>
      <c r="AO191" s="686">
        <f>+AO41/AO189</f>
        <v/>
      </c>
      <c r="AP191" s="1294">
        <f>+AP41/AP189</f>
        <v/>
      </c>
      <c r="AQ191" s="686">
        <f>+AQ41/AQ189</f>
        <v/>
      </c>
      <c r="AR191" s="686">
        <f>+AR41/AR189</f>
        <v/>
      </c>
      <c r="AS191" s="686">
        <f>+AS41/AS189</f>
        <v/>
      </c>
      <c r="AT191" s="686">
        <f>+AT41/AT189</f>
        <v/>
      </c>
      <c r="AU191" s="1294">
        <f>+AU41/AU189</f>
        <v/>
      </c>
      <c r="AV191" s="686">
        <f>+AV41/AV189</f>
        <v/>
      </c>
      <c r="AW191" s="686">
        <f>+AW41/AW189</f>
        <v/>
      </c>
      <c r="AX191" s="686">
        <f>+AX41/AX189</f>
        <v/>
      </c>
      <c r="AY191" s="686">
        <f>+AY41/AY189</f>
        <v/>
      </c>
      <c r="AZ191" s="1294">
        <f>+AZ41/AZ189</f>
        <v/>
      </c>
      <c r="BA191" s="686">
        <f>+BA41/BA189</f>
        <v/>
      </c>
      <c r="BB191" s="686">
        <f>+BB41/BB189</f>
        <v/>
      </c>
      <c r="BC191" s="686">
        <f>+BC41/BC189</f>
        <v/>
      </c>
      <c r="BD191" s="686">
        <f>+BD41/BD189</f>
        <v/>
      </c>
      <c r="BE191" s="1294">
        <f>+BE41/BE189</f>
        <v/>
      </c>
      <c r="BF191" s="686">
        <f>+BF41/BF189</f>
        <v/>
      </c>
      <c r="BG191" s="686">
        <f>+BG41/BG189</f>
        <v/>
      </c>
      <c r="BH191" s="686">
        <f>+BH41/BH189</f>
        <v/>
      </c>
      <c r="BI191" s="686">
        <f>+BI41/BI189</f>
        <v/>
      </c>
      <c r="BJ191" s="1294">
        <f>+BJ41/BJ189</f>
        <v/>
      </c>
      <c r="BK191" s="686">
        <f>+BK41/BK189</f>
        <v/>
      </c>
      <c r="BL191" s="686">
        <f>+BL41/BL189</f>
        <v/>
      </c>
      <c r="BM191" s="686">
        <f>+BM41/BM189</f>
        <v/>
      </c>
      <c r="BN191" s="686">
        <f>+BN41/BN189</f>
        <v/>
      </c>
      <c r="BO191" s="1293">
        <f>+BO41/BO189</f>
        <v/>
      </c>
      <c r="BP191" s="686" t="n"/>
      <c r="BQ191" s="686" t="n"/>
      <c r="BR191" s="686" t="n"/>
      <c r="BS191" s="686" t="n"/>
      <c r="BT191" s="1294" t="n"/>
      <c r="BU191" s="686" t="n"/>
      <c r="BV191" s="686" t="n"/>
      <c r="BW191" s="686" t="n"/>
      <c r="BX191" s="686" t="n"/>
      <c r="BY191" s="1294" t="n"/>
      <c r="BZ191" s="1294" t="n"/>
      <c r="CA191" s="1294" t="n"/>
      <c r="CB191" s="1294" t="n"/>
      <c r="CC191" s="102" t="n"/>
    </row>
    <row r="192" hidden="1" outlineLevel="2" ht="15" customFormat="1" customHeight="1" s="1574">
      <c r="A192" s="1672" t="n"/>
      <c r="B192" s="1576" t="n"/>
      <c r="C192" s="1577" t="n"/>
      <c r="D192" s="1577" t="n"/>
      <c r="E192" s="1577" t="n"/>
      <c r="F192" s="1577" t="n"/>
      <c r="G192" s="1577" t="n"/>
      <c r="H192" s="1578" t="n"/>
      <c r="I192" s="1578" t="n"/>
      <c r="J192" s="1578" t="n"/>
      <c r="K192" s="1578" t="n"/>
      <c r="L192" s="1577" t="n"/>
      <c r="M192" s="1578" t="n"/>
      <c r="N192" s="1578" t="n"/>
      <c r="O192" s="1578" t="n"/>
      <c r="P192" s="1578" t="n"/>
      <c r="Q192" s="1577" t="n"/>
      <c r="R192" s="1578" t="n"/>
      <c r="S192" s="1578" t="n"/>
      <c r="T192" s="1578" t="n"/>
      <c r="U192" s="1578" t="n"/>
      <c r="V192" s="1577" t="n"/>
      <c r="W192" s="1578" t="n"/>
      <c r="X192" s="1578" t="n"/>
      <c r="Y192" s="1578" t="n"/>
      <c r="Z192" s="1578" t="n"/>
      <c r="AA192" s="1577" t="n"/>
      <c r="AB192" s="1578" t="n"/>
      <c r="AC192" s="1578" t="n"/>
      <c r="AD192" s="1578" t="n"/>
      <c r="AE192" s="1578" t="n"/>
      <c r="AF192" s="1577" t="n"/>
      <c r="AG192" s="1578" t="n"/>
      <c r="AH192" s="1578" t="n"/>
      <c r="AI192" s="1578" t="n"/>
      <c r="AJ192" s="1578" t="n"/>
      <c r="AK192" s="1577" t="n"/>
      <c r="AL192" s="1578" t="n"/>
      <c r="AM192" s="1578" t="n"/>
      <c r="AN192" s="1578" t="n"/>
      <c r="AO192" s="1578" t="n"/>
      <c r="AP192" s="1577" t="n"/>
      <c r="AQ192" s="1578" t="n"/>
      <c r="AR192" s="1578" t="n"/>
      <c r="AS192" s="1578" t="n"/>
      <c r="AT192" s="1578" t="n"/>
      <c r="AU192" s="1577" t="n"/>
      <c r="AV192" s="1578" t="n"/>
      <c r="AW192" s="1578" t="n"/>
      <c r="AX192" s="1578" t="n"/>
      <c r="AY192" s="1578" t="n"/>
      <c r="AZ192" s="1577" t="n"/>
      <c r="BA192" s="1578" t="n"/>
      <c r="BB192" s="1578" t="n"/>
      <c r="BC192" s="1578" t="n"/>
      <c r="BD192" s="1578" t="n"/>
      <c r="BE192" s="1577" t="n"/>
      <c r="BF192" s="1578" t="n"/>
      <c r="BG192" s="1578" t="n"/>
      <c r="BH192" s="1578" t="n"/>
      <c r="BI192" s="1578" t="n"/>
      <c r="BJ192" s="1577" t="n"/>
      <c r="BK192" s="1578" t="n"/>
      <c r="BL192" s="1578" t="n"/>
      <c r="BM192" s="1578" t="n"/>
      <c r="BN192" s="1578" t="n"/>
      <c r="BO192" s="1581" t="n"/>
      <c r="BP192" s="1578" t="n"/>
      <c r="BQ192" s="1578" t="n"/>
      <c r="BR192" s="1578" t="n"/>
      <c r="BS192" s="1578" t="n"/>
      <c r="BT192" s="1577" t="n"/>
      <c r="BU192" s="1578" t="n"/>
      <c r="BV192" s="1578" t="n"/>
      <c r="BW192" s="1578" t="n"/>
      <c r="BX192" s="1578" t="n"/>
      <c r="BY192" s="1577" t="n"/>
      <c r="BZ192" s="1577" t="n"/>
      <c r="CA192" s="1577" t="n"/>
      <c r="CB192" s="1577" t="n"/>
      <c r="CC192" s="1582" t="n"/>
    </row>
    <row r="193" hidden="1" outlineLevel="2" ht="15" customFormat="1" customHeight="1" s="1598">
      <c r="A193" s="1613" t="inlineStr">
        <is>
          <t>EUV Bookings, mm</t>
        </is>
      </c>
      <c r="B193" s="1600" t="n"/>
      <c r="C193" s="1602" t="n"/>
      <c r="D193" s="1602" t="n"/>
      <c r="E193" s="1602" t="n"/>
      <c r="F193" s="1602" t="n"/>
      <c r="G193" s="1602" t="n"/>
      <c r="H193" s="1603" t="n"/>
      <c r="I193" s="1603" t="n"/>
      <c r="J193" s="1603" t="n"/>
      <c r="K193" s="1603" t="n"/>
      <c r="L193" s="1602" t="n"/>
      <c r="M193" s="1603" t="n"/>
      <c r="N193" s="1603" t="n"/>
      <c r="O193" s="1603" t="n"/>
      <c r="P193" s="1603" t="n"/>
      <c r="Q193" s="1602" t="n"/>
      <c r="R193" s="1603" t="n"/>
      <c r="S193" s="1603" t="n"/>
      <c r="T193" s="1603" t="n"/>
      <c r="U193" s="1603" t="n"/>
      <c r="V193" s="1602" t="n"/>
      <c r="W193" s="1603" t="n"/>
      <c r="X193" s="1603" t="n"/>
      <c r="Y193" s="1603" t="n"/>
      <c r="Z193" s="1603" t="n"/>
      <c r="AA193" s="1602" t="n"/>
      <c r="AB193" s="1603" t="n"/>
      <c r="AC193" s="1603" t="n"/>
      <c r="AD193" s="1603" t="n"/>
      <c r="AE193" s="1603" t="n"/>
      <c r="AF193" s="1602" t="n"/>
      <c r="AG193" s="1603" t="n"/>
      <c r="AH193" s="1603" t="n"/>
      <c r="AI193" s="1603" t="n"/>
      <c r="AJ193" s="1603" t="n"/>
      <c r="AK193" s="1774" t="n">
        <v>6200</v>
      </c>
      <c r="AL193" s="1775" t="n">
        <v>1500</v>
      </c>
      <c r="AM193" s="1775" t="n">
        <v>461</v>
      </c>
      <c r="AN193" s="1775" t="n">
        <v>595</v>
      </c>
      <c r="AO193" s="1775" t="n">
        <v>1100</v>
      </c>
      <c r="AP193" s="1602">
        <f>SUM(AL193,AM193,AN193,AO193)</f>
        <v/>
      </c>
      <c r="AQ193" s="1775" t="n">
        <v>2300</v>
      </c>
      <c r="AR193" s="1775" t="n">
        <v>4900</v>
      </c>
      <c r="AS193" s="1775" t="n">
        <v>2900</v>
      </c>
      <c r="AT193" s="1775" t="n">
        <v>2600</v>
      </c>
      <c r="AU193" s="1602">
        <f>SUM(AQ193,AR193,AS193,AT193)</f>
        <v/>
      </c>
      <c r="AV193" s="1775" t="n">
        <v>2500</v>
      </c>
      <c r="AW193" s="1775" t="n">
        <v>5400</v>
      </c>
      <c r="AX193" s="1775" t="n">
        <v>3800</v>
      </c>
      <c r="AY193" s="1775" t="n">
        <v>3400</v>
      </c>
      <c r="AZ193" s="1602">
        <f>SUM(AV193,AW193,AX193,AY193)</f>
        <v/>
      </c>
      <c r="BA193" s="1775" t="n">
        <v>1600</v>
      </c>
      <c r="BB193" s="1775" t="n">
        <v>1600</v>
      </c>
      <c r="BC193" s="1775" t="n">
        <v>500</v>
      </c>
      <c r="BD193" s="1775" t="n">
        <v>5600</v>
      </c>
      <c r="BE193" s="1602">
        <f>SUM(BA193,BB193,BC193,BD193)</f>
        <v/>
      </c>
      <c r="BF193" s="1775" t="n">
        <v>656</v>
      </c>
      <c r="BG193" s="1775" t="n">
        <v>2500</v>
      </c>
      <c r="BH193" s="1775" t="n">
        <v>1400</v>
      </c>
      <c r="BI193" s="1775" t="n">
        <v>3000</v>
      </c>
      <c r="BJ193" s="1602">
        <f>SUM(BF193,BG193,BH193,BI193)</f>
        <v/>
      </c>
      <c r="BK193" s="1775" t="n">
        <v>1200</v>
      </c>
      <c r="BL193" s="1775" t="n">
        <v>2300</v>
      </c>
      <c r="BM193" s="1775" t="n">
        <v>3600</v>
      </c>
      <c r="BN193" s="1775" t="n">
        <v>7400</v>
      </c>
      <c r="BO193" s="1604">
        <f>SUM(BK193,BL193,BM193,BN193)</f>
        <v/>
      </c>
      <c r="BP193" s="1603" t="n"/>
      <c r="BQ193" s="1603" t="n"/>
      <c r="BR193" s="1603" t="n"/>
      <c r="BS193" s="1603" t="n"/>
      <c r="BT193" s="1602" t="n"/>
      <c r="BU193" s="1603" t="n"/>
      <c r="BV193" s="1603" t="n"/>
      <c r="BW193" s="1603" t="n"/>
      <c r="BX193" s="1603" t="n"/>
      <c r="BY193" s="1602" t="n"/>
      <c r="BZ193" s="1602" t="n"/>
      <c r="CA193" s="1602" t="n"/>
      <c r="CB193" s="1602" t="n"/>
      <c r="CC193" s="1605" t="n"/>
    </row>
    <row r="194" hidden="1" outlineLevel="2" ht="15" customFormat="1" customHeight="1" s="607">
      <c r="A194" s="302" t="inlineStr">
        <is>
          <t>EUV Bookings as % of Net Bookings, %</t>
        </is>
      </c>
      <c r="B194" s="126" t="n"/>
      <c r="C194" s="1294" t="n"/>
      <c r="D194" s="1294" t="n"/>
      <c r="E194" s="1294" t="n"/>
      <c r="F194" s="1294" t="n"/>
      <c r="G194" s="1294" t="n"/>
      <c r="H194" s="686" t="n"/>
      <c r="I194" s="686" t="n"/>
      <c r="J194" s="686" t="n"/>
      <c r="K194" s="686" t="n"/>
      <c r="L194" s="1294" t="n"/>
      <c r="M194" s="686" t="n"/>
      <c r="N194" s="686" t="n"/>
      <c r="O194" s="686" t="n"/>
      <c r="P194" s="686" t="n"/>
      <c r="Q194" s="1294" t="n"/>
      <c r="R194" s="686" t="n"/>
      <c r="S194" s="686" t="n"/>
      <c r="T194" s="686" t="n"/>
      <c r="U194" s="686" t="n"/>
      <c r="V194" s="1294" t="n"/>
      <c r="W194" s="686" t="n"/>
      <c r="X194" s="686" t="n"/>
      <c r="Y194" s="686" t="n"/>
      <c r="Z194" s="686" t="n"/>
      <c r="AA194" s="1294" t="n"/>
      <c r="AB194" s="686" t="n"/>
      <c r="AC194" s="686" t="n"/>
      <c r="AD194" s="686" t="n"/>
      <c r="AE194" s="686" t="n"/>
      <c r="AF194" s="1294" t="n"/>
      <c r="AG194" s="686" t="n"/>
      <c r="AH194" s="686" t="n"/>
      <c r="AI194" s="686" t="n"/>
      <c r="AJ194" s="686" t="n"/>
      <c r="AK194" s="1294">
        <f>AK193/AK189</f>
        <v/>
      </c>
      <c r="AL194" s="686">
        <f>AL193/AL189</f>
        <v/>
      </c>
      <c r="AM194" s="686">
        <f>AM193/AM189</f>
        <v/>
      </c>
      <c r="AN194" s="686">
        <f>AN193/AN189</f>
        <v/>
      </c>
      <c r="AO194" s="686">
        <f>AO193/AO189</f>
        <v/>
      </c>
      <c r="AP194" s="1294">
        <f>AP193/AP189</f>
        <v/>
      </c>
      <c r="AQ194" s="686">
        <f>AQ193/AQ189</f>
        <v/>
      </c>
      <c r="AR194" s="686">
        <f>AR193/AR189</f>
        <v/>
      </c>
      <c r="AS194" s="686">
        <f>AS193/AS189</f>
        <v/>
      </c>
      <c r="AT194" s="686">
        <f>AT193/AT189</f>
        <v/>
      </c>
      <c r="AU194" s="1294">
        <f>AU193/AU189</f>
        <v/>
      </c>
      <c r="AV194" s="686">
        <f>AV193/AV189</f>
        <v/>
      </c>
      <c r="AW194" s="686">
        <f>AW193/AW189</f>
        <v/>
      </c>
      <c r="AX194" s="686">
        <f>AX193/AX189</f>
        <v/>
      </c>
      <c r="AY194" s="686">
        <f>AY193/AY189</f>
        <v/>
      </c>
      <c r="AZ194" s="1294">
        <f>AZ193/AZ189</f>
        <v/>
      </c>
      <c r="BA194" s="686">
        <f>BA193/BA189</f>
        <v/>
      </c>
      <c r="BB194" s="686">
        <f>BB193/BB189</f>
        <v/>
      </c>
      <c r="BC194" s="686">
        <f>BC193/BC189</f>
        <v/>
      </c>
      <c r="BD194" s="686">
        <f>BD193/BD189</f>
        <v/>
      </c>
      <c r="BE194" s="1294">
        <f>BE193/BE189</f>
        <v/>
      </c>
      <c r="BF194" s="686">
        <f>BF193/BF189</f>
        <v/>
      </c>
      <c r="BG194" s="686">
        <f>BG193/BG189</f>
        <v/>
      </c>
      <c r="BH194" s="686">
        <f>BH193/BH189</f>
        <v/>
      </c>
      <c r="BI194" s="686">
        <f>BI193/BI189</f>
        <v/>
      </c>
      <c r="BJ194" s="1294">
        <f>BJ193/BJ189</f>
        <v/>
      </c>
      <c r="BK194" s="686">
        <f>BK193/BK189</f>
        <v/>
      </c>
      <c r="BL194" s="686">
        <f>BL193/BL189</f>
        <v/>
      </c>
      <c r="BM194" s="686">
        <f>BM193/BM189</f>
        <v/>
      </c>
      <c r="BN194" s="686">
        <f>BN193/BN189</f>
        <v/>
      </c>
      <c r="BO194" s="1293">
        <f>BO193/BO189</f>
        <v/>
      </c>
      <c r="BP194" s="686" t="n"/>
      <c r="BQ194" s="686" t="n"/>
      <c r="BR194" s="686" t="n"/>
      <c r="BS194" s="686" t="n"/>
      <c r="BT194" s="1294" t="n"/>
      <c r="BU194" s="686" t="n"/>
      <c r="BV194" s="686" t="n"/>
      <c r="BW194" s="686" t="n"/>
      <c r="BX194" s="686" t="n"/>
      <c r="BY194" s="1294" t="n"/>
      <c r="BZ194" s="1294" t="n"/>
      <c r="CA194" s="1294" t="n"/>
      <c r="CB194" s="1294" t="n"/>
      <c r="CC194" s="102" t="n"/>
    </row>
    <row r="195" hidden="1" outlineLevel="2" ht="15" customFormat="1" customHeight="1" s="1574">
      <c r="A195" s="1672" t="n"/>
      <c r="B195" s="1576" t="n"/>
      <c r="C195" s="1577" t="n"/>
      <c r="D195" s="1577" t="n"/>
      <c r="E195" s="1577" t="n"/>
      <c r="F195" s="1577" t="n"/>
      <c r="G195" s="1577" t="n"/>
      <c r="H195" s="1578" t="n"/>
      <c r="I195" s="1578" t="n"/>
      <c r="J195" s="1578" t="n"/>
      <c r="K195" s="1578" t="n"/>
      <c r="L195" s="1577" t="n"/>
      <c r="M195" s="1578" t="n"/>
      <c r="N195" s="1578" t="n"/>
      <c r="O195" s="1578" t="n"/>
      <c r="P195" s="1578" t="n"/>
      <c r="Q195" s="1577" t="n"/>
      <c r="R195" s="1578" t="n"/>
      <c r="S195" s="1578" t="n"/>
      <c r="T195" s="1578" t="n"/>
      <c r="U195" s="1578" t="n"/>
      <c r="V195" s="1577" t="n"/>
      <c r="W195" s="1578" t="n"/>
      <c r="X195" s="1578" t="n"/>
      <c r="Y195" s="1578" t="n"/>
      <c r="Z195" s="1578" t="n"/>
      <c r="AA195" s="1577" t="n"/>
      <c r="AB195" s="1578" t="n"/>
      <c r="AC195" s="1578" t="n"/>
      <c r="AD195" s="1578" t="n"/>
      <c r="AE195" s="1578" t="n"/>
      <c r="AF195" s="1577" t="n"/>
      <c r="AG195" s="1578" t="n"/>
      <c r="AH195" s="1578" t="n"/>
      <c r="AI195" s="1578" t="n"/>
      <c r="AJ195" s="1578" t="n"/>
      <c r="AK195" s="1577" t="n"/>
      <c r="AL195" s="1578" t="n"/>
      <c r="AM195" s="1578" t="n"/>
      <c r="AN195" s="1578" t="n"/>
      <c r="AO195" s="1578" t="n"/>
      <c r="AP195" s="1577" t="n"/>
      <c r="AQ195" s="1578" t="n"/>
      <c r="AR195" s="1578" t="n"/>
      <c r="AS195" s="1578" t="n"/>
      <c r="AT195" s="1578" t="n"/>
      <c r="AU195" s="1577" t="n"/>
      <c r="AV195" s="1578" t="n"/>
      <c r="AW195" s="1578" t="n"/>
      <c r="AX195" s="1578" t="n"/>
      <c r="AY195" s="1578" t="n"/>
      <c r="AZ195" s="1577" t="n"/>
      <c r="BA195" s="1578" t="n"/>
      <c r="BB195" s="1578" t="n"/>
      <c r="BC195" s="1578" t="n"/>
      <c r="BD195" s="1578" t="n"/>
      <c r="BE195" s="1577" t="n"/>
      <c r="BF195" s="1578" t="n"/>
      <c r="BG195" s="1578" t="n"/>
      <c r="BH195" s="1578" t="n"/>
      <c r="BI195" s="1578" t="n"/>
      <c r="BJ195" s="1577" t="n"/>
      <c r="BK195" s="1578" t="n"/>
      <c r="BL195" s="1578" t="n"/>
      <c r="BM195" s="1578" t="n"/>
      <c r="BN195" s="1578" t="n"/>
      <c r="BO195" s="1581" t="n"/>
      <c r="BP195" s="1578" t="n"/>
      <c r="BQ195" s="1578" t="n"/>
      <c r="BR195" s="1578" t="n"/>
      <c r="BS195" s="1578" t="n"/>
      <c r="BT195" s="1577" t="n"/>
      <c r="BU195" s="1578" t="n"/>
      <c r="BV195" s="1578" t="n"/>
      <c r="BW195" s="1578" t="n"/>
      <c r="BX195" s="1578" t="n"/>
      <c r="BY195" s="1577" t="n"/>
      <c r="BZ195" s="1577" t="n"/>
      <c r="CA195" s="1577" t="n"/>
      <c r="CB195" s="1577" t="n"/>
      <c r="CC195" s="1582" t="n"/>
    </row>
    <row r="196" hidden="1" outlineLevel="3" ht="15" customFormat="1" customHeight="1" s="1574">
      <c r="A196" s="1752" t="inlineStr">
        <is>
          <t>Foundry bookings, mm</t>
        </is>
      </c>
      <c r="B196" s="1576" t="n"/>
      <c r="C196" s="1577" t="n"/>
      <c r="D196" s="1577" t="n"/>
      <c r="E196" s="1577" t="n"/>
      <c r="F196" s="1577" t="n"/>
      <c r="G196" s="1577" t="n"/>
      <c r="H196" s="1751">
        <f>H202*H$200</f>
        <v/>
      </c>
      <c r="I196" s="1751">
        <f>I202*I$200</f>
        <v/>
      </c>
      <c r="J196" s="1751">
        <f>J202*J$200</f>
        <v/>
      </c>
      <c r="K196" s="1751">
        <f>K202*K$200</f>
        <v/>
      </c>
      <c r="L196" s="1750">
        <f>SUM(H196,I196,J196,K196)</f>
        <v/>
      </c>
      <c r="M196" s="1751">
        <f>M202*M$200</f>
        <v/>
      </c>
      <c r="N196" s="1751">
        <f>N202*N$200</f>
        <v/>
      </c>
      <c r="O196" s="1751">
        <f>O202*O$200</f>
        <v/>
      </c>
      <c r="P196" s="1751">
        <f>P202*P$200</f>
        <v/>
      </c>
      <c r="Q196" s="1750">
        <f>SUM(M196,N196,O196,P196)</f>
        <v/>
      </c>
      <c r="R196" s="1751">
        <f>R202*R$200</f>
        <v/>
      </c>
      <c r="S196" s="1751">
        <f>S202*S$200</f>
        <v/>
      </c>
      <c r="T196" s="1751">
        <f>T202*T$200</f>
        <v/>
      </c>
      <c r="U196" s="1751">
        <f>U202*U$200</f>
        <v/>
      </c>
      <c r="V196" s="1750">
        <f>SUM(R196,S196,T196,U196)</f>
        <v/>
      </c>
      <c r="W196" s="1751">
        <f>W202*W$200</f>
        <v/>
      </c>
      <c r="X196" s="1751">
        <f>X202*X$200</f>
        <v/>
      </c>
      <c r="Y196" s="1751">
        <f>Y202*Y$200</f>
        <v/>
      </c>
      <c r="Z196" s="1751">
        <f>Z202*Z$200</f>
        <v/>
      </c>
      <c r="AA196" s="1750">
        <f>SUM(W196,X196,Y196,Z196)</f>
        <v/>
      </c>
      <c r="AB196" s="1578" t="n"/>
      <c r="AC196" s="1578" t="n"/>
      <c r="AD196" s="1578" t="n"/>
      <c r="AE196" s="1578" t="n"/>
      <c r="AF196" s="1577" t="n"/>
      <c r="AG196" s="1578" t="n"/>
      <c r="AH196" s="1578" t="n"/>
      <c r="AI196" s="1578" t="n"/>
      <c r="AJ196" s="1578" t="n"/>
      <c r="AK196" s="1577" t="n"/>
      <c r="AL196" s="1578" t="n"/>
      <c r="AM196" s="1578" t="n"/>
      <c r="AN196" s="1578" t="n"/>
      <c r="AO196" s="1578" t="n"/>
      <c r="AP196" s="1577" t="n"/>
      <c r="AQ196" s="1578" t="n"/>
      <c r="AR196" s="1578" t="n"/>
      <c r="AS196" s="1578" t="n"/>
      <c r="AT196" s="1578" t="n"/>
      <c r="AU196" s="1577" t="n"/>
      <c r="AV196" s="1578" t="n"/>
      <c r="AW196" s="1578" t="n"/>
      <c r="AX196" s="1578" t="n"/>
      <c r="AY196" s="1578" t="n"/>
      <c r="AZ196" s="1577" t="n"/>
      <c r="BA196" s="1578" t="n"/>
      <c r="BB196" s="1578" t="n"/>
      <c r="BC196" s="1578" t="n"/>
      <c r="BD196" s="1578" t="n"/>
      <c r="BE196" s="1577" t="n"/>
      <c r="BF196" s="1578" t="n"/>
      <c r="BG196" s="1578" t="n"/>
      <c r="BH196" s="1578" t="n"/>
      <c r="BI196" s="1578" t="n"/>
      <c r="BJ196" s="1577" t="n"/>
      <c r="BK196" s="1578" t="n"/>
      <c r="BL196" s="1578" t="n"/>
      <c r="BM196" s="1578" t="n"/>
      <c r="BN196" s="1578" t="n"/>
      <c r="BO196" s="1581" t="n"/>
      <c r="BP196" s="1578" t="n"/>
      <c r="BQ196" s="1578" t="n"/>
      <c r="BR196" s="1578" t="n"/>
      <c r="BS196" s="1578" t="n"/>
      <c r="BT196" s="1577" t="n"/>
      <c r="BU196" s="1578" t="n"/>
      <c r="BV196" s="1578" t="n"/>
      <c r="BW196" s="1578" t="n"/>
      <c r="BX196" s="1578" t="n"/>
      <c r="BY196" s="1577" t="n"/>
      <c r="BZ196" s="1577" t="n"/>
      <c r="CA196" s="1577" t="n"/>
      <c r="CB196" s="1577" t="n"/>
      <c r="CC196" s="1582" t="n"/>
    </row>
    <row r="197" hidden="1" outlineLevel="3" ht="15" customFormat="1" customHeight="1" s="1574">
      <c r="A197" s="1753" t="inlineStr">
        <is>
          <t>IDM bookings, mm</t>
        </is>
      </c>
      <c r="B197" s="1593" t="n"/>
      <c r="C197" s="1594" t="n"/>
      <c r="D197" s="1594" t="n"/>
      <c r="E197" s="1594" t="n"/>
      <c r="F197" s="1594" t="n"/>
      <c r="G197" s="1594" t="n"/>
      <c r="H197" s="1760">
        <f>H203*H$200</f>
        <v/>
      </c>
      <c r="I197" s="1760">
        <f>I203*I$200</f>
        <v/>
      </c>
      <c r="J197" s="1760">
        <f>J203*J$200</f>
        <v/>
      </c>
      <c r="K197" s="1760">
        <f>K203*K$200</f>
        <v/>
      </c>
      <c r="L197" s="1754">
        <f>SUM(H197,I197,J197,K197)</f>
        <v/>
      </c>
      <c r="M197" s="1760">
        <f>M203*M$200</f>
        <v/>
      </c>
      <c r="N197" s="1760">
        <f>N203*N$200</f>
        <v/>
      </c>
      <c r="O197" s="1760">
        <f>O203*O$200</f>
        <v/>
      </c>
      <c r="P197" s="1760">
        <f>P203*P$200</f>
        <v/>
      </c>
      <c r="Q197" s="1754">
        <f>SUM(M197,N197,O197,P197)</f>
        <v/>
      </c>
      <c r="R197" s="1760">
        <f>R203*R$200</f>
        <v/>
      </c>
      <c r="S197" s="1760">
        <f>S203*S$200</f>
        <v/>
      </c>
      <c r="T197" s="1760">
        <f>T203*T$200</f>
        <v/>
      </c>
      <c r="U197" s="1760">
        <f>U203*U$200</f>
        <v/>
      </c>
      <c r="V197" s="1754">
        <f>SUM(R197,S197,T197,U197)</f>
        <v/>
      </c>
      <c r="W197" s="1760">
        <f>W203*W$200</f>
        <v/>
      </c>
      <c r="X197" s="1760">
        <f>X203*X$200</f>
        <v/>
      </c>
      <c r="Y197" s="1760">
        <f>Y203*Y$200</f>
        <v/>
      </c>
      <c r="Z197" s="1760">
        <f>Z203*Z$200</f>
        <v/>
      </c>
      <c r="AA197" s="1754">
        <f>SUM(W197,X197,Y197,Z197)</f>
        <v/>
      </c>
      <c r="AB197" s="1607" t="n"/>
      <c r="AC197" s="1607" t="n"/>
      <c r="AD197" s="1607" t="n"/>
      <c r="AE197" s="1607" t="n"/>
      <c r="AF197" s="1594" t="n"/>
      <c r="AG197" s="1607" t="n"/>
      <c r="AH197" s="1607" t="n"/>
      <c r="AI197" s="1607" t="n"/>
      <c r="AJ197" s="1607" t="n"/>
      <c r="AK197" s="1594" t="n"/>
      <c r="AL197" s="1607" t="n"/>
      <c r="AM197" s="1607" t="n"/>
      <c r="AN197" s="1607" t="n"/>
      <c r="AO197" s="1607" t="n"/>
      <c r="AP197" s="1594" t="n"/>
      <c r="AQ197" s="1607" t="n"/>
      <c r="AR197" s="1607" t="n"/>
      <c r="AS197" s="1607" t="n"/>
      <c r="AT197" s="1607" t="n"/>
      <c r="AU197" s="1594" t="n"/>
      <c r="AV197" s="1607" t="n"/>
      <c r="AW197" s="1607" t="n"/>
      <c r="AX197" s="1607" t="n"/>
      <c r="AY197" s="1607" t="n"/>
      <c r="AZ197" s="1594" t="n"/>
      <c r="BA197" s="1607" t="n"/>
      <c r="BB197" s="1607" t="n"/>
      <c r="BC197" s="1607" t="n"/>
      <c r="BD197" s="1607" t="n"/>
      <c r="BE197" s="1594" t="n"/>
      <c r="BF197" s="1607" t="n"/>
      <c r="BG197" s="1607" t="n"/>
      <c r="BH197" s="1607" t="n"/>
      <c r="BI197" s="1607" t="n"/>
      <c r="BJ197" s="1594" t="n"/>
      <c r="BK197" s="1607" t="n"/>
      <c r="BL197" s="1607" t="n"/>
      <c r="BM197" s="1607" t="n"/>
      <c r="BN197" s="1607" t="n"/>
      <c r="BO197" s="1755" t="n"/>
      <c r="BP197" s="1607" t="n"/>
      <c r="BQ197" s="1607" t="n"/>
      <c r="BR197" s="1607" t="n"/>
      <c r="BS197" s="1607" t="n"/>
      <c r="BT197" s="1594" t="n"/>
      <c r="BU197" s="1607" t="n"/>
      <c r="BV197" s="1607" t="n"/>
      <c r="BW197" s="1607" t="n"/>
      <c r="BX197" s="1607" t="n"/>
      <c r="BY197" s="1594" t="n"/>
      <c r="BZ197" s="1594" t="n"/>
      <c r="CA197" s="1594" t="n"/>
      <c r="CB197" s="1594" t="n"/>
      <c r="CC197" s="1582" t="n"/>
    </row>
    <row r="198" hidden="1" outlineLevel="2" collapsed="1" ht="15" customFormat="1" customHeight="1" s="1574">
      <c r="A198" s="1693" t="inlineStr">
        <is>
          <t>Total Logic bookings, mm</t>
        </is>
      </c>
      <c r="B198" s="1576" t="n"/>
      <c r="C198" s="1577" t="n"/>
      <c r="D198" s="1577" t="n"/>
      <c r="E198" s="1577" t="n"/>
      <c r="F198" s="1577" t="n"/>
      <c r="G198" s="1577" t="n"/>
      <c r="H198" s="1751">
        <f>SUM(H196:H197)</f>
        <v/>
      </c>
      <c r="I198" s="1751">
        <f>SUM(I196:I197)</f>
        <v/>
      </c>
      <c r="J198" s="1751">
        <f>SUM(J196:J197)</f>
        <v/>
      </c>
      <c r="K198" s="1751">
        <f>SUM(K196:K197)</f>
        <v/>
      </c>
      <c r="L198" s="1750">
        <f>SUM(L196:L197)</f>
        <v/>
      </c>
      <c r="M198" s="1751">
        <f>SUM(M196:M197)</f>
        <v/>
      </c>
      <c r="N198" s="1751">
        <f>SUM(N196:N197)</f>
        <v/>
      </c>
      <c r="O198" s="1751">
        <f>SUM(O196:O197)</f>
        <v/>
      </c>
      <c r="P198" s="1751">
        <f>SUM(P196:P197)</f>
        <v/>
      </c>
      <c r="Q198" s="1750">
        <f>SUM(Q196:Q197)</f>
        <v/>
      </c>
      <c r="R198" s="1751">
        <f>SUM(R196:R197)</f>
        <v/>
      </c>
      <c r="S198" s="1751">
        <f>SUM(S196:S197)</f>
        <v/>
      </c>
      <c r="T198" s="1751">
        <f>SUM(T196:T197)</f>
        <v/>
      </c>
      <c r="U198" s="1751">
        <f>SUM(U196:U197)</f>
        <v/>
      </c>
      <c r="V198" s="1750">
        <f>SUM(V196:V197)</f>
        <v/>
      </c>
      <c r="W198" s="1751">
        <f>SUM(W196:W197)</f>
        <v/>
      </c>
      <c r="X198" s="1751">
        <f>SUM(X196:X197)</f>
        <v/>
      </c>
      <c r="Y198" s="1751">
        <f>SUM(Y196:Y197)</f>
        <v/>
      </c>
      <c r="Z198" s="1751">
        <f>SUM(Z196:Z197)</f>
        <v/>
      </c>
      <c r="AA198" s="1750">
        <f>SUM(AA196:AA197)</f>
        <v/>
      </c>
      <c r="AB198" s="1751">
        <f>AB204*AB$200</f>
        <v/>
      </c>
      <c r="AC198" s="1751">
        <f>AC204*AC$200</f>
        <v/>
      </c>
      <c r="AD198" s="1751">
        <f>AD204*AD$200</f>
        <v/>
      </c>
      <c r="AE198" s="1751">
        <f>AE204*AE$200</f>
        <v/>
      </c>
      <c r="AF198" s="1750">
        <f>SUM(AB198,AC198,AD198,AE198)</f>
        <v/>
      </c>
      <c r="AG198" s="1751">
        <f>AG204*AG$200</f>
        <v/>
      </c>
      <c r="AH198" s="1751">
        <f>AH204*AH$200</f>
        <v/>
      </c>
      <c r="AI198" s="1751">
        <f>AI204*AI$200</f>
        <v/>
      </c>
      <c r="AJ198" s="1751">
        <f>AJ204*AJ$200</f>
        <v/>
      </c>
      <c r="AK198" s="1750">
        <f>SUM(AG198,AH198,AI198,AJ198)</f>
        <v/>
      </c>
      <c r="AL198" s="1751">
        <f>AL204*AL$200</f>
        <v/>
      </c>
      <c r="AM198" s="1751">
        <f>AM204*AM$200</f>
        <v/>
      </c>
      <c r="AN198" s="1751">
        <f>AN204*AN$200</f>
        <v/>
      </c>
      <c r="AO198" s="1751">
        <f>AO204*AO$200</f>
        <v/>
      </c>
      <c r="AP198" s="1750">
        <f>SUM(AL198,AM198,AN198,AO198)</f>
        <v/>
      </c>
      <c r="AQ198" s="1751">
        <f>AQ204*AQ$200</f>
        <v/>
      </c>
      <c r="AR198" s="1751">
        <f>AR204*AR$200</f>
        <v/>
      </c>
      <c r="AS198" s="1751">
        <f>AS204*AS$200</f>
        <v/>
      </c>
      <c r="AT198" s="1751">
        <f>AT204*AT$200</f>
        <v/>
      </c>
      <c r="AU198" s="1750">
        <f>SUM(AQ198,AR198,AS198,AT198)</f>
        <v/>
      </c>
      <c r="AV198" s="1751">
        <f>AV204*AV$200</f>
        <v/>
      </c>
      <c r="AW198" s="1751">
        <f>AW204*AW$200</f>
        <v/>
      </c>
      <c r="AX198" s="1751">
        <f>AX204*AX$200</f>
        <v/>
      </c>
      <c r="AY198" s="1751">
        <f>AY204*AY$200</f>
        <v/>
      </c>
      <c r="AZ198" s="1750">
        <f>SUM(AV198,AW198,AX198,AY198)</f>
        <v/>
      </c>
      <c r="BA198" s="1751">
        <f>BA204*BA$200</f>
        <v/>
      </c>
      <c r="BB198" s="1751">
        <f>BB204*BB$200</f>
        <v/>
      </c>
      <c r="BC198" s="1751">
        <f>BC204*BC$200</f>
        <v/>
      </c>
      <c r="BD198" s="1751">
        <f>BD204*BD$200</f>
        <v/>
      </c>
      <c r="BE198" s="1750">
        <f>SUM(BA198,BB198,BC198,BD198)</f>
        <v/>
      </c>
      <c r="BF198" s="1751">
        <f>BF204*BF$200</f>
        <v/>
      </c>
      <c r="BG198" s="1751">
        <f>BG204*BG$200</f>
        <v/>
      </c>
      <c r="BH198" s="1751">
        <f>BH204*BH$200</f>
        <v/>
      </c>
      <c r="BI198" s="1751">
        <f>BI204*BI$200</f>
        <v/>
      </c>
      <c r="BJ198" s="1750">
        <f>SUM(BF198,BG198,BH198,BI198)</f>
        <v/>
      </c>
      <c r="BK198" s="1751">
        <f>BK204*BK$200</f>
        <v/>
      </c>
      <c r="BL198" s="1751">
        <f>BL204*BL$200</f>
        <v/>
      </c>
      <c r="BM198" s="1751">
        <f>BM204*BM$200</f>
        <v/>
      </c>
      <c r="BN198" s="1751">
        <f>BN204*BN$200</f>
        <v/>
      </c>
      <c r="BO198" s="1766">
        <f>SUM(BK198,BL198,BM198,BN198)</f>
        <v/>
      </c>
      <c r="BP198" s="1578" t="n"/>
      <c r="BQ198" s="1578" t="n"/>
      <c r="BR198" s="1578" t="n"/>
      <c r="BS198" s="1578" t="n"/>
      <c r="BT198" s="1577" t="n"/>
      <c r="BU198" s="1578" t="n"/>
      <c r="BV198" s="1578" t="n"/>
      <c r="BW198" s="1578" t="n"/>
      <c r="BX198" s="1578" t="n"/>
      <c r="BY198" s="1577" t="n"/>
      <c r="BZ198" s="1577" t="n"/>
      <c r="CA198" s="1577" t="n"/>
      <c r="CB198" s="1577" t="n"/>
      <c r="CC198" s="1582" t="n"/>
    </row>
    <row r="199" hidden="1" outlineLevel="2" ht="15" customFormat="1" customHeight="1" s="1574">
      <c r="A199" s="1759" t="inlineStr">
        <is>
          <t>Memory bookings, mm</t>
        </is>
      </c>
      <c r="B199" s="1593" t="n"/>
      <c r="C199" s="1594" t="n"/>
      <c r="D199" s="1594" t="n"/>
      <c r="E199" s="1594" t="n"/>
      <c r="F199" s="1594" t="n"/>
      <c r="G199" s="1594" t="n"/>
      <c r="H199" s="1760">
        <f>H205*H$200</f>
        <v/>
      </c>
      <c r="I199" s="1760">
        <f>I205*I$200</f>
        <v/>
      </c>
      <c r="J199" s="1760">
        <f>J205*J$200</f>
        <v/>
      </c>
      <c r="K199" s="1760">
        <f>K205*K$200</f>
        <v/>
      </c>
      <c r="L199" s="1754">
        <f>SUM(H199,I199,J199,K199)</f>
        <v/>
      </c>
      <c r="M199" s="1760">
        <f>M205*M$200</f>
        <v/>
      </c>
      <c r="N199" s="1760">
        <f>N205*N$200</f>
        <v/>
      </c>
      <c r="O199" s="1760">
        <f>O205*O$200</f>
        <v/>
      </c>
      <c r="P199" s="1760">
        <f>P205*P$200</f>
        <v/>
      </c>
      <c r="Q199" s="1754">
        <f>SUM(M199,N199,O199,P199)</f>
        <v/>
      </c>
      <c r="R199" s="1760">
        <f>R205*R$200</f>
        <v/>
      </c>
      <c r="S199" s="1760">
        <f>S205*S$200</f>
        <v/>
      </c>
      <c r="T199" s="1760">
        <f>T205*T$200</f>
        <v/>
      </c>
      <c r="U199" s="1760">
        <f>U205*U$200</f>
        <v/>
      </c>
      <c r="V199" s="1754">
        <f>SUM(R199,S199,T199,U199)</f>
        <v/>
      </c>
      <c r="W199" s="1760">
        <f>W205*W$200</f>
        <v/>
      </c>
      <c r="X199" s="1760">
        <f>X205*X$200</f>
        <v/>
      </c>
      <c r="Y199" s="1760">
        <f>Y205*Y$200</f>
        <v/>
      </c>
      <c r="Z199" s="1760">
        <f>Z205*Z$200</f>
        <v/>
      </c>
      <c r="AA199" s="1754">
        <f>SUM(W199,X199,Y199,Z199)</f>
        <v/>
      </c>
      <c r="AB199" s="1760">
        <f>AB205*AB$200</f>
        <v/>
      </c>
      <c r="AC199" s="1760">
        <f>AC205*AC$200</f>
        <v/>
      </c>
      <c r="AD199" s="1760">
        <f>AD205*AD$200</f>
        <v/>
      </c>
      <c r="AE199" s="1760">
        <f>AE205*AE$200</f>
        <v/>
      </c>
      <c r="AF199" s="1754">
        <f>SUM(AB199,AC199,AD199,AE199)</f>
        <v/>
      </c>
      <c r="AG199" s="1760">
        <f>AG205*AG$200</f>
        <v/>
      </c>
      <c r="AH199" s="1760">
        <f>AH205*AH$200</f>
        <v/>
      </c>
      <c r="AI199" s="1760">
        <f>AI205*AI$200</f>
        <v/>
      </c>
      <c r="AJ199" s="1760">
        <f>AJ205*AJ$200</f>
        <v/>
      </c>
      <c r="AK199" s="1754">
        <f>SUM(AG199,AH199,AI199,AJ199)</f>
        <v/>
      </c>
      <c r="AL199" s="1760">
        <f>AL205*AL$200</f>
        <v/>
      </c>
      <c r="AM199" s="1760">
        <f>AM205*AM$200</f>
        <v/>
      </c>
      <c r="AN199" s="1760">
        <f>AN205*AN$200</f>
        <v/>
      </c>
      <c r="AO199" s="1760">
        <f>AO205*AO$200</f>
        <v/>
      </c>
      <c r="AP199" s="1754">
        <f>SUM(AL199,AM199,AN199,AO199)</f>
        <v/>
      </c>
      <c r="AQ199" s="1760">
        <f>AQ205*AQ$200</f>
        <v/>
      </c>
      <c r="AR199" s="1760">
        <f>AR205*AR$200</f>
        <v/>
      </c>
      <c r="AS199" s="1760">
        <f>AS205*AS$200</f>
        <v/>
      </c>
      <c r="AT199" s="1760">
        <f>AT205*AT$200</f>
        <v/>
      </c>
      <c r="AU199" s="1754">
        <f>SUM(AQ199,AR199,AS199,AT199)</f>
        <v/>
      </c>
      <c r="AV199" s="1760">
        <f>AV205*AV$200</f>
        <v/>
      </c>
      <c r="AW199" s="1760">
        <f>AW205*AW$200</f>
        <v/>
      </c>
      <c r="AX199" s="1760">
        <f>AX205*AX$200</f>
        <v/>
      </c>
      <c r="AY199" s="1760">
        <f>AY205*AY$200</f>
        <v/>
      </c>
      <c r="AZ199" s="1754">
        <f>SUM(AV199,AW199,AX199,AY199)</f>
        <v/>
      </c>
      <c r="BA199" s="1760">
        <f>BA205*BA$200</f>
        <v/>
      </c>
      <c r="BB199" s="1760">
        <f>BB205*BB$200</f>
        <v/>
      </c>
      <c r="BC199" s="1760">
        <f>BC205*BC$200</f>
        <v/>
      </c>
      <c r="BD199" s="1760">
        <f>BD205*BD$200</f>
        <v/>
      </c>
      <c r="BE199" s="1754">
        <f>SUM(BA199,BB199,BC199,BD199)</f>
        <v/>
      </c>
      <c r="BF199" s="1760">
        <f>BF205*BF$200</f>
        <v/>
      </c>
      <c r="BG199" s="1760">
        <f>BG205*BG$200</f>
        <v/>
      </c>
      <c r="BH199" s="1760">
        <f>BH205*BH$200</f>
        <v/>
      </c>
      <c r="BI199" s="1760">
        <f>BI205*BI$200</f>
        <v/>
      </c>
      <c r="BJ199" s="1754">
        <f>SUM(BF199,BG199,BH199,BI199)</f>
        <v/>
      </c>
      <c r="BK199" s="1760">
        <f>BK205*BK$200</f>
        <v/>
      </c>
      <c r="BL199" s="1760">
        <f>BL205*BL$200</f>
        <v/>
      </c>
      <c r="BM199" s="1760">
        <f>BM205*BM$200</f>
        <v/>
      </c>
      <c r="BN199" s="1760">
        <f>BN205*BN$200</f>
        <v/>
      </c>
      <c r="BO199" s="1768">
        <f>SUM(BK199,BL199,BM199,BN199)</f>
        <v/>
      </c>
      <c r="BP199" s="1607" t="n"/>
      <c r="BQ199" s="1607" t="n"/>
      <c r="BR199" s="1607" t="n"/>
      <c r="BS199" s="1607" t="n"/>
      <c r="BT199" s="1594" t="n"/>
      <c r="BU199" s="1607" t="n"/>
      <c r="BV199" s="1607" t="n"/>
      <c r="BW199" s="1607" t="n"/>
      <c r="BX199" s="1607" t="n"/>
      <c r="BY199" s="1594" t="n"/>
      <c r="BZ199" s="1594" t="n"/>
      <c r="CA199" s="1594" t="n"/>
      <c r="CB199" s="1594" t="n"/>
      <c r="CC199" s="1582" t="n"/>
    </row>
    <row r="200" hidden="1" outlineLevel="2" ht="15" customFormat="1" customHeight="1" s="1598">
      <c r="A200" s="1761" t="inlineStr">
        <is>
          <t>Total bookings by end-use, mm</t>
        </is>
      </c>
      <c r="B200" s="1609" t="n"/>
      <c r="C200" s="1610">
        <f>C189</f>
        <v/>
      </c>
      <c r="D200" s="1610">
        <f>D189</f>
        <v/>
      </c>
      <c r="E200" s="1610">
        <f>E189</f>
        <v/>
      </c>
      <c r="F200" s="1610">
        <f>F189</f>
        <v/>
      </c>
      <c r="G200" s="1610">
        <f>G189</f>
        <v/>
      </c>
      <c r="H200" s="1763">
        <f>H189</f>
        <v/>
      </c>
      <c r="I200" s="1763">
        <f>I189</f>
        <v/>
      </c>
      <c r="J200" s="1763">
        <f>J189</f>
        <v/>
      </c>
      <c r="K200" s="1763">
        <f>K189</f>
        <v/>
      </c>
      <c r="L200" s="1762">
        <f>SUM(L198:L199)</f>
        <v/>
      </c>
      <c r="M200" s="1763">
        <f>M189</f>
        <v/>
      </c>
      <c r="N200" s="1763">
        <f>N189</f>
        <v/>
      </c>
      <c r="O200" s="1763">
        <f>O189</f>
        <v/>
      </c>
      <c r="P200" s="1763">
        <f>P189</f>
        <v/>
      </c>
      <c r="Q200" s="1762">
        <f>SUM(Q198:Q199)</f>
        <v/>
      </c>
      <c r="R200" s="1763">
        <f>R189</f>
        <v/>
      </c>
      <c r="S200" s="1763">
        <f>S189</f>
        <v/>
      </c>
      <c r="T200" s="1763">
        <f>T189</f>
        <v/>
      </c>
      <c r="U200" s="1763">
        <f>U189</f>
        <v/>
      </c>
      <c r="V200" s="1762">
        <f>SUM(V198:V199)</f>
        <v/>
      </c>
      <c r="W200" s="1763">
        <f>W189</f>
        <v/>
      </c>
      <c r="X200" s="1763">
        <f>X189</f>
        <v/>
      </c>
      <c r="Y200" s="1763">
        <f>Y189</f>
        <v/>
      </c>
      <c r="Z200" s="1763">
        <f>Z189</f>
        <v/>
      </c>
      <c r="AA200" s="1762">
        <f>SUM(AA198:AA199)</f>
        <v/>
      </c>
      <c r="AB200" s="1763">
        <f>AB189</f>
        <v/>
      </c>
      <c r="AC200" s="1763">
        <f>AC189</f>
        <v/>
      </c>
      <c r="AD200" s="1763">
        <f>AD189</f>
        <v/>
      </c>
      <c r="AE200" s="1763">
        <f>AE189</f>
        <v/>
      </c>
      <c r="AF200" s="1762">
        <f>SUM(AF198:AF199)</f>
        <v/>
      </c>
      <c r="AG200" s="1763">
        <f>AG189</f>
        <v/>
      </c>
      <c r="AH200" s="1763">
        <f>AH189</f>
        <v/>
      </c>
      <c r="AI200" s="1763">
        <f>AI189</f>
        <v/>
      </c>
      <c r="AJ200" s="1763">
        <f>AJ189</f>
        <v/>
      </c>
      <c r="AK200" s="1762">
        <f>SUM(AK198:AK199)</f>
        <v/>
      </c>
      <c r="AL200" s="1763">
        <f>AL189</f>
        <v/>
      </c>
      <c r="AM200" s="1763">
        <f>AM189</f>
        <v/>
      </c>
      <c r="AN200" s="1763">
        <f>AN189</f>
        <v/>
      </c>
      <c r="AO200" s="1763">
        <f>AO189</f>
        <v/>
      </c>
      <c r="AP200" s="1762">
        <f>SUM(AP198:AP199)</f>
        <v/>
      </c>
      <c r="AQ200" s="1763">
        <f>AQ189</f>
        <v/>
      </c>
      <c r="AR200" s="1763">
        <f>AR189</f>
        <v/>
      </c>
      <c r="AS200" s="1763">
        <f>AS189</f>
        <v/>
      </c>
      <c r="AT200" s="1763">
        <f>AT189</f>
        <v/>
      </c>
      <c r="AU200" s="1762">
        <f>SUM(AU198:AU199)</f>
        <v/>
      </c>
      <c r="AV200" s="1763">
        <f>AV189</f>
        <v/>
      </c>
      <c r="AW200" s="1763">
        <f>AW189</f>
        <v/>
      </c>
      <c r="AX200" s="1763">
        <f>AX189</f>
        <v/>
      </c>
      <c r="AY200" s="1763">
        <f>AY189</f>
        <v/>
      </c>
      <c r="AZ200" s="1762">
        <f>SUM(AZ198:AZ199)</f>
        <v/>
      </c>
      <c r="BA200" s="1763">
        <f>BA189</f>
        <v/>
      </c>
      <c r="BB200" s="1763">
        <f>BB189</f>
        <v/>
      </c>
      <c r="BC200" s="1763">
        <f>BC189</f>
        <v/>
      </c>
      <c r="BD200" s="1763">
        <f>BD189</f>
        <v/>
      </c>
      <c r="BE200" s="1762">
        <f>SUM(BE198:BE199)</f>
        <v/>
      </c>
      <c r="BF200" s="1763">
        <f>BF189</f>
        <v/>
      </c>
      <c r="BG200" s="1763">
        <f>BG189</f>
        <v/>
      </c>
      <c r="BH200" s="1763">
        <f>BH189</f>
        <v/>
      </c>
      <c r="BI200" s="1763">
        <f>BI189</f>
        <v/>
      </c>
      <c r="BJ200" s="1762">
        <f>SUM(BJ198:BJ199)</f>
        <v/>
      </c>
      <c r="BK200" s="1763">
        <f>BK189</f>
        <v/>
      </c>
      <c r="BL200" s="1763">
        <f>BL189</f>
        <v/>
      </c>
      <c r="BM200" s="1763">
        <f>BM189</f>
        <v/>
      </c>
      <c r="BN200" s="1763">
        <f>BN189</f>
        <v/>
      </c>
      <c r="BO200" s="1765">
        <f>SUM(BO198:BO199)</f>
        <v/>
      </c>
      <c r="BP200" s="1611" t="n"/>
      <c r="BQ200" s="1611" t="n"/>
      <c r="BR200" s="1611" t="n"/>
      <c r="BS200" s="1611" t="n"/>
      <c r="BT200" s="1610" t="n"/>
      <c r="BU200" s="1611" t="n"/>
      <c r="BV200" s="1611" t="n"/>
      <c r="BW200" s="1611" t="n"/>
      <c r="BX200" s="1611" t="n"/>
      <c r="BY200" s="1610" t="n"/>
      <c r="BZ200" s="1610" t="n"/>
      <c r="CA200" s="1610" t="n"/>
      <c r="CB200" s="1610" t="n"/>
      <c r="CC200" s="1605" t="n"/>
    </row>
    <row r="201" hidden="1" outlineLevel="2" ht="15" customFormat="1" customHeight="1" s="1598">
      <c r="A201" s="1613" t="n"/>
      <c r="B201" s="1600" t="n"/>
      <c r="C201" s="1602" t="n"/>
      <c r="D201" s="1602" t="n"/>
      <c r="E201" s="1602" t="n"/>
      <c r="F201" s="1602" t="n"/>
      <c r="G201" s="1602" t="n"/>
      <c r="H201" s="1603" t="n"/>
      <c r="I201" s="1603" t="n"/>
      <c r="J201" s="1603" t="n"/>
      <c r="K201" s="1603" t="n"/>
      <c r="L201" s="1602" t="n"/>
      <c r="M201" s="1603" t="n"/>
      <c r="N201" s="1603" t="n"/>
      <c r="O201" s="1603" t="n"/>
      <c r="P201" s="1603" t="n"/>
      <c r="Q201" s="1602" t="n"/>
      <c r="R201" s="1603" t="n"/>
      <c r="S201" s="1603" t="n"/>
      <c r="T201" s="1603" t="n"/>
      <c r="U201" s="1603" t="n"/>
      <c r="V201" s="1602" t="n"/>
      <c r="W201" s="1603" t="n"/>
      <c r="X201" s="1603" t="n"/>
      <c r="Y201" s="1603" t="n"/>
      <c r="Z201" s="1603" t="n"/>
      <c r="AA201" s="1602" t="n"/>
      <c r="AB201" s="1603" t="n"/>
      <c r="AC201" s="1603" t="n"/>
      <c r="AD201" s="1603" t="n"/>
      <c r="AE201" s="1603" t="n"/>
      <c r="AF201" s="1602" t="n"/>
      <c r="AG201" s="1603" t="n"/>
      <c r="AH201" s="1603" t="n"/>
      <c r="AI201" s="1603" t="n"/>
      <c r="AJ201" s="1603" t="n"/>
      <c r="AK201" s="1602" t="n"/>
      <c r="AL201" s="1603" t="n"/>
      <c r="AM201" s="1603" t="n"/>
      <c r="AN201" s="1603" t="n"/>
      <c r="AO201" s="1603" t="n"/>
      <c r="AP201" s="1602" t="n"/>
      <c r="AQ201" s="1603" t="n"/>
      <c r="AR201" s="1603" t="n"/>
      <c r="AS201" s="1603" t="n"/>
      <c r="AT201" s="1603" t="n"/>
      <c r="AU201" s="1602" t="n"/>
      <c r="AV201" s="1603" t="n"/>
      <c r="AW201" s="1603" t="n"/>
      <c r="AX201" s="1603" t="n"/>
      <c r="AY201" s="1603" t="n"/>
      <c r="AZ201" s="1602" t="n"/>
      <c r="BA201" s="1603" t="n"/>
      <c r="BB201" s="1603" t="n"/>
      <c r="BC201" s="1603" t="n"/>
      <c r="BD201" s="1603" t="n"/>
      <c r="BE201" s="1602" t="n"/>
      <c r="BF201" s="1603" t="n"/>
      <c r="BG201" s="1603" t="n"/>
      <c r="BH201" s="1603" t="n"/>
      <c r="BI201" s="1603" t="n"/>
      <c r="BJ201" s="1602" t="n"/>
      <c r="BK201" s="1603" t="n"/>
      <c r="BL201" s="1603" t="n"/>
      <c r="BM201" s="1603" t="n"/>
      <c r="BN201" s="1603" t="n"/>
      <c r="BO201" s="1604" t="n"/>
      <c r="BP201" s="1603" t="n"/>
      <c r="BQ201" s="1603" t="n"/>
      <c r="BR201" s="1603" t="n"/>
      <c r="BS201" s="1603" t="n"/>
      <c r="BT201" s="1602" t="n"/>
      <c r="BU201" s="1603" t="n"/>
      <c r="BV201" s="1603" t="n"/>
      <c r="BW201" s="1603" t="n"/>
      <c r="BX201" s="1603" t="n"/>
      <c r="BY201" s="1602" t="n"/>
      <c r="BZ201" s="1602" t="n"/>
      <c r="CA201" s="1602" t="n"/>
      <c r="CB201" s="1602" t="n"/>
      <c r="CC201" s="1605" t="n"/>
    </row>
    <row r="202" hidden="1" outlineLevel="3" ht="15" customFormat="1" customHeight="1" s="607">
      <c r="A202" s="103" t="inlineStr">
        <is>
          <t>Foundry bookings as % of total bookings, %</t>
        </is>
      </c>
      <c r="B202" s="126" t="n"/>
      <c r="C202" s="1294" t="n"/>
      <c r="D202" s="1294" t="n"/>
      <c r="E202" s="1294" t="n"/>
      <c r="F202" s="1294" t="n"/>
      <c r="G202" s="1294" t="n"/>
      <c r="H202" s="1146" t="n">
        <v>0.4</v>
      </c>
      <c r="I202" s="1146" t="n">
        <v>0.43</v>
      </c>
      <c r="J202" s="1146" t="n">
        <v>0.15</v>
      </c>
      <c r="K202" s="1146" t="n">
        <v>0.65</v>
      </c>
      <c r="L202" s="1333">
        <f>L196/L$200</f>
        <v/>
      </c>
      <c r="M202" s="1146" t="n">
        <v>0.31</v>
      </c>
      <c r="N202" s="1146" t="n">
        <v>0.23</v>
      </c>
      <c r="O202" s="1146" t="n">
        <v>0.38</v>
      </c>
      <c r="P202" s="1146" t="n">
        <v>0.52</v>
      </c>
      <c r="Q202" s="1333">
        <f>Q196/Q$200</f>
        <v/>
      </c>
      <c r="R202" s="1146" t="n">
        <v>0.67</v>
      </c>
      <c r="S202" s="1146" t="n">
        <v>0.57</v>
      </c>
      <c r="T202" s="1146" t="n">
        <v>0.52</v>
      </c>
      <c r="U202" s="1146" t="n">
        <v>0.51</v>
      </c>
      <c r="V202" s="1333">
        <f>V196/V$200</f>
        <v/>
      </c>
      <c r="W202" s="1146" t="n">
        <v>0.43</v>
      </c>
      <c r="X202" s="1146" t="n">
        <v>0.4</v>
      </c>
      <c r="Y202" s="1146" t="n">
        <v>0.09</v>
      </c>
      <c r="Z202" s="1146" t="n">
        <v>0.3</v>
      </c>
      <c r="AA202" s="1333">
        <f>AA196/AA$200</f>
        <v/>
      </c>
      <c r="AB202" s="686" t="n"/>
      <c r="AC202" s="686" t="n"/>
      <c r="AD202" s="686" t="n"/>
      <c r="AE202" s="686" t="n"/>
      <c r="AF202" s="1294" t="n"/>
      <c r="AG202" s="686" t="n"/>
      <c r="AH202" s="686" t="n"/>
      <c r="AI202" s="686" t="n"/>
      <c r="AJ202" s="686" t="n"/>
      <c r="AK202" s="1294" t="n"/>
      <c r="AL202" s="686" t="n"/>
      <c r="AM202" s="686" t="n"/>
      <c r="AN202" s="686" t="n"/>
      <c r="AO202" s="686" t="n"/>
      <c r="AP202" s="1294" t="n"/>
      <c r="AQ202" s="686" t="n"/>
      <c r="AR202" s="686" t="n"/>
      <c r="AS202" s="686" t="n"/>
      <c r="AT202" s="686" t="n"/>
      <c r="AU202" s="1294" t="n"/>
      <c r="AV202" s="686" t="n"/>
      <c r="AW202" s="686" t="n"/>
      <c r="AX202" s="686" t="n"/>
      <c r="AY202" s="686" t="n"/>
      <c r="AZ202" s="1294" t="n"/>
      <c r="BA202" s="686" t="n"/>
      <c r="BB202" s="686" t="n"/>
      <c r="BC202" s="686" t="n"/>
      <c r="BD202" s="686" t="n"/>
      <c r="BE202" s="1294" t="n"/>
      <c r="BF202" s="686" t="n"/>
      <c r="BG202" s="686" t="n"/>
      <c r="BH202" s="686" t="n"/>
      <c r="BI202" s="686" t="n"/>
      <c r="BJ202" s="1294" t="n"/>
      <c r="BK202" s="686" t="n"/>
      <c r="BL202" s="686" t="n"/>
      <c r="BM202" s="686" t="n"/>
      <c r="BN202" s="686" t="n"/>
      <c r="BO202" s="1293" t="n"/>
      <c r="BP202" s="686" t="n"/>
      <c r="BQ202" s="686" t="n"/>
      <c r="BR202" s="686" t="n"/>
      <c r="BS202" s="686" t="n"/>
      <c r="BT202" s="1294" t="n"/>
      <c r="BU202" s="686" t="n"/>
      <c r="BV202" s="686" t="n"/>
      <c r="BW202" s="686" t="n"/>
      <c r="BX202" s="686" t="n"/>
      <c r="BY202" s="1294" t="n"/>
      <c r="BZ202" s="1294" t="n"/>
      <c r="CA202" s="1294" t="n"/>
      <c r="CB202" s="1294" t="n"/>
      <c r="CC202" s="102" t="n"/>
    </row>
    <row r="203" hidden="1" outlineLevel="3" ht="15" customFormat="1" customHeight="1" s="607">
      <c r="A203" s="107" t="inlineStr">
        <is>
          <t>IDM bookings as % of total bookings, %</t>
        </is>
      </c>
      <c r="B203" s="292" t="n"/>
      <c r="C203" s="1334" t="n"/>
      <c r="D203" s="1334" t="n"/>
      <c r="E203" s="1334" t="n"/>
      <c r="F203" s="1334" t="n"/>
      <c r="G203" s="1334" t="n"/>
      <c r="H203" s="1147" t="n">
        <v>0.25</v>
      </c>
      <c r="I203" s="1147" t="n">
        <v>0.02</v>
      </c>
      <c r="J203" s="1147" t="n">
        <v>0.09</v>
      </c>
      <c r="K203" s="1147" t="n">
        <v>0.08</v>
      </c>
      <c r="L203" s="1335">
        <f>L197/L$200</f>
        <v/>
      </c>
      <c r="M203" s="1147" t="n">
        <v>0.16</v>
      </c>
      <c r="N203" s="1147" t="n">
        <v>0.39</v>
      </c>
      <c r="O203" s="1147" t="n">
        <v>0.1</v>
      </c>
      <c r="P203" s="1147" t="n">
        <v>0.01</v>
      </c>
      <c r="Q203" s="1335">
        <f>Q197/Q$200</f>
        <v/>
      </c>
      <c r="R203" s="1147" t="n">
        <v>0.19</v>
      </c>
      <c r="S203" s="1147" t="n">
        <v>0.18</v>
      </c>
      <c r="T203" s="1147" t="n">
        <v>0.12</v>
      </c>
      <c r="U203" s="1147" t="n">
        <v>0.15</v>
      </c>
      <c r="V203" s="1335">
        <f>V197/V$200</f>
        <v/>
      </c>
      <c r="W203" s="1147" t="n">
        <v>0.18</v>
      </c>
      <c r="X203" s="1147" t="n">
        <v>0.2</v>
      </c>
      <c r="Y203" s="1147" t="n">
        <v>0.14</v>
      </c>
      <c r="Z203" s="1147" t="n">
        <v>0.15</v>
      </c>
      <c r="AA203" s="1335">
        <f>AA197/AA$200</f>
        <v/>
      </c>
      <c r="AB203" s="293" t="n"/>
      <c r="AC203" s="293" t="n"/>
      <c r="AD203" s="293" t="n"/>
      <c r="AE203" s="293" t="n"/>
      <c r="AF203" s="1334" t="n"/>
      <c r="AG203" s="293" t="n"/>
      <c r="AH203" s="293" t="n"/>
      <c r="AI203" s="293" t="n"/>
      <c r="AJ203" s="293" t="n"/>
      <c r="AK203" s="1334" t="n"/>
      <c r="AL203" s="293" t="n"/>
      <c r="AM203" s="293" t="n"/>
      <c r="AN203" s="293" t="n"/>
      <c r="AO203" s="293" t="n"/>
      <c r="AP203" s="1334" t="n"/>
      <c r="AQ203" s="293" t="n"/>
      <c r="AR203" s="293" t="n"/>
      <c r="AS203" s="293" t="n"/>
      <c r="AT203" s="293" t="n"/>
      <c r="AU203" s="1334" t="n"/>
      <c r="AV203" s="293" t="n"/>
      <c r="AW203" s="293" t="n"/>
      <c r="AX203" s="293" t="n"/>
      <c r="AY203" s="293" t="n"/>
      <c r="AZ203" s="1334" t="n"/>
      <c r="BA203" s="293" t="n"/>
      <c r="BB203" s="293" t="n"/>
      <c r="BC203" s="293" t="n"/>
      <c r="BD203" s="293" t="n"/>
      <c r="BE203" s="1334" t="n"/>
      <c r="BF203" s="293" t="n"/>
      <c r="BG203" s="293" t="n"/>
      <c r="BH203" s="293" t="n"/>
      <c r="BI203" s="293" t="n"/>
      <c r="BJ203" s="1334" t="n"/>
      <c r="BK203" s="293" t="n"/>
      <c r="BL203" s="293" t="n"/>
      <c r="BM203" s="293" t="n"/>
      <c r="BN203" s="293" t="n"/>
      <c r="BO203" s="1336" t="n"/>
      <c r="BP203" s="293" t="n"/>
      <c r="BQ203" s="293" t="n"/>
      <c r="BR203" s="293" t="n"/>
      <c r="BS203" s="293" t="n"/>
      <c r="BT203" s="1334" t="n"/>
      <c r="BU203" s="293" t="n"/>
      <c r="BV203" s="293" t="n"/>
      <c r="BW203" s="293" t="n"/>
      <c r="BX203" s="293" t="n"/>
      <c r="BY203" s="1334" t="n"/>
      <c r="BZ203" s="1334" t="n"/>
      <c r="CA203" s="1334" t="n"/>
      <c r="CB203" s="1334" t="n"/>
      <c r="CC203" s="102" t="n"/>
    </row>
    <row r="204" hidden="1" outlineLevel="2" collapsed="1" ht="15" customFormat="1" customHeight="1" s="607">
      <c r="A204" s="54" t="inlineStr">
        <is>
          <t>Total Logic bookings as % of total bookings, %</t>
        </is>
      </c>
      <c r="B204" s="126" t="n"/>
      <c r="C204" s="1294" t="n"/>
      <c r="D204" s="1294" t="n"/>
      <c r="E204" s="1294" t="n"/>
      <c r="F204" s="1294" t="n"/>
      <c r="G204" s="1294" t="n"/>
      <c r="H204" s="695">
        <f>SUM(H202:H203)</f>
        <v/>
      </c>
      <c r="I204" s="695">
        <f>SUM(I202:I203)</f>
        <v/>
      </c>
      <c r="J204" s="695">
        <f>SUM(J202:J203)</f>
        <v/>
      </c>
      <c r="K204" s="695">
        <f>SUM(K202:K203)</f>
        <v/>
      </c>
      <c r="L204" s="1333">
        <f>L198/L$200</f>
        <v/>
      </c>
      <c r="M204" s="695">
        <f>SUM(M202:M203)</f>
        <v/>
      </c>
      <c r="N204" s="695">
        <f>SUM(N202:N203)</f>
        <v/>
      </c>
      <c r="O204" s="695">
        <f>SUM(O202:O203)</f>
        <v/>
      </c>
      <c r="P204" s="695">
        <f>SUM(P202:P203)</f>
        <v/>
      </c>
      <c r="Q204" s="1333">
        <f>Q198/Q$200</f>
        <v/>
      </c>
      <c r="R204" s="695">
        <f>SUM(R202:R203)</f>
        <v/>
      </c>
      <c r="S204" s="695">
        <f>SUM(S202:S203)</f>
        <v/>
      </c>
      <c r="T204" s="695">
        <f>SUM(T202:T203)</f>
        <v/>
      </c>
      <c r="U204" s="695">
        <f>SUM(U202:U203)</f>
        <v/>
      </c>
      <c r="V204" s="1333">
        <f>V198/V$200</f>
        <v/>
      </c>
      <c r="W204" s="695">
        <f>SUM(W202:W203)</f>
        <v/>
      </c>
      <c r="X204" s="695">
        <f>SUM(X202:X203)</f>
        <v/>
      </c>
      <c r="Y204" s="695">
        <f>SUM(Y202:Y203)</f>
        <v/>
      </c>
      <c r="Z204" s="695">
        <f>SUM(Z202:Z203)</f>
        <v/>
      </c>
      <c r="AA204" s="1333">
        <f>AA198/AA$200</f>
        <v/>
      </c>
      <c r="AB204" s="1146" t="n">
        <v>0.57</v>
      </c>
      <c r="AC204" s="1146" t="n">
        <v>0.45</v>
      </c>
      <c r="AD204" s="1146" t="n">
        <v>0.36</v>
      </c>
      <c r="AE204" s="1146" t="n">
        <v>0.8</v>
      </c>
      <c r="AF204" s="1333">
        <f>AF198/AF$200</f>
        <v/>
      </c>
      <c r="AG204" s="1146" t="n">
        <v>0.75</v>
      </c>
      <c r="AH204" s="1146" t="n">
        <v>0.67</v>
      </c>
      <c r="AI204" s="1146" t="n">
        <v>0.73</v>
      </c>
      <c r="AJ204" s="1146" t="n">
        <v>0.79</v>
      </c>
      <c r="AK204" s="1333">
        <f>AK198/AK$200</f>
        <v/>
      </c>
      <c r="AL204" s="1146" t="n">
        <v>0.66</v>
      </c>
      <c r="AM204" s="1146" t="n">
        <v>0.5</v>
      </c>
      <c r="AN204" s="1146" t="n">
        <v>0.86</v>
      </c>
      <c r="AO204" s="1146" t="n">
        <v>0.78</v>
      </c>
      <c r="AP204" s="1333">
        <f>AP198/AP$200</f>
        <v/>
      </c>
      <c r="AQ204" s="1146" t="n">
        <v>0.76</v>
      </c>
      <c r="AR204" s="1146" t="n">
        <v>0.71</v>
      </c>
      <c r="AS204" s="1146" t="n">
        <v>0.84</v>
      </c>
      <c r="AT204" s="1146" t="n">
        <v>0.77</v>
      </c>
      <c r="AU204" s="1333">
        <f>AU198/AU$200</f>
        <v/>
      </c>
      <c r="AV204" s="1146" t="n">
        <v>0.66</v>
      </c>
      <c r="AW204" s="1146" t="n">
        <v>0.6</v>
      </c>
      <c r="AX204" s="1146" t="n">
        <v>0.77</v>
      </c>
      <c r="AY204" s="1146" t="n">
        <v>0.66</v>
      </c>
      <c r="AZ204" s="1333">
        <f>AZ198/AZ$200</f>
        <v/>
      </c>
      <c r="BA204" s="1146" t="n">
        <v>0.79</v>
      </c>
      <c r="BB204" s="1146" t="n">
        <v>0.6899999999999999</v>
      </c>
      <c r="BC204" s="1146" t="n">
        <v>0.8</v>
      </c>
      <c r="BD204" s="1146" t="n">
        <v>0.53</v>
      </c>
      <c r="BE204" s="1333">
        <f>BE198/BE$200</f>
        <v/>
      </c>
      <c r="BF204" s="1146" t="n">
        <v>0.41</v>
      </c>
      <c r="BG204" s="1146" t="n">
        <v>0.73</v>
      </c>
      <c r="BH204" s="1146" t="n">
        <v>0.46</v>
      </c>
      <c r="BI204" s="1146" t="n">
        <v>0.61</v>
      </c>
      <c r="BJ204" s="1333">
        <f>BJ198/BJ$200</f>
        <v/>
      </c>
      <c r="BK204" s="1146" t="n">
        <v>0.6</v>
      </c>
      <c r="BL204" s="1146" t="n">
        <v>0.84</v>
      </c>
      <c r="BM204" s="1146" t="n">
        <v>0.53</v>
      </c>
      <c r="BN204" s="1146" t="n">
        <v>0.44</v>
      </c>
      <c r="BO204" s="1340">
        <f>BO198/BO$200</f>
        <v/>
      </c>
      <c r="BP204" s="686" t="n"/>
      <c r="BQ204" s="686" t="n"/>
      <c r="BR204" s="686" t="n"/>
      <c r="BS204" s="686" t="n"/>
      <c r="BT204" s="1294" t="n"/>
      <c r="BU204" s="686" t="n"/>
      <c r="BV204" s="686" t="n"/>
      <c r="BW204" s="686" t="n"/>
      <c r="BX204" s="686" t="n"/>
      <c r="BY204" s="1294" t="n"/>
      <c r="BZ204" s="1294" t="n"/>
      <c r="CA204" s="1294" t="n"/>
      <c r="CB204" s="1294" t="n"/>
      <c r="CC204" s="102" t="n"/>
    </row>
    <row r="205" hidden="1" outlineLevel="2" ht="15" customFormat="1" customHeight="1" s="607">
      <c r="A205" s="221" t="inlineStr">
        <is>
          <t>Memory bookings as % of total bookings, %</t>
        </is>
      </c>
      <c r="B205" s="292" t="n"/>
      <c r="C205" s="1334" t="n"/>
      <c r="D205" s="1334" t="n"/>
      <c r="E205" s="1334" t="n"/>
      <c r="F205" s="1334" t="n"/>
      <c r="G205" s="1334" t="n"/>
      <c r="H205" s="1147" t="n">
        <v>0.35</v>
      </c>
      <c r="I205" s="1147" t="n">
        <v>0.55</v>
      </c>
      <c r="J205" s="1147" t="n">
        <v>0.76</v>
      </c>
      <c r="K205" s="1147" t="n">
        <v>0.27</v>
      </c>
      <c r="L205" s="1335">
        <f>L199/L$200</f>
        <v/>
      </c>
      <c r="M205" s="1147" t="n">
        <v>0.53</v>
      </c>
      <c r="N205" s="1147" t="n">
        <v>0.38</v>
      </c>
      <c r="O205" s="1147" t="n">
        <v>0.52</v>
      </c>
      <c r="P205" s="1147" t="n">
        <v>0.47</v>
      </c>
      <c r="Q205" s="1335">
        <f>Q199/Q$200</f>
        <v/>
      </c>
      <c r="R205" s="1147" t="n">
        <v>0.14</v>
      </c>
      <c r="S205" s="1147" t="n">
        <v>0.25</v>
      </c>
      <c r="T205" s="1147" t="n">
        <v>0.36</v>
      </c>
      <c r="U205" s="1147" t="n">
        <v>0.34</v>
      </c>
      <c r="V205" s="1335">
        <f>V199/V$200</f>
        <v/>
      </c>
      <c r="W205" s="1147" t="n">
        <v>0.39</v>
      </c>
      <c r="X205" s="1147" t="n">
        <v>0.4</v>
      </c>
      <c r="Y205" s="1147" t="n">
        <v>0.77</v>
      </c>
      <c r="Z205" s="1147" t="n">
        <v>0.55</v>
      </c>
      <c r="AA205" s="1335">
        <f>AA199/AA$200</f>
        <v/>
      </c>
      <c r="AB205" s="1147" t="n">
        <v>0.43</v>
      </c>
      <c r="AC205" s="1147" t="n">
        <v>0.55</v>
      </c>
      <c r="AD205" s="1147" t="n">
        <v>0.64</v>
      </c>
      <c r="AE205" s="1147" t="n">
        <v>0.2</v>
      </c>
      <c r="AF205" s="1335">
        <f>AF199/AF$200</f>
        <v/>
      </c>
      <c r="AG205" s="1147" t="n">
        <v>0.25</v>
      </c>
      <c r="AH205" s="1147" t="n">
        <v>0.33</v>
      </c>
      <c r="AI205" s="1147" t="n">
        <v>0.27</v>
      </c>
      <c r="AJ205" s="1147" t="n">
        <v>0.21</v>
      </c>
      <c r="AK205" s="1335">
        <f>AK199/AK$200</f>
        <v/>
      </c>
      <c r="AL205" s="1147" t="n">
        <v>0.34</v>
      </c>
      <c r="AM205" s="1147" t="n">
        <v>0.5</v>
      </c>
      <c r="AN205" s="1147" t="n">
        <v>0.14</v>
      </c>
      <c r="AO205" s="1147" t="n">
        <v>0.22</v>
      </c>
      <c r="AP205" s="1335">
        <f>AP199/AP$200</f>
        <v/>
      </c>
      <c r="AQ205" s="1147" t="n">
        <v>0.24</v>
      </c>
      <c r="AR205" s="1147" t="n">
        <v>0.29</v>
      </c>
      <c r="AS205" s="1147" t="n">
        <v>0.16</v>
      </c>
      <c r="AT205" s="1147" t="n">
        <v>0.23</v>
      </c>
      <c r="AU205" s="1335">
        <f>AU199/AU$200</f>
        <v/>
      </c>
      <c r="AV205" s="1147" t="n">
        <v>0.34</v>
      </c>
      <c r="AW205" s="1147" t="n">
        <v>0.4</v>
      </c>
      <c r="AX205" s="1147" t="n">
        <v>0.23</v>
      </c>
      <c r="AY205" s="1147" t="n">
        <v>0.34</v>
      </c>
      <c r="AZ205" s="1335">
        <f>AZ199/AZ$200</f>
        <v/>
      </c>
      <c r="BA205" s="1147" t="n">
        <v>0.21</v>
      </c>
      <c r="BB205" s="1147" t="n">
        <v>0.31</v>
      </c>
      <c r="BC205" s="1147" t="n">
        <v>0.2</v>
      </c>
      <c r="BD205" s="1147" t="n">
        <v>0.47</v>
      </c>
      <c r="BE205" s="1335">
        <f>BE199/BE$200</f>
        <v/>
      </c>
      <c r="BF205" s="1147" t="n">
        <v>0.59</v>
      </c>
      <c r="BG205" s="1147" t="n">
        <v>0.27</v>
      </c>
      <c r="BH205" s="1147" t="n">
        <v>0.54</v>
      </c>
      <c r="BI205" s="1147" t="n">
        <v>0.39</v>
      </c>
      <c r="BJ205" s="1335">
        <f>BJ199/BJ$200</f>
        <v/>
      </c>
      <c r="BK205" s="1147" t="n">
        <v>0.4</v>
      </c>
      <c r="BL205" s="1147" t="n">
        <v>0.16</v>
      </c>
      <c r="BM205" s="1147" t="n">
        <v>0.47</v>
      </c>
      <c r="BN205" s="1147" t="n">
        <v>0.5600000000000001</v>
      </c>
      <c r="BO205" s="1346">
        <f>BO199/BO$200</f>
        <v/>
      </c>
      <c r="BP205" s="293" t="n"/>
      <c r="BQ205" s="293" t="n"/>
      <c r="BR205" s="293" t="n"/>
      <c r="BS205" s="293" t="n"/>
      <c r="BT205" s="1334" t="n"/>
      <c r="BU205" s="293" t="n"/>
      <c r="BV205" s="293" t="n"/>
      <c r="BW205" s="293" t="n"/>
      <c r="BX205" s="293" t="n"/>
      <c r="BY205" s="1334" t="n"/>
      <c r="BZ205" s="1334" t="n"/>
      <c r="CA205" s="1334" t="n"/>
      <c r="CB205" s="1334" t="n"/>
      <c r="CC205" s="102" t="n"/>
    </row>
    <row r="206" hidden="1" outlineLevel="2" ht="15" customFormat="1" customHeight="1" s="598">
      <c r="A206" s="21" t="inlineStr">
        <is>
          <t>Total bookings by end-use, %</t>
        </is>
      </c>
      <c r="B206" s="67" t="n"/>
      <c r="C206" s="1347">
        <f>C200/C200</f>
        <v/>
      </c>
      <c r="D206" s="1347">
        <f>D200/D200</f>
        <v/>
      </c>
      <c r="E206" s="1347">
        <f>E200/E200</f>
        <v/>
      </c>
      <c r="F206" s="1347">
        <f>F200/F200</f>
        <v/>
      </c>
      <c r="G206" s="1347">
        <f>G200/G200</f>
        <v/>
      </c>
      <c r="H206" s="452">
        <f>SUM(H204:H205)</f>
        <v/>
      </c>
      <c r="I206" s="452">
        <f>SUM(I204:I205)</f>
        <v/>
      </c>
      <c r="J206" s="452">
        <f>SUM(J204:J205)</f>
        <v/>
      </c>
      <c r="K206" s="452">
        <f>SUM(K204:K205)</f>
        <v/>
      </c>
      <c r="L206" s="1348">
        <f>SUM(L204:L205)</f>
        <v/>
      </c>
      <c r="M206" s="452">
        <f>SUM(M204:M205)</f>
        <v/>
      </c>
      <c r="N206" s="452">
        <f>SUM(N204:N205)</f>
        <v/>
      </c>
      <c r="O206" s="452">
        <f>SUM(O204:O205)</f>
        <v/>
      </c>
      <c r="P206" s="452">
        <f>SUM(P204:P205)</f>
        <v/>
      </c>
      <c r="Q206" s="1348">
        <f>SUM(Q204:Q205)</f>
        <v/>
      </c>
      <c r="R206" s="452">
        <f>SUM(R204:R205)</f>
        <v/>
      </c>
      <c r="S206" s="452">
        <f>SUM(S204:S205)</f>
        <v/>
      </c>
      <c r="T206" s="452">
        <f>SUM(T204:T205)</f>
        <v/>
      </c>
      <c r="U206" s="452">
        <f>SUM(U204:U205)</f>
        <v/>
      </c>
      <c r="V206" s="1348">
        <f>SUM(V204:V205)</f>
        <v/>
      </c>
      <c r="W206" s="452">
        <f>SUM(W204:W205)</f>
        <v/>
      </c>
      <c r="X206" s="452">
        <f>SUM(X204:X205)</f>
        <v/>
      </c>
      <c r="Y206" s="452">
        <f>SUM(Y204:Y205)</f>
        <v/>
      </c>
      <c r="Z206" s="452">
        <f>SUM(Z204:Z205)</f>
        <v/>
      </c>
      <c r="AA206" s="1348">
        <f>SUM(AA204:AA205)</f>
        <v/>
      </c>
      <c r="AB206" s="452">
        <f>SUM(AB204:AB205)</f>
        <v/>
      </c>
      <c r="AC206" s="452">
        <f>SUM(AC204:AC205)</f>
        <v/>
      </c>
      <c r="AD206" s="452">
        <f>SUM(AD204:AD205)</f>
        <v/>
      </c>
      <c r="AE206" s="452">
        <f>SUM(AE204:AE205)</f>
        <v/>
      </c>
      <c r="AF206" s="1348">
        <f>SUM(AF204:AF205)</f>
        <v/>
      </c>
      <c r="AG206" s="452">
        <f>SUM(AG204:AG205)</f>
        <v/>
      </c>
      <c r="AH206" s="452">
        <f>SUM(AH204:AH205)</f>
        <v/>
      </c>
      <c r="AI206" s="452">
        <f>SUM(AI204:AI205)</f>
        <v/>
      </c>
      <c r="AJ206" s="452">
        <f>SUM(AJ204:AJ205)</f>
        <v/>
      </c>
      <c r="AK206" s="1348">
        <f>SUM(AK204:AK205)</f>
        <v/>
      </c>
      <c r="AL206" s="452">
        <f>SUM(AL204:AL205)</f>
        <v/>
      </c>
      <c r="AM206" s="452">
        <f>SUM(AM204:AM205)</f>
        <v/>
      </c>
      <c r="AN206" s="452">
        <f>SUM(AN204:AN205)</f>
        <v/>
      </c>
      <c r="AO206" s="452">
        <f>SUM(AO204:AO205)</f>
        <v/>
      </c>
      <c r="AP206" s="1348">
        <f>SUM(AP204:AP205)</f>
        <v/>
      </c>
      <c r="AQ206" s="452">
        <f>SUM(AQ204:AQ205)</f>
        <v/>
      </c>
      <c r="AR206" s="452">
        <f>SUM(AR204:AR205)</f>
        <v/>
      </c>
      <c r="AS206" s="452">
        <f>SUM(AS204:AS205)</f>
        <v/>
      </c>
      <c r="AT206" s="452">
        <f>SUM(AT204:AT205)</f>
        <v/>
      </c>
      <c r="AU206" s="1348">
        <f>SUM(AU204:AU205)</f>
        <v/>
      </c>
      <c r="AV206" s="452">
        <f>SUM(AV204:AV205)</f>
        <v/>
      </c>
      <c r="AW206" s="452">
        <f>SUM(AW204:AW205)</f>
        <v/>
      </c>
      <c r="AX206" s="452">
        <f>SUM(AX204:AX205)</f>
        <v/>
      </c>
      <c r="AY206" s="452">
        <f>SUM(AY204:AY205)</f>
        <v/>
      </c>
      <c r="AZ206" s="1348">
        <f>SUM(AZ204:AZ205)</f>
        <v/>
      </c>
      <c r="BA206" s="452">
        <f>SUM(BA204:BA205)</f>
        <v/>
      </c>
      <c r="BB206" s="452">
        <f>SUM(BB204:BB205)</f>
        <v/>
      </c>
      <c r="BC206" s="452">
        <f>SUM(BC204:BC205)</f>
        <v/>
      </c>
      <c r="BD206" s="452">
        <f>SUM(BD204:BD205)</f>
        <v/>
      </c>
      <c r="BE206" s="1348">
        <f>SUM(BE204:BE205)</f>
        <v/>
      </c>
      <c r="BF206" s="452">
        <f>SUM(BF204:BF205)</f>
        <v/>
      </c>
      <c r="BG206" s="452">
        <f>SUM(BG204:BG205)</f>
        <v/>
      </c>
      <c r="BH206" s="452">
        <f>SUM(BH204:BH205)</f>
        <v/>
      </c>
      <c r="BI206" s="452">
        <f>SUM(BI204:BI205)</f>
        <v/>
      </c>
      <c r="BJ206" s="1348">
        <f>SUM(BJ204:BJ205)</f>
        <v/>
      </c>
      <c r="BK206" s="452">
        <f>SUM(BK204:BK205)</f>
        <v/>
      </c>
      <c r="BL206" s="452">
        <f>SUM(BL204:BL205)</f>
        <v/>
      </c>
      <c r="BM206" s="452">
        <f>SUM(BM204:BM205)</f>
        <v/>
      </c>
      <c r="BN206" s="452">
        <f>SUM(BN204:BN205)</f>
        <v/>
      </c>
      <c r="BO206" s="1349">
        <f>SUM(BO204:BO205)</f>
        <v/>
      </c>
      <c r="BP206" s="69" t="n"/>
      <c r="BQ206" s="69" t="n"/>
      <c r="BR206" s="69" t="n"/>
      <c r="BS206" s="69" t="n"/>
      <c r="BT206" s="1347" t="n"/>
      <c r="BU206" s="69" t="n"/>
      <c r="BV206" s="69" t="n"/>
      <c r="BW206" s="69" t="n"/>
      <c r="BX206" s="69" t="n"/>
      <c r="BY206" s="1347" t="n"/>
      <c r="BZ206" s="1347" t="n"/>
      <c r="CA206" s="1347" t="n"/>
      <c r="CB206" s="1347" t="n"/>
      <c r="CC206" s="750" t="n"/>
    </row>
    <row r="207" hidden="1" outlineLevel="2" ht="15" customFormat="1" customHeight="1" s="607">
      <c r="A207" s="302" t="n"/>
      <c r="B207" s="126" t="n"/>
      <c r="C207" s="1294" t="n"/>
      <c r="D207" s="1294" t="n"/>
      <c r="E207" s="1294" t="n"/>
      <c r="F207" s="1294" t="n"/>
      <c r="G207" s="1294" t="n"/>
      <c r="H207" s="686" t="n"/>
      <c r="I207" s="686" t="n"/>
      <c r="J207" s="686" t="n"/>
      <c r="K207" s="686" t="n"/>
      <c r="L207" s="1294" t="n"/>
      <c r="M207" s="686" t="n"/>
      <c r="N207" s="686" t="n"/>
      <c r="O207" s="686" t="n"/>
      <c r="P207" s="686" t="n"/>
      <c r="Q207" s="1294" t="n"/>
      <c r="R207" s="686" t="n"/>
      <c r="S207" s="686" t="n"/>
      <c r="T207" s="686" t="n"/>
      <c r="U207" s="686" t="n"/>
      <c r="V207" s="1294" t="n"/>
      <c r="W207" s="686" t="n"/>
      <c r="X207" s="686" t="n"/>
      <c r="Y207" s="686" t="n"/>
      <c r="Z207" s="686" t="n"/>
      <c r="AA207" s="1294" t="n"/>
      <c r="AB207" s="686" t="n"/>
      <c r="AC207" s="686" t="n"/>
      <c r="AD207" s="686" t="n"/>
      <c r="AE207" s="686" t="n"/>
      <c r="AF207" s="1294" t="n"/>
      <c r="AG207" s="686" t="n"/>
      <c r="AH207" s="686" t="n"/>
      <c r="AI207" s="686" t="n"/>
      <c r="AJ207" s="686" t="n"/>
      <c r="AK207" s="1294" t="n"/>
      <c r="AL207" s="686" t="n"/>
      <c r="AM207" s="686" t="n"/>
      <c r="AN207" s="686" t="n"/>
      <c r="AO207" s="686" t="n"/>
      <c r="AP207" s="1294" t="n"/>
      <c r="AQ207" s="686" t="n"/>
      <c r="AR207" s="686" t="n"/>
      <c r="AS207" s="686" t="n"/>
      <c r="AT207" s="686" t="n"/>
      <c r="AU207" s="1294" t="n"/>
      <c r="AV207" s="686" t="n"/>
      <c r="AW207" s="686" t="n"/>
      <c r="AX207" s="686" t="n"/>
      <c r="AY207" s="686" t="n"/>
      <c r="AZ207" s="1294" t="n"/>
      <c r="BA207" s="686" t="n"/>
      <c r="BB207" s="686" t="n"/>
      <c r="BC207" s="686" t="n"/>
      <c r="BD207" s="686" t="n"/>
      <c r="BE207" s="1294" t="n"/>
      <c r="BF207" s="686" t="n"/>
      <c r="BG207" s="686" t="n"/>
      <c r="BH207" s="686" t="n"/>
      <c r="BI207" s="686" t="n"/>
      <c r="BJ207" s="1294" t="n"/>
      <c r="BK207" s="686" t="n"/>
      <c r="BL207" s="686" t="n"/>
      <c r="BM207" s="686" t="n"/>
      <c r="BN207" s="686" t="n"/>
      <c r="BO207" s="1293" t="n"/>
      <c r="BP207" s="686" t="n"/>
      <c r="BQ207" s="686" t="n"/>
      <c r="BR207" s="686" t="n"/>
      <c r="BS207" s="686" t="n"/>
      <c r="BT207" s="1294" t="n"/>
      <c r="BU207" s="686" t="n"/>
      <c r="BV207" s="686" t="n"/>
      <c r="BW207" s="686" t="n"/>
      <c r="BX207" s="686" t="n"/>
      <c r="BY207" s="1294" t="n"/>
      <c r="BZ207" s="1294" t="n"/>
      <c r="CA207" s="1294" t="n"/>
      <c r="CB207" s="1294" t="n"/>
      <c r="CC207" s="102" t="n"/>
    </row>
    <row r="208" hidden="1" outlineLevel="2" ht="15" customFormat="1" customHeight="1" s="1574">
      <c r="A208" s="1777" t="inlineStr">
        <is>
          <t>Systems backlog, mm</t>
        </is>
      </c>
      <c r="B208" s="1576" t="n"/>
      <c r="C208" s="1580" t="n">
        <v>2114</v>
      </c>
      <c r="D208" s="1580" t="n">
        <v>3856</v>
      </c>
      <c r="E208" s="1580" t="n">
        <v>1733</v>
      </c>
      <c r="F208" s="1580" t="n">
        <v>1214</v>
      </c>
      <c r="G208" s="1580" t="n">
        <v>1953</v>
      </c>
      <c r="H208" s="1579" t="n">
        <v>1939</v>
      </c>
      <c r="I208" s="1579" t="n">
        <v>1763</v>
      </c>
      <c r="J208" s="1579" t="n">
        <v>2406</v>
      </c>
      <c r="K208" s="1579" t="n">
        <v>2772</v>
      </c>
      <c r="L208" s="1580" t="n">
        <v>2772</v>
      </c>
      <c r="M208" s="1579" t="n">
        <v>2602</v>
      </c>
      <c r="N208" s="1579" t="n">
        <v>3015</v>
      </c>
      <c r="O208" s="1579" t="n">
        <v>2880</v>
      </c>
      <c r="P208" s="1579" t="n">
        <v>3184</v>
      </c>
      <c r="Q208" s="1580" t="n">
        <v>3184</v>
      </c>
      <c r="R208" s="1579" t="n">
        <v>3018</v>
      </c>
      <c r="S208" s="1579" t="n">
        <v>3371</v>
      </c>
      <c r="T208" s="1579" t="n">
        <v>3462</v>
      </c>
      <c r="U208" s="1579" t="n">
        <v>3961</v>
      </c>
      <c r="V208" s="1580" t="n">
        <v>3961</v>
      </c>
      <c r="W208" s="1579" t="n">
        <v>4509</v>
      </c>
      <c r="X208" s="1579" t="n">
        <v>5351</v>
      </c>
      <c r="Y208" s="1579" t="n">
        <v>5693</v>
      </c>
      <c r="Z208" s="1579" t="n">
        <v>6685</v>
      </c>
      <c r="AA208" s="1580" t="n">
        <v>6685</v>
      </c>
      <c r="AB208" s="1578" t="n"/>
      <c r="AC208" s="1578" t="n"/>
      <c r="AD208" s="1578" t="n"/>
      <c r="AE208" s="1578" t="n"/>
      <c r="AF208" s="1577" t="n"/>
      <c r="AG208" s="1578" t="n"/>
      <c r="AH208" s="1578" t="n"/>
      <c r="AI208" s="1578" t="n"/>
      <c r="AJ208" s="1578" t="n"/>
      <c r="AK208" s="1577" t="n"/>
      <c r="AL208" s="1578" t="n"/>
      <c r="AM208" s="1578" t="n"/>
      <c r="AN208" s="1578" t="n"/>
      <c r="AO208" s="1578" t="n"/>
      <c r="AP208" s="1577" t="n"/>
      <c r="AQ208" s="1578" t="n"/>
      <c r="AR208" s="1579" t="n">
        <v>17500</v>
      </c>
      <c r="AS208" s="1579" t="n">
        <v>19600</v>
      </c>
      <c r="AT208" s="1578" t="n"/>
      <c r="AU208" s="1577" t="n"/>
      <c r="AV208" s="1579" t="n">
        <v>29000</v>
      </c>
      <c r="AW208" s="1579" t="n">
        <v>33000</v>
      </c>
      <c r="AX208" s="1579" t="n">
        <v>38000</v>
      </c>
      <c r="AY208" s="1578">
        <f>AZ208</f>
        <v/>
      </c>
      <c r="AZ208" s="1580" t="n">
        <v>40400</v>
      </c>
      <c r="BA208" s="1579" t="n">
        <v>38900</v>
      </c>
      <c r="BB208" s="1579" t="n">
        <v>38000</v>
      </c>
      <c r="BC208" s="1578">
        <f>BB208+BC200-BC39</f>
        <v/>
      </c>
      <c r="BD208" s="1578">
        <f>BC208+BD200-BD39</f>
        <v/>
      </c>
      <c r="BE208" s="1580" t="n">
        <v>39000</v>
      </c>
      <c r="BF208" s="1578">
        <f>BE208+BF200-BF39</f>
        <v/>
      </c>
      <c r="BG208" s="1578">
        <f>BF208+BG200-BG39</f>
        <v/>
      </c>
      <c r="BH208" s="1578">
        <f>BG208+BH200-BH39</f>
        <v/>
      </c>
      <c r="BI208" s="1578">
        <f>BH208+BI200-BI39</f>
        <v/>
      </c>
      <c r="BJ208" s="1580" t="n">
        <v>36000</v>
      </c>
      <c r="BK208" s="1578">
        <f>BJ208+BK200-BK39</f>
        <v/>
      </c>
      <c r="BL208" s="1578">
        <f>BK208+BL200-BL39</f>
        <v/>
      </c>
      <c r="BM208" s="1578">
        <f>BL208+BM200-BM39</f>
        <v/>
      </c>
      <c r="BN208" s="1578">
        <f>BM208+BN200-BN39</f>
        <v/>
      </c>
      <c r="BO208" s="1581">
        <f>BN208</f>
        <v/>
      </c>
      <c r="BP208" s="1578" t="n"/>
      <c r="BQ208" s="1578" t="n"/>
      <c r="BR208" s="1578" t="n"/>
      <c r="BS208" s="1578" t="n"/>
      <c r="BT208" s="1577" t="n"/>
      <c r="BU208" s="1578" t="n"/>
      <c r="BV208" s="1578" t="n"/>
      <c r="BW208" s="1578" t="n"/>
      <c r="BX208" s="1578" t="n"/>
      <c r="BY208" s="1577" t="n"/>
      <c r="BZ208" s="1577" t="n"/>
      <c r="CA208" s="1577" t="n"/>
      <c r="CB208" s="1577" t="n"/>
      <c r="CC208" s="1582" t="n"/>
    </row>
    <row r="209" hidden="1" outlineLevel="2" ht="15" customFormat="1" customHeight="1" s="1574">
      <c r="A209" s="1777" t="inlineStr">
        <is>
          <t>Remaining performance obligations (RPOs), mm</t>
        </is>
      </c>
      <c r="B209" s="1576" t="n"/>
      <c r="C209" s="1577" t="n"/>
      <c r="D209" s="1577" t="n"/>
      <c r="E209" s="1577" t="n"/>
      <c r="F209" s="1577" t="n"/>
      <c r="G209" s="1577" t="n"/>
      <c r="H209" s="1578" t="n"/>
      <c r="I209" s="1578" t="n"/>
      <c r="J209" s="1578" t="n"/>
      <c r="K209" s="1578" t="n"/>
      <c r="L209" s="1577" t="n"/>
      <c r="M209" s="1578" t="n"/>
      <c r="N209" s="1578" t="n"/>
      <c r="O209" s="1578" t="n"/>
      <c r="P209" s="1578" t="n"/>
      <c r="Q209" s="1577" t="n"/>
      <c r="R209" s="1578" t="n"/>
      <c r="S209" s="1578" t="n"/>
      <c r="T209" s="1578" t="n"/>
      <c r="U209" s="1578" t="n"/>
      <c r="V209" s="1577" t="n"/>
      <c r="W209" s="1578" t="n"/>
      <c r="X209" s="1578" t="n"/>
      <c r="Y209" s="1578" t="n"/>
      <c r="Z209" s="1578" t="n"/>
      <c r="AA209" s="1577" t="n"/>
      <c r="AB209" s="1578" t="n"/>
      <c r="AC209" s="1578" t="n"/>
      <c r="AD209" s="1578" t="n"/>
      <c r="AE209" s="1578" t="n"/>
      <c r="AF209" s="1577" t="n"/>
      <c r="AG209" s="1578" t="n"/>
      <c r="AH209" s="1578" t="n"/>
      <c r="AI209" s="1578" t="n"/>
      <c r="AJ209" s="1578" t="n"/>
      <c r="AK209" s="1580" t="n">
        <v>13200</v>
      </c>
      <c r="AL209" s="1578" t="n"/>
      <c r="AM209" s="1578" t="n"/>
      <c r="AN209" s="1578" t="n"/>
      <c r="AO209" s="1578" t="n"/>
      <c r="AP209" s="1580" t="n">
        <v>15100</v>
      </c>
      <c r="AQ209" s="1578" t="n"/>
      <c r="AR209" s="1578" t="n"/>
      <c r="AS209" s="1578" t="n"/>
      <c r="AT209" s="1578" t="n"/>
      <c r="AU209" s="1580" t="n">
        <v>28900</v>
      </c>
      <c r="AV209" s="1578" t="n"/>
      <c r="AW209" s="1578" t="n"/>
      <c r="AX209" s="1578" t="n"/>
      <c r="AY209" s="1578" t="n"/>
      <c r="AZ209" s="1580" t="n">
        <v>45400</v>
      </c>
      <c r="BA209" s="1578" t="n"/>
      <c r="BB209" s="1578" t="n"/>
      <c r="BC209" s="1578" t="n"/>
      <c r="BD209" s="1578" t="n"/>
      <c r="BE209" s="1580" t="n">
        <v>45000</v>
      </c>
      <c r="BF209" s="1578" t="n"/>
      <c r="BG209" s="1578" t="n"/>
      <c r="BH209" s="1578" t="n"/>
      <c r="BI209" s="1578" t="n"/>
      <c r="BJ209" s="1580" t="n">
        <v>43300</v>
      </c>
      <c r="BK209" s="1578" t="n"/>
      <c r="BL209" s="1578" t="n"/>
      <c r="BM209" s="1578" t="n"/>
      <c r="BN209" s="1578" t="n"/>
      <c r="BO209" s="1581" t="n"/>
      <c r="BP209" s="1578" t="n"/>
      <c r="BQ209" s="1578" t="n"/>
      <c r="BR209" s="1578" t="n"/>
      <c r="BS209" s="1578" t="n"/>
      <c r="BT209" s="1577" t="n"/>
      <c r="BU209" s="1578" t="n"/>
      <c r="BV209" s="1578" t="n"/>
      <c r="BW209" s="1578" t="n"/>
      <c r="BX209" s="1578" t="n"/>
      <c r="BY209" s="1577" t="n"/>
      <c r="BZ209" s="1577" t="n"/>
      <c r="CA209" s="1577" t="n"/>
      <c r="CB209" s="1577" t="n"/>
      <c r="CC209" s="1582" t="n"/>
    </row>
    <row r="210" hidden="1" outlineLevel="1" collapsed="1" ht="15" customFormat="1" customHeight="1" s="1574">
      <c r="A210" s="1672" t="n"/>
      <c r="B210" s="1576" t="n"/>
      <c r="C210" s="1577" t="n"/>
      <c r="D210" s="1577" t="n"/>
      <c r="E210" s="1577" t="n"/>
      <c r="F210" s="1577" t="n"/>
      <c r="G210" s="1577" t="n"/>
      <c r="H210" s="1578" t="n"/>
      <c r="I210" s="1578" t="n"/>
      <c r="J210" s="1578" t="n"/>
      <c r="K210" s="1578" t="n"/>
      <c r="L210" s="1577" t="n"/>
      <c r="M210" s="1578" t="n"/>
      <c r="N210" s="1578" t="n"/>
      <c r="O210" s="1578" t="n"/>
      <c r="P210" s="1578" t="n"/>
      <c r="Q210" s="1577" t="n"/>
      <c r="R210" s="1578" t="n"/>
      <c r="S210" s="1578" t="n"/>
      <c r="T210" s="1578" t="n"/>
      <c r="U210" s="1578" t="n"/>
      <c r="V210" s="1577" t="n"/>
      <c r="W210" s="1578" t="n"/>
      <c r="X210" s="1578" t="n"/>
      <c r="Y210" s="1578" t="n"/>
      <c r="Z210" s="1578" t="n"/>
      <c r="AA210" s="1577" t="n"/>
      <c r="AB210" s="1578" t="n"/>
      <c r="AC210" s="1578" t="n"/>
      <c r="AD210" s="1578" t="n"/>
      <c r="AE210" s="1578" t="n"/>
      <c r="AF210" s="1577" t="n"/>
      <c r="AG210" s="1578" t="n"/>
      <c r="AH210" s="1578" t="n"/>
      <c r="AI210" s="1578" t="n"/>
      <c r="AJ210" s="1578" t="n"/>
      <c r="AK210" s="1577" t="n"/>
      <c r="AL210" s="1578" t="n"/>
      <c r="AM210" s="1578" t="n"/>
      <c r="AN210" s="1578" t="n"/>
      <c r="AO210" s="1578" t="n"/>
      <c r="AP210" s="1577" t="n"/>
      <c r="AQ210" s="1578" t="n"/>
      <c r="AR210" s="1578" t="n"/>
      <c r="AS210" s="1578" t="n"/>
      <c r="AT210" s="1578" t="n"/>
      <c r="AU210" s="1577" t="n"/>
      <c r="AV210" s="1578" t="n"/>
      <c r="AW210" s="1578" t="n"/>
      <c r="AX210" s="1578" t="n"/>
      <c r="AY210" s="1578" t="n"/>
      <c r="AZ210" s="1577" t="n"/>
      <c r="BA210" s="1578" t="n"/>
      <c r="BB210" s="1578" t="n"/>
      <c r="BC210" s="1578" t="n"/>
      <c r="BD210" s="1578" t="n"/>
      <c r="BE210" s="1577" t="n"/>
      <c r="BF210" s="1578" t="n"/>
      <c r="BG210" s="1578" t="n"/>
      <c r="BH210" s="1578" t="n"/>
      <c r="BI210" s="1578" t="n"/>
      <c r="BJ210" s="1577" t="n"/>
      <c r="BK210" s="1578" t="n"/>
      <c r="BL210" s="1578" t="n"/>
      <c r="BM210" s="1578" t="n"/>
      <c r="BN210" s="1578" t="n"/>
      <c r="BO210" s="1581" t="n"/>
      <c r="BP210" s="1578" t="n"/>
      <c r="BQ210" s="1578" t="n"/>
      <c r="BR210" s="1578" t="n"/>
      <c r="BS210" s="1578" t="n"/>
      <c r="BT210" s="1577" t="n"/>
      <c r="BU210" s="1578" t="n"/>
      <c r="BV210" s="1578" t="n"/>
      <c r="BW210" s="1578" t="n"/>
      <c r="BX210" s="1578" t="n"/>
      <c r="BY210" s="1577" t="n"/>
      <c r="BZ210" s="1577" t="n"/>
      <c r="CA210" s="1577" t="n"/>
      <c r="CB210" s="1577" t="n"/>
      <c r="CC210" s="1582" t="n"/>
    </row>
    <row r="211" hidden="1" outlineLevel="1" ht="15" customFormat="1" customHeight="1" s="1628">
      <c r="A211" s="1679" t="inlineStr">
        <is>
          <t>Key Metrics - Geographic Breakdown (FS/IP)</t>
        </is>
      </c>
      <c r="B211" s="1679" t="n"/>
      <c r="C211" s="1679" t="n"/>
      <c r="D211" s="1679" t="n"/>
      <c r="E211" s="1679" t="n"/>
      <c r="F211" s="1679" t="n"/>
      <c r="G211" s="1679" t="n"/>
      <c r="H211" s="1679" t="n"/>
      <c r="I211" s="1679" t="n"/>
      <c r="J211" s="1679" t="n"/>
      <c r="K211" s="1679" t="n"/>
      <c r="L211" s="1679" t="n"/>
      <c r="M211" s="1679" t="n"/>
      <c r="N211" s="1679" t="n"/>
      <c r="O211" s="1679" t="n"/>
      <c r="P211" s="1679" t="n"/>
      <c r="Q211" s="1679" t="n"/>
      <c r="R211" s="1679" t="n"/>
      <c r="S211" s="1679" t="n"/>
      <c r="T211" s="1679" t="n"/>
      <c r="U211" s="1679" t="n"/>
      <c r="V211" s="1679" t="n"/>
      <c r="W211" s="1679" t="n"/>
      <c r="X211" s="1679" t="n"/>
      <c r="Y211" s="1679" t="n"/>
      <c r="Z211" s="1679" t="n"/>
      <c r="AA211" s="1679" t="n"/>
      <c r="AB211" s="1679" t="n"/>
      <c r="AC211" s="1679" t="n"/>
      <c r="AD211" s="1679" t="n"/>
      <c r="AE211" s="1679" t="n"/>
      <c r="AF211" s="1679" t="n"/>
      <c r="AG211" s="1679" t="n"/>
      <c r="AH211" s="1679" t="n"/>
      <c r="AI211" s="1679" t="n"/>
      <c r="AJ211" s="1679" t="n"/>
      <c r="AK211" s="1679" t="n"/>
      <c r="AL211" s="1679" t="n"/>
      <c r="AM211" s="1679" t="n"/>
      <c r="AN211" s="1679" t="n"/>
      <c r="AO211" s="1679" t="n"/>
      <c r="AP211" s="1679" t="n"/>
      <c r="AQ211" s="1679" t="n"/>
      <c r="AR211" s="1679" t="n"/>
      <c r="AS211" s="1679" t="n"/>
      <c r="AT211" s="1679" t="n"/>
      <c r="AU211" s="1679" t="n"/>
      <c r="AV211" s="1679" t="n"/>
      <c r="AW211" s="1679" t="n"/>
      <c r="AX211" s="1679" t="n"/>
      <c r="AY211" s="1679" t="n"/>
      <c r="AZ211" s="1679" t="n"/>
      <c r="BA211" s="1679" t="n"/>
      <c r="BB211" s="1679" t="n"/>
      <c r="BC211" s="1679" t="n"/>
      <c r="BD211" s="1679" t="n"/>
      <c r="BE211" s="1679" t="n"/>
      <c r="BF211" s="1679" t="n"/>
      <c r="BG211" s="1679" t="n"/>
      <c r="BH211" s="1679" t="n"/>
      <c r="BI211" s="1679" t="n"/>
      <c r="BJ211" s="1679" t="n"/>
      <c r="BK211" s="1679" t="n"/>
      <c r="BL211" s="1679" t="n"/>
      <c r="BM211" s="1679" t="n"/>
      <c r="BN211" s="1679" t="n"/>
      <c r="BO211" s="1680" t="n"/>
      <c r="BP211" s="1679" t="n"/>
      <c r="BQ211" s="1679" t="n"/>
      <c r="BR211" s="1679" t="n"/>
      <c r="BS211" s="1679" t="n"/>
      <c r="BT211" s="1679" t="n"/>
      <c r="BU211" s="1679" t="n"/>
      <c r="BV211" s="1679" t="n"/>
      <c r="BW211" s="1679" t="n"/>
      <c r="BX211" s="1679" t="n"/>
      <c r="BY211" s="1679" t="n"/>
      <c r="BZ211" s="1679" t="n"/>
      <c r="CA211" s="1679" t="n"/>
      <c r="CB211" s="1679" t="n"/>
      <c r="CC211" s="1634" t="n"/>
    </row>
    <row r="212" hidden="1" outlineLevel="2" ht="15" customFormat="1" customHeight="1" s="1561">
      <c r="A212" s="1734" t="inlineStr">
        <is>
          <t>Japan revenues, mm</t>
        </is>
      </c>
      <c r="B212" s="1623" t="n"/>
      <c r="C212" s="1706" t="n">
        <v>41.075</v>
      </c>
      <c r="D212" s="1706" t="n">
        <v>396.748</v>
      </c>
      <c r="E212" s="1625" t="n">
        <v>405.595</v>
      </c>
      <c r="F212" s="1706" t="n">
        <v>292.309</v>
      </c>
      <c r="G212" s="1706" t="n">
        <v>201.664</v>
      </c>
      <c r="H212" s="1626" t="n"/>
      <c r="I212" s="1626" t="n"/>
      <c r="J212" s="1626" t="n"/>
      <c r="K212" s="1626" t="n"/>
      <c r="L212" s="1706" t="n">
        <v>477.11</v>
      </c>
      <c r="M212" s="1626" t="n"/>
      <c r="N212" s="1626" t="n"/>
      <c r="O212" s="1626" t="n"/>
      <c r="P212" s="1626" t="n"/>
      <c r="Q212" s="1706" t="n">
        <v>668.381</v>
      </c>
      <c r="R212" s="1626" t="n"/>
      <c r="S212" s="1626" t="n"/>
      <c r="T212" s="1626" t="n"/>
      <c r="U212" s="1626" t="n"/>
      <c r="V212" s="1706" t="n">
        <v>404.3</v>
      </c>
      <c r="W212" s="1626" t="n"/>
      <c r="X212" s="1626" t="n"/>
      <c r="Y212" s="1626" t="n"/>
      <c r="Z212" s="1626" t="n"/>
      <c r="AA212" s="1706" t="n">
        <v>390.5</v>
      </c>
      <c r="AB212" s="1626" t="n"/>
      <c r="AC212" s="1626" t="n"/>
      <c r="AD212" s="1626" t="n"/>
      <c r="AE212" s="1626" t="n"/>
      <c r="AF212" s="1706" t="n">
        <v>567.6</v>
      </c>
      <c r="AG212" s="1626" t="n"/>
      <c r="AH212" s="1626" t="n"/>
      <c r="AI212" s="1626" t="n"/>
      <c r="AJ212" s="1626" t="n"/>
      <c r="AK212" s="1625" t="n">
        <v>463.2</v>
      </c>
      <c r="AL212" s="1626" t="n"/>
      <c r="AM212" s="1626" t="n"/>
      <c r="AN212" s="1626" t="n"/>
      <c r="AO212" s="1626" t="n"/>
      <c r="AP212" s="1625" t="n">
        <v>542.8</v>
      </c>
      <c r="AQ212" s="1626" t="n"/>
      <c r="AR212" s="1626" t="n"/>
      <c r="AS212" s="1626" t="n"/>
      <c r="AT212" s="1626" t="n"/>
      <c r="AU212" s="1625" t="n">
        <v>459.3</v>
      </c>
      <c r="AV212" s="1626" t="n"/>
      <c r="AW212" s="1626" t="n"/>
      <c r="AX212" s="1626" t="n"/>
      <c r="AY212" s="1626" t="n"/>
      <c r="AZ212" s="1625" t="n">
        <v>1008.6</v>
      </c>
      <c r="BA212" s="1626" t="n"/>
      <c r="BB212" s="1626" t="n"/>
      <c r="BC212" s="1626" t="n"/>
      <c r="BD212" s="1626" t="n"/>
      <c r="BE212" s="1625" t="n">
        <v>613.6</v>
      </c>
      <c r="BF212" s="1626" t="n"/>
      <c r="BG212" s="1626" t="n"/>
      <c r="BH212" s="1626" t="n"/>
      <c r="BI212" s="1626" t="n"/>
      <c r="BJ212" s="1625" t="n">
        <v>1156</v>
      </c>
      <c r="BK212" s="1626" t="n"/>
      <c r="BL212" s="1626" t="n"/>
      <c r="BM212" s="1626" t="n"/>
      <c r="BN212" s="1626" t="n"/>
      <c r="BO212" s="1627" t="n"/>
      <c r="BP212" s="1626" t="n"/>
      <c r="BQ212" s="1626" t="n"/>
      <c r="BR212" s="1626" t="n"/>
      <c r="BS212" s="1626" t="n"/>
      <c r="BT212" s="1624" t="n"/>
      <c r="BU212" s="1626" t="n"/>
      <c r="BV212" s="1626" t="n"/>
      <c r="BW212" s="1626" t="n"/>
      <c r="BX212" s="1626" t="n"/>
      <c r="BY212" s="1624" t="n"/>
      <c r="BZ212" s="1624" t="n"/>
      <c r="CA212" s="1624" t="n"/>
      <c r="CB212" s="1624" t="n"/>
      <c r="CC212" s="1564" t="n"/>
    </row>
    <row r="213" hidden="1" outlineLevel="2" ht="15" customFormat="1" customHeight="1" s="1561">
      <c r="A213" s="1734" t="inlineStr">
        <is>
          <t>Korea revenues, mm</t>
        </is>
      </c>
      <c r="B213" s="1623" t="n"/>
      <c r="C213" s="1706" t="n">
        <v>377.677</v>
      </c>
      <c r="D213" s="1706" t="n">
        <v>1396.028</v>
      </c>
      <c r="E213" s="1625" t="n">
        <v>1318.777</v>
      </c>
      <c r="F213" s="1706" t="n">
        <v>1276.304</v>
      </c>
      <c r="G213" s="1706" t="n">
        <v>1286.509</v>
      </c>
      <c r="H213" s="1626" t="n"/>
      <c r="I213" s="1626" t="n"/>
      <c r="J213" s="1626" t="n"/>
      <c r="K213" s="1626" t="n"/>
      <c r="L213" s="1706" t="n">
        <v>1624.059</v>
      </c>
      <c r="M213" s="1626" t="n"/>
      <c r="N213" s="1626" t="n"/>
      <c r="O213" s="1626" t="n"/>
      <c r="P213" s="1626" t="n"/>
      <c r="Q213" s="1706" t="n">
        <v>1971.65</v>
      </c>
      <c r="R213" s="1626" t="n"/>
      <c r="S213" s="1626" t="n"/>
      <c r="T213" s="1626" t="n"/>
      <c r="U213" s="1626" t="n"/>
      <c r="V213" s="1706" t="n">
        <v>1579.9</v>
      </c>
      <c r="W213" s="1626" t="n"/>
      <c r="X213" s="1626" t="n"/>
      <c r="Y213" s="1626" t="n"/>
      <c r="Z213" s="1626" t="n"/>
      <c r="AA213" s="1706" t="n">
        <v>3068.3</v>
      </c>
      <c r="AB213" s="1626" t="n"/>
      <c r="AC213" s="1626" t="n"/>
      <c r="AD213" s="1626" t="n"/>
      <c r="AE213" s="1626" t="n"/>
      <c r="AF213" s="1706" t="n">
        <v>3725.1</v>
      </c>
      <c r="AG213" s="1626" t="n"/>
      <c r="AH213" s="1626" t="n"/>
      <c r="AI213" s="1626" t="n"/>
      <c r="AJ213" s="1626" t="n"/>
      <c r="AK213" s="1625" t="n">
        <v>2202.1</v>
      </c>
      <c r="AL213" s="1626" t="n"/>
      <c r="AM213" s="1626" t="n"/>
      <c r="AN213" s="1626" t="n"/>
      <c r="AO213" s="1626" t="n"/>
      <c r="AP213" s="1625" t="n">
        <v>4151.6</v>
      </c>
      <c r="AQ213" s="1626" t="n"/>
      <c r="AR213" s="1626" t="n"/>
      <c r="AS213" s="1626" t="n"/>
      <c r="AT213" s="1626" t="n"/>
      <c r="AU213" s="1625" t="n">
        <v>6223</v>
      </c>
      <c r="AV213" s="1626" t="n"/>
      <c r="AW213" s="1626" t="n"/>
      <c r="AX213" s="1626" t="n"/>
      <c r="AY213" s="1626" t="n"/>
      <c r="AZ213" s="1625" t="n">
        <v>6045.6</v>
      </c>
      <c r="BA213" s="1626" t="n"/>
      <c r="BB213" s="1626" t="n"/>
      <c r="BC213" s="1626" t="n"/>
      <c r="BD213" s="1626" t="n"/>
      <c r="BE213" s="1625" t="n">
        <v>6949.2</v>
      </c>
      <c r="BF213" s="1626" t="n"/>
      <c r="BG213" s="1626" t="n"/>
      <c r="BH213" s="1626" t="n"/>
      <c r="BI213" s="1626" t="n"/>
      <c r="BJ213" s="1625" t="n">
        <v>6408.8</v>
      </c>
      <c r="BK213" s="1626" t="n"/>
      <c r="BL213" s="1626" t="n"/>
      <c r="BM213" s="1626" t="n"/>
      <c r="BN213" s="1626" t="n"/>
      <c r="BO213" s="1627" t="n"/>
      <c r="BP213" s="1626" t="n"/>
      <c r="BQ213" s="1626" t="n"/>
      <c r="BR213" s="1626" t="n"/>
      <c r="BS213" s="1626" t="n"/>
      <c r="BT213" s="1624" t="n"/>
      <c r="BU213" s="1626" t="n"/>
      <c r="BV213" s="1626" t="n"/>
      <c r="BW213" s="1626" t="n"/>
      <c r="BX213" s="1626" t="n"/>
      <c r="BY213" s="1624" t="n"/>
      <c r="BZ213" s="1624" t="n"/>
      <c r="CA213" s="1624" t="n"/>
      <c r="CB213" s="1624" t="n"/>
      <c r="CC213" s="1564" t="n"/>
    </row>
    <row r="214" hidden="1" outlineLevel="2" ht="15" customFormat="1" customHeight="1" s="1561">
      <c r="A214" s="1734" t="inlineStr">
        <is>
          <t>Singapore revenues, mm</t>
        </is>
      </c>
      <c r="B214" s="1623" t="n"/>
      <c r="C214" s="1706" t="n">
        <v>155.825</v>
      </c>
      <c r="D214" s="1706" t="n">
        <v>215.357</v>
      </c>
      <c r="E214" s="1625" t="n">
        <v>436.308</v>
      </c>
      <c r="F214" s="1706" t="n">
        <v>98.554</v>
      </c>
      <c r="G214" s="1706" t="n">
        <v>139.313</v>
      </c>
      <c r="H214" s="1626" t="n"/>
      <c r="I214" s="1626" t="n"/>
      <c r="J214" s="1626" t="n"/>
      <c r="K214" s="1626" t="n"/>
      <c r="L214" s="1706" t="n">
        <v>132.593</v>
      </c>
      <c r="M214" s="1626" t="n"/>
      <c r="N214" s="1626" t="n"/>
      <c r="O214" s="1626" t="n"/>
      <c r="P214" s="1626" t="n"/>
      <c r="Q214" s="1706" t="n">
        <v>121.39</v>
      </c>
      <c r="R214" s="1626" t="n"/>
      <c r="S214" s="1626" t="n"/>
      <c r="T214" s="1626" t="n"/>
      <c r="U214" s="1626" t="n"/>
      <c r="V214" s="1706" t="n">
        <v>245.8</v>
      </c>
      <c r="W214" s="1626" t="n"/>
      <c r="X214" s="1626" t="n"/>
      <c r="Y214" s="1626" t="n"/>
      <c r="Z214" s="1626" t="n"/>
      <c r="AA214" s="1706" t="n">
        <v>159.2</v>
      </c>
      <c r="AB214" s="1626" t="n"/>
      <c r="AC214" s="1626" t="n"/>
      <c r="AD214" s="1626" t="n"/>
      <c r="AE214" s="1626" t="n"/>
      <c r="AF214" s="1706" t="n">
        <v>222.5</v>
      </c>
      <c r="AG214" s="1626" t="n"/>
      <c r="AH214" s="1626" t="n"/>
      <c r="AI214" s="1626" t="n"/>
      <c r="AJ214" s="1626" t="n"/>
      <c r="AK214" s="1625" t="n">
        <v>120</v>
      </c>
      <c r="AL214" s="1626" t="n"/>
      <c r="AM214" s="1626" t="n"/>
      <c r="AN214" s="1626" t="n"/>
      <c r="AO214" s="1626" t="n"/>
      <c r="AP214" s="1625" t="n">
        <v>84.90000000000001</v>
      </c>
      <c r="AQ214" s="1626" t="n"/>
      <c r="AR214" s="1626" t="n"/>
      <c r="AS214" s="1626" t="n"/>
      <c r="AT214" s="1626" t="n"/>
      <c r="AU214" s="1625" t="n">
        <v>126.2</v>
      </c>
      <c r="AV214" s="1626" t="n"/>
      <c r="AW214" s="1626" t="n"/>
      <c r="AX214" s="1626" t="n"/>
      <c r="AY214" s="1626" t="n"/>
      <c r="AZ214" s="1625" t="n">
        <v>475.5</v>
      </c>
      <c r="BA214" s="1626" t="n"/>
      <c r="BB214" s="1626" t="n"/>
      <c r="BC214" s="1626" t="n"/>
      <c r="BD214" s="1626" t="n"/>
      <c r="BE214" s="1625" t="n">
        <v>282.1</v>
      </c>
      <c r="BF214" s="1626" t="n"/>
      <c r="BG214" s="1626" t="n"/>
      <c r="BH214" s="1626" t="n"/>
      <c r="BI214" s="1626" t="n"/>
      <c r="BJ214" s="1625" t="n">
        <v>285</v>
      </c>
      <c r="BK214" s="1626" t="n"/>
      <c r="BL214" s="1626" t="n"/>
      <c r="BM214" s="1626" t="n"/>
      <c r="BN214" s="1626" t="n"/>
      <c r="BO214" s="1627" t="n"/>
      <c r="BP214" s="1626" t="n"/>
      <c r="BQ214" s="1626" t="n"/>
      <c r="BR214" s="1626" t="n"/>
      <c r="BS214" s="1626" t="n"/>
      <c r="BT214" s="1624" t="n"/>
      <c r="BU214" s="1626" t="n"/>
      <c r="BV214" s="1626" t="n"/>
      <c r="BW214" s="1626" t="n"/>
      <c r="BX214" s="1626" t="n"/>
      <c r="BY214" s="1624" t="n"/>
      <c r="BZ214" s="1624" t="n"/>
      <c r="CA214" s="1624" t="n"/>
      <c r="CB214" s="1624" t="n"/>
      <c r="CC214" s="1564" t="n"/>
    </row>
    <row r="215" hidden="1" outlineLevel="2" ht="15" customFormat="1" customHeight="1" s="1561">
      <c r="A215" s="1734" t="inlineStr">
        <is>
          <t>Taiwan revenues, mm</t>
        </is>
      </c>
      <c r="B215" s="1623" t="n"/>
      <c r="C215" s="1706" t="n">
        <v>440.222</v>
      </c>
      <c r="D215" s="1706" t="n">
        <v>1380.4</v>
      </c>
      <c r="E215" s="1625" t="n">
        <v>1146.601</v>
      </c>
      <c r="F215" s="1706" t="n">
        <v>1479.768</v>
      </c>
      <c r="G215" s="1706" t="n">
        <v>2221.426</v>
      </c>
      <c r="H215" s="1626" t="n"/>
      <c r="I215" s="1626" t="n"/>
      <c r="J215" s="1626" t="n"/>
      <c r="K215" s="1626" t="n"/>
      <c r="L215" s="1706" t="n">
        <v>1124.883</v>
      </c>
      <c r="M215" s="1626" t="n"/>
      <c r="N215" s="1626" t="n"/>
      <c r="O215" s="1626" t="n"/>
      <c r="P215" s="1626" t="n"/>
      <c r="Q215" s="1706" t="n">
        <v>1551.512</v>
      </c>
      <c r="R215" s="1626" t="n"/>
      <c r="S215" s="1626" t="n"/>
      <c r="T215" s="1626" t="n"/>
      <c r="U215" s="1626" t="n"/>
      <c r="V215" s="1706" t="n">
        <v>2084.7</v>
      </c>
      <c r="W215" s="1626" t="n"/>
      <c r="X215" s="1626" t="n"/>
      <c r="Y215" s="1626" t="n"/>
      <c r="Z215" s="1626" t="n"/>
      <c r="AA215" s="1706" t="n">
        <v>2145.3</v>
      </c>
      <c r="AB215" s="1626" t="n"/>
      <c r="AC215" s="1626" t="n"/>
      <c r="AD215" s="1626" t="n"/>
      <c r="AE215" s="1626" t="n"/>
      <c r="AF215" s="1706" t="n">
        <v>1989.5</v>
      </c>
      <c r="AG215" s="1626" t="n"/>
      <c r="AH215" s="1626" t="n"/>
      <c r="AI215" s="1626" t="n"/>
      <c r="AJ215" s="1626" t="n"/>
      <c r="AK215" s="1625" t="n">
        <v>5357</v>
      </c>
      <c r="AL215" s="1626" t="n"/>
      <c r="AM215" s="1626" t="n"/>
      <c r="AN215" s="1626" t="n"/>
      <c r="AO215" s="1626" t="n"/>
      <c r="AP215" s="1625" t="n">
        <v>4731.3</v>
      </c>
      <c r="AQ215" s="1626" t="n"/>
      <c r="AR215" s="1626" t="n"/>
      <c r="AS215" s="1626" t="n"/>
      <c r="AT215" s="1626" t="n"/>
      <c r="AU215" s="1625" t="n">
        <v>7327.9</v>
      </c>
      <c r="AV215" s="1626" t="n"/>
      <c r="AW215" s="1626" t="n"/>
      <c r="AX215" s="1626" t="n"/>
      <c r="AY215" s="1626" t="n"/>
      <c r="AZ215" s="1625" t="n">
        <v>8095.5</v>
      </c>
      <c r="BA215" s="1626" t="n"/>
      <c r="BB215" s="1626" t="n"/>
      <c r="BC215" s="1626" t="n"/>
      <c r="BD215" s="1626" t="n"/>
      <c r="BE215" s="1625" t="n">
        <v>8074.6</v>
      </c>
      <c r="BF215" s="1626" t="n"/>
      <c r="BG215" s="1626" t="n"/>
      <c r="BH215" s="1626" t="n"/>
      <c r="BI215" s="1626" t="n"/>
      <c r="BJ215" s="1625" t="n">
        <v>4354</v>
      </c>
      <c r="BK215" s="1626" t="n"/>
      <c r="BL215" s="1626" t="n"/>
      <c r="BM215" s="1626" t="n"/>
      <c r="BN215" s="1626" t="n"/>
      <c r="BO215" s="1627" t="n"/>
      <c r="BP215" s="1626" t="n"/>
      <c r="BQ215" s="1626" t="n"/>
      <c r="BR215" s="1626" t="n"/>
      <c r="BS215" s="1626" t="n"/>
      <c r="BT215" s="1624" t="n"/>
      <c r="BU215" s="1626" t="n"/>
      <c r="BV215" s="1626" t="n"/>
      <c r="BW215" s="1626" t="n"/>
      <c r="BX215" s="1626" t="n"/>
      <c r="BY215" s="1624" t="n"/>
      <c r="BZ215" s="1624" t="n"/>
      <c r="CA215" s="1624" t="n"/>
      <c r="CB215" s="1624" t="n"/>
      <c r="CC215" s="1564" t="n"/>
    </row>
    <row r="216" hidden="1" outlineLevel="2" ht="15" customFormat="1" customHeight="1" s="1561">
      <c r="A216" s="1734" t="inlineStr">
        <is>
          <t>China revenues, mm</t>
        </is>
      </c>
      <c r="B216" s="1623" t="n"/>
      <c r="C216" s="1637" t="n"/>
      <c r="D216" s="1637" t="n"/>
      <c r="E216" s="1637" t="n"/>
      <c r="F216" s="1637" t="n"/>
      <c r="G216" s="1637" t="n"/>
      <c r="H216" s="1626" t="n"/>
      <c r="I216" s="1626" t="n"/>
      <c r="J216" s="1626" t="n"/>
      <c r="K216" s="1626" t="n"/>
      <c r="L216" s="1637" t="n"/>
      <c r="M216" s="1626" t="n"/>
      <c r="N216" s="1626" t="n"/>
      <c r="O216" s="1626" t="n"/>
      <c r="P216" s="1626" t="n"/>
      <c r="Q216" s="1706" t="n">
        <v>541.899</v>
      </c>
      <c r="R216" s="1626" t="n"/>
      <c r="S216" s="1626" t="n"/>
      <c r="T216" s="1626" t="n"/>
      <c r="U216" s="1626" t="n"/>
      <c r="V216" s="1706" t="n">
        <v>779.5</v>
      </c>
      <c r="W216" s="1626" t="n"/>
      <c r="X216" s="1626" t="n"/>
      <c r="Y216" s="1626" t="n"/>
      <c r="Z216" s="1626" t="n"/>
      <c r="AA216" s="1706" t="n">
        <v>920.6</v>
      </c>
      <c r="AB216" s="1626" t="n"/>
      <c r="AC216" s="1626" t="n"/>
      <c r="AD216" s="1626" t="n"/>
      <c r="AE216" s="1626" t="n"/>
      <c r="AF216" s="1706" t="n">
        <v>1842.8</v>
      </c>
      <c r="AG216" s="1626" t="n"/>
      <c r="AH216" s="1626" t="n"/>
      <c r="AI216" s="1626" t="n"/>
      <c r="AJ216" s="1626" t="n"/>
      <c r="AK216" s="1625" t="n">
        <v>1377.7</v>
      </c>
      <c r="AL216" s="1626" t="n"/>
      <c r="AM216" s="1626" t="n"/>
      <c r="AN216" s="1626" t="n"/>
      <c r="AO216" s="1626" t="n"/>
      <c r="AP216" s="1625" t="n">
        <v>2324.4</v>
      </c>
      <c r="AQ216" s="1626" t="n"/>
      <c r="AR216" s="1626" t="n"/>
      <c r="AS216" s="1626" t="n"/>
      <c r="AT216" s="1626" t="n"/>
      <c r="AU216" s="1625" t="n">
        <v>2740.8</v>
      </c>
      <c r="AV216" s="1626" t="n"/>
      <c r="AW216" s="1626" t="n"/>
      <c r="AX216" s="1626" t="n"/>
      <c r="AY216" s="1626" t="n"/>
      <c r="AZ216" s="1625" t="n">
        <v>2916</v>
      </c>
      <c r="BA216" s="1626" t="n"/>
      <c r="BB216" s="1626" t="n"/>
      <c r="BC216" s="1626" t="n"/>
      <c r="BD216" s="1626" t="n"/>
      <c r="BE216" s="1625" t="n">
        <v>7251.8</v>
      </c>
      <c r="BF216" s="1626" t="n"/>
      <c r="BG216" s="1626" t="n"/>
      <c r="BH216" s="1626" t="n"/>
      <c r="BI216" s="1626" t="n"/>
      <c r="BJ216" s="1625" t="n">
        <v>10195.1</v>
      </c>
      <c r="BK216" s="1626" t="n"/>
      <c r="BL216" s="1626" t="n"/>
      <c r="BM216" s="1626" t="n"/>
      <c r="BN216" s="1626" t="n"/>
      <c r="BO216" s="1627" t="n"/>
      <c r="BP216" s="1626" t="n"/>
      <c r="BQ216" s="1626" t="n"/>
      <c r="BR216" s="1626" t="n"/>
      <c r="BS216" s="1626" t="n"/>
      <c r="BT216" s="1624" t="n"/>
      <c r="BU216" s="1626" t="n"/>
      <c r="BV216" s="1626" t="n"/>
      <c r="BW216" s="1626" t="n"/>
      <c r="BX216" s="1626" t="n"/>
      <c r="BY216" s="1624" t="n"/>
      <c r="BZ216" s="1624" t="n"/>
      <c r="CA216" s="1624" t="n"/>
      <c r="CB216" s="1624" t="n"/>
      <c r="CC216" s="1564" t="n"/>
    </row>
    <row r="217" hidden="1" outlineLevel="2" ht="15" customFormat="1" customHeight="1" s="1561">
      <c r="A217" s="1734" t="inlineStr">
        <is>
          <t>Rest of Asia revenues, mm</t>
        </is>
      </c>
      <c r="B217" s="1623" t="n"/>
      <c r="C217" s="1706" t="n">
        <v>144.004</v>
      </c>
      <c r="D217" s="1706" t="n">
        <v>239.914</v>
      </c>
      <c r="E217" s="1706" t="n">
        <v>450.796</v>
      </c>
      <c r="F217" s="1706" t="n">
        <v>197.262</v>
      </c>
      <c r="G217" s="1706" t="n">
        <v>478.234</v>
      </c>
      <c r="H217" s="1626" t="n"/>
      <c r="I217" s="1626" t="n"/>
      <c r="J217" s="1626" t="n"/>
      <c r="K217" s="1626" t="n"/>
      <c r="L217" s="1706" t="n">
        <v>405.576</v>
      </c>
      <c r="M217" s="1626" t="n"/>
      <c r="N217" s="1626" t="n"/>
      <c r="O217" s="1626" t="n"/>
      <c r="P217" s="1626" t="n"/>
      <c r="Q217" s="1706" t="n">
        <v>2.077</v>
      </c>
      <c r="R217" s="1626" t="n"/>
      <c r="S217" s="1626" t="n"/>
      <c r="T217" s="1626" t="n"/>
      <c r="U217" s="1626" t="n"/>
      <c r="V217" s="1706" t="n">
        <v>19.8</v>
      </c>
      <c r="W217" s="1626" t="n"/>
      <c r="X217" s="1626" t="n"/>
      <c r="Y217" s="1626" t="n"/>
      <c r="Z217" s="1626" t="n"/>
      <c r="AA217" s="1706" t="n">
        <v>3.3</v>
      </c>
      <c r="AB217" s="1626" t="n"/>
      <c r="AC217" s="1626" t="n"/>
      <c r="AD217" s="1626" t="n"/>
      <c r="AE217" s="1626" t="n"/>
      <c r="AF217" s="1706" t="n">
        <v>1.9</v>
      </c>
      <c r="AG217" s="1626" t="n"/>
      <c r="AH217" s="1626" t="n"/>
      <c r="AI217" s="1626" t="n"/>
      <c r="AJ217" s="1626" t="n"/>
      <c r="AK217" s="1625" t="n">
        <v>2.6</v>
      </c>
      <c r="AL217" s="1626" t="n"/>
      <c r="AM217" s="1626" t="n"/>
      <c r="AN217" s="1626" t="n"/>
      <c r="AO217" s="1626" t="n"/>
      <c r="AP217" s="1625" t="n">
        <v>1.6</v>
      </c>
      <c r="AQ217" s="1626" t="n"/>
      <c r="AR217" s="1626" t="n"/>
      <c r="AS217" s="1626" t="n"/>
      <c r="AT217" s="1626" t="n"/>
      <c r="AU217" s="1625" t="n">
        <v>1.8</v>
      </c>
      <c r="AV217" s="1626" t="n"/>
      <c r="AW217" s="1626" t="n"/>
      <c r="AX217" s="1626" t="n"/>
      <c r="AY217" s="1626" t="n"/>
      <c r="AZ217" s="1625" t="n">
        <v>7.2</v>
      </c>
      <c r="BA217" s="1626" t="n"/>
      <c r="BB217" s="1626" t="n"/>
      <c r="BC217" s="1626" t="n"/>
      <c r="BD217" s="1626" t="n"/>
      <c r="BE217" s="1625" t="n">
        <v>3.9</v>
      </c>
      <c r="BF217" s="1626" t="n"/>
      <c r="BG217" s="1626" t="n"/>
      <c r="BH217" s="1626" t="n"/>
      <c r="BI217" s="1626" t="n"/>
      <c r="BJ217" s="1625" t="n">
        <v>3.5</v>
      </c>
      <c r="BK217" s="1626" t="n"/>
      <c r="BL217" s="1626" t="n"/>
      <c r="BM217" s="1626" t="n"/>
      <c r="BN217" s="1626" t="n"/>
      <c r="BO217" s="1627" t="n"/>
      <c r="BP217" s="1626" t="n"/>
      <c r="BQ217" s="1626" t="n"/>
      <c r="BR217" s="1626" t="n"/>
      <c r="BS217" s="1626" t="n"/>
      <c r="BT217" s="1624" t="n"/>
      <c r="BU217" s="1626" t="n"/>
      <c r="BV217" s="1626" t="n"/>
      <c r="BW217" s="1626" t="n"/>
      <c r="BX217" s="1626" t="n"/>
      <c r="BY217" s="1624" t="n"/>
      <c r="BZ217" s="1624" t="n"/>
      <c r="CA217" s="1624" t="n"/>
      <c r="CB217" s="1624" t="n"/>
      <c r="CC217" s="1564" t="n"/>
    </row>
    <row r="218" hidden="1" outlineLevel="2" ht="15" customFormat="1" customHeight="1" s="1561">
      <c r="A218" s="1734" t="inlineStr">
        <is>
          <t>Netherlands revenues, mm</t>
        </is>
      </c>
      <c r="B218" s="1623" t="n"/>
      <c r="C218" s="1637" t="n"/>
      <c r="D218" s="1637" t="n"/>
      <c r="E218" s="1637" t="n"/>
      <c r="F218" s="1637" t="n"/>
      <c r="G218" s="1706" t="n">
        <v>11.525</v>
      </c>
      <c r="H218" s="1626" t="n"/>
      <c r="I218" s="1626" t="n"/>
      <c r="J218" s="1626" t="n"/>
      <c r="K218" s="1626" t="n"/>
      <c r="L218" s="1706" t="n">
        <v>1.334</v>
      </c>
      <c r="M218" s="1626" t="n"/>
      <c r="N218" s="1626" t="n"/>
      <c r="O218" s="1626" t="n"/>
      <c r="P218" s="1626" t="n"/>
      <c r="Q218" s="1706" t="n">
        <v>3.521</v>
      </c>
      <c r="R218" s="1626" t="n"/>
      <c r="S218" s="1626" t="n"/>
      <c r="T218" s="1626" t="n"/>
      <c r="U218" s="1626" t="n"/>
      <c r="V218" s="1706" t="n">
        <v>1.5</v>
      </c>
      <c r="W218" s="1626" t="n"/>
      <c r="X218" s="1626" t="n"/>
      <c r="Y218" s="1626" t="n"/>
      <c r="Z218" s="1626" t="n"/>
      <c r="AA218" s="1706" t="n">
        <v>3.9</v>
      </c>
      <c r="AB218" s="1626" t="n"/>
      <c r="AC218" s="1626" t="n"/>
      <c r="AD218" s="1626" t="n"/>
      <c r="AE218" s="1626" t="n"/>
      <c r="AF218" s="1706" t="n">
        <v>1.2</v>
      </c>
      <c r="AG218" s="1626" t="n"/>
      <c r="AH218" s="1626" t="n"/>
      <c r="AI218" s="1626" t="n"/>
      <c r="AJ218" s="1626" t="n"/>
      <c r="AK218" s="1625" t="n">
        <v>2.6</v>
      </c>
      <c r="AL218" s="1626" t="n"/>
      <c r="AM218" s="1626" t="n"/>
      <c r="AN218" s="1626" t="n"/>
      <c r="AO218" s="1626" t="n"/>
      <c r="AP218" s="1625" t="n">
        <v>1.6</v>
      </c>
      <c r="AQ218" s="1626" t="n"/>
      <c r="AR218" s="1626" t="n"/>
      <c r="AS218" s="1626" t="n"/>
      <c r="AT218" s="1626" t="n"/>
      <c r="AU218" s="1625" t="n">
        <v>14.2</v>
      </c>
      <c r="AV218" s="1626" t="n"/>
      <c r="AW218" s="1626" t="n"/>
      <c r="AX218" s="1626" t="n"/>
      <c r="AY218" s="1626" t="n"/>
      <c r="AZ218" s="1625" t="n">
        <v>9.199999999999999</v>
      </c>
      <c r="BA218" s="1626" t="n"/>
      <c r="BB218" s="1626" t="n"/>
      <c r="BC218" s="1626" t="n"/>
      <c r="BD218" s="1626" t="n"/>
      <c r="BE218" s="1625" t="n">
        <v>25.1</v>
      </c>
      <c r="BF218" s="1626" t="n"/>
      <c r="BG218" s="1626" t="n"/>
      <c r="BH218" s="1626" t="n"/>
      <c r="BI218" s="1626" t="n"/>
      <c r="BJ218" s="1625" t="n">
        <v>16.6</v>
      </c>
      <c r="BK218" s="1626" t="n"/>
      <c r="BL218" s="1626" t="n"/>
      <c r="BM218" s="1626" t="n"/>
      <c r="BN218" s="1626" t="n"/>
      <c r="BO218" s="1627" t="n"/>
      <c r="BP218" s="1626" t="n"/>
      <c r="BQ218" s="1626" t="n"/>
      <c r="BR218" s="1626" t="n"/>
      <c r="BS218" s="1626" t="n"/>
      <c r="BT218" s="1624" t="n"/>
      <c r="BU218" s="1626" t="n"/>
      <c r="BV218" s="1626" t="n"/>
      <c r="BW218" s="1626" t="n"/>
      <c r="BX218" s="1626" t="n"/>
      <c r="BY218" s="1624" t="n"/>
      <c r="BZ218" s="1624" t="n"/>
      <c r="CA218" s="1624" t="n"/>
      <c r="CB218" s="1624" t="n"/>
      <c r="CC218" s="1564" t="n"/>
    </row>
    <row r="219" hidden="1" outlineLevel="2" ht="15" customFormat="1" customHeight="1" s="1561">
      <c r="A219" s="1734" t="inlineStr">
        <is>
          <t>EMEA revenues, mm</t>
        </is>
      </c>
      <c r="B219" s="1623" t="n"/>
      <c r="C219" s="1706" t="n">
        <v>68.652</v>
      </c>
      <c r="D219" s="1706" t="n">
        <v>203.548</v>
      </c>
      <c r="E219" s="1706" t="n">
        <v>505.129</v>
      </c>
      <c r="F219" s="1706" t="n">
        <v>256.192</v>
      </c>
      <c r="G219" s="1706" t="n">
        <v>187.03</v>
      </c>
      <c r="H219" s="1626" t="n"/>
      <c r="I219" s="1626" t="n"/>
      <c r="J219" s="1626" t="n"/>
      <c r="K219" s="1626" t="n"/>
      <c r="L219" s="1706" t="n">
        <v>196.332</v>
      </c>
      <c r="M219" s="1626" t="n"/>
      <c r="N219" s="1626" t="n"/>
      <c r="O219" s="1626" t="n"/>
      <c r="P219" s="1626" t="n"/>
      <c r="Q219" s="1706" t="n">
        <v>211.038</v>
      </c>
      <c r="R219" s="1626" t="n"/>
      <c r="S219" s="1626" t="n"/>
      <c r="T219" s="1626" t="n"/>
      <c r="U219" s="1626" t="n"/>
      <c r="V219" s="1706" t="n">
        <v>551.3</v>
      </c>
      <c r="W219" s="1626" t="n"/>
      <c r="X219" s="1626" t="n"/>
      <c r="Y219" s="1626" t="n"/>
      <c r="Z219" s="1626" t="n"/>
      <c r="AA219" s="1706" t="n">
        <v>850.8</v>
      </c>
      <c r="AB219" s="1626" t="n"/>
      <c r="AC219" s="1626" t="n"/>
      <c r="AD219" s="1626" t="n"/>
      <c r="AE219" s="1626" t="n"/>
      <c r="AF219" s="1706" t="n">
        <v>631.7</v>
      </c>
      <c r="AG219" s="1626" t="n"/>
      <c r="AH219" s="1626" t="n"/>
      <c r="AI219" s="1626" t="n"/>
      <c r="AJ219" s="1626" t="n"/>
      <c r="AK219" s="1625" t="n">
        <v>314.6</v>
      </c>
      <c r="AL219" s="1626" t="n"/>
      <c r="AM219" s="1626" t="n"/>
      <c r="AN219" s="1626" t="n"/>
      <c r="AO219" s="1626" t="n"/>
      <c r="AP219" s="1625" t="n">
        <v>483.3</v>
      </c>
      <c r="AQ219" s="1626" t="n"/>
      <c r="AR219" s="1626" t="n"/>
      <c r="AS219" s="1626" t="n"/>
      <c r="AT219" s="1626" t="n"/>
      <c r="AU219" s="1625" t="n">
        <v>134.6</v>
      </c>
      <c r="AV219" s="1626" t="n"/>
      <c r="AW219" s="1626" t="n"/>
      <c r="AX219" s="1626" t="n"/>
      <c r="AY219" s="1626" t="n"/>
      <c r="AZ219" s="1625" t="n">
        <v>624.5</v>
      </c>
      <c r="BA219" s="1626" t="n"/>
      <c r="BB219" s="1626" t="n"/>
      <c r="BC219" s="1626" t="n"/>
      <c r="BD219" s="1626" t="n"/>
      <c r="BE219" s="1625" t="n">
        <v>1206.8</v>
      </c>
      <c r="BF219" s="1626" t="n"/>
      <c r="BG219" s="1626" t="n"/>
      <c r="BH219" s="1626" t="n"/>
      <c r="BI219" s="1626" t="n"/>
      <c r="BJ219" s="1625" t="n">
        <v>1322.1</v>
      </c>
      <c r="BK219" s="1626" t="n"/>
      <c r="BL219" s="1626" t="n"/>
      <c r="BM219" s="1626" t="n"/>
      <c r="BN219" s="1626" t="n"/>
      <c r="BO219" s="1627" t="n"/>
      <c r="BP219" s="1626" t="n"/>
      <c r="BQ219" s="1626" t="n"/>
      <c r="BR219" s="1626" t="n"/>
      <c r="BS219" s="1626" t="n"/>
      <c r="BT219" s="1624" t="n"/>
      <c r="BU219" s="1626" t="n"/>
      <c r="BV219" s="1626" t="n"/>
      <c r="BW219" s="1626" t="n"/>
      <c r="BX219" s="1626" t="n"/>
      <c r="BY219" s="1624" t="n"/>
      <c r="BZ219" s="1624" t="n"/>
      <c r="CA219" s="1624" t="n"/>
      <c r="CB219" s="1624" t="n"/>
      <c r="CC219" s="1564" t="n"/>
    </row>
    <row r="220" hidden="1" outlineLevel="2" ht="15" customFormat="1" customHeight="1" s="1561">
      <c r="A220" s="1734" t="inlineStr">
        <is>
          <t>United States revenues, mm</t>
        </is>
      </c>
      <c r="B220" s="1623" t="n"/>
      <c r="C220" s="1709" t="n">
        <v>368.608</v>
      </c>
      <c r="D220" s="1709" t="n">
        <v>675.943</v>
      </c>
      <c r="E220" s="1709" t="n">
        <v>1387.829</v>
      </c>
      <c r="F220" s="1709" t="n">
        <v>1131.166</v>
      </c>
      <c r="G220" s="1709" t="n">
        <v>719.625</v>
      </c>
      <c r="H220" s="1626" t="n"/>
      <c r="I220" s="1626" t="n"/>
      <c r="J220" s="1626" t="n"/>
      <c r="K220" s="1626" t="n"/>
      <c r="L220" s="1709" t="n">
        <v>1894.39</v>
      </c>
      <c r="M220" s="1626" t="n"/>
      <c r="N220" s="1626" t="n"/>
      <c r="O220" s="1626" t="n"/>
      <c r="P220" s="1626" t="n"/>
      <c r="Q220" s="1709" t="n">
        <v>1215.907</v>
      </c>
      <c r="R220" s="1626" t="n"/>
      <c r="S220" s="1626" t="n"/>
      <c r="T220" s="1626" t="n"/>
      <c r="U220" s="1626" t="n"/>
      <c r="V220" s="1709" t="n">
        <v>1128</v>
      </c>
      <c r="W220" s="1626" t="n"/>
      <c r="X220" s="1626" t="n"/>
      <c r="Y220" s="1626" t="n"/>
      <c r="Z220" s="1626" t="n"/>
      <c r="AA220" s="1709" t="n">
        <v>1510.9</v>
      </c>
      <c r="AB220" s="1626" t="n"/>
      <c r="AC220" s="1626" t="n"/>
      <c r="AD220" s="1626" t="n"/>
      <c r="AE220" s="1626" t="n"/>
      <c r="AF220" s="1709" t="n">
        <v>1961.7</v>
      </c>
      <c r="AG220" s="1626" t="n"/>
      <c r="AH220" s="1626" t="n"/>
      <c r="AI220" s="1626" t="n"/>
      <c r="AJ220" s="1626" t="n"/>
      <c r="AK220" s="1625" t="n">
        <v>1980.2</v>
      </c>
      <c r="AL220" s="1626" t="n"/>
      <c r="AM220" s="1626" t="n"/>
      <c r="AN220" s="1626" t="n"/>
      <c r="AO220" s="1626" t="n"/>
      <c r="AP220" s="1625" t="n">
        <v>1657</v>
      </c>
      <c r="AQ220" s="1626" t="n"/>
      <c r="AR220" s="1626" t="n"/>
      <c r="AS220" s="1626" t="n"/>
      <c r="AT220" s="1626" t="n"/>
      <c r="AU220" s="1625" t="n">
        <v>1583.2</v>
      </c>
      <c r="AV220" s="1626" t="n"/>
      <c r="AW220" s="1626" t="n"/>
      <c r="AX220" s="1626" t="n"/>
      <c r="AY220" s="1626" t="n"/>
      <c r="AZ220" s="1625" t="n">
        <v>1991.3</v>
      </c>
      <c r="BA220" s="1626" t="n"/>
      <c r="BB220" s="1626" t="n"/>
      <c r="BC220" s="1626" t="n"/>
      <c r="BD220" s="1626" t="n"/>
      <c r="BE220" s="1625" t="n">
        <v>3151.4</v>
      </c>
      <c r="BF220" s="1626" t="n"/>
      <c r="BG220" s="1626" t="n"/>
      <c r="BH220" s="1626" t="n"/>
      <c r="BI220" s="1626" t="n"/>
      <c r="BJ220" s="1625" t="n">
        <v>4521.8</v>
      </c>
      <c r="BK220" s="1626" t="n"/>
      <c r="BL220" s="1626" t="n"/>
      <c r="BM220" s="1626" t="n"/>
      <c r="BN220" s="1626" t="n"/>
      <c r="BO220" s="1627" t="n"/>
      <c r="BP220" s="1626" t="n"/>
      <c r="BQ220" s="1626" t="n"/>
      <c r="BR220" s="1626" t="n"/>
      <c r="BS220" s="1626" t="n"/>
      <c r="BT220" s="1624" t="n"/>
      <c r="BU220" s="1626" t="n"/>
      <c r="BV220" s="1626" t="n"/>
      <c r="BW220" s="1626" t="n"/>
      <c r="BX220" s="1626" t="n"/>
      <c r="BY220" s="1624" t="n"/>
      <c r="BZ220" s="1624" t="n"/>
      <c r="CA220" s="1624" t="n"/>
      <c r="CB220" s="1624" t="n"/>
      <c r="CC220" s="1564" t="n"/>
    </row>
    <row r="221" hidden="1" outlineLevel="2" ht="15" customFormat="1" customHeight="1" s="1628">
      <c r="A221" s="1778" t="inlineStr">
        <is>
          <t>Total revenues by region, mm</t>
        </is>
      </c>
      <c r="B221" s="1630" t="n"/>
      <c r="C221" s="1723">
        <f>SUM(C212:C220)</f>
        <v/>
      </c>
      <c r="D221" s="1723">
        <f>SUM(D212:D220)</f>
        <v/>
      </c>
      <c r="E221" s="1723">
        <f>SUM(E212:E220)</f>
        <v/>
      </c>
      <c r="F221" s="1723">
        <f>SUM(F212:F220)</f>
        <v/>
      </c>
      <c r="G221" s="1723">
        <f>SUM(G212:G220)</f>
        <v/>
      </c>
      <c r="H221" s="1632" t="n"/>
      <c r="I221" s="1632" t="n"/>
      <c r="J221" s="1632" t="n"/>
      <c r="K221" s="1632" t="n"/>
      <c r="L221" s="1723">
        <f>SUM(L212:L220)</f>
        <v/>
      </c>
      <c r="M221" s="1632" t="n"/>
      <c r="N221" s="1632" t="n"/>
      <c r="O221" s="1632" t="n"/>
      <c r="P221" s="1632" t="n"/>
      <c r="Q221" s="1723">
        <f>SUM(Q212:Q220)</f>
        <v/>
      </c>
      <c r="R221" s="1632" t="n"/>
      <c r="S221" s="1632" t="n"/>
      <c r="T221" s="1632" t="n"/>
      <c r="U221" s="1632" t="n"/>
      <c r="V221" s="1723">
        <f>SUM(V212:V220)</f>
        <v/>
      </c>
      <c r="W221" s="1632" t="n"/>
      <c r="X221" s="1632" t="n"/>
      <c r="Y221" s="1632" t="n"/>
      <c r="Z221" s="1632" t="n"/>
      <c r="AA221" s="1779">
        <f>SUM(AA212:AA220)</f>
        <v/>
      </c>
      <c r="AB221" s="1632" t="n"/>
      <c r="AC221" s="1632" t="n"/>
      <c r="AD221" s="1632" t="n"/>
      <c r="AE221" s="1632" t="n"/>
      <c r="AF221" s="1779">
        <f>SUM(AF212:AF220)</f>
        <v/>
      </c>
      <c r="AG221" s="1632" t="n"/>
      <c r="AH221" s="1632" t="n"/>
      <c r="AI221" s="1632" t="n"/>
      <c r="AJ221" s="1632" t="n"/>
      <c r="AK221" s="1723">
        <f>SUM(AK212:AK220)</f>
        <v/>
      </c>
      <c r="AL221" s="1632" t="n"/>
      <c r="AM221" s="1632" t="n"/>
      <c r="AN221" s="1632" t="n"/>
      <c r="AO221" s="1632" t="n"/>
      <c r="AP221" s="1723">
        <f>SUM(AP212:AP220)</f>
        <v/>
      </c>
      <c r="AQ221" s="1632" t="n"/>
      <c r="AR221" s="1632" t="n"/>
      <c r="AS221" s="1632" t="n"/>
      <c r="AT221" s="1632" t="n"/>
      <c r="AU221" s="1631">
        <f>SUM(AU212:AU220)</f>
        <v/>
      </c>
      <c r="AV221" s="1632" t="n"/>
      <c r="AW221" s="1632" t="n"/>
      <c r="AX221" s="1632" t="n"/>
      <c r="AY221" s="1632" t="n"/>
      <c r="AZ221" s="1631">
        <f>SUM(AZ212:AZ220)</f>
        <v/>
      </c>
      <c r="BA221" s="1632" t="n"/>
      <c r="BB221" s="1632" t="n"/>
      <c r="BC221" s="1632" t="n"/>
      <c r="BD221" s="1632" t="n"/>
      <c r="BE221" s="1631">
        <f>SUM(BE212:BE220)</f>
        <v/>
      </c>
      <c r="BF221" s="1632" t="n"/>
      <c r="BG221" s="1632" t="n"/>
      <c r="BH221" s="1632" t="n"/>
      <c r="BI221" s="1632" t="n"/>
      <c r="BJ221" s="1631">
        <f>SUM(BJ212:BJ220)</f>
        <v/>
      </c>
      <c r="BK221" s="1632" t="n"/>
      <c r="BL221" s="1632" t="n"/>
      <c r="BM221" s="1632" t="n"/>
      <c r="BN221" s="1632" t="n"/>
      <c r="BO221" s="1633" t="n"/>
      <c r="BP221" s="1632" t="n"/>
      <c r="BQ221" s="1632" t="n"/>
      <c r="BR221" s="1632" t="n"/>
      <c r="BS221" s="1632" t="n"/>
      <c r="BT221" s="1631" t="n"/>
      <c r="BU221" s="1632" t="n"/>
      <c r="BV221" s="1632" t="n"/>
      <c r="BW221" s="1632" t="n"/>
      <c r="BX221" s="1632" t="n"/>
      <c r="BY221" s="1631" t="n"/>
      <c r="BZ221" s="1631" t="n"/>
      <c r="CA221" s="1631" t="n"/>
      <c r="CB221" s="1631" t="n"/>
      <c r="CC221" s="1634" t="n"/>
    </row>
    <row r="222" hidden="1" outlineLevel="2" ht="15" customFormat="1" customHeight="1" s="1628">
      <c r="A222" s="1780" t="n"/>
      <c r="B222" s="1682" t="n"/>
      <c r="C222" s="1683" t="n"/>
      <c r="D222" s="1683" t="n"/>
      <c r="E222" s="1683" t="n"/>
      <c r="F222" s="1683" t="n"/>
      <c r="G222" s="1683" t="n"/>
      <c r="H222" s="1684" t="n"/>
      <c r="I222" s="1684" t="n"/>
      <c r="J222" s="1684" t="n"/>
      <c r="K222" s="1684" t="n"/>
      <c r="L222" s="1683" t="n"/>
      <c r="M222" s="1684" t="n"/>
      <c r="N222" s="1684" t="n"/>
      <c r="O222" s="1684" t="n"/>
      <c r="P222" s="1684" t="n"/>
      <c r="Q222" s="1683" t="n"/>
      <c r="R222" s="1684" t="n"/>
      <c r="S222" s="1684" t="n"/>
      <c r="T222" s="1684" t="n"/>
      <c r="U222" s="1684" t="n"/>
      <c r="V222" s="1683" t="n"/>
      <c r="W222" s="1684" t="n"/>
      <c r="X222" s="1684" t="n"/>
      <c r="Y222" s="1684" t="n"/>
      <c r="Z222" s="1684" t="n"/>
      <c r="AA222" s="1718" t="n"/>
      <c r="AB222" s="1684" t="n"/>
      <c r="AC222" s="1684" t="n"/>
      <c r="AD222" s="1684" t="n"/>
      <c r="AE222" s="1684" t="n"/>
      <c r="AF222" s="1718" t="n"/>
      <c r="AG222" s="1684" t="n"/>
      <c r="AH222" s="1684" t="n"/>
      <c r="AI222" s="1684" t="n"/>
      <c r="AJ222" s="1684" t="n"/>
      <c r="AK222" s="1683" t="n"/>
      <c r="AL222" s="1684" t="n"/>
      <c r="AM222" s="1684" t="n"/>
      <c r="AN222" s="1684" t="n"/>
      <c r="AO222" s="1684" t="n"/>
      <c r="AP222" s="1683" t="n"/>
      <c r="AQ222" s="1684" t="n"/>
      <c r="AR222" s="1684" t="n"/>
      <c r="AS222" s="1684" t="n"/>
      <c r="AT222" s="1684" t="n"/>
      <c r="AU222" s="1683" t="n"/>
      <c r="AV222" s="1684" t="n"/>
      <c r="AW222" s="1684" t="n"/>
      <c r="AX222" s="1684" t="n"/>
      <c r="AY222" s="1684" t="n"/>
      <c r="AZ222" s="1683" t="n"/>
      <c r="BA222" s="1684" t="n"/>
      <c r="BB222" s="1684" t="n"/>
      <c r="BC222" s="1684" t="n"/>
      <c r="BD222" s="1684" t="n"/>
      <c r="BE222" s="1683" t="n"/>
      <c r="BF222" s="1684" t="n"/>
      <c r="BG222" s="1684" t="n"/>
      <c r="BH222" s="1684" t="n"/>
      <c r="BI222" s="1684" t="n"/>
      <c r="BJ222" s="1683" t="n"/>
      <c r="BK222" s="1684" t="n"/>
      <c r="BL222" s="1684" t="n"/>
      <c r="BM222" s="1684" t="n"/>
      <c r="BN222" s="1684" t="n"/>
      <c r="BO222" s="1685" t="n"/>
      <c r="BP222" s="1684" t="n"/>
      <c r="BQ222" s="1684" t="n"/>
      <c r="BR222" s="1684" t="n"/>
      <c r="BS222" s="1684" t="n"/>
      <c r="BT222" s="1683" t="n"/>
      <c r="BU222" s="1684" t="n"/>
      <c r="BV222" s="1684" t="n"/>
      <c r="BW222" s="1684" t="n"/>
      <c r="BX222" s="1684" t="n"/>
      <c r="BY222" s="1683" t="n"/>
      <c r="BZ222" s="1683" t="n"/>
      <c r="CA222" s="1683" t="n"/>
      <c r="CB222" s="1683" t="n"/>
      <c r="CC222" s="1634" t="n"/>
    </row>
    <row r="223" hidden="1" outlineLevel="3" ht="15" customFormat="1" customHeight="1" s="1628">
      <c r="A223" s="1780" t="inlineStr">
        <is>
          <t>EMEA revenues (incl. NL), mm</t>
        </is>
      </c>
      <c r="B223" s="1682" t="n"/>
      <c r="C223" s="1683">
        <f>C218+C219</f>
        <v/>
      </c>
      <c r="D223" s="1683">
        <f>D218+D219</f>
        <v/>
      </c>
      <c r="E223" s="1683">
        <f>E218+E219</f>
        <v/>
      </c>
      <c r="F223" s="1683">
        <f>F218+F219</f>
        <v/>
      </c>
      <c r="G223" s="1683">
        <f>G218+G219</f>
        <v/>
      </c>
      <c r="H223" s="1684" t="n"/>
      <c r="I223" s="1684" t="n"/>
      <c r="J223" s="1684" t="n"/>
      <c r="K223" s="1684" t="n"/>
      <c r="L223" s="1683">
        <f>L218+L219</f>
        <v/>
      </c>
      <c r="M223" s="1684" t="n"/>
      <c r="N223" s="1684" t="n"/>
      <c r="O223" s="1684" t="n"/>
      <c r="P223" s="1684" t="n"/>
      <c r="Q223" s="1683">
        <f>Q218+Q219</f>
        <v/>
      </c>
      <c r="R223" s="1684" t="n"/>
      <c r="S223" s="1684" t="n"/>
      <c r="T223" s="1684" t="n"/>
      <c r="U223" s="1684" t="n"/>
      <c r="V223" s="1683">
        <f>V218+V219</f>
        <v/>
      </c>
      <c r="W223" s="1684" t="n"/>
      <c r="X223" s="1684" t="n"/>
      <c r="Y223" s="1684" t="n"/>
      <c r="Z223" s="1684" t="n"/>
      <c r="AA223" s="1718">
        <f>AA218+AA219</f>
        <v/>
      </c>
      <c r="AB223" s="1684" t="n"/>
      <c r="AC223" s="1684" t="n"/>
      <c r="AD223" s="1684" t="n"/>
      <c r="AE223" s="1684" t="n"/>
      <c r="AF223" s="1718">
        <f>AF218+AF219</f>
        <v/>
      </c>
      <c r="AG223" s="1684" t="n"/>
      <c r="AH223" s="1684" t="n"/>
      <c r="AI223" s="1684" t="n"/>
      <c r="AJ223" s="1684" t="n"/>
      <c r="AK223" s="1683">
        <f>AK218+AK219</f>
        <v/>
      </c>
      <c r="AL223" s="1684" t="n"/>
      <c r="AM223" s="1684" t="n"/>
      <c r="AN223" s="1684" t="n"/>
      <c r="AO223" s="1684" t="n"/>
      <c r="AP223" s="1683">
        <f>AP218+AP219</f>
        <v/>
      </c>
      <c r="AQ223" s="1684" t="n"/>
      <c r="AR223" s="1684" t="n"/>
      <c r="AS223" s="1684" t="n"/>
      <c r="AT223" s="1684" t="n"/>
      <c r="AU223" s="1683">
        <f>AU218+AU219</f>
        <v/>
      </c>
      <c r="AV223" s="1684" t="n"/>
      <c r="AW223" s="1684" t="n"/>
      <c r="AX223" s="1684" t="n"/>
      <c r="AY223" s="1684" t="n"/>
      <c r="AZ223" s="1683">
        <f>AZ218+AZ219</f>
        <v/>
      </c>
      <c r="BA223" s="1684" t="n"/>
      <c r="BB223" s="1684" t="n"/>
      <c r="BC223" s="1684" t="n"/>
      <c r="BD223" s="1684" t="n"/>
      <c r="BE223" s="1683">
        <f>BE218+BE219</f>
        <v/>
      </c>
      <c r="BF223" s="1684" t="n"/>
      <c r="BG223" s="1684" t="n"/>
      <c r="BH223" s="1684" t="n"/>
      <c r="BI223" s="1684" t="n"/>
      <c r="BJ223" s="1683">
        <f>BJ218+BJ219</f>
        <v/>
      </c>
      <c r="BK223" s="1684" t="n"/>
      <c r="BL223" s="1684" t="n"/>
      <c r="BM223" s="1684" t="n"/>
      <c r="BN223" s="1684" t="n"/>
      <c r="BO223" s="1685" t="n"/>
      <c r="BP223" s="1684" t="n"/>
      <c r="BQ223" s="1684" t="n"/>
      <c r="BR223" s="1684" t="n"/>
      <c r="BS223" s="1684" t="n"/>
      <c r="BT223" s="1683" t="n"/>
      <c r="BU223" s="1684" t="n"/>
      <c r="BV223" s="1684" t="n"/>
      <c r="BW223" s="1684" t="n"/>
      <c r="BX223" s="1684" t="n"/>
      <c r="BY223" s="1683" t="n"/>
      <c r="BZ223" s="1683" t="n"/>
      <c r="CA223" s="1683" t="n"/>
      <c r="CB223" s="1683" t="n"/>
      <c r="CC223" s="1634" t="n"/>
    </row>
    <row r="224" hidden="1" outlineLevel="3" ht="15" customFormat="1" customHeight="1" s="1628">
      <c r="A224" s="1780" t="n"/>
      <c r="B224" s="1682" t="n"/>
      <c r="C224" s="1683" t="n"/>
      <c r="D224" s="1683" t="n"/>
      <c r="E224" s="1683" t="n"/>
      <c r="F224" s="1683" t="n"/>
      <c r="G224" s="1683" t="n"/>
      <c r="H224" s="1684" t="n"/>
      <c r="I224" s="1684" t="n"/>
      <c r="J224" s="1684" t="n"/>
      <c r="K224" s="1684" t="n"/>
      <c r="L224" s="1683" t="n"/>
      <c r="M224" s="1684" t="n"/>
      <c r="N224" s="1684" t="n"/>
      <c r="O224" s="1684" t="n"/>
      <c r="P224" s="1684" t="n"/>
      <c r="Q224" s="1683" t="n"/>
      <c r="R224" s="1684" t="n"/>
      <c r="S224" s="1684" t="n"/>
      <c r="T224" s="1684" t="n"/>
      <c r="U224" s="1684" t="n"/>
      <c r="V224" s="1683" t="n"/>
      <c r="W224" s="1684" t="n"/>
      <c r="X224" s="1684" t="n"/>
      <c r="Y224" s="1684" t="n"/>
      <c r="Z224" s="1684" t="n"/>
      <c r="AA224" s="1718" t="n"/>
      <c r="AB224" s="1684" t="n"/>
      <c r="AC224" s="1684" t="n"/>
      <c r="AD224" s="1684" t="n"/>
      <c r="AE224" s="1684" t="n"/>
      <c r="AF224" s="1718" t="n"/>
      <c r="AG224" s="1684" t="n"/>
      <c r="AH224" s="1684" t="n"/>
      <c r="AI224" s="1684" t="n"/>
      <c r="AJ224" s="1684" t="n"/>
      <c r="AK224" s="1683" t="n"/>
      <c r="AL224" s="1684" t="n"/>
      <c r="AM224" s="1684" t="n"/>
      <c r="AN224" s="1684" t="n"/>
      <c r="AO224" s="1684" t="n"/>
      <c r="AP224" s="1683" t="n"/>
      <c r="AQ224" s="1684" t="n"/>
      <c r="AR224" s="1684" t="n"/>
      <c r="AS224" s="1684" t="n"/>
      <c r="AT224" s="1684" t="n"/>
      <c r="AU224" s="1683" t="n"/>
      <c r="AV224" s="1684" t="n"/>
      <c r="AW224" s="1684" t="n"/>
      <c r="AX224" s="1684" t="n"/>
      <c r="AY224" s="1684" t="n"/>
      <c r="AZ224" s="1683" t="n"/>
      <c r="BA224" s="1684" t="n"/>
      <c r="BB224" s="1684" t="n"/>
      <c r="BC224" s="1684" t="n"/>
      <c r="BD224" s="1684" t="n"/>
      <c r="BE224" s="1683" t="n"/>
      <c r="BF224" s="1684" t="n"/>
      <c r="BG224" s="1684" t="n"/>
      <c r="BH224" s="1684" t="n"/>
      <c r="BI224" s="1684" t="n"/>
      <c r="BJ224" s="1683" t="n"/>
      <c r="BK224" s="1684" t="n"/>
      <c r="BL224" s="1684" t="n"/>
      <c r="BM224" s="1684" t="n"/>
      <c r="BN224" s="1684" t="n"/>
      <c r="BO224" s="1685" t="n"/>
      <c r="BP224" s="1684" t="n"/>
      <c r="BQ224" s="1684" t="n"/>
      <c r="BR224" s="1684" t="n"/>
      <c r="BS224" s="1684" t="n"/>
      <c r="BT224" s="1683" t="n"/>
      <c r="BU224" s="1684" t="n"/>
      <c r="BV224" s="1684" t="n"/>
      <c r="BW224" s="1684" t="n"/>
      <c r="BX224" s="1684" t="n"/>
      <c r="BY224" s="1683" t="n"/>
      <c r="BZ224" s="1683" t="n"/>
      <c r="CA224" s="1683" t="n"/>
      <c r="CB224" s="1683" t="n"/>
      <c r="CC224" s="1634" t="n"/>
    </row>
    <row r="225" hidden="1" outlineLevel="2" collapsed="1" ht="15" customFormat="1" customHeight="1" s="607">
      <c r="A225" s="396" t="inlineStr">
        <is>
          <t>Japan revenues mix, %</t>
        </is>
      </c>
      <c r="B225" s="126" t="n"/>
      <c r="C225" s="1351">
        <f>C212/C221</f>
        <v/>
      </c>
      <c r="D225" s="1351">
        <f>D212/D221</f>
        <v/>
      </c>
      <c r="E225" s="1333">
        <f>E212/E221</f>
        <v/>
      </c>
      <c r="F225" s="1351">
        <f>F212/F221</f>
        <v/>
      </c>
      <c r="G225" s="1351">
        <f>G212/G221</f>
        <v/>
      </c>
      <c r="H225" s="686" t="n"/>
      <c r="I225" s="686" t="n"/>
      <c r="J225" s="686" t="n"/>
      <c r="K225" s="686" t="n"/>
      <c r="L225" s="1351">
        <f>L212/L221</f>
        <v/>
      </c>
      <c r="M225" s="686" t="n"/>
      <c r="N225" s="686" t="n"/>
      <c r="O225" s="686" t="n"/>
      <c r="P225" s="686" t="n"/>
      <c r="Q225" s="1351">
        <f>Q212/Q221</f>
        <v/>
      </c>
      <c r="R225" s="686" t="n"/>
      <c r="S225" s="686" t="n"/>
      <c r="T225" s="686" t="n"/>
      <c r="U225" s="686" t="n"/>
      <c r="V225" s="1351">
        <f>V212/V221</f>
        <v/>
      </c>
      <c r="W225" s="686" t="n"/>
      <c r="X225" s="686" t="n"/>
      <c r="Y225" s="686" t="n"/>
      <c r="Z225" s="686" t="n"/>
      <c r="AA225" s="1351">
        <f>AA212/AA221</f>
        <v/>
      </c>
      <c r="AB225" s="686" t="n"/>
      <c r="AC225" s="686" t="n"/>
      <c r="AD225" s="686" t="n"/>
      <c r="AE225" s="686" t="n"/>
      <c r="AF225" s="1351">
        <f>AF212/AF221</f>
        <v/>
      </c>
      <c r="AG225" s="686" t="n"/>
      <c r="AH225" s="686" t="n"/>
      <c r="AI225" s="686" t="n"/>
      <c r="AJ225" s="686" t="n"/>
      <c r="AK225" s="1333">
        <f>AK212/AK221</f>
        <v/>
      </c>
      <c r="AL225" s="686" t="n"/>
      <c r="AM225" s="686" t="n"/>
      <c r="AN225" s="686" t="n"/>
      <c r="AO225" s="686" t="n"/>
      <c r="AP225" s="1333">
        <f>AP212/AP221</f>
        <v/>
      </c>
      <c r="AQ225" s="686" t="n"/>
      <c r="AR225" s="686" t="n"/>
      <c r="AS225" s="686" t="n"/>
      <c r="AT225" s="686" t="n"/>
      <c r="AU225" s="1294">
        <f>AU212/AU221</f>
        <v/>
      </c>
      <c r="AV225" s="686" t="n"/>
      <c r="AW225" s="686" t="n"/>
      <c r="AX225" s="686" t="n"/>
      <c r="AY225" s="686" t="n"/>
      <c r="AZ225" s="1294">
        <f>AZ212/AZ221</f>
        <v/>
      </c>
      <c r="BA225" s="686" t="n"/>
      <c r="BB225" s="686" t="n"/>
      <c r="BC225" s="686" t="n"/>
      <c r="BD225" s="686" t="n"/>
      <c r="BE225" s="1294">
        <f>BE212/BE221</f>
        <v/>
      </c>
      <c r="BF225" s="686" t="n"/>
      <c r="BG225" s="686" t="n"/>
      <c r="BH225" s="686" t="n"/>
      <c r="BI225" s="686" t="n"/>
      <c r="BJ225" s="1294">
        <f>BJ212/BJ221</f>
        <v/>
      </c>
      <c r="BK225" s="686" t="n"/>
      <c r="BL225" s="686" t="n"/>
      <c r="BM225" s="686" t="n"/>
      <c r="BN225" s="686" t="n"/>
      <c r="BO225" s="1293" t="n"/>
      <c r="BP225" s="686" t="n"/>
      <c r="BQ225" s="686" t="n"/>
      <c r="BR225" s="686" t="n"/>
      <c r="BS225" s="686" t="n"/>
      <c r="BT225" s="1294" t="n"/>
      <c r="BU225" s="686" t="n"/>
      <c r="BV225" s="686" t="n"/>
      <c r="BW225" s="686" t="n"/>
      <c r="BX225" s="686" t="n"/>
      <c r="BY225" s="1294" t="n"/>
      <c r="BZ225" s="1294" t="n"/>
      <c r="CA225" s="1294" t="n"/>
      <c r="CB225" s="1294" t="n"/>
      <c r="CC225" s="102" t="n"/>
    </row>
    <row r="226" hidden="1" outlineLevel="2" ht="15" customFormat="1" customHeight="1" s="607">
      <c r="A226" s="396" t="inlineStr">
        <is>
          <t>Korea revenues mix, %</t>
        </is>
      </c>
      <c r="B226" s="126" t="n"/>
      <c r="C226" s="1351">
        <f>C213/C221</f>
        <v/>
      </c>
      <c r="D226" s="1351">
        <f>D213/D221</f>
        <v/>
      </c>
      <c r="E226" s="1333">
        <f>E213/E221</f>
        <v/>
      </c>
      <c r="F226" s="1351">
        <f>F213/F221</f>
        <v/>
      </c>
      <c r="G226" s="1351">
        <f>G213/G221</f>
        <v/>
      </c>
      <c r="H226" s="686" t="n"/>
      <c r="I226" s="686" t="n"/>
      <c r="J226" s="686" t="n"/>
      <c r="K226" s="686" t="n"/>
      <c r="L226" s="1351">
        <f>L213/L221</f>
        <v/>
      </c>
      <c r="M226" s="686" t="n"/>
      <c r="N226" s="686" t="n"/>
      <c r="O226" s="686" t="n"/>
      <c r="P226" s="686" t="n"/>
      <c r="Q226" s="1351">
        <f>Q213/Q221</f>
        <v/>
      </c>
      <c r="R226" s="686" t="n"/>
      <c r="S226" s="686" t="n"/>
      <c r="T226" s="686" t="n"/>
      <c r="U226" s="686" t="n"/>
      <c r="V226" s="1351">
        <f>V213/V221</f>
        <v/>
      </c>
      <c r="W226" s="686" t="n"/>
      <c r="X226" s="686" t="n"/>
      <c r="Y226" s="686" t="n"/>
      <c r="Z226" s="686" t="n"/>
      <c r="AA226" s="1351">
        <f>AA213/AA221</f>
        <v/>
      </c>
      <c r="AB226" s="686" t="n"/>
      <c r="AC226" s="686" t="n"/>
      <c r="AD226" s="686" t="n"/>
      <c r="AE226" s="686" t="n"/>
      <c r="AF226" s="1351">
        <f>AF213/AF221</f>
        <v/>
      </c>
      <c r="AG226" s="686" t="n"/>
      <c r="AH226" s="686" t="n"/>
      <c r="AI226" s="686" t="n"/>
      <c r="AJ226" s="686" t="n"/>
      <c r="AK226" s="1333">
        <f>AK213/AK221</f>
        <v/>
      </c>
      <c r="AL226" s="686" t="n"/>
      <c r="AM226" s="686" t="n"/>
      <c r="AN226" s="686" t="n"/>
      <c r="AO226" s="686" t="n"/>
      <c r="AP226" s="1333">
        <f>AP213/AP221</f>
        <v/>
      </c>
      <c r="AQ226" s="686" t="n"/>
      <c r="AR226" s="686" t="n"/>
      <c r="AS226" s="686" t="n"/>
      <c r="AT226" s="686" t="n"/>
      <c r="AU226" s="1294">
        <f>AU213/AU221</f>
        <v/>
      </c>
      <c r="AV226" s="686" t="n"/>
      <c r="AW226" s="686" t="n"/>
      <c r="AX226" s="686" t="n"/>
      <c r="AY226" s="686" t="n"/>
      <c r="AZ226" s="1294">
        <f>AZ213/AZ221</f>
        <v/>
      </c>
      <c r="BA226" s="686" t="n"/>
      <c r="BB226" s="686" t="n"/>
      <c r="BC226" s="686" t="n"/>
      <c r="BD226" s="686" t="n"/>
      <c r="BE226" s="1294">
        <f>BE213/BE221</f>
        <v/>
      </c>
      <c r="BF226" s="686" t="n"/>
      <c r="BG226" s="686" t="n"/>
      <c r="BH226" s="686" t="n"/>
      <c r="BI226" s="686" t="n"/>
      <c r="BJ226" s="1294">
        <f>BJ213/BJ221</f>
        <v/>
      </c>
      <c r="BK226" s="686" t="n"/>
      <c r="BL226" s="686" t="n"/>
      <c r="BM226" s="686" t="n"/>
      <c r="BN226" s="686" t="n"/>
      <c r="BO226" s="1293" t="n"/>
      <c r="BP226" s="686" t="n"/>
      <c r="BQ226" s="686" t="n"/>
      <c r="BR226" s="686" t="n"/>
      <c r="BS226" s="686" t="n"/>
      <c r="BT226" s="1294" t="n"/>
      <c r="BU226" s="686" t="n"/>
      <c r="BV226" s="686" t="n"/>
      <c r="BW226" s="686" t="n"/>
      <c r="BX226" s="686" t="n"/>
      <c r="BY226" s="1294" t="n"/>
      <c r="BZ226" s="1294" t="n"/>
      <c r="CA226" s="1294" t="n"/>
      <c r="CB226" s="1294" t="n"/>
      <c r="CC226" s="102" t="n"/>
    </row>
    <row r="227" hidden="1" outlineLevel="2" ht="15" customFormat="1" customHeight="1" s="607">
      <c r="A227" s="396" t="inlineStr">
        <is>
          <t>Singapore revenues mix, %</t>
        </is>
      </c>
      <c r="B227" s="126" t="n"/>
      <c r="C227" s="1351">
        <f>C214/C221</f>
        <v/>
      </c>
      <c r="D227" s="1351">
        <f>D214/D221</f>
        <v/>
      </c>
      <c r="E227" s="1333">
        <f>E214/E221</f>
        <v/>
      </c>
      <c r="F227" s="1351">
        <f>F214/F221</f>
        <v/>
      </c>
      <c r="G227" s="1351">
        <f>G214/G221</f>
        <v/>
      </c>
      <c r="H227" s="686" t="n"/>
      <c r="I227" s="686" t="n"/>
      <c r="J227" s="686" t="n"/>
      <c r="K227" s="686" t="n"/>
      <c r="L227" s="1351">
        <f>L214/L221</f>
        <v/>
      </c>
      <c r="M227" s="686" t="n"/>
      <c r="N227" s="686" t="n"/>
      <c r="O227" s="686" t="n"/>
      <c r="P227" s="686" t="n"/>
      <c r="Q227" s="1351">
        <f>Q214/Q221</f>
        <v/>
      </c>
      <c r="R227" s="686" t="n"/>
      <c r="S227" s="686" t="n"/>
      <c r="T227" s="686" t="n"/>
      <c r="U227" s="686" t="n"/>
      <c r="V227" s="1351">
        <f>V214/V221</f>
        <v/>
      </c>
      <c r="W227" s="686" t="n"/>
      <c r="X227" s="686" t="n"/>
      <c r="Y227" s="686" t="n"/>
      <c r="Z227" s="686" t="n"/>
      <c r="AA227" s="1351">
        <f>AA214/AA221</f>
        <v/>
      </c>
      <c r="AB227" s="686" t="n"/>
      <c r="AC227" s="686" t="n"/>
      <c r="AD227" s="686" t="n"/>
      <c r="AE227" s="686" t="n"/>
      <c r="AF227" s="1351">
        <f>AF214/AF221</f>
        <v/>
      </c>
      <c r="AG227" s="686" t="n"/>
      <c r="AH227" s="686" t="n"/>
      <c r="AI227" s="686" t="n"/>
      <c r="AJ227" s="686" t="n"/>
      <c r="AK227" s="1333">
        <f>AK214/AK221</f>
        <v/>
      </c>
      <c r="AL227" s="686" t="n"/>
      <c r="AM227" s="686" t="n"/>
      <c r="AN227" s="686" t="n"/>
      <c r="AO227" s="686" t="n"/>
      <c r="AP227" s="1333">
        <f>AP214/AP221</f>
        <v/>
      </c>
      <c r="AQ227" s="686" t="n"/>
      <c r="AR227" s="686" t="n"/>
      <c r="AS227" s="686" t="n"/>
      <c r="AT227" s="686" t="n"/>
      <c r="AU227" s="1294">
        <f>AU214/AU221</f>
        <v/>
      </c>
      <c r="AV227" s="686" t="n"/>
      <c r="AW227" s="686" t="n"/>
      <c r="AX227" s="686" t="n"/>
      <c r="AY227" s="686" t="n"/>
      <c r="AZ227" s="1294">
        <f>AZ214/AZ221</f>
        <v/>
      </c>
      <c r="BA227" s="686" t="n"/>
      <c r="BB227" s="686" t="n"/>
      <c r="BC227" s="686" t="n"/>
      <c r="BD227" s="686" t="n"/>
      <c r="BE227" s="1294">
        <f>BE214/BE221</f>
        <v/>
      </c>
      <c r="BF227" s="686" t="n"/>
      <c r="BG227" s="686" t="n"/>
      <c r="BH227" s="686" t="n"/>
      <c r="BI227" s="686" t="n"/>
      <c r="BJ227" s="1294">
        <f>BJ214/BJ221</f>
        <v/>
      </c>
      <c r="BK227" s="686" t="n"/>
      <c r="BL227" s="686" t="n"/>
      <c r="BM227" s="686" t="n"/>
      <c r="BN227" s="686" t="n"/>
      <c r="BO227" s="1293" t="n"/>
      <c r="BP227" s="686" t="n"/>
      <c r="BQ227" s="686" t="n"/>
      <c r="BR227" s="686" t="n"/>
      <c r="BS227" s="686" t="n"/>
      <c r="BT227" s="1294" t="n"/>
      <c r="BU227" s="686" t="n"/>
      <c r="BV227" s="686" t="n"/>
      <c r="BW227" s="686" t="n"/>
      <c r="BX227" s="686" t="n"/>
      <c r="BY227" s="1294" t="n"/>
      <c r="BZ227" s="1294" t="n"/>
      <c r="CA227" s="1294" t="n"/>
      <c r="CB227" s="1294" t="n"/>
      <c r="CC227" s="102" t="n"/>
    </row>
    <row r="228" hidden="1" outlineLevel="2" ht="15" customFormat="1" customHeight="1" s="607">
      <c r="A228" s="396" t="inlineStr">
        <is>
          <t>Taiwan revenues mix, %</t>
        </is>
      </c>
      <c r="B228" s="126" t="n"/>
      <c r="C228" s="1351">
        <f>C215/C221</f>
        <v/>
      </c>
      <c r="D228" s="1351">
        <f>D215/D221</f>
        <v/>
      </c>
      <c r="E228" s="1333">
        <f>E215/E221</f>
        <v/>
      </c>
      <c r="F228" s="1351">
        <f>F215/F221</f>
        <v/>
      </c>
      <c r="G228" s="1351">
        <f>G215/G221</f>
        <v/>
      </c>
      <c r="H228" s="686" t="n"/>
      <c r="I228" s="686" t="n"/>
      <c r="J228" s="686" t="n"/>
      <c r="K228" s="686" t="n"/>
      <c r="L228" s="1351">
        <f>L215/L221</f>
        <v/>
      </c>
      <c r="M228" s="686" t="n"/>
      <c r="N228" s="686" t="n"/>
      <c r="O228" s="686" t="n"/>
      <c r="P228" s="686" t="n"/>
      <c r="Q228" s="1351">
        <f>Q215/Q221</f>
        <v/>
      </c>
      <c r="R228" s="686" t="n"/>
      <c r="S228" s="686" t="n"/>
      <c r="T228" s="686" t="n"/>
      <c r="U228" s="686" t="n"/>
      <c r="V228" s="1351">
        <f>V215/V221</f>
        <v/>
      </c>
      <c r="W228" s="686" t="n"/>
      <c r="X228" s="686" t="n"/>
      <c r="Y228" s="686" t="n"/>
      <c r="Z228" s="686" t="n"/>
      <c r="AA228" s="1351">
        <f>AA215/AA221</f>
        <v/>
      </c>
      <c r="AB228" s="686" t="n"/>
      <c r="AC228" s="686" t="n"/>
      <c r="AD228" s="686" t="n"/>
      <c r="AE228" s="686" t="n"/>
      <c r="AF228" s="1351">
        <f>AF215/AF221</f>
        <v/>
      </c>
      <c r="AG228" s="686" t="n"/>
      <c r="AH228" s="686" t="n"/>
      <c r="AI228" s="686" t="n"/>
      <c r="AJ228" s="686" t="n"/>
      <c r="AK228" s="1333">
        <f>AK215/AK221</f>
        <v/>
      </c>
      <c r="AL228" s="686" t="n"/>
      <c r="AM228" s="686" t="n"/>
      <c r="AN228" s="686" t="n"/>
      <c r="AO228" s="686" t="n"/>
      <c r="AP228" s="1333">
        <f>AP215/AP221</f>
        <v/>
      </c>
      <c r="AQ228" s="686" t="n"/>
      <c r="AR228" s="686" t="n"/>
      <c r="AS228" s="686" t="n"/>
      <c r="AT228" s="686" t="n"/>
      <c r="AU228" s="1294">
        <f>AU215/AU221</f>
        <v/>
      </c>
      <c r="AV228" s="686" t="n"/>
      <c r="AW228" s="686" t="n"/>
      <c r="AX228" s="686" t="n"/>
      <c r="AY228" s="686" t="n"/>
      <c r="AZ228" s="1294">
        <f>AZ215/AZ221</f>
        <v/>
      </c>
      <c r="BA228" s="686" t="n"/>
      <c r="BB228" s="686" t="n"/>
      <c r="BC228" s="686" t="n"/>
      <c r="BD228" s="686" t="n"/>
      <c r="BE228" s="1294">
        <f>BE215/BE221</f>
        <v/>
      </c>
      <c r="BF228" s="686" t="n"/>
      <c r="BG228" s="686" t="n"/>
      <c r="BH228" s="686" t="n"/>
      <c r="BI228" s="686" t="n"/>
      <c r="BJ228" s="1294">
        <f>BJ215/BJ221</f>
        <v/>
      </c>
      <c r="BK228" s="686" t="n"/>
      <c r="BL228" s="686" t="n"/>
      <c r="BM228" s="686" t="n"/>
      <c r="BN228" s="686" t="n"/>
      <c r="BO228" s="1293" t="n"/>
      <c r="BP228" s="686" t="n"/>
      <c r="BQ228" s="686" t="n"/>
      <c r="BR228" s="686" t="n"/>
      <c r="BS228" s="686" t="n"/>
      <c r="BT228" s="1294" t="n"/>
      <c r="BU228" s="686" t="n"/>
      <c r="BV228" s="686" t="n"/>
      <c r="BW228" s="686" t="n"/>
      <c r="BX228" s="686" t="n"/>
      <c r="BY228" s="1294" t="n"/>
      <c r="BZ228" s="1294" t="n"/>
      <c r="CA228" s="1294" t="n"/>
      <c r="CB228" s="1294" t="n"/>
      <c r="CC228" s="102" t="n"/>
    </row>
    <row r="229" hidden="1" outlineLevel="2" ht="15" customFormat="1" customHeight="1" s="607">
      <c r="A229" s="396" t="inlineStr">
        <is>
          <t>China revenues mix, %</t>
        </is>
      </c>
      <c r="B229" s="126" t="n"/>
      <c r="C229" s="1352">
        <f>C216/C221</f>
        <v/>
      </c>
      <c r="D229" s="1352">
        <f>D216/D221</f>
        <v/>
      </c>
      <c r="E229" s="1352">
        <f>E216/E221</f>
        <v/>
      </c>
      <c r="F229" s="1352">
        <f>F216/F221</f>
        <v/>
      </c>
      <c r="G229" s="1352">
        <f>G216/G221</f>
        <v/>
      </c>
      <c r="H229" s="686" t="n"/>
      <c r="I229" s="686" t="n"/>
      <c r="J229" s="686" t="n"/>
      <c r="K229" s="686" t="n"/>
      <c r="L229" s="1352">
        <f>L216/L221</f>
        <v/>
      </c>
      <c r="M229" s="686" t="n"/>
      <c r="N229" s="686" t="n"/>
      <c r="O229" s="686" t="n"/>
      <c r="P229" s="686" t="n"/>
      <c r="Q229" s="1351">
        <f>Q216/Q221</f>
        <v/>
      </c>
      <c r="R229" s="686" t="n"/>
      <c r="S229" s="686" t="n"/>
      <c r="T229" s="686" t="n"/>
      <c r="U229" s="686" t="n"/>
      <c r="V229" s="1351">
        <f>V216/V221</f>
        <v/>
      </c>
      <c r="W229" s="686" t="n"/>
      <c r="X229" s="686" t="n"/>
      <c r="Y229" s="686" t="n"/>
      <c r="Z229" s="686" t="n"/>
      <c r="AA229" s="1351">
        <f>AA216/AA221</f>
        <v/>
      </c>
      <c r="AB229" s="686" t="n"/>
      <c r="AC229" s="686" t="n"/>
      <c r="AD229" s="686" t="n"/>
      <c r="AE229" s="686" t="n"/>
      <c r="AF229" s="1351">
        <f>AF216/AF221</f>
        <v/>
      </c>
      <c r="AG229" s="686" t="n"/>
      <c r="AH229" s="686" t="n"/>
      <c r="AI229" s="686" t="n"/>
      <c r="AJ229" s="686" t="n"/>
      <c r="AK229" s="1333">
        <f>AK216/AK221</f>
        <v/>
      </c>
      <c r="AL229" s="686" t="n"/>
      <c r="AM229" s="686" t="n"/>
      <c r="AN229" s="686" t="n"/>
      <c r="AO229" s="686" t="n"/>
      <c r="AP229" s="1333">
        <f>AP216/AP221</f>
        <v/>
      </c>
      <c r="AQ229" s="686" t="n"/>
      <c r="AR229" s="686" t="n"/>
      <c r="AS229" s="686" t="n"/>
      <c r="AT229" s="686" t="n"/>
      <c r="AU229" s="1294">
        <f>AU216/AU221</f>
        <v/>
      </c>
      <c r="AV229" s="686" t="n"/>
      <c r="AW229" s="686" t="n"/>
      <c r="AX229" s="686" t="n"/>
      <c r="AY229" s="686" t="n"/>
      <c r="AZ229" s="1294">
        <f>AZ216/AZ221</f>
        <v/>
      </c>
      <c r="BA229" s="686" t="n"/>
      <c r="BB229" s="686" t="n"/>
      <c r="BC229" s="686" t="n"/>
      <c r="BD229" s="686" t="n"/>
      <c r="BE229" s="1294">
        <f>BE216/BE221</f>
        <v/>
      </c>
      <c r="BF229" s="686" t="n"/>
      <c r="BG229" s="686" t="n"/>
      <c r="BH229" s="686" t="n"/>
      <c r="BI229" s="686" t="n"/>
      <c r="BJ229" s="1294">
        <f>BJ216/BJ221</f>
        <v/>
      </c>
      <c r="BK229" s="686" t="n"/>
      <c r="BL229" s="686" t="n"/>
      <c r="BM229" s="686" t="n"/>
      <c r="BN229" s="686" t="n"/>
      <c r="BO229" s="1293" t="n"/>
      <c r="BP229" s="686" t="n"/>
      <c r="BQ229" s="686" t="n"/>
      <c r="BR229" s="686" t="n"/>
      <c r="BS229" s="686" t="n"/>
      <c r="BT229" s="1294" t="n"/>
      <c r="BU229" s="686" t="n"/>
      <c r="BV229" s="686" t="n"/>
      <c r="BW229" s="686" t="n"/>
      <c r="BX229" s="686" t="n"/>
      <c r="BY229" s="1294" t="n"/>
      <c r="BZ229" s="1294" t="n"/>
      <c r="CA229" s="1294" t="n"/>
      <c r="CB229" s="1294" t="n"/>
      <c r="CC229" s="102" t="n"/>
    </row>
    <row r="230" hidden="1" outlineLevel="2" ht="15" customFormat="1" customHeight="1" s="607">
      <c r="A230" s="396" t="inlineStr">
        <is>
          <t>Rest of Asia revenues mix, %</t>
        </is>
      </c>
      <c r="B230" s="126" t="n"/>
      <c r="C230" s="1351">
        <f>C217/C221</f>
        <v/>
      </c>
      <c r="D230" s="1351">
        <f>D217/D221</f>
        <v/>
      </c>
      <c r="E230" s="1351">
        <f>E217/E221</f>
        <v/>
      </c>
      <c r="F230" s="1351">
        <f>F217/F221</f>
        <v/>
      </c>
      <c r="G230" s="1351">
        <f>G217/G221</f>
        <v/>
      </c>
      <c r="H230" s="686" t="n"/>
      <c r="I230" s="686" t="n"/>
      <c r="J230" s="686" t="n"/>
      <c r="K230" s="686" t="n"/>
      <c r="L230" s="1351">
        <f>L217/L221</f>
        <v/>
      </c>
      <c r="M230" s="686" t="n"/>
      <c r="N230" s="686" t="n"/>
      <c r="O230" s="686" t="n"/>
      <c r="P230" s="686" t="n"/>
      <c r="Q230" s="1351">
        <f>Q217/Q221</f>
        <v/>
      </c>
      <c r="R230" s="686" t="n"/>
      <c r="S230" s="686" t="n"/>
      <c r="T230" s="686" t="n"/>
      <c r="U230" s="686" t="n"/>
      <c r="V230" s="1351">
        <f>V217/V221</f>
        <v/>
      </c>
      <c r="W230" s="686" t="n"/>
      <c r="X230" s="686" t="n"/>
      <c r="Y230" s="686" t="n"/>
      <c r="Z230" s="686" t="n"/>
      <c r="AA230" s="1351">
        <f>AA217/AA221</f>
        <v/>
      </c>
      <c r="AB230" s="686" t="n"/>
      <c r="AC230" s="686" t="n"/>
      <c r="AD230" s="686" t="n"/>
      <c r="AE230" s="686" t="n"/>
      <c r="AF230" s="1351">
        <f>AF217/AF221</f>
        <v/>
      </c>
      <c r="AG230" s="686" t="n"/>
      <c r="AH230" s="686" t="n"/>
      <c r="AI230" s="686" t="n"/>
      <c r="AJ230" s="686" t="n"/>
      <c r="AK230" s="1333">
        <f>AK217/AK221</f>
        <v/>
      </c>
      <c r="AL230" s="686" t="n"/>
      <c r="AM230" s="686" t="n"/>
      <c r="AN230" s="686" t="n"/>
      <c r="AO230" s="686" t="n"/>
      <c r="AP230" s="1333">
        <f>AP217/AP221</f>
        <v/>
      </c>
      <c r="AQ230" s="686" t="n"/>
      <c r="AR230" s="686" t="n"/>
      <c r="AS230" s="686" t="n"/>
      <c r="AT230" s="686" t="n"/>
      <c r="AU230" s="1294">
        <f>AU217/AU221</f>
        <v/>
      </c>
      <c r="AV230" s="686" t="n"/>
      <c r="AW230" s="686" t="n"/>
      <c r="AX230" s="686" t="n"/>
      <c r="AY230" s="686" t="n"/>
      <c r="AZ230" s="1294">
        <f>AZ217/AZ221</f>
        <v/>
      </c>
      <c r="BA230" s="686" t="n"/>
      <c r="BB230" s="686" t="n"/>
      <c r="BC230" s="686" t="n"/>
      <c r="BD230" s="686" t="n"/>
      <c r="BE230" s="1294">
        <f>BE217/BE221</f>
        <v/>
      </c>
      <c r="BF230" s="686" t="n"/>
      <c r="BG230" s="686" t="n"/>
      <c r="BH230" s="686" t="n"/>
      <c r="BI230" s="686" t="n"/>
      <c r="BJ230" s="1294">
        <f>BJ217/BJ221</f>
        <v/>
      </c>
      <c r="BK230" s="686" t="n"/>
      <c r="BL230" s="686" t="n"/>
      <c r="BM230" s="686" t="n"/>
      <c r="BN230" s="686" t="n"/>
      <c r="BO230" s="1293" t="n"/>
      <c r="BP230" s="686" t="n"/>
      <c r="BQ230" s="686" t="n"/>
      <c r="BR230" s="686" t="n"/>
      <c r="BS230" s="686" t="n"/>
      <c r="BT230" s="1294" t="n"/>
      <c r="BU230" s="686" t="n"/>
      <c r="BV230" s="686" t="n"/>
      <c r="BW230" s="686" t="n"/>
      <c r="BX230" s="686" t="n"/>
      <c r="BY230" s="1294" t="n"/>
      <c r="BZ230" s="1294" t="n"/>
      <c r="CA230" s="1294" t="n"/>
      <c r="CB230" s="1294" t="n"/>
      <c r="CC230" s="102" t="n"/>
    </row>
    <row r="231" hidden="1" outlineLevel="2" ht="15" customFormat="1" customHeight="1" s="607">
      <c r="A231" s="396" t="inlineStr">
        <is>
          <t>Netherlands revenues mix, %</t>
        </is>
      </c>
      <c r="B231" s="126" t="n"/>
      <c r="C231" s="1352">
        <f>C218/C221</f>
        <v/>
      </c>
      <c r="D231" s="1352">
        <f>D218/D221</f>
        <v/>
      </c>
      <c r="E231" s="1352">
        <f>E218/E221</f>
        <v/>
      </c>
      <c r="F231" s="1352">
        <f>F218/F221</f>
        <v/>
      </c>
      <c r="G231" s="1351">
        <f>G218/G221</f>
        <v/>
      </c>
      <c r="H231" s="686" t="n"/>
      <c r="I231" s="686" t="n"/>
      <c r="J231" s="686" t="n"/>
      <c r="K231" s="686" t="n"/>
      <c r="L231" s="1351">
        <f>L218/L221</f>
        <v/>
      </c>
      <c r="M231" s="686" t="n"/>
      <c r="N231" s="686" t="n"/>
      <c r="O231" s="686" t="n"/>
      <c r="P231" s="686" t="n"/>
      <c r="Q231" s="1351">
        <f>Q218/Q221</f>
        <v/>
      </c>
      <c r="R231" s="686" t="n"/>
      <c r="S231" s="686" t="n"/>
      <c r="T231" s="686" t="n"/>
      <c r="U231" s="686" t="n"/>
      <c r="V231" s="1351">
        <f>V218/V221</f>
        <v/>
      </c>
      <c r="W231" s="686" t="n"/>
      <c r="X231" s="686" t="n"/>
      <c r="Y231" s="686" t="n"/>
      <c r="Z231" s="686" t="n"/>
      <c r="AA231" s="1351">
        <f>AA218/AA221</f>
        <v/>
      </c>
      <c r="AB231" s="686" t="n"/>
      <c r="AC231" s="686" t="n"/>
      <c r="AD231" s="686" t="n"/>
      <c r="AE231" s="686" t="n"/>
      <c r="AF231" s="1351">
        <f>AF218/AF221</f>
        <v/>
      </c>
      <c r="AG231" s="686" t="n"/>
      <c r="AH231" s="686" t="n"/>
      <c r="AI231" s="686" t="n"/>
      <c r="AJ231" s="686" t="n"/>
      <c r="AK231" s="1333">
        <f>AK218/AK221</f>
        <v/>
      </c>
      <c r="AL231" s="686" t="n"/>
      <c r="AM231" s="686" t="n"/>
      <c r="AN231" s="686" t="n"/>
      <c r="AO231" s="686" t="n"/>
      <c r="AP231" s="1333">
        <f>AP218/AP221</f>
        <v/>
      </c>
      <c r="AQ231" s="686" t="n"/>
      <c r="AR231" s="686" t="n"/>
      <c r="AS231" s="686" t="n"/>
      <c r="AT231" s="686" t="n"/>
      <c r="AU231" s="1294">
        <f>AU218/AU221</f>
        <v/>
      </c>
      <c r="AV231" s="686" t="n"/>
      <c r="AW231" s="686" t="n"/>
      <c r="AX231" s="686" t="n"/>
      <c r="AY231" s="686" t="n"/>
      <c r="AZ231" s="1294">
        <f>AZ218/AZ221</f>
        <v/>
      </c>
      <c r="BA231" s="686" t="n"/>
      <c r="BB231" s="686" t="n"/>
      <c r="BC231" s="686" t="n"/>
      <c r="BD231" s="686" t="n"/>
      <c r="BE231" s="1294">
        <f>BE218/BE221</f>
        <v/>
      </c>
      <c r="BF231" s="686" t="n"/>
      <c r="BG231" s="686" t="n"/>
      <c r="BH231" s="686" t="n"/>
      <c r="BI231" s="686" t="n"/>
      <c r="BJ231" s="1294">
        <f>BJ218/BJ221</f>
        <v/>
      </c>
      <c r="BK231" s="686" t="n"/>
      <c r="BL231" s="686" t="n"/>
      <c r="BM231" s="686" t="n"/>
      <c r="BN231" s="686" t="n"/>
      <c r="BO231" s="1293" t="n"/>
      <c r="BP231" s="686" t="n"/>
      <c r="BQ231" s="686" t="n"/>
      <c r="BR231" s="686" t="n"/>
      <c r="BS231" s="686" t="n"/>
      <c r="BT231" s="1294" t="n"/>
      <c r="BU231" s="686" t="n"/>
      <c r="BV231" s="686" t="n"/>
      <c r="BW231" s="686" t="n"/>
      <c r="BX231" s="686" t="n"/>
      <c r="BY231" s="1294" t="n"/>
      <c r="BZ231" s="1294" t="n"/>
      <c r="CA231" s="1294" t="n"/>
      <c r="CB231" s="1294" t="n"/>
      <c r="CC231" s="102" t="n"/>
    </row>
    <row r="232" hidden="1" outlineLevel="2" ht="15" customFormat="1" customHeight="1" s="607">
      <c r="A232" s="396" t="inlineStr">
        <is>
          <t>EMEA revenues mix, %</t>
        </is>
      </c>
      <c r="B232" s="126" t="n"/>
      <c r="C232" s="1351">
        <f>C219/C221</f>
        <v/>
      </c>
      <c r="D232" s="1351">
        <f>D219/D221</f>
        <v/>
      </c>
      <c r="E232" s="1351">
        <f>E219/E221</f>
        <v/>
      </c>
      <c r="F232" s="1351">
        <f>F219/F221</f>
        <v/>
      </c>
      <c r="G232" s="1351">
        <f>G219/G221</f>
        <v/>
      </c>
      <c r="H232" s="686" t="n"/>
      <c r="I232" s="686" t="n"/>
      <c r="J232" s="686" t="n"/>
      <c r="K232" s="686" t="n"/>
      <c r="L232" s="1351">
        <f>L219/L221</f>
        <v/>
      </c>
      <c r="M232" s="686" t="n"/>
      <c r="N232" s="686" t="n"/>
      <c r="O232" s="686" t="n"/>
      <c r="P232" s="686" t="n"/>
      <c r="Q232" s="1351">
        <f>Q219/Q221</f>
        <v/>
      </c>
      <c r="R232" s="686" t="n"/>
      <c r="S232" s="686" t="n"/>
      <c r="T232" s="686" t="n"/>
      <c r="U232" s="686" t="n"/>
      <c r="V232" s="1351">
        <f>V219/V221</f>
        <v/>
      </c>
      <c r="W232" s="686" t="n"/>
      <c r="X232" s="686" t="n"/>
      <c r="Y232" s="686" t="n"/>
      <c r="Z232" s="686" t="n"/>
      <c r="AA232" s="1351">
        <f>AA219/AA221</f>
        <v/>
      </c>
      <c r="AB232" s="686" t="n"/>
      <c r="AC232" s="686" t="n"/>
      <c r="AD232" s="686" t="n"/>
      <c r="AE232" s="686" t="n"/>
      <c r="AF232" s="1351">
        <f>AF219/AF221</f>
        <v/>
      </c>
      <c r="AG232" s="686" t="n"/>
      <c r="AH232" s="686" t="n"/>
      <c r="AI232" s="686" t="n"/>
      <c r="AJ232" s="686" t="n"/>
      <c r="AK232" s="1333">
        <f>AK219/AK221</f>
        <v/>
      </c>
      <c r="AL232" s="686" t="n"/>
      <c r="AM232" s="686" t="n"/>
      <c r="AN232" s="686" t="n"/>
      <c r="AO232" s="686" t="n"/>
      <c r="AP232" s="1333">
        <f>AP219/AP221</f>
        <v/>
      </c>
      <c r="AQ232" s="686" t="n"/>
      <c r="AR232" s="686" t="n"/>
      <c r="AS232" s="686" t="n"/>
      <c r="AT232" s="686" t="n"/>
      <c r="AU232" s="1294">
        <f>AU219/AU221</f>
        <v/>
      </c>
      <c r="AV232" s="686" t="n"/>
      <c r="AW232" s="686" t="n"/>
      <c r="AX232" s="686" t="n"/>
      <c r="AY232" s="686" t="n"/>
      <c r="AZ232" s="1294">
        <f>AZ219/AZ221</f>
        <v/>
      </c>
      <c r="BA232" s="686" t="n"/>
      <c r="BB232" s="686" t="n"/>
      <c r="BC232" s="686" t="n"/>
      <c r="BD232" s="686" t="n"/>
      <c r="BE232" s="1294">
        <f>BE219/BE221</f>
        <v/>
      </c>
      <c r="BF232" s="686" t="n"/>
      <c r="BG232" s="686" t="n"/>
      <c r="BH232" s="686" t="n"/>
      <c r="BI232" s="686" t="n"/>
      <c r="BJ232" s="1294">
        <f>BJ219/BJ221</f>
        <v/>
      </c>
      <c r="BK232" s="686" t="n"/>
      <c r="BL232" s="686" t="n"/>
      <c r="BM232" s="686" t="n"/>
      <c r="BN232" s="686" t="n"/>
      <c r="BO232" s="1293" t="n"/>
      <c r="BP232" s="686" t="n"/>
      <c r="BQ232" s="686" t="n"/>
      <c r="BR232" s="686" t="n"/>
      <c r="BS232" s="686" t="n"/>
      <c r="BT232" s="1294" t="n"/>
      <c r="BU232" s="686" t="n"/>
      <c r="BV232" s="686" t="n"/>
      <c r="BW232" s="686" t="n"/>
      <c r="BX232" s="686" t="n"/>
      <c r="BY232" s="1294" t="n"/>
      <c r="BZ232" s="1294" t="n"/>
      <c r="CA232" s="1294" t="n"/>
      <c r="CB232" s="1294" t="n"/>
      <c r="CC232" s="102" t="n"/>
    </row>
    <row r="233" hidden="1" outlineLevel="2" ht="15" customFormat="1" customHeight="1" s="607">
      <c r="A233" s="396" t="inlineStr">
        <is>
          <t>United States revenues mix, %</t>
        </is>
      </c>
      <c r="B233" s="126" t="n"/>
      <c r="C233" s="1353">
        <f>C220/C221</f>
        <v/>
      </c>
      <c r="D233" s="1353">
        <f>D220/D221</f>
        <v/>
      </c>
      <c r="E233" s="1353">
        <f>E220/E221</f>
        <v/>
      </c>
      <c r="F233" s="1353">
        <f>F220/F221</f>
        <v/>
      </c>
      <c r="G233" s="1353">
        <f>G220/G221</f>
        <v/>
      </c>
      <c r="H233" s="686" t="n"/>
      <c r="I233" s="686" t="n"/>
      <c r="J233" s="686" t="n"/>
      <c r="K233" s="686" t="n"/>
      <c r="L233" s="1353">
        <f>L220/L221</f>
        <v/>
      </c>
      <c r="M233" s="686" t="n"/>
      <c r="N233" s="686" t="n"/>
      <c r="O233" s="686" t="n"/>
      <c r="P233" s="686" t="n"/>
      <c r="Q233" s="1353">
        <f>Q220/Q221</f>
        <v/>
      </c>
      <c r="R233" s="686" t="n"/>
      <c r="S233" s="686" t="n"/>
      <c r="T233" s="686" t="n"/>
      <c r="U233" s="686" t="n"/>
      <c r="V233" s="1353">
        <f>V220/V221</f>
        <v/>
      </c>
      <c r="W233" s="686" t="n"/>
      <c r="X233" s="686" t="n"/>
      <c r="Y233" s="686" t="n"/>
      <c r="Z233" s="686" t="n"/>
      <c r="AA233" s="1353">
        <f>AA220/AA221</f>
        <v/>
      </c>
      <c r="AB233" s="686" t="n"/>
      <c r="AC233" s="686" t="n"/>
      <c r="AD233" s="686" t="n"/>
      <c r="AE233" s="686" t="n"/>
      <c r="AF233" s="1353">
        <f>AF220/AF221</f>
        <v/>
      </c>
      <c r="AG233" s="686" t="n"/>
      <c r="AH233" s="686" t="n"/>
      <c r="AI233" s="686" t="n"/>
      <c r="AJ233" s="686" t="n"/>
      <c r="AK233" s="1333">
        <f>AK220/AK221</f>
        <v/>
      </c>
      <c r="AL233" s="686" t="n"/>
      <c r="AM233" s="686" t="n"/>
      <c r="AN233" s="686" t="n"/>
      <c r="AO233" s="686" t="n"/>
      <c r="AP233" s="1333">
        <f>AP220/AP221</f>
        <v/>
      </c>
      <c r="AQ233" s="686" t="n"/>
      <c r="AR233" s="686" t="n"/>
      <c r="AS233" s="686" t="n"/>
      <c r="AT233" s="686" t="n"/>
      <c r="AU233" s="1294">
        <f>AU220/AU221</f>
        <v/>
      </c>
      <c r="AV233" s="686" t="n"/>
      <c r="AW233" s="686" t="n"/>
      <c r="AX233" s="686" t="n"/>
      <c r="AY233" s="686" t="n"/>
      <c r="AZ233" s="1294">
        <f>AZ220/AZ221</f>
        <v/>
      </c>
      <c r="BA233" s="686" t="n"/>
      <c r="BB233" s="686" t="n"/>
      <c r="BC233" s="686" t="n"/>
      <c r="BD233" s="686" t="n"/>
      <c r="BE233" s="1294">
        <f>BE220/BE221</f>
        <v/>
      </c>
      <c r="BF233" s="686" t="n"/>
      <c r="BG233" s="686" t="n"/>
      <c r="BH233" s="686" t="n"/>
      <c r="BI233" s="686" t="n"/>
      <c r="BJ233" s="1294">
        <f>BJ220/BJ221</f>
        <v/>
      </c>
      <c r="BK233" s="686" t="n"/>
      <c r="BL233" s="686" t="n"/>
      <c r="BM233" s="686" t="n"/>
      <c r="BN233" s="686" t="n"/>
      <c r="BO233" s="1293" t="n"/>
      <c r="BP233" s="686" t="n"/>
      <c r="BQ233" s="686" t="n"/>
      <c r="BR233" s="686" t="n"/>
      <c r="BS233" s="686" t="n"/>
      <c r="BT233" s="1294" t="n"/>
      <c r="BU233" s="686" t="n"/>
      <c r="BV233" s="686" t="n"/>
      <c r="BW233" s="686" t="n"/>
      <c r="BX233" s="686" t="n"/>
      <c r="BY233" s="1294" t="n"/>
      <c r="BZ233" s="1294" t="n"/>
      <c r="CA233" s="1294" t="n"/>
      <c r="CB233" s="1294" t="n"/>
      <c r="CC233" s="102" t="n"/>
    </row>
    <row r="234" hidden="1" outlineLevel="2" ht="15" customFormat="1" customHeight="1" s="598">
      <c r="A234" s="35" t="inlineStr">
        <is>
          <t>Total revenues mix by region, %</t>
        </is>
      </c>
      <c r="B234" s="67" t="n"/>
      <c r="C234" s="1348">
        <f>SUM(C225:C233)</f>
        <v/>
      </c>
      <c r="D234" s="1348">
        <f>SUM(D225:D233)</f>
        <v/>
      </c>
      <c r="E234" s="1348">
        <f>SUM(E225:E233)</f>
        <v/>
      </c>
      <c r="F234" s="1348">
        <f>SUM(F225:F233)</f>
        <v/>
      </c>
      <c r="G234" s="1348">
        <f>SUM(G225:G233)</f>
        <v/>
      </c>
      <c r="H234" s="69" t="n"/>
      <c r="I234" s="69" t="n"/>
      <c r="J234" s="69" t="n"/>
      <c r="K234" s="69" t="n"/>
      <c r="L234" s="1348">
        <f>SUM(L225:L233)</f>
        <v/>
      </c>
      <c r="M234" s="69" t="n"/>
      <c r="N234" s="69" t="n"/>
      <c r="O234" s="69" t="n"/>
      <c r="P234" s="69" t="n"/>
      <c r="Q234" s="1348">
        <f>SUM(Q225:Q233)</f>
        <v/>
      </c>
      <c r="R234" s="69" t="n"/>
      <c r="S234" s="69" t="n"/>
      <c r="T234" s="69" t="n"/>
      <c r="U234" s="69" t="n"/>
      <c r="V234" s="1348">
        <f>SUM(V225:V233)</f>
        <v/>
      </c>
      <c r="W234" s="69" t="n"/>
      <c r="X234" s="69" t="n"/>
      <c r="Y234" s="69" t="n"/>
      <c r="Z234" s="69" t="n"/>
      <c r="AA234" s="1354">
        <f>SUM(AA225:AA233)</f>
        <v/>
      </c>
      <c r="AB234" s="69" t="n"/>
      <c r="AC234" s="69" t="n"/>
      <c r="AD234" s="69" t="n"/>
      <c r="AE234" s="69" t="n"/>
      <c r="AF234" s="1354">
        <f>SUM(AF225:AF233)</f>
        <v/>
      </c>
      <c r="AG234" s="69" t="n"/>
      <c r="AH234" s="69" t="n"/>
      <c r="AI234" s="69" t="n"/>
      <c r="AJ234" s="69" t="n"/>
      <c r="AK234" s="1348">
        <f>SUM(AK225:AK233)</f>
        <v/>
      </c>
      <c r="AL234" s="69" t="n"/>
      <c r="AM234" s="69" t="n"/>
      <c r="AN234" s="69" t="n"/>
      <c r="AO234" s="69" t="n"/>
      <c r="AP234" s="1348">
        <f>SUM(AP225:AP233)</f>
        <v/>
      </c>
      <c r="AQ234" s="69" t="n"/>
      <c r="AR234" s="69" t="n"/>
      <c r="AS234" s="69" t="n"/>
      <c r="AT234" s="69" t="n"/>
      <c r="AU234" s="1347">
        <f>SUM(AU225:AU233)</f>
        <v/>
      </c>
      <c r="AV234" s="69" t="n"/>
      <c r="AW234" s="69" t="n"/>
      <c r="AX234" s="69" t="n"/>
      <c r="AY234" s="69" t="n"/>
      <c r="AZ234" s="1347">
        <f>SUM(AZ225:AZ233)</f>
        <v/>
      </c>
      <c r="BA234" s="69" t="n"/>
      <c r="BB234" s="69" t="n"/>
      <c r="BC234" s="69" t="n"/>
      <c r="BD234" s="69" t="n"/>
      <c r="BE234" s="1347">
        <f>SUM(BE225:BE233)</f>
        <v/>
      </c>
      <c r="BF234" s="69" t="n"/>
      <c r="BG234" s="69" t="n"/>
      <c r="BH234" s="69" t="n"/>
      <c r="BI234" s="69" t="n"/>
      <c r="BJ234" s="1347">
        <f>SUM(BJ225:BJ233)</f>
        <v/>
      </c>
      <c r="BK234" s="69" t="n"/>
      <c r="BL234" s="69" t="n"/>
      <c r="BM234" s="69" t="n"/>
      <c r="BN234" s="69" t="n"/>
      <c r="BO234" s="1355" t="n"/>
      <c r="BP234" s="69" t="n"/>
      <c r="BQ234" s="69" t="n"/>
      <c r="BR234" s="69" t="n"/>
      <c r="BS234" s="69" t="n"/>
      <c r="BT234" s="1347" t="n"/>
      <c r="BU234" s="69" t="n"/>
      <c r="BV234" s="69" t="n"/>
      <c r="BW234" s="69" t="n"/>
      <c r="BX234" s="69" t="n"/>
      <c r="BY234" s="1347" t="n"/>
      <c r="BZ234" s="1347" t="n"/>
      <c r="CA234" s="1347" t="n"/>
      <c r="CB234" s="1347" t="n"/>
      <c r="CC234" s="750" t="n"/>
    </row>
    <row r="235" hidden="1" outlineLevel="2" ht="15" customFormat="1" customHeight="1" s="1628">
      <c r="A235" s="1780" t="n"/>
      <c r="B235" s="1682" t="n"/>
      <c r="C235" s="1683" t="n"/>
      <c r="D235" s="1683" t="n"/>
      <c r="E235" s="1683" t="n"/>
      <c r="F235" s="1683" t="n"/>
      <c r="G235" s="1683" t="n"/>
      <c r="H235" s="1684" t="n"/>
      <c r="I235" s="1684" t="n"/>
      <c r="J235" s="1684" t="n"/>
      <c r="K235" s="1684" t="n"/>
      <c r="L235" s="1683" t="n"/>
      <c r="M235" s="1684" t="n"/>
      <c r="N235" s="1684" t="n"/>
      <c r="O235" s="1684" t="n"/>
      <c r="P235" s="1684" t="n"/>
      <c r="Q235" s="1683" t="n"/>
      <c r="R235" s="1684" t="n"/>
      <c r="S235" s="1684" t="n"/>
      <c r="T235" s="1684" t="n"/>
      <c r="U235" s="1684" t="n"/>
      <c r="V235" s="1683" t="n"/>
      <c r="W235" s="1684" t="n"/>
      <c r="X235" s="1684" t="n"/>
      <c r="Y235" s="1684" t="n"/>
      <c r="Z235" s="1684" t="n"/>
      <c r="AA235" s="1718" t="n"/>
      <c r="AB235" s="1684" t="n"/>
      <c r="AC235" s="1684" t="n"/>
      <c r="AD235" s="1684" t="n"/>
      <c r="AE235" s="1684" t="n"/>
      <c r="AF235" s="1718" t="n"/>
      <c r="AG235" s="1684" t="n"/>
      <c r="AH235" s="1684" t="n"/>
      <c r="AI235" s="1684" t="n"/>
      <c r="AJ235" s="1684" t="n"/>
      <c r="AK235" s="1683" t="n"/>
      <c r="AL235" s="1684" t="n"/>
      <c r="AM235" s="1684" t="n"/>
      <c r="AN235" s="1684" t="n"/>
      <c r="AO235" s="1684" t="n"/>
      <c r="AP235" s="1683" t="n"/>
      <c r="AQ235" s="1684" t="n"/>
      <c r="AR235" s="1684" t="n"/>
      <c r="AS235" s="1684" t="n"/>
      <c r="AT235" s="1684" t="n"/>
      <c r="AU235" s="1683" t="n"/>
      <c r="AV235" s="1684" t="n"/>
      <c r="AW235" s="1684" t="n"/>
      <c r="AX235" s="1684" t="n"/>
      <c r="AY235" s="1684" t="n"/>
      <c r="AZ235" s="1683" t="n"/>
      <c r="BA235" s="1684" t="n"/>
      <c r="BB235" s="1684" t="n"/>
      <c r="BC235" s="1684" t="n"/>
      <c r="BD235" s="1684" t="n"/>
      <c r="BE235" s="1683" t="n"/>
      <c r="BF235" s="1684" t="n"/>
      <c r="BG235" s="1684" t="n"/>
      <c r="BH235" s="1684" t="n"/>
      <c r="BI235" s="1684" t="n"/>
      <c r="BJ235" s="1683" t="n"/>
      <c r="BK235" s="1684" t="n"/>
      <c r="BL235" s="1684" t="n"/>
      <c r="BM235" s="1684" t="n"/>
      <c r="BN235" s="1684" t="n"/>
      <c r="BO235" s="1685" t="n"/>
      <c r="BP235" s="1684" t="n"/>
      <c r="BQ235" s="1684" t="n"/>
      <c r="BR235" s="1684" t="n"/>
      <c r="BS235" s="1684" t="n"/>
      <c r="BT235" s="1683" t="n"/>
      <c r="BU235" s="1684" t="n"/>
      <c r="BV235" s="1684" t="n"/>
      <c r="BW235" s="1684" t="n"/>
      <c r="BX235" s="1684" t="n"/>
      <c r="BY235" s="1683" t="n"/>
      <c r="BZ235" s="1683" t="n"/>
      <c r="CA235" s="1683" t="n"/>
      <c r="CB235" s="1683" t="n"/>
      <c r="CC235" s="1634" t="n"/>
    </row>
    <row r="236" hidden="1" outlineLevel="2" ht="15" customFormat="1" customHeight="1" s="1561">
      <c r="A236" s="1734" t="inlineStr">
        <is>
          <t>Japan Long-lived assets, mm</t>
        </is>
      </c>
      <c r="B236" s="1623" t="n"/>
      <c r="C236" s="1637" t="n"/>
      <c r="D236" s="1637" t="n"/>
      <c r="E236" s="1624" t="n"/>
      <c r="F236" s="1637" t="n"/>
      <c r="G236" s="1706" t="n">
        <v>3.34</v>
      </c>
      <c r="H236" s="1626" t="n"/>
      <c r="I236" s="1626" t="n"/>
      <c r="J236" s="1626" t="n"/>
      <c r="K236" s="1626" t="n"/>
      <c r="L236" s="1706" t="n">
        <v>3.695</v>
      </c>
      <c r="M236" s="1626" t="n"/>
      <c r="N236" s="1626" t="n"/>
      <c r="O236" s="1626" t="n"/>
      <c r="P236" s="1626" t="n"/>
      <c r="Q236" s="1706" t="n">
        <v>3.209</v>
      </c>
      <c r="R236" s="1626" t="n"/>
      <c r="S236" s="1626" t="n"/>
      <c r="T236" s="1626" t="n"/>
      <c r="U236" s="1626" t="n"/>
      <c r="V236" s="1706" t="n">
        <v>4.277</v>
      </c>
      <c r="W236" s="1626" t="n"/>
      <c r="X236" s="1626" t="n"/>
      <c r="Y236" s="1626" t="n"/>
      <c r="Z236" s="1626" t="n"/>
      <c r="AA236" s="1706" t="n">
        <v>3.4</v>
      </c>
      <c r="AB236" s="1626" t="n"/>
      <c r="AC236" s="1626" t="n"/>
      <c r="AD236" s="1626" t="n"/>
      <c r="AE236" s="1626" t="n"/>
      <c r="AF236" s="1706" t="n">
        <v>8.199999999999999</v>
      </c>
      <c r="AG236" s="1626" t="n"/>
      <c r="AH236" s="1626" t="n"/>
      <c r="AI236" s="1626" t="n"/>
      <c r="AJ236" s="1626" t="n"/>
      <c r="AK236" s="1625" t="n">
        <v>6.5</v>
      </c>
      <c r="AL236" s="1626" t="n"/>
      <c r="AM236" s="1626" t="n"/>
      <c r="AN236" s="1626" t="n"/>
      <c r="AO236" s="1626" t="n"/>
      <c r="AP236" s="1625" t="n">
        <v>8.300000000000001</v>
      </c>
      <c r="AQ236" s="1626" t="n"/>
      <c r="AR236" s="1626" t="n"/>
      <c r="AS236" s="1626" t="n"/>
      <c r="AT236" s="1626" t="n"/>
      <c r="AU236" s="1625" t="n">
        <v>5.5</v>
      </c>
      <c r="AV236" s="1626" t="n"/>
      <c r="AW236" s="1626" t="n"/>
      <c r="AX236" s="1626" t="n"/>
      <c r="AY236" s="1626" t="n"/>
      <c r="AZ236" s="1625" t="n">
        <v>7.9</v>
      </c>
      <c r="BA236" s="1626" t="n"/>
      <c r="BB236" s="1626" t="n"/>
      <c r="BC236" s="1626" t="n"/>
      <c r="BD236" s="1626" t="n"/>
      <c r="BE236" s="1625" t="n">
        <v>10.4</v>
      </c>
      <c r="BF236" s="1626" t="n"/>
      <c r="BG236" s="1626" t="n"/>
      <c r="BH236" s="1626" t="n"/>
      <c r="BI236" s="1626" t="n"/>
      <c r="BJ236" s="1625" t="n">
        <v>16</v>
      </c>
      <c r="BK236" s="1626" t="n"/>
      <c r="BL236" s="1626" t="n"/>
      <c r="BM236" s="1626" t="n"/>
      <c r="BN236" s="1626" t="n"/>
      <c r="BO236" s="1627" t="n"/>
      <c r="BP236" s="1626" t="n"/>
      <c r="BQ236" s="1626" t="n"/>
      <c r="BR236" s="1626" t="n"/>
      <c r="BS236" s="1626" t="n"/>
      <c r="BT236" s="1624" t="n"/>
      <c r="BU236" s="1626" t="n"/>
      <c r="BV236" s="1626" t="n"/>
      <c r="BW236" s="1626" t="n"/>
      <c r="BX236" s="1626" t="n"/>
      <c r="BY236" s="1624" t="n"/>
      <c r="BZ236" s="1624" t="n"/>
      <c r="CA236" s="1624" t="n"/>
      <c r="CB236" s="1624" t="n"/>
      <c r="CC236" s="1564" t="n"/>
    </row>
    <row r="237" hidden="1" outlineLevel="2" ht="15" customFormat="1" customHeight="1" s="1561">
      <c r="A237" s="1734" t="inlineStr">
        <is>
          <t>Korea Long-lived assets, mm</t>
        </is>
      </c>
      <c r="B237" s="1623" t="n"/>
      <c r="C237" s="1637" t="n"/>
      <c r="D237" s="1637" t="n"/>
      <c r="E237" s="1624" t="n"/>
      <c r="F237" s="1637" t="n"/>
      <c r="G237" s="1706" t="n">
        <v>16.155</v>
      </c>
      <c r="H237" s="1626" t="n"/>
      <c r="I237" s="1626" t="n"/>
      <c r="J237" s="1626" t="n"/>
      <c r="K237" s="1626" t="n"/>
      <c r="L237" s="1706" t="n">
        <v>16.684</v>
      </c>
      <c r="M237" s="1626" t="n"/>
      <c r="N237" s="1626" t="n"/>
      <c r="O237" s="1626" t="n"/>
      <c r="P237" s="1626" t="n"/>
      <c r="Q237" s="1706" t="n">
        <v>11.626</v>
      </c>
      <c r="R237" s="1626" t="n"/>
      <c r="S237" s="1626" t="n"/>
      <c r="T237" s="1626" t="n"/>
      <c r="U237" s="1626" t="n"/>
      <c r="V237" s="1706" t="n">
        <v>17.354</v>
      </c>
      <c r="W237" s="1626" t="n"/>
      <c r="X237" s="1626" t="n"/>
      <c r="Y237" s="1626" t="n"/>
      <c r="Z237" s="1626" t="n"/>
      <c r="AA237" s="1706" t="n">
        <v>23.2</v>
      </c>
      <c r="AB237" s="1626" t="n"/>
      <c r="AC237" s="1626" t="n"/>
      <c r="AD237" s="1626" t="n"/>
      <c r="AE237" s="1626" t="n"/>
      <c r="AF237" s="1706" t="n">
        <v>24.6</v>
      </c>
      <c r="AG237" s="1626" t="n"/>
      <c r="AH237" s="1626" t="n"/>
      <c r="AI237" s="1626" t="n"/>
      <c r="AJ237" s="1626" t="n"/>
      <c r="AK237" s="1625" t="n">
        <v>24.1</v>
      </c>
      <c r="AL237" s="1626" t="n"/>
      <c r="AM237" s="1626" t="n"/>
      <c r="AN237" s="1626" t="n"/>
      <c r="AO237" s="1626" t="n"/>
      <c r="AP237" s="1625" t="n">
        <v>34.1</v>
      </c>
      <c r="AQ237" s="1626" t="n"/>
      <c r="AR237" s="1626" t="n"/>
      <c r="AS237" s="1626" t="n"/>
      <c r="AT237" s="1626" t="n"/>
      <c r="AU237" s="1625" t="n">
        <v>61.2</v>
      </c>
      <c r="AV237" s="1626" t="n"/>
      <c r="AW237" s="1626" t="n"/>
      <c r="AX237" s="1626" t="n"/>
      <c r="AY237" s="1626" t="n"/>
      <c r="AZ237" s="1625" t="n">
        <v>85.40000000000001</v>
      </c>
      <c r="BA237" s="1626" t="n"/>
      <c r="BB237" s="1626" t="n"/>
      <c r="BC237" s="1626" t="n"/>
      <c r="BD237" s="1626" t="n"/>
      <c r="BE237" s="1625" t="n">
        <v>148.1</v>
      </c>
      <c r="BF237" s="1626" t="n"/>
      <c r="BG237" s="1626" t="n"/>
      <c r="BH237" s="1626" t="n"/>
      <c r="BI237" s="1626" t="n"/>
      <c r="BJ237" s="1625" t="n">
        <v>241.6</v>
      </c>
      <c r="BK237" s="1626" t="n"/>
      <c r="BL237" s="1626" t="n"/>
      <c r="BM237" s="1626" t="n"/>
      <c r="BN237" s="1626" t="n"/>
      <c r="BO237" s="1627" t="n"/>
      <c r="BP237" s="1626" t="n"/>
      <c r="BQ237" s="1626" t="n"/>
      <c r="BR237" s="1626" t="n"/>
      <c r="BS237" s="1626" t="n"/>
      <c r="BT237" s="1624" t="n"/>
      <c r="BU237" s="1626" t="n"/>
      <c r="BV237" s="1626" t="n"/>
      <c r="BW237" s="1626" t="n"/>
      <c r="BX237" s="1626" t="n"/>
      <c r="BY237" s="1624" t="n"/>
      <c r="BZ237" s="1624" t="n"/>
      <c r="CA237" s="1624" t="n"/>
      <c r="CB237" s="1624" t="n"/>
      <c r="CC237" s="1564" t="n"/>
    </row>
    <row r="238" hidden="1" outlineLevel="2" ht="15" customFormat="1" customHeight="1" s="1561">
      <c r="A238" s="1734" t="inlineStr">
        <is>
          <t>Singapore Long-lived assets, mm</t>
        </is>
      </c>
      <c r="B238" s="1623" t="n"/>
      <c r="C238" s="1637" t="n"/>
      <c r="D238" s="1637" t="n"/>
      <c r="E238" s="1624" t="n"/>
      <c r="F238" s="1637" t="n"/>
      <c r="G238" s="1706" t="n">
        <v>1.109</v>
      </c>
      <c r="H238" s="1626" t="n"/>
      <c r="I238" s="1626" t="n"/>
      <c r="J238" s="1626" t="n"/>
      <c r="K238" s="1626" t="n"/>
      <c r="L238" s="1706" t="n">
        <v>0.879</v>
      </c>
      <c r="M238" s="1626" t="n"/>
      <c r="N238" s="1626" t="n"/>
      <c r="O238" s="1626" t="n"/>
      <c r="P238" s="1626" t="n"/>
      <c r="Q238" s="1706" t="n">
        <v>0.422</v>
      </c>
      <c r="R238" s="1626" t="n"/>
      <c r="S238" s="1626" t="n"/>
      <c r="T238" s="1626" t="n"/>
      <c r="U238" s="1626" t="n"/>
      <c r="V238" s="1706" t="n">
        <v>0.844</v>
      </c>
      <c r="W238" s="1626" t="n"/>
      <c r="X238" s="1626" t="n"/>
      <c r="Y238" s="1626" t="n"/>
      <c r="Z238" s="1626" t="n"/>
      <c r="AA238" s="1706" t="n">
        <v>0.8</v>
      </c>
      <c r="AB238" s="1626" t="n"/>
      <c r="AC238" s="1626" t="n"/>
      <c r="AD238" s="1626" t="n"/>
      <c r="AE238" s="1626" t="n"/>
      <c r="AF238" s="1706" t="n">
        <v>1.1</v>
      </c>
      <c r="AG238" s="1626" t="n"/>
      <c r="AH238" s="1626" t="n"/>
      <c r="AI238" s="1626" t="n"/>
      <c r="AJ238" s="1626" t="n"/>
      <c r="AK238" s="1625" t="n">
        <v>1.6</v>
      </c>
      <c r="AL238" s="1626" t="n"/>
      <c r="AM238" s="1626" t="n"/>
      <c r="AN238" s="1626" t="n"/>
      <c r="AO238" s="1626" t="n"/>
      <c r="AP238" s="1625" t="n">
        <v>2.1</v>
      </c>
      <c r="AQ238" s="1626" t="n"/>
      <c r="AR238" s="1626" t="n"/>
      <c r="AS238" s="1626" t="n"/>
      <c r="AT238" s="1626" t="n"/>
      <c r="AU238" s="1625" t="n">
        <v>7.3</v>
      </c>
      <c r="AV238" s="1626" t="n"/>
      <c r="AW238" s="1626" t="n"/>
      <c r="AX238" s="1626" t="n"/>
      <c r="AY238" s="1626" t="n"/>
      <c r="AZ238" s="1625" t="n">
        <v>5.5</v>
      </c>
      <c r="BA238" s="1626" t="n"/>
      <c r="BB238" s="1626" t="n"/>
      <c r="BC238" s="1626" t="n"/>
      <c r="BD238" s="1626" t="n"/>
      <c r="BE238" s="1625" t="n">
        <v>5</v>
      </c>
      <c r="BF238" s="1626" t="n"/>
      <c r="BG238" s="1626" t="n"/>
      <c r="BH238" s="1626" t="n"/>
      <c r="BI238" s="1626" t="n"/>
      <c r="BJ238" s="1625" t="n">
        <v>4.3</v>
      </c>
      <c r="BK238" s="1626" t="n"/>
      <c r="BL238" s="1626" t="n"/>
      <c r="BM238" s="1626" t="n"/>
      <c r="BN238" s="1626" t="n"/>
      <c r="BO238" s="1627" t="n"/>
      <c r="BP238" s="1626" t="n"/>
      <c r="BQ238" s="1626" t="n"/>
      <c r="BR238" s="1626" t="n"/>
      <c r="BS238" s="1626" t="n"/>
      <c r="BT238" s="1624" t="n"/>
      <c r="BU238" s="1626" t="n"/>
      <c r="BV238" s="1626" t="n"/>
      <c r="BW238" s="1626" t="n"/>
      <c r="BX238" s="1626" t="n"/>
      <c r="BY238" s="1624" t="n"/>
      <c r="BZ238" s="1624" t="n"/>
      <c r="CA238" s="1624" t="n"/>
      <c r="CB238" s="1624" t="n"/>
      <c r="CC238" s="1564" t="n"/>
    </row>
    <row r="239" hidden="1" outlineLevel="2" ht="15" customFormat="1" customHeight="1" s="1561">
      <c r="A239" s="1734" t="inlineStr">
        <is>
          <t>Taiwan Long-lived assets, mm</t>
        </is>
      </c>
      <c r="B239" s="1623" t="n"/>
      <c r="C239" s="1637" t="n"/>
      <c r="D239" s="1637" t="n"/>
      <c r="E239" s="1624" t="n"/>
      <c r="F239" s="1637" t="n"/>
      <c r="G239" s="1706" t="n">
        <v>48.427</v>
      </c>
      <c r="H239" s="1626" t="n"/>
      <c r="I239" s="1626" t="n"/>
      <c r="J239" s="1626" t="n"/>
      <c r="K239" s="1626" t="n"/>
      <c r="L239" s="1706" t="n">
        <v>60.241</v>
      </c>
      <c r="M239" s="1626" t="n"/>
      <c r="N239" s="1626" t="n"/>
      <c r="O239" s="1626" t="n"/>
      <c r="P239" s="1626" t="n"/>
      <c r="Q239" s="1706" t="n">
        <v>60.029</v>
      </c>
      <c r="R239" s="1626" t="n"/>
      <c r="S239" s="1626" t="n"/>
      <c r="T239" s="1626" t="n"/>
      <c r="U239" s="1626" t="n"/>
      <c r="V239" s="1706" t="n">
        <v>125.456</v>
      </c>
      <c r="W239" s="1626" t="n"/>
      <c r="X239" s="1626" t="n"/>
      <c r="Y239" s="1626" t="n"/>
      <c r="Z239" s="1626" t="n"/>
      <c r="AA239" s="1706" t="n">
        <v>88.09999999999999</v>
      </c>
      <c r="AB239" s="1626" t="n"/>
      <c r="AC239" s="1626" t="n"/>
      <c r="AD239" s="1626" t="n"/>
      <c r="AE239" s="1626" t="n"/>
      <c r="AF239" s="1706" t="n">
        <v>96.5</v>
      </c>
      <c r="AG239" s="1626" t="n"/>
      <c r="AH239" s="1626" t="n"/>
      <c r="AI239" s="1626" t="n"/>
      <c r="AJ239" s="1626" t="n"/>
      <c r="AK239" s="1625" t="n">
        <v>131.6</v>
      </c>
      <c r="AL239" s="1626" t="n"/>
      <c r="AM239" s="1626" t="n"/>
      <c r="AN239" s="1626" t="n"/>
      <c r="AO239" s="1626" t="n"/>
      <c r="AP239" s="1625" t="n">
        <v>164.3</v>
      </c>
      <c r="AQ239" s="1626" t="n"/>
      <c r="AR239" s="1626" t="n"/>
      <c r="AS239" s="1626" t="n"/>
      <c r="AT239" s="1626" t="n"/>
      <c r="AU239" s="1625" t="n">
        <v>163.6</v>
      </c>
      <c r="AV239" s="1626" t="n"/>
      <c r="AW239" s="1626" t="n"/>
      <c r="AX239" s="1626" t="n"/>
      <c r="AY239" s="1626" t="n"/>
      <c r="AZ239" s="1625" t="n">
        <v>216.3</v>
      </c>
      <c r="BA239" s="1626" t="n"/>
      <c r="BB239" s="1626" t="n"/>
      <c r="BC239" s="1626" t="n"/>
      <c r="BD239" s="1626" t="n"/>
      <c r="BE239" s="1625" t="n">
        <v>354.5</v>
      </c>
      <c r="BF239" s="1626" t="n"/>
      <c r="BG239" s="1626" t="n"/>
      <c r="BH239" s="1626" t="n"/>
      <c r="BI239" s="1626" t="n"/>
      <c r="BJ239" s="1625" t="n">
        <v>473.8</v>
      </c>
      <c r="BK239" s="1626" t="n"/>
      <c r="BL239" s="1626" t="n"/>
      <c r="BM239" s="1626" t="n"/>
      <c r="BN239" s="1626" t="n"/>
      <c r="BO239" s="1627" t="n"/>
      <c r="BP239" s="1626" t="n"/>
      <c r="BQ239" s="1626" t="n"/>
      <c r="BR239" s="1626" t="n"/>
      <c r="BS239" s="1626" t="n"/>
      <c r="BT239" s="1624" t="n"/>
      <c r="BU239" s="1626" t="n"/>
      <c r="BV239" s="1626" t="n"/>
      <c r="BW239" s="1626" t="n"/>
      <c r="BX239" s="1626" t="n"/>
      <c r="BY239" s="1624" t="n"/>
      <c r="BZ239" s="1624" t="n"/>
      <c r="CA239" s="1624" t="n"/>
      <c r="CB239" s="1624" t="n"/>
      <c r="CC239" s="1564" t="n"/>
    </row>
    <row r="240" hidden="1" outlineLevel="2" ht="15" customFormat="1" customHeight="1" s="1561">
      <c r="A240" s="1734" t="inlineStr">
        <is>
          <t>China Long-lived assets, mm</t>
        </is>
      </c>
      <c r="B240" s="1623" t="n"/>
      <c r="C240" s="1637" t="n"/>
      <c r="D240" s="1637" t="n"/>
      <c r="E240" s="1637" t="n"/>
      <c r="F240" s="1637" t="n"/>
      <c r="G240" s="1637" t="n"/>
      <c r="H240" s="1626" t="n"/>
      <c r="I240" s="1626" t="n"/>
      <c r="J240" s="1626" t="n"/>
      <c r="K240" s="1626" t="n"/>
      <c r="L240" s="1637" t="n"/>
      <c r="M240" s="1626" t="n"/>
      <c r="N240" s="1626" t="n"/>
      <c r="O240" s="1626" t="n"/>
      <c r="P240" s="1626" t="n"/>
      <c r="Q240" s="1637" t="n"/>
      <c r="R240" s="1626" t="n"/>
      <c r="S240" s="1626" t="n"/>
      <c r="T240" s="1626" t="n"/>
      <c r="U240" s="1626" t="n"/>
      <c r="V240" s="1706" t="n">
        <v>3.156</v>
      </c>
      <c r="W240" s="1626" t="n"/>
      <c r="X240" s="1626" t="n"/>
      <c r="Y240" s="1626" t="n"/>
      <c r="Z240" s="1626" t="n"/>
      <c r="AA240" s="1706" t="n">
        <v>4.1</v>
      </c>
      <c r="AB240" s="1626" t="n"/>
      <c r="AC240" s="1626" t="n"/>
      <c r="AD240" s="1626" t="n"/>
      <c r="AE240" s="1626" t="n"/>
      <c r="AF240" s="1706" t="n">
        <v>16.2</v>
      </c>
      <c r="AG240" s="1626" t="n"/>
      <c r="AH240" s="1626" t="n"/>
      <c r="AI240" s="1626" t="n"/>
      <c r="AJ240" s="1626" t="n"/>
      <c r="AK240" s="1625" t="n">
        <v>21.3</v>
      </c>
      <c r="AL240" s="1626" t="n"/>
      <c r="AM240" s="1626" t="n"/>
      <c r="AN240" s="1626" t="n"/>
      <c r="AO240" s="1626" t="n"/>
      <c r="AP240" s="1625" t="n">
        <v>17.8</v>
      </c>
      <c r="AQ240" s="1626" t="n"/>
      <c r="AR240" s="1626" t="n"/>
      <c r="AS240" s="1626" t="n"/>
      <c r="AT240" s="1626" t="n"/>
      <c r="AU240" s="1625" t="n">
        <v>17</v>
      </c>
      <c r="AV240" s="1626" t="n"/>
      <c r="AW240" s="1626" t="n"/>
      <c r="AX240" s="1626" t="n"/>
      <c r="AY240" s="1626" t="n"/>
      <c r="AZ240" s="1625" t="n">
        <v>40.8</v>
      </c>
      <c r="BA240" s="1626" t="n"/>
      <c r="BB240" s="1626" t="n"/>
      <c r="BC240" s="1626" t="n"/>
      <c r="BD240" s="1626" t="n"/>
      <c r="BE240" s="1625" t="n">
        <v>48.6</v>
      </c>
      <c r="BF240" s="1626" t="n"/>
      <c r="BG240" s="1626" t="n"/>
      <c r="BH240" s="1626" t="n"/>
      <c r="BI240" s="1626" t="n"/>
      <c r="BJ240" s="1625" t="n">
        <v>72.7</v>
      </c>
      <c r="BK240" s="1626" t="n"/>
      <c r="BL240" s="1626" t="n"/>
      <c r="BM240" s="1626" t="n"/>
      <c r="BN240" s="1626" t="n"/>
      <c r="BO240" s="1627" t="n"/>
      <c r="BP240" s="1626" t="n"/>
      <c r="BQ240" s="1626" t="n"/>
      <c r="BR240" s="1626" t="n"/>
      <c r="BS240" s="1626" t="n"/>
      <c r="BT240" s="1624" t="n"/>
      <c r="BU240" s="1626" t="n"/>
      <c r="BV240" s="1626" t="n"/>
      <c r="BW240" s="1626" t="n"/>
      <c r="BX240" s="1626" t="n"/>
      <c r="BY240" s="1624" t="n"/>
      <c r="BZ240" s="1624" t="n"/>
      <c r="CA240" s="1624" t="n"/>
      <c r="CB240" s="1624" t="n"/>
      <c r="CC240" s="1564" t="n"/>
    </row>
    <row r="241" hidden="1" outlineLevel="2" ht="15" customFormat="1" customHeight="1" s="1561">
      <c r="A241" s="1734" t="inlineStr">
        <is>
          <t>Rest of Asia Long-lived assets, mm</t>
        </is>
      </c>
      <c r="B241" s="1623" t="n"/>
      <c r="C241" s="1637" t="n"/>
      <c r="D241" s="1637" t="n"/>
      <c r="E241" s="1637" t="n"/>
      <c r="F241" s="1637" t="n"/>
      <c r="G241" s="1706" t="n">
        <v>3.742</v>
      </c>
      <c r="H241" s="1626" t="n"/>
      <c r="I241" s="1626" t="n"/>
      <c r="J241" s="1626" t="n"/>
      <c r="K241" s="1626" t="n"/>
      <c r="L241" s="1706" t="n">
        <v>3.807</v>
      </c>
      <c r="M241" s="1626" t="n"/>
      <c r="N241" s="1626" t="n"/>
      <c r="O241" s="1626" t="n"/>
      <c r="P241" s="1626" t="n"/>
      <c r="Q241" s="1706" t="n">
        <v>3.485</v>
      </c>
      <c r="R241" s="1626" t="n"/>
      <c r="S241" s="1626" t="n"/>
      <c r="T241" s="1626" t="n"/>
      <c r="U241" s="1626" t="n"/>
      <c r="V241" s="1706" t="n">
        <v>2.757</v>
      </c>
      <c r="W241" s="1626" t="n"/>
      <c r="X241" s="1626" t="n"/>
      <c r="Y241" s="1626" t="n"/>
      <c r="Z241" s="1626" t="n"/>
      <c r="AA241" s="1706" t="n">
        <v>3</v>
      </c>
      <c r="AB241" s="1626" t="n"/>
      <c r="AC241" s="1626" t="n"/>
      <c r="AD241" s="1626" t="n"/>
      <c r="AE241" s="1626" t="n"/>
      <c r="AF241" s="1706" t="n">
        <v>0.4</v>
      </c>
      <c r="AG241" s="1626" t="n"/>
      <c r="AH241" s="1626" t="n"/>
      <c r="AI241" s="1626" t="n"/>
      <c r="AJ241" s="1626" t="n"/>
      <c r="AK241" s="1625" t="n">
        <v>0.5</v>
      </c>
      <c r="AL241" s="1626" t="n"/>
      <c r="AM241" s="1626" t="n"/>
      <c r="AN241" s="1626" t="n"/>
      <c r="AO241" s="1626" t="n"/>
      <c r="AP241" s="1625" t="n">
        <v>0.4</v>
      </c>
      <c r="AQ241" s="1626" t="n"/>
      <c r="AR241" s="1626" t="n"/>
      <c r="AS241" s="1626" t="n"/>
      <c r="AT241" s="1626" t="n"/>
      <c r="AU241" s="1625" t="n">
        <v>0.2</v>
      </c>
      <c r="AV241" s="1626" t="n"/>
      <c r="AW241" s="1626" t="n"/>
      <c r="AX241" s="1626" t="n"/>
      <c r="AY241" s="1626" t="n"/>
      <c r="AZ241" s="1625" t="n">
        <v>0.2</v>
      </c>
      <c r="BA241" s="1626" t="n"/>
      <c r="BB241" s="1626" t="n"/>
      <c r="BC241" s="1626" t="n"/>
      <c r="BD241" s="1626" t="n"/>
      <c r="BE241" s="1625" t="n">
        <v>0.2</v>
      </c>
      <c r="BF241" s="1626" t="n"/>
      <c r="BG241" s="1626" t="n"/>
      <c r="BH241" s="1626" t="n"/>
      <c r="BI241" s="1626" t="n"/>
      <c r="BJ241" s="1625" t="n">
        <v>0.1</v>
      </c>
      <c r="BK241" s="1626" t="n"/>
      <c r="BL241" s="1626" t="n"/>
      <c r="BM241" s="1626" t="n"/>
      <c r="BN241" s="1626" t="n"/>
      <c r="BO241" s="1627" t="n"/>
      <c r="BP241" s="1626" t="n"/>
      <c r="BQ241" s="1626" t="n"/>
      <c r="BR241" s="1626" t="n"/>
      <c r="BS241" s="1626" t="n"/>
      <c r="BT241" s="1624" t="n"/>
      <c r="BU241" s="1626" t="n"/>
      <c r="BV241" s="1626" t="n"/>
      <c r="BW241" s="1626" t="n"/>
      <c r="BX241" s="1626" t="n"/>
      <c r="BY241" s="1624" t="n"/>
      <c r="BZ241" s="1624" t="n"/>
      <c r="CA241" s="1624" t="n"/>
      <c r="CB241" s="1624" t="n"/>
      <c r="CC241" s="1564" t="n"/>
    </row>
    <row r="242" hidden="1" outlineLevel="2" ht="15" customFormat="1" customHeight="1" s="1561">
      <c r="A242" s="1734" t="inlineStr">
        <is>
          <t>Netherlands Long-lived assets, mm</t>
        </is>
      </c>
      <c r="B242" s="1623" t="n"/>
      <c r="C242" s="1637" t="n"/>
      <c r="D242" s="1637" t="n"/>
      <c r="E242" s="1637" t="n"/>
      <c r="F242" s="1637" t="n"/>
      <c r="G242" s="1706" t="n">
        <v>969.192</v>
      </c>
      <c r="H242" s="1626" t="n"/>
      <c r="I242" s="1626" t="n"/>
      <c r="J242" s="1626" t="n"/>
      <c r="K242" s="1626" t="n"/>
      <c r="L242" s="1706" t="n">
        <v>1124.632</v>
      </c>
      <c r="M242" s="1626" t="n"/>
      <c r="N242" s="1626" t="n"/>
      <c r="O242" s="1626" t="n"/>
      <c r="P242" s="1626" t="n"/>
      <c r="Q242" s="1706" t="n">
        <v>1229.8</v>
      </c>
      <c r="R242" s="1626" t="n"/>
      <c r="S242" s="1626" t="n"/>
      <c r="T242" s="1626" t="n"/>
      <c r="U242" s="1626" t="n"/>
      <c r="V242" s="1706" t="n">
        <v>1201.437</v>
      </c>
      <c r="W242" s="1626" t="n"/>
      <c r="X242" s="1626" t="n"/>
      <c r="Y242" s="1626" t="n"/>
      <c r="Z242" s="1626" t="n"/>
      <c r="AA242" s="1706" t="n">
        <v>1186</v>
      </c>
      <c r="AB242" s="1626" t="n"/>
      <c r="AC242" s="1626" t="n"/>
      <c r="AD242" s="1626" t="n"/>
      <c r="AE242" s="1626" t="n"/>
      <c r="AF242" s="1706" t="n">
        <v>1113.8</v>
      </c>
      <c r="AG242" s="1626" t="n"/>
      <c r="AH242" s="1626" t="n"/>
      <c r="AI242" s="1626" t="n"/>
      <c r="AJ242" s="1626" t="n"/>
      <c r="AK242" s="1625" t="n">
        <v>1396</v>
      </c>
      <c r="AL242" s="1626" t="n"/>
      <c r="AM242" s="1626" t="n"/>
      <c r="AN242" s="1626" t="n"/>
      <c r="AO242" s="1626" t="n"/>
      <c r="AP242" s="1625" t="n">
        <v>1625.2</v>
      </c>
      <c r="AQ242" s="1626" t="n"/>
      <c r="AR242" s="1626" t="n"/>
      <c r="AS242" s="1626" t="n"/>
      <c r="AT242" s="1626" t="n"/>
      <c r="AU242" s="1625" t="n">
        <v>2048.1</v>
      </c>
      <c r="AV242" s="1626" t="n"/>
      <c r="AW242" s="1626" t="n"/>
      <c r="AX242" s="1626" t="n"/>
      <c r="AY242" s="1626" t="n"/>
      <c r="AZ242" s="1625" t="n">
        <v>2748.5</v>
      </c>
      <c r="BA242" s="1626" t="n"/>
      <c r="BB242" s="1626" t="n"/>
      <c r="BC242" s="1626" t="n"/>
      <c r="BD242" s="1626" t="n"/>
      <c r="BE242" s="1625" t="n">
        <v>3783.6</v>
      </c>
      <c r="BF242" s="1626" t="n"/>
      <c r="BG242" s="1626" t="n"/>
      <c r="BH242" s="1626" t="n"/>
      <c r="BI242" s="1626" t="n"/>
      <c r="BJ242" s="1625" t="n">
        <v>4621.4</v>
      </c>
      <c r="BK242" s="1626" t="n"/>
      <c r="BL242" s="1626" t="n"/>
      <c r="BM242" s="1626" t="n"/>
      <c r="BN242" s="1626" t="n"/>
      <c r="BO242" s="1627" t="n"/>
      <c r="BP242" s="1626" t="n"/>
      <c r="BQ242" s="1626" t="n"/>
      <c r="BR242" s="1626" t="n"/>
      <c r="BS242" s="1626" t="n"/>
      <c r="BT242" s="1624" t="n"/>
      <c r="BU242" s="1626" t="n"/>
      <c r="BV242" s="1626" t="n"/>
      <c r="BW242" s="1626" t="n"/>
      <c r="BX242" s="1626" t="n"/>
      <c r="BY242" s="1624" t="n"/>
      <c r="BZ242" s="1624" t="n"/>
      <c r="CA242" s="1624" t="n"/>
      <c r="CB242" s="1624" t="n"/>
      <c r="CC242" s="1564" t="n"/>
    </row>
    <row r="243" hidden="1" outlineLevel="2" ht="15" customFormat="1" customHeight="1" s="1561">
      <c r="A243" s="1734" t="inlineStr">
        <is>
          <t>EMEA Long-lived assets, mm</t>
        </is>
      </c>
      <c r="B243" s="1623" t="n"/>
      <c r="C243" s="1637" t="n"/>
      <c r="D243" s="1637" t="n"/>
      <c r="E243" s="1637" t="n"/>
      <c r="F243" s="1637" t="n"/>
      <c r="G243" s="1706" t="n">
        <v>2.6</v>
      </c>
      <c r="H243" s="1626" t="n"/>
      <c r="I243" s="1626" t="n"/>
      <c r="J243" s="1626" t="n"/>
      <c r="K243" s="1626" t="n"/>
      <c r="L243" s="1706" t="n">
        <v>1.322</v>
      </c>
      <c r="M243" s="1626" t="n"/>
      <c r="N243" s="1626" t="n"/>
      <c r="O243" s="1626" t="n"/>
      <c r="P243" s="1626" t="n"/>
      <c r="Q243" s="1706" t="n">
        <v>1.313</v>
      </c>
      <c r="R243" s="1626" t="n"/>
      <c r="S243" s="1626" t="n"/>
      <c r="T243" s="1626" t="n"/>
      <c r="U243" s="1626" t="n"/>
      <c r="V243" s="1706" t="n">
        <v>4.093</v>
      </c>
      <c r="W243" s="1626" t="n"/>
      <c r="X243" s="1626" t="n"/>
      <c r="Y243" s="1626" t="n"/>
      <c r="Z243" s="1626" t="n"/>
      <c r="AA243" s="1706" t="n">
        <v>5</v>
      </c>
      <c r="AB243" s="1626" t="n"/>
      <c r="AC243" s="1626" t="n"/>
      <c r="AD243" s="1626" t="n"/>
      <c r="AE243" s="1626" t="n"/>
      <c r="AF243" s="1706" t="n">
        <v>5.1</v>
      </c>
      <c r="AG243" s="1626" t="n"/>
      <c r="AH243" s="1626" t="n"/>
      <c r="AI243" s="1626" t="n"/>
      <c r="AJ243" s="1626" t="n"/>
      <c r="AK243" s="1625" t="n">
        <v>4.3</v>
      </c>
      <c r="AL243" s="1626" t="n"/>
      <c r="AM243" s="1626" t="n"/>
      <c r="AN243" s="1626" t="n"/>
      <c r="AO243" s="1626" t="n"/>
      <c r="AP243" s="1625" t="n">
        <v>129.2</v>
      </c>
      <c r="AQ243" s="1626" t="n"/>
      <c r="AR243" s="1626" t="n"/>
      <c r="AS243" s="1626" t="n"/>
      <c r="AT243" s="1626" t="n"/>
      <c r="AU243" s="1625" t="n">
        <v>124</v>
      </c>
      <c r="AV243" s="1626" t="n"/>
      <c r="AW243" s="1626" t="n"/>
      <c r="AX243" s="1626" t="n"/>
      <c r="AY243" s="1626" t="n"/>
      <c r="AZ243" s="1625" t="n">
        <v>228.5</v>
      </c>
      <c r="BA243" s="1626" t="n"/>
      <c r="BB243" s="1626" t="n"/>
      <c r="BC243" s="1626" t="n"/>
      <c r="BD243" s="1626" t="n"/>
      <c r="BE243" s="1625" t="n">
        <v>314.5</v>
      </c>
      <c r="BF243" s="1626" t="n"/>
      <c r="BG243" s="1626" t="n"/>
      <c r="BH243" s="1626" t="n"/>
      <c r="BI243" s="1626" t="n"/>
      <c r="BJ243" s="1625" t="n">
        <v>443.1</v>
      </c>
      <c r="BK243" s="1626" t="n"/>
      <c r="BL243" s="1626" t="n"/>
      <c r="BM243" s="1626" t="n"/>
      <c r="BN243" s="1626" t="n"/>
      <c r="BO243" s="1627" t="n"/>
      <c r="BP243" s="1626" t="n"/>
      <c r="BQ243" s="1626" t="n"/>
      <c r="BR243" s="1626" t="n"/>
      <c r="BS243" s="1626" t="n"/>
      <c r="BT243" s="1624" t="n"/>
      <c r="BU243" s="1626" t="n"/>
      <c r="BV243" s="1626" t="n"/>
      <c r="BW243" s="1626" t="n"/>
      <c r="BX243" s="1626" t="n"/>
      <c r="BY243" s="1624" t="n"/>
      <c r="BZ243" s="1624" t="n"/>
      <c r="CA243" s="1624" t="n"/>
      <c r="CB243" s="1624" t="n"/>
      <c r="CC243" s="1564" t="n"/>
    </row>
    <row r="244" hidden="1" outlineLevel="2" ht="15" customFormat="1" customHeight="1" s="1561">
      <c r="A244" s="1734" t="inlineStr">
        <is>
          <t>United States Long-lived assets, mm</t>
        </is>
      </c>
      <c r="B244" s="1623" t="n"/>
      <c r="C244" s="1712" t="n"/>
      <c r="D244" s="1712" t="n"/>
      <c r="E244" s="1712" t="n"/>
      <c r="F244" s="1712" t="n"/>
      <c r="G244" s="1709" t="n">
        <v>173.275</v>
      </c>
      <c r="H244" s="1626" t="n"/>
      <c r="I244" s="1626" t="n"/>
      <c r="J244" s="1626" t="n"/>
      <c r="K244" s="1626" t="n"/>
      <c r="L244" s="1709" t="n">
        <v>236.263</v>
      </c>
      <c r="M244" s="1626" t="n"/>
      <c r="N244" s="1626" t="n"/>
      <c r="O244" s="1626" t="n"/>
      <c r="P244" s="1626" t="n"/>
      <c r="Q244" s="1709" t="n">
        <v>310.794</v>
      </c>
      <c r="R244" s="1626" t="n"/>
      <c r="S244" s="1626" t="n"/>
      <c r="T244" s="1626" t="n"/>
      <c r="U244" s="1626" t="n"/>
      <c r="V244" s="1709" t="n">
        <v>327.863</v>
      </c>
      <c r="W244" s="1626" t="n"/>
      <c r="X244" s="1626" t="n"/>
      <c r="Y244" s="1626" t="n"/>
      <c r="Z244" s="1626" t="n"/>
      <c r="AA244" s="1709" t="n">
        <v>287.2</v>
      </c>
      <c r="AB244" s="1626" t="n"/>
      <c r="AC244" s="1626" t="n"/>
      <c r="AD244" s="1626" t="n"/>
      <c r="AE244" s="1626" t="n"/>
      <c r="AF244" s="1709" t="n">
        <v>323.6</v>
      </c>
      <c r="AG244" s="1626" t="n"/>
      <c r="AH244" s="1626" t="n"/>
      <c r="AI244" s="1626" t="n"/>
      <c r="AJ244" s="1626" t="n"/>
      <c r="AK244" s="1625" t="n">
        <v>413.4</v>
      </c>
      <c r="AL244" s="1626" t="n"/>
      <c r="AM244" s="1626" t="n"/>
      <c r="AN244" s="1626" t="n"/>
      <c r="AO244" s="1626" t="n"/>
      <c r="AP244" s="1625" t="n">
        <v>488.9</v>
      </c>
      <c r="AQ244" s="1626" t="n"/>
      <c r="AR244" s="1626" t="n"/>
      <c r="AS244" s="1626" t="n"/>
      <c r="AT244" s="1626" t="n"/>
      <c r="AU244" s="1625" t="n">
        <v>555.8</v>
      </c>
      <c r="AV244" s="1626" t="n"/>
      <c r="AW244" s="1626" t="n"/>
      <c r="AX244" s="1626" t="n"/>
      <c r="AY244" s="1626" t="n"/>
      <c r="AZ244" s="1625" t="n">
        <v>803.8</v>
      </c>
      <c r="BA244" s="1626" t="n"/>
      <c r="BB244" s="1626" t="n"/>
      <c r="BC244" s="1626" t="n"/>
      <c r="BD244" s="1626" t="n"/>
      <c r="BE244" s="1625" t="n">
        <v>1134.9</v>
      </c>
      <c r="BF244" s="1626" t="n"/>
      <c r="BG244" s="1626" t="n"/>
      <c r="BH244" s="1626" t="n"/>
      <c r="BI244" s="1626" t="n"/>
      <c r="BJ244" s="1625" t="n">
        <v>1361</v>
      </c>
      <c r="BK244" s="1626" t="n"/>
      <c r="BL244" s="1626" t="n"/>
      <c r="BM244" s="1626" t="n"/>
      <c r="BN244" s="1626" t="n"/>
      <c r="BO244" s="1627" t="n"/>
      <c r="BP244" s="1626" t="n"/>
      <c r="BQ244" s="1626" t="n"/>
      <c r="BR244" s="1626" t="n"/>
      <c r="BS244" s="1626" t="n"/>
      <c r="BT244" s="1624" t="n"/>
      <c r="BU244" s="1626" t="n"/>
      <c r="BV244" s="1626" t="n"/>
      <c r="BW244" s="1626" t="n"/>
      <c r="BX244" s="1626" t="n"/>
      <c r="BY244" s="1624" t="n"/>
      <c r="BZ244" s="1624" t="n"/>
      <c r="CA244" s="1624" t="n"/>
      <c r="CB244" s="1624" t="n"/>
      <c r="CC244" s="1564" t="n"/>
    </row>
    <row r="245" hidden="1" outlineLevel="2" ht="15" customFormat="1" customHeight="1" s="1628">
      <c r="A245" s="1778" t="inlineStr">
        <is>
          <t>Total Long-lived assets, mm</t>
        </is>
      </c>
      <c r="B245" s="1630" t="n"/>
      <c r="C245" s="1631" t="n"/>
      <c r="D245" s="1631" t="n"/>
      <c r="E245" s="1631" t="n"/>
      <c r="F245" s="1631" t="n"/>
      <c r="G245" s="1723">
        <f>SUM(G236:G244)</f>
        <v/>
      </c>
      <c r="H245" s="1632" t="n"/>
      <c r="I245" s="1632" t="n"/>
      <c r="J245" s="1632" t="n"/>
      <c r="K245" s="1632" t="n"/>
      <c r="L245" s="1723">
        <f>SUM(L236:L244)</f>
        <v/>
      </c>
      <c r="M245" s="1632" t="n"/>
      <c r="N245" s="1632" t="n"/>
      <c r="O245" s="1632" t="n"/>
      <c r="P245" s="1632" t="n"/>
      <c r="Q245" s="1723">
        <f>SUM(Q236:Q244)</f>
        <v/>
      </c>
      <c r="R245" s="1632" t="n"/>
      <c r="S245" s="1632" t="n"/>
      <c r="T245" s="1632" t="n"/>
      <c r="U245" s="1632" t="n"/>
      <c r="V245" s="1723">
        <f>SUM(V236:V244)</f>
        <v/>
      </c>
      <c r="W245" s="1632" t="n"/>
      <c r="X245" s="1632" t="n"/>
      <c r="Y245" s="1632" t="n"/>
      <c r="Z245" s="1632" t="n"/>
      <c r="AA245" s="1779">
        <f>SUM(AA236:AA244)</f>
        <v/>
      </c>
      <c r="AB245" s="1632" t="n"/>
      <c r="AC245" s="1632" t="n"/>
      <c r="AD245" s="1632" t="n"/>
      <c r="AE245" s="1632" t="n"/>
      <c r="AF245" s="1779">
        <f>SUM(AF236:AF244)</f>
        <v/>
      </c>
      <c r="AG245" s="1632" t="n"/>
      <c r="AH245" s="1632" t="n"/>
      <c r="AI245" s="1632" t="n"/>
      <c r="AJ245" s="1632" t="n"/>
      <c r="AK245" s="1723">
        <f>SUM(AK236:AK244)</f>
        <v/>
      </c>
      <c r="AL245" s="1632" t="n"/>
      <c r="AM245" s="1632" t="n"/>
      <c r="AN245" s="1632" t="n"/>
      <c r="AO245" s="1632" t="n"/>
      <c r="AP245" s="1723">
        <f>SUM(AP236:AP244)</f>
        <v/>
      </c>
      <c r="AQ245" s="1632" t="n"/>
      <c r="AR245" s="1632" t="n"/>
      <c r="AS245" s="1632" t="n"/>
      <c r="AT245" s="1632" t="n"/>
      <c r="AU245" s="1631">
        <f>SUM(AU236:AU244)</f>
        <v/>
      </c>
      <c r="AV245" s="1632" t="n"/>
      <c r="AW245" s="1632" t="n"/>
      <c r="AX245" s="1632" t="n"/>
      <c r="AY245" s="1632" t="n"/>
      <c r="AZ245" s="1631">
        <f>SUM(AZ236:AZ244)</f>
        <v/>
      </c>
      <c r="BA245" s="1632" t="n"/>
      <c r="BB245" s="1632" t="n"/>
      <c r="BC245" s="1632" t="n"/>
      <c r="BD245" s="1632" t="n"/>
      <c r="BE245" s="1631">
        <f>SUM(BE236:BE244)</f>
        <v/>
      </c>
      <c r="BF245" s="1632" t="n"/>
      <c r="BG245" s="1632" t="n"/>
      <c r="BH245" s="1632" t="n"/>
      <c r="BI245" s="1632" t="n"/>
      <c r="BJ245" s="1631">
        <f>SUM(BJ236:BJ244)</f>
        <v/>
      </c>
      <c r="BK245" s="1632" t="n"/>
      <c r="BL245" s="1632" t="n"/>
      <c r="BM245" s="1632" t="n"/>
      <c r="BN245" s="1632" t="n"/>
      <c r="BO245" s="1633" t="n"/>
      <c r="BP245" s="1632" t="n"/>
      <c r="BQ245" s="1632" t="n"/>
      <c r="BR245" s="1632" t="n"/>
      <c r="BS245" s="1632" t="n"/>
      <c r="BT245" s="1631" t="n"/>
      <c r="BU245" s="1632" t="n"/>
      <c r="BV245" s="1632" t="n"/>
      <c r="BW245" s="1632" t="n"/>
      <c r="BX245" s="1632" t="n"/>
      <c r="BY245" s="1631" t="n"/>
      <c r="BZ245" s="1631" t="n"/>
      <c r="CA245" s="1631" t="n"/>
      <c r="CB245" s="1631" t="n"/>
      <c r="CC245" s="1634" t="n"/>
    </row>
    <row r="246" hidden="1" outlineLevel="1" collapsed="1" ht="15" customFormat="1" customHeight="1" s="1628">
      <c r="A246" s="1703" t="n"/>
      <c r="B246" s="1682" t="n"/>
      <c r="C246" s="1683" t="n"/>
      <c r="D246" s="1683" t="n"/>
      <c r="E246" s="1683" t="n"/>
      <c r="F246" s="1683" t="n"/>
      <c r="G246" s="1683" t="n"/>
      <c r="H246" s="1684" t="n"/>
      <c r="I246" s="1684" t="n"/>
      <c r="J246" s="1684" t="n"/>
      <c r="K246" s="1684" t="n"/>
      <c r="L246" s="1683" t="n"/>
      <c r="M246" s="1684" t="n"/>
      <c r="N246" s="1684" t="n"/>
      <c r="O246" s="1684" t="n"/>
      <c r="P246" s="1684" t="n"/>
      <c r="Q246" s="1683" t="n"/>
      <c r="R246" s="1684" t="n"/>
      <c r="S246" s="1684" t="n"/>
      <c r="T246" s="1684" t="n"/>
      <c r="U246" s="1684" t="n"/>
      <c r="V246" s="1683" t="n"/>
      <c r="W246" s="1684" t="n"/>
      <c r="X246" s="1684" t="n"/>
      <c r="Y246" s="1684" t="n"/>
      <c r="Z246" s="1684" t="n"/>
      <c r="AA246" s="1683" t="n"/>
      <c r="AB246" s="1684" t="n"/>
      <c r="AC246" s="1684" t="n"/>
      <c r="AD246" s="1684" t="n"/>
      <c r="AE246" s="1684" t="n"/>
      <c r="AF246" s="1683" t="n"/>
      <c r="AG246" s="1684" t="n"/>
      <c r="AH246" s="1684" t="n"/>
      <c r="AI246" s="1684" t="n"/>
      <c r="AJ246" s="1684" t="n"/>
      <c r="AK246" s="1683" t="n"/>
      <c r="AL246" s="1684" t="n"/>
      <c r="AM246" s="1684" t="n"/>
      <c r="AN246" s="1684" t="n"/>
      <c r="AO246" s="1684" t="n"/>
      <c r="AP246" s="1683" t="n"/>
      <c r="AQ246" s="1684" t="n"/>
      <c r="AR246" s="1684" t="n"/>
      <c r="AS246" s="1684" t="n"/>
      <c r="AT246" s="1684" t="n"/>
      <c r="AU246" s="1683" t="n"/>
      <c r="AV246" s="1684" t="n"/>
      <c r="AW246" s="1684" t="n"/>
      <c r="AX246" s="1684" t="n"/>
      <c r="AY246" s="1684" t="n"/>
      <c r="AZ246" s="1683" t="n"/>
      <c r="BA246" s="1684" t="n"/>
      <c r="BB246" s="1684" t="n"/>
      <c r="BC246" s="1684" t="n"/>
      <c r="BD246" s="1684" t="n"/>
      <c r="BE246" s="1683" t="n"/>
      <c r="BF246" s="1684" t="n"/>
      <c r="BG246" s="1684" t="n"/>
      <c r="BH246" s="1684" t="n"/>
      <c r="BI246" s="1684" t="n"/>
      <c r="BJ246" s="1683" t="n"/>
      <c r="BK246" s="1684" t="n"/>
      <c r="BL246" s="1684" t="n"/>
      <c r="BM246" s="1684" t="n"/>
      <c r="BN246" s="1684" t="n"/>
      <c r="BO246" s="1685" t="n"/>
      <c r="BP246" s="1684" t="n"/>
      <c r="BQ246" s="1684" t="n"/>
      <c r="BR246" s="1684" t="n"/>
      <c r="BS246" s="1684" t="n"/>
      <c r="BT246" s="1683" t="n"/>
      <c r="BU246" s="1684" t="n"/>
      <c r="BV246" s="1684" t="n"/>
      <c r="BW246" s="1684" t="n"/>
      <c r="BX246" s="1684" t="n"/>
      <c r="BY246" s="1683" t="n"/>
      <c r="BZ246" s="1683" t="n"/>
      <c r="CA246" s="1683" t="n"/>
      <c r="CB246" s="1683" t="n"/>
      <c r="CC246" s="1634" t="n"/>
    </row>
    <row r="247" hidden="1" outlineLevel="1" ht="15" customFormat="1" customHeight="1" s="1628">
      <c r="A247" s="1679" t="inlineStr">
        <is>
          <t>Key Metrics - Personnel Related Metrics (FS)</t>
        </is>
      </c>
      <c r="B247" s="1679" t="n"/>
      <c r="C247" s="1679" t="n"/>
      <c r="D247" s="1679" t="n"/>
      <c r="E247" s="1679" t="n"/>
      <c r="F247" s="1679" t="n"/>
      <c r="G247" s="1679" t="n"/>
      <c r="H247" s="1679" t="n"/>
      <c r="I247" s="1679" t="n"/>
      <c r="J247" s="1679" t="n"/>
      <c r="K247" s="1679" t="n"/>
      <c r="L247" s="1679" t="n"/>
      <c r="M247" s="1679" t="n"/>
      <c r="N247" s="1679" t="n"/>
      <c r="O247" s="1679" t="n"/>
      <c r="P247" s="1679" t="n"/>
      <c r="Q247" s="1679" t="n"/>
      <c r="R247" s="1679" t="n"/>
      <c r="S247" s="1679" t="n"/>
      <c r="T247" s="1679" t="n"/>
      <c r="U247" s="1679" t="n"/>
      <c r="V247" s="1679" t="n"/>
      <c r="W247" s="1679" t="n"/>
      <c r="X247" s="1679" t="n"/>
      <c r="Y247" s="1679" t="n"/>
      <c r="Z247" s="1679" t="n"/>
      <c r="AA247" s="1679" t="n"/>
      <c r="AB247" s="1679" t="n"/>
      <c r="AC247" s="1679" t="n"/>
      <c r="AD247" s="1679" t="n"/>
      <c r="AE247" s="1679" t="n"/>
      <c r="AF247" s="1679" t="n"/>
      <c r="AG247" s="1679" t="n"/>
      <c r="AH247" s="1679" t="n"/>
      <c r="AI247" s="1679" t="n"/>
      <c r="AJ247" s="1679" t="n"/>
      <c r="AK247" s="1679" t="n"/>
      <c r="AL247" s="1679" t="n"/>
      <c r="AM247" s="1679" t="n"/>
      <c r="AN247" s="1679" t="n"/>
      <c r="AO247" s="1679" t="n"/>
      <c r="AP247" s="1679" t="n"/>
      <c r="AQ247" s="1679" t="n"/>
      <c r="AR247" s="1679" t="n"/>
      <c r="AS247" s="1679" t="n"/>
      <c r="AT247" s="1679" t="n"/>
      <c r="AU247" s="1679" t="n"/>
      <c r="AV247" s="1679" t="n"/>
      <c r="AW247" s="1679" t="n"/>
      <c r="AX247" s="1679" t="n"/>
      <c r="AY247" s="1679" t="n"/>
      <c r="AZ247" s="1679" t="n"/>
      <c r="BA247" s="1679" t="n"/>
      <c r="BB247" s="1679" t="n"/>
      <c r="BC247" s="1679" t="n"/>
      <c r="BD247" s="1679" t="n"/>
      <c r="BE247" s="1679" t="n"/>
      <c r="BF247" s="1679" t="n"/>
      <c r="BG247" s="1679" t="n"/>
      <c r="BH247" s="1679" t="n"/>
      <c r="BI247" s="1679" t="n"/>
      <c r="BJ247" s="1679" t="n"/>
      <c r="BK247" s="1679" t="n"/>
      <c r="BL247" s="1679" t="n"/>
      <c r="BM247" s="1679" t="n"/>
      <c r="BN247" s="1679" t="n"/>
      <c r="BO247" s="1680" t="n"/>
      <c r="BP247" s="1679" t="n"/>
      <c r="BQ247" s="1679" t="n"/>
      <c r="BR247" s="1679" t="n"/>
      <c r="BS247" s="1679" t="n"/>
      <c r="BT247" s="1679" t="n"/>
      <c r="BU247" s="1679" t="n"/>
      <c r="BV247" s="1679" t="n"/>
      <c r="BW247" s="1679" t="n"/>
      <c r="BX247" s="1679" t="n"/>
      <c r="BY247" s="1679" t="n"/>
      <c r="BZ247" s="1679" t="n"/>
      <c r="CA247" s="1679" t="n"/>
      <c r="CB247" s="1679" t="n"/>
      <c r="CC247" s="1634" t="n"/>
    </row>
    <row r="248" hidden="1" outlineLevel="2" ht="15" customFormat="1" customHeight="1" s="1561">
      <c r="A248" s="1734" t="inlineStr">
        <is>
          <t>Wages and salaries, mm</t>
        </is>
      </c>
      <c r="B248" s="1623" t="n"/>
      <c r="C248" s="1625" t="n">
        <v>436.888</v>
      </c>
      <c r="D248" s="1625" t="n">
        <v>551.683</v>
      </c>
      <c r="E248" s="1625" t="n">
        <v>648.869</v>
      </c>
      <c r="F248" s="1625" t="n">
        <v>711.039</v>
      </c>
      <c r="G248" s="1625" t="n">
        <v>835.563</v>
      </c>
      <c r="H248" s="1626" t="n"/>
      <c r="I248" s="1626" t="n"/>
      <c r="J248" s="1626" t="n"/>
      <c r="K248" s="1626" t="n"/>
      <c r="L248" s="1625" t="n">
        <v>985.883</v>
      </c>
      <c r="M248" s="1626" t="n"/>
      <c r="N248" s="1626" t="n"/>
      <c r="O248" s="1626" t="n"/>
      <c r="P248" s="1626" t="n"/>
      <c r="Q248" s="1625" t="n">
        <v>1165.433</v>
      </c>
      <c r="R248" s="1626" t="n"/>
      <c r="S248" s="1626" t="n"/>
      <c r="T248" s="1626" t="n"/>
      <c r="U248" s="1626" t="n"/>
      <c r="V248" s="1625" t="n">
        <v>1279.6</v>
      </c>
      <c r="W248" s="1626" t="n"/>
      <c r="X248" s="1626" t="n"/>
      <c r="Y248" s="1626" t="n"/>
      <c r="Z248" s="1626" t="n"/>
      <c r="AA248" s="1706" t="n">
        <v>1492.8</v>
      </c>
      <c r="AB248" s="1626" t="n"/>
      <c r="AC248" s="1626" t="n"/>
      <c r="AD248" s="1626" t="n"/>
      <c r="AE248" s="1626" t="n"/>
      <c r="AF248" s="1706" t="n">
        <v>1777.9</v>
      </c>
      <c r="AG248" s="1626" t="n"/>
      <c r="AH248" s="1626" t="n"/>
      <c r="AI248" s="1626" t="n"/>
      <c r="AJ248" s="1626" t="n"/>
      <c r="AK248" s="1625" t="n">
        <v>2124.4</v>
      </c>
      <c r="AL248" s="1626" t="n"/>
      <c r="AM248" s="1626" t="n"/>
      <c r="AN248" s="1626" t="n"/>
      <c r="AO248" s="1626" t="n"/>
      <c r="AP248" s="1625" t="n">
        <v>2519.6</v>
      </c>
      <c r="AQ248" s="1626" t="n"/>
      <c r="AR248" s="1626" t="n"/>
      <c r="AS248" s="1626" t="n"/>
      <c r="AT248" s="1626" t="n"/>
      <c r="AU248" s="1625" t="n">
        <v>2842.7</v>
      </c>
      <c r="AV248" s="1626" t="n"/>
      <c r="AW248" s="1626" t="n"/>
      <c r="AX248" s="1626" t="n"/>
      <c r="AY248" s="1626" t="n"/>
      <c r="AZ248" s="1625" t="n">
        <v>3502.5</v>
      </c>
      <c r="BA248" s="1626" t="n"/>
      <c r="BB248" s="1626" t="n"/>
      <c r="BC248" s="1626" t="n"/>
      <c r="BD248" s="1626" t="n"/>
      <c r="BE248" s="1625" t="n">
        <v>4447</v>
      </c>
      <c r="BF248" s="1626" t="n"/>
      <c r="BG248" s="1626" t="n"/>
      <c r="BH248" s="1626" t="n"/>
      <c r="BI248" s="1626" t="n"/>
      <c r="BJ248" s="1625" t="n">
        <v>5001.2</v>
      </c>
      <c r="BK248" s="1626" t="n"/>
      <c r="BL248" s="1626" t="n"/>
      <c r="BM248" s="1626" t="n"/>
      <c r="BN248" s="1626" t="n"/>
      <c r="BO248" s="1627" t="n"/>
      <c r="BP248" s="1626" t="n"/>
      <c r="BQ248" s="1626" t="n"/>
      <c r="BR248" s="1626" t="n"/>
      <c r="BS248" s="1626" t="n"/>
      <c r="BT248" s="1624" t="n"/>
      <c r="BU248" s="1626" t="n"/>
      <c r="BV248" s="1626" t="n"/>
      <c r="BW248" s="1626" t="n"/>
      <c r="BX248" s="1626" t="n"/>
      <c r="BY248" s="1624" t="n"/>
      <c r="BZ248" s="1624" t="n"/>
      <c r="CA248" s="1624" t="n"/>
      <c r="CB248" s="1624" t="n"/>
      <c r="CC248" s="1564" t="n"/>
    </row>
    <row r="249" hidden="1" outlineLevel="2" ht="15" customFormat="1" customHeight="1" s="1561">
      <c r="A249" s="1734" t="inlineStr">
        <is>
          <t>Social security expenses, mm</t>
        </is>
      </c>
      <c r="B249" s="1623" t="n"/>
      <c r="C249" s="1625" t="n">
        <v>38.533</v>
      </c>
      <c r="D249" s="1625" t="n">
        <v>42.468</v>
      </c>
      <c r="E249" s="1625" t="n">
        <v>52.55</v>
      </c>
      <c r="F249" s="1625" t="n">
        <v>58.18</v>
      </c>
      <c r="G249" s="1625" t="n">
        <v>69.839</v>
      </c>
      <c r="H249" s="1626" t="n"/>
      <c r="I249" s="1626" t="n"/>
      <c r="J249" s="1626" t="n"/>
      <c r="K249" s="1626" t="n"/>
      <c r="L249" s="1625" t="n">
        <v>81.721</v>
      </c>
      <c r="M249" s="1626" t="n"/>
      <c r="N249" s="1626" t="n"/>
      <c r="O249" s="1626" t="n"/>
      <c r="P249" s="1626" t="n"/>
      <c r="Q249" s="1625" t="n">
        <v>92.91</v>
      </c>
      <c r="R249" s="1626" t="n"/>
      <c r="S249" s="1626" t="n"/>
      <c r="T249" s="1626" t="n"/>
      <c r="U249" s="1626" t="n"/>
      <c r="V249" s="1625" t="n">
        <v>103.8</v>
      </c>
      <c r="W249" s="1626" t="n"/>
      <c r="X249" s="1626" t="n"/>
      <c r="Y249" s="1626" t="n"/>
      <c r="Z249" s="1626" t="n"/>
      <c r="AA249" s="1706" t="n">
        <v>119.6</v>
      </c>
      <c r="AB249" s="1626" t="n"/>
      <c r="AC249" s="1626" t="n"/>
      <c r="AD249" s="1626" t="n"/>
      <c r="AE249" s="1626" t="n"/>
      <c r="AF249" s="1706" t="n">
        <v>146.3</v>
      </c>
      <c r="AG249" s="1626" t="n"/>
      <c r="AH249" s="1626" t="n"/>
      <c r="AI249" s="1626" t="n"/>
      <c r="AJ249" s="1626" t="n"/>
      <c r="AK249" s="1625" t="n">
        <v>181.9</v>
      </c>
      <c r="AL249" s="1626" t="n"/>
      <c r="AM249" s="1626" t="n"/>
      <c r="AN249" s="1626" t="n"/>
      <c r="AO249" s="1626" t="n"/>
      <c r="AP249" s="1625" t="n">
        <v>208.1</v>
      </c>
      <c r="AQ249" s="1626" t="n"/>
      <c r="AR249" s="1626" t="n"/>
      <c r="AS249" s="1626" t="n"/>
      <c r="AT249" s="1626" t="n"/>
      <c r="AU249" s="1625" t="n">
        <v>249.8</v>
      </c>
      <c r="AV249" s="1626" t="n"/>
      <c r="AW249" s="1626" t="n"/>
      <c r="AX249" s="1626" t="n"/>
      <c r="AY249" s="1626" t="n"/>
      <c r="AZ249" s="1625" t="n">
        <v>300.7</v>
      </c>
      <c r="BA249" s="1626" t="n"/>
      <c r="BB249" s="1626" t="n"/>
      <c r="BC249" s="1626" t="n"/>
      <c r="BD249" s="1626" t="n"/>
      <c r="BE249" s="1625" t="n">
        <v>410.5</v>
      </c>
      <c r="BF249" s="1626" t="n"/>
      <c r="BG249" s="1626" t="n"/>
      <c r="BH249" s="1626" t="n"/>
      <c r="BI249" s="1626" t="n"/>
      <c r="BJ249" s="1625" t="n">
        <v>468.4</v>
      </c>
      <c r="BK249" s="1626" t="n"/>
      <c r="BL249" s="1626" t="n"/>
      <c r="BM249" s="1626" t="n"/>
      <c r="BN249" s="1626" t="n"/>
      <c r="BO249" s="1627" t="n"/>
      <c r="BP249" s="1626" t="n"/>
      <c r="BQ249" s="1626" t="n"/>
      <c r="BR249" s="1626" t="n"/>
      <c r="BS249" s="1626" t="n"/>
      <c r="BT249" s="1624" t="n"/>
      <c r="BU249" s="1626" t="n"/>
      <c r="BV249" s="1626" t="n"/>
      <c r="BW249" s="1626" t="n"/>
      <c r="BX249" s="1626" t="n"/>
      <c r="BY249" s="1624" t="n"/>
      <c r="BZ249" s="1624" t="n"/>
      <c r="CA249" s="1624" t="n"/>
      <c r="CB249" s="1624" t="n"/>
      <c r="CC249" s="1564" t="n"/>
    </row>
    <row r="250" hidden="1" outlineLevel="2" ht="15" customFormat="1" customHeight="1" s="1561">
      <c r="A250" s="1734" t="inlineStr">
        <is>
          <t>Pension and retirement expenses, mm</t>
        </is>
      </c>
      <c r="B250" s="1623" t="n"/>
      <c r="C250" s="1625" t="n">
        <v>39.825</v>
      </c>
      <c r="D250" s="1625" t="n">
        <v>40.593</v>
      </c>
      <c r="E250" s="1625" t="n">
        <v>45.947</v>
      </c>
      <c r="F250" s="1625" t="n">
        <v>50.298</v>
      </c>
      <c r="G250" s="1625" t="n">
        <v>60.275</v>
      </c>
      <c r="H250" s="1626" t="n"/>
      <c r="I250" s="1626" t="n"/>
      <c r="J250" s="1626" t="n"/>
      <c r="K250" s="1626" t="n"/>
      <c r="L250" s="1625" t="n">
        <v>71.316</v>
      </c>
      <c r="M250" s="1626" t="n"/>
      <c r="N250" s="1626" t="n"/>
      <c r="O250" s="1626" t="n"/>
      <c r="P250" s="1626" t="n"/>
      <c r="Q250" s="1625" t="n">
        <v>79.717</v>
      </c>
      <c r="R250" s="1626" t="n"/>
      <c r="S250" s="1626" t="n"/>
      <c r="T250" s="1626" t="n"/>
      <c r="U250" s="1626" t="n"/>
      <c r="V250" s="1625" t="n">
        <v>85.7</v>
      </c>
      <c r="W250" s="1626" t="n"/>
      <c r="X250" s="1626" t="n"/>
      <c r="Y250" s="1626" t="n"/>
      <c r="Z250" s="1626" t="n"/>
      <c r="AA250" s="1706" t="n">
        <v>100.8</v>
      </c>
      <c r="AB250" s="1626" t="n"/>
      <c r="AC250" s="1626" t="n"/>
      <c r="AD250" s="1626" t="n"/>
      <c r="AE250" s="1626" t="n"/>
      <c r="AF250" s="1706" t="n">
        <v>122</v>
      </c>
      <c r="AG250" s="1626" t="n"/>
      <c r="AH250" s="1626" t="n"/>
      <c r="AI250" s="1626" t="n"/>
      <c r="AJ250" s="1626" t="n"/>
      <c r="AK250" s="1625" t="n">
        <v>152.5</v>
      </c>
      <c r="AL250" s="1626" t="n"/>
      <c r="AM250" s="1626" t="n"/>
      <c r="AN250" s="1626" t="n"/>
      <c r="AO250" s="1626" t="n"/>
      <c r="AP250" s="1625" t="n">
        <v>182.6</v>
      </c>
      <c r="AQ250" s="1626" t="n"/>
      <c r="AR250" s="1626" t="n"/>
      <c r="AS250" s="1626" t="n"/>
      <c r="AT250" s="1626" t="n"/>
      <c r="AU250" s="1625" t="n">
        <v>229.2</v>
      </c>
      <c r="AV250" s="1626" t="n"/>
      <c r="AW250" s="1626" t="n"/>
      <c r="AX250" s="1626" t="n"/>
      <c r="AY250" s="1626" t="n"/>
      <c r="AZ250" s="1625" t="n">
        <v>255.9</v>
      </c>
      <c r="BA250" s="1626" t="n"/>
      <c r="BB250" s="1626" t="n"/>
      <c r="BC250" s="1626" t="n"/>
      <c r="BD250" s="1626" t="n"/>
      <c r="BE250" s="1625" t="n">
        <v>348.9</v>
      </c>
      <c r="BF250" s="1626" t="n"/>
      <c r="BG250" s="1626" t="n"/>
      <c r="BH250" s="1626" t="n"/>
      <c r="BI250" s="1626" t="n"/>
      <c r="BJ250" s="1625" t="n">
        <v>395.2</v>
      </c>
      <c r="BK250" s="1626" t="n"/>
      <c r="BL250" s="1626" t="n"/>
      <c r="BM250" s="1626" t="n"/>
      <c r="BN250" s="1626" t="n"/>
      <c r="BO250" s="1627" t="n"/>
      <c r="BP250" s="1626" t="n"/>
      <c r="BQ250" s="1626" t="n"/>
      <c r="BR250" s="1626" t="n"/>
      <c r="BS250" s="1626" t="n"/>
      <c r="BT250" s="1624" t="n"/>
      <c r="BU250" s="1626" t="n"/>
      <c r="BV250" s="1626" t="n"/>
      <c r="BW250" s="1626" t="n"/>
      <c r="BX250" s="1626" t="n"/>
      <c r="BY250" s="1624" t="n"/>
      <c r="BZ250" s="1624" t="n"/>
      <c r="CA250" s="1624" t="n"/>
      <c r="CB250" s="1624" t="n"/>
      <c r="CC250" s="1564" t="n"/>
    </row>
    <row r="251" hidden="1" outlineLevel="2" ht="15" customFormat="1" customHeight="1" s="1561">
      <c r="A251" s="1734" t="inlineStr">
        <is>
          <t>Share-based payments, mm</t>
        </is>
      </c>
      <c r="B251" s="1623" t="n"/>
      <c r="C251" s="1625" t="n">
        <v>13.394</v>
      </c>
      <c r="D251" s="1625" t="n">
        <v>12.109</v>
      </c>
      <c r="E251" s="1625" t="n">
        <v>12.43</v>
      </c>
      <c r="F251" s="1625" t="n">
        <v>18.714</v>
      </c>
      <c r="G251" s="1625" t="n">
        <v>52.371</v>
      </c>
      <c r="H251" s="1626" t="n"/>
      <c r="I251" s="1626" t="n"/>
      <c r="J251" s="1626" t="n"/>
      <c r="K251" s="1626" t="n"/>
      <c r="L251" s="1625" t="n">
        <v>63.38</v>
      </c>
      <c r="M251" s="1626" t="n"/>
      <c r="N251" s="1626" t="n"/>
      <c r="O251" s="1626" t="n"/>
      <c r="P251" s="1626" t="n"/>
      <c r="Q251" s="1625" t="n">
        <v>59.07</v>
      </c>
      <c r="R251" s="1626" t="n"/>
      <c r="S251" s="1626" t="n"/>
      <c r="T251" s="1626" t="n"/>
      <c r="U251" s="1626" t="n"/>
      <c r="V251" s="1625" t="n">
        <v>47.7</v>
      </c>
      <c r="W251" s="1626" t="n"/>
      <c r="X251" s="1626" t="n"/>
      <c r="Y251" s="1626" t="n"/>
      <c r="Z251" s="1626" t="n"/>
      <c r="AA251" s="1706" t="n">
        <v>53.1</v>
      </c>
      <c r="AB251" s="1626" t="n"/>
      <c r="AC251" s="1626" t="n"/>
      <c r="AD251" s="1626" t="n"/>
      <c r="AE251" s="1626" t="n"/>
      <c r="AF251" s="1706" t="n">
        <v>46.3</v>
      </c>
      <c r="AG251" s="1626" t="n"/>
      <c r="AH251" s="1626" t="n"/>
      <c r="AI251" s="1626" t="n"/>
      <c r="AJ251" s="1626" t="n"/>
      <c r="AK251" s="1625" t="n">
        <v>74.59999999999999</v>
      </c>
      <c r="AL251" s="1626" t="n"/>
      <c r="AM251" s="1626" t="n"/>
      <c r="AN251" s="1626" t="n"/>
      <c r="AO251" s="1626" t="n"/>
      <c r="AP251" s="1625" t="n">
        <v>53.9</v>
      </c>
      <c r="AQ251" s="1626" t="n"/>
      <c r="AR251" s="1626" t="n"/>
      <c r="AS251" s="1626" t="n"/>
      <c r="AT251" s="1626" t="n"/>
      <c r="AU251" s="1625" t="n">
        <v>117.5</v>
      </c>
      <c r="AV251" s="1626" t="n"/>
      <c r="AW251" s="1626" t="n"/>
      <c r="AX251" s="1626" t="n"/>
      <c r="AY251" s="1626" t="n"/>
      <c r="AZ251" s="1625" t="n">
        <v>68.90000000000001</v>
      </c>
      <c r="BA251" s="1626" t="n"/>
      <c r="BB251" s="1626" t="n"/>
      <c r="BC251" s="1626" t="n"/>
      <c r="BD251" s="1626" t="n"/>
      <c r="BE251" s="1625" t="n">
        <v>134.8</v>
      </c>
      <c r="BF251" s="1626" t="n"/>
      <c r="BG251" s="1626" t="n"/>
      <c r="BH251" s="1626" t="n"/>
      <c r="BI251" s="1626" t="n"/>
      <c r="BJ251" s="1625" t="n">
        <v>172.6</v>
      </c>
      <c r="BK251" s="1626" t="n"/>
      <c r="BL251" s="1626" t="n"/>
      <c r="BM251" s="1626" t="n"/>
      <c r="BN251" s="1626" t="n"/>
      <c r="BO251" s="1627" t="n"/>
      <c r="BP251" s="1626" t="n"/>
      <c r="BQ251" s="1626" t="n"/>
      <c r="BR251" s="1626" t="n"/>
      <c r="BS251" s="1626" t="n"/>
      <c r="BT251" s="1624" t="n"/>
      <c r="BU251" s="1626" t="n"/>
      <c r="BV251" s="1626" t="n"/>
      <c r="BW251" s="1626" t="n"/>
      <c r="BX251" s="1626" t="n"/>
      <c r="BY251" s="1624" t="n"/>
      <c r="BZ251" s="1624" t="n"/>
      <c r="CA251" s="1624" t="n"/>
      <c r="CB251" s="1624" t="n"/>
      <c r="CC251" s="1564" t="n"/>
    </row>
    <row r="252" hidden="1" outlineLevel="2" ht="15" customFormat="1" customHeight="1" s="1628">
      <c r="A252" s="1778" t="inlineStr">
        <is>
          <t>Total personnel expenses, mm</t>
        </is>
      </c>
      <c r="B252" s="1630" t="n"/>
      <c r="C252" s="1723">
        <f>SUM(C248:C251)</f>
        <v/>
      </c>
      <c r="D252" s="1723">
        <f>SUM(D248:D251)</f>
        <v/>
      </c>
      <c r="E252" s="1723">
        <f>SUM(E248:E251)</f>
        <v/>
      </c>
      <c r="F252" s="1723">
        <f>SUM(F248:F251)</f>
        <v/>
      </c>
      <c r="G252" s="1723">
        <f>SUM(G248:G251)</f>
        <v/>
      </c>
      <c r="H252" s="1632" t="n"/>
      <c r="I252" s="1632" t="n"/>
      <c r="J252" s="1632" t="n"/>
      <c r="K252" s="1632" t="n"/>
      <c r="L252" s="1723">
        <f>SUM(L248:L251)</f>
        <v/>
      </c>
      <c r="M252" s="1632" t="n"/>
      <c r="N252" s="1632" t="n"/>
      <c r="O252" s="1632" t="n"/>
      <c r="P252" s="1632" t="n"/>
      <c r="Q252" s="1723">
        <f>SUM(Q248:Q251)</f>
        <v/>
      </c>
      <c r="R252" s="1632" t="n"/>
      <c r="S252" s="1632" t="n"/>
      <c r="T252" s="1632" t="n"/>
      <c r="U252" s="1632" t="n"/>
      <c r="V252" s="1723">
        <f>SUM(V248:V251)</f>
        <v/>
      </c>
      <c r="W252" s="1632" t="n"/>
      <c r="X252" s="1632" t="n"/>
      <c r="Y252" s="1632" t="n"/>
      <c r="Z252" s="1632" t="n"/>
      <c r="AA252" s="1779">
        <f>SUM(AA248:AA251)</f>
        <v/>
      </c>
      <c r="AB252" s="1632" t="n"/>
      <c r="AC252" s="1632" t="n"/>
      <c r="AD252" s="1632" t="n"/>
      <c r="AE252" s="1632" t="n"/>
      <c r="AF252" s="1779">
        <f>SUM(AF248:AF251)</f>
        <v/>
      </c>
      <c r="AG252" s="1632" t="n"/>
      <c r="AH252" s="1632" t="n"/>
      <c r="AI252" s="1632" t="n"/>
      <c r="AJ252" s="1632" t="n"/>
      <c r="AK252" s="1723">
        <f>SUM(AK248:AK251)</f>
        <v/>
      </c>
      <c r="AL252" s="1632" t="n"/>
      <c r="AM252" s="1632" t="n"/>
      <c r="AN252" s="1632" t="n"/>
      <c r="AO252" s="1632" t="n"/>
      <c r="AP252" s="1723">
        <f>SUM(AP248:AP251)</f>
        <v/>
      </c>
      <c r="AQ252" s="1632" t="n"/>
      <c r="AR252" s="1632" t="n"/>
      <c r="AS252" s="1632" t="n"/>
      <c r="AT252" s="1632" t="n"/>
      <c r="AU252" s="1631">
        <f>SUM(AU248:AU251)</f>
        <v/>
      </c>
      <c r="AV252" s="1632" t="n"/>
      <c r="AW252" s="1632" t="n"/>
      <c r="AX252" s="1632" t="n"/>
      <c r="AY252" s="1632" t="n"/>
      <c r="AZ252" s="1631">
        <f>SUM(AZ248:AZ251)</f>
        <v/>
      </c>
      <c r="BA252" s="1632" t="n"/>
      <c r="BB252" s="1632" t="n"/>
      <c r="BC252" s="1632" t="n"/>
      <c r="BD252" s="1632" t="n"/>
      <c r="BE252" s="1631">
        <f>SUM(BE248:BE251)</f>
        <v/>
      </c>
      <c r="BF252" s="1632" t="n"/>
      <c r="BG252" s="1632" t="n"/>
      <c r="BH252" s="1632" t="n"/>
      <c r="BI252" s="1632" t="n"/>
      <c r="BJ252" s="1631">
        <f>SUM(BJ248:BJ251)</f>
        <v/>
      </c>
      <c r="BK252" s="1632" t="n"/>
      <c r="BL252" s="1632" t="n"/>
      <c r="BM252" s="1632" t="n"/>
      <c r="BN252" s="1632" t="n"/>
      <c r="BO252" s="1633" t="n"/>
      <c r="BP252" s="1632" t="n"/>
      <c r="BQ252" s="1632" t="n"/>
      <c r="BR252" s="1632" t="n"/>
      <c r="BS252" s="1632" t="n"/>
      <c r="BT252" s="1631" t="n"/>
      <c r="BU252" s="1632" t="n"/>
      <c r="BV252" s="1632" t="n"/>
      <c r="BW252" s="1632" t="n"/>
      <c r="BX252" s="1632" t="n"/>
      <c r="BY252" s="1631" t="n"/>
      <c r="BZ252" s="1631" t="n"/>
      <c r="CA252" s="1631" t="n"/>
      <c r="CB252" s="1631" t="n"/>
      <c r="CC252" s="1634" t="n"/>
    </row>
    <row r="253" hidden="1" outlineLevel="2" ht="15" customFormat="1" customHeight="1" s="1628">
      <c r="A253" s="1780" t="n"/>
      <c r="B253" s="1682" t="n"/>
      <c r="C253" s="1683" t="n"/>
      <c r="D253" s="1683" t="n"/>
      <c r="E253" s="1683" t="n"/>
      <c r="F253" s="1683" t="n"/>
      <c r="G253" s="1683" t="n"/>
      <c r="H253" s="1684" t="n"/>
      <c r="I253" s="1684" t="n"/>
      <c r="J253" s="1684" t="n"/>
      <c r="K253" s="1684" t="n"/>
      <c r="L253" s="1683" t="n"/>
      <c r="M253" s="1684" t="n"/>
      <c r="N253" s="1684" t="n"/>
      <c r="O253" s="1684" t="n"/>
      <c r="P253" s="1684" t="n"/>
      <c r="Q253" s="1683" t="n"/>
      <c r="R253" s="1684" t="n"/>
      <c r="S253" s="1684" t="n"/>
      <c r="T253" s="1684" t="n"/>
      <c r="U253" s="1684" t="n"/>
      <c r="V253" s="1683" t="n"/>
      <c r="W253" s="1684" t="n"/>
      <c r="X253" s="1684" t="n"/>
      <c r="Y253" s="1684" t="n"/>
      <c r="Z253" s="1684" t="n"/>
      <c r="AA253" s="1718" t="n"/>
      <c r="AB253" s="1684" t="n"/>
      <c r="AC253" s="1684" t="n"/>
      <c r="AD253" s="1684" t="n"/>
      <c r="AE253" s="1684" t="n"/>
      <c r="AF253" s="1718" t="n"/>
      <c r="AG253" s="1684" t="n"/>
      <c r="AH253" s="1684" t="n"/>
      <c r="AI253" s="1684" t="n"/>
      <c r="AJ253" s="1684" t="n"/>
      <c r="AK253" s="1683" t="n"/>
      <c r="AL253" s="1684" t="n"/>
      <c r="AM253" s="1684" t="n"/>
      <c r="AN253" s="1684" t="n"/>
      <c r="AO253" s="1684" t="n"/>
      <c r="AP253" s="1683" t="n"/>
      <c r="AQ253" s="1684" t="n"/>
      <c r="AR253" s="1684" t="n"/>
      <c r="AS253" s="1684" t="n"/>
      <c r="AT253" s="1684" t="n"/>
      <c r="AU253" s="1683" t="n"/>
      <c r="AV253" s="1684" t="n"/>
      <c r="AW253" s="1684" t="n"/>
      <c r="AX253" s="1684" t="n"/>
      <c r="AY253" s="1684" t="n"/>
      <c r="AZ253" s="1683" t="n"/>
      <c r="BA253" s="1684" t="n"/>
      <c r="BB253" s="1684" t="n"/>
      <c r="BC253" s="1684" t="n"/>
      <c r="BD253" s="1684" t="n"/>
      <c r="BE253" s="1683" t="n"/>
      <c r="BF253" s="1684" t="n"/>
      <c r="BG253" s="1684" t="n"/>
      <c r="BH253" s="1684" t="n"/>
      <c r="BI253" s="1684" t="n"/>
      <c r="BJ253" s="1683" t="n"/>
      <c r="BK253" s="1684" t="n"/>
      <c r="BL253" s="1684" t="n"/>
      <c r="BM253" s="1684" t="n"/>
      <c r="BN253" s="1684" t="n"/>
      <c r="BO253" s="1685" t="n"/>
      <c r="BP253" s="1684" t="n"/>
      <c r="BQ253" s="1684" t="n"/>
      <c r="BR253" s="1684" t="n"/>
      <c r="BS253" s="1684" t="n"/>
      <c r="BT253" s="1683" t="n"/>
      <c r="BU253" s="1684" t="n"/>
      <c r="BV253" s="1684" t="n"/>
      <c r="BW253" s="1684" t="n"/>
      <c r="BX253" s="1684" t="n"/>
      <c r="BY253" s="1683" t="n"/>
      <c r="BZ253" s="1683" t="n"/>
      <c r="CA253" s="1683" t="n"/>
      <c r="CB253" s="1683" t="n"/>
      <c r="CC253" s="1634" t="n"/>
    </row>
    <row r="254" hidden="1" outlineLevel="2" ht="15" customFormat="1" customHeight="1" s="609">
      <c r="A254" s="1693" t="inlineStr">
        <is>
          <t>Number of payroll employees, # of employees</t>
        </is>
      </c>
      <c r="B254" s="345" t="n"/>
      <c r="C254" s="1781" t="n">
        <v>6548</v>
      </c>
      <c r="D254" s="1781" t="n">
        <v>7184</v>
      </c>
      <c r="E254" s="1781" t="n">
        <v>7955</v>
      </c>
      <c r="F254" s="1781" t="n">
        <v>8497</v>
      </c>
      <c r="G254" s="1781" t="n">
        <v>10360</v>
      </c>
      <c r="H254" s="1782" t="n">
        <v>10582</v>
      </c>
      <c r="I254" s="1782" t="n">
        <v>10786</v>
      </c>
      <c r="J254" s="1782" t="n">
        <v>11076</v>
      </c>
      <c r="K254" s="1782" t="n">
        <v>11318</v>
      </c>
      <c r="L254" s="1783">
        <f>+K254</f>
        <v/>
      </c>
      <c r="M254" s="1782" t="n">
        <v>11533</v>
      </c>
      <c r="N254" s="1782" t="n">
        <v>11676</v>
      </c>
      <c r="O254" s="1782" t="n">
        <v>11920</v>
      </c>
      <c r="P254" s="1782" t="n">
        <v>12168</v>
      </c>
      <c r="Q254" s="1783">
        <f>+P254</f>
        <v/>
      </c>
      <c r="R254" s="1782" t="n">
        <v>12407</v>
      </c>
      <c r="S254" s="1782" t="n">
        <v>12598</v>
      </c>
      <c r="T254" s="1782" t="n">
        <v>12933</v>
      </c>
      <c r="U254" s="1782" t="n">
        <v>13991</v>
      </c>
      <c r="V254" s="1783">
        <f>+U254</f>
        <v/>
      </c>
      <c r="W254" s="1782" t="n">
        <v>14483</v>
      </c>
      <c r="X254" s="1782" t="n">
        <v>15005</v>
      </c>
      <c r="Y254" s="1782" t="n">
        <v>15615</v>
      </c>
      <c r="Z254" s="1782" t="n">
        <v>16219</v>
      </c>
      <c r="AA254" s="1783">
        <f>+Z254</f>
        <v/>
      </c>
      <c r="AB254" s="1782" t="n">
        <v>16994</v>
      </c>
      <c r="AC254" s="1782" t="n">
        <v>17994</v>
      </c>
      <c r="AD254" s="1782" t="n">
        <v>19041</v>
      </c>
      <c r="AE254" s="1782" t="n">
        <v>20044</v>
      </c>
      <c r="AF254" s="1783">
        <f>+AE254</f>
        <v/>
      </c>
      <c r="AG254" s="1782" t="n">
        <v>21461</v>
      </c>
      <c r="AH254" s="1782" t="n">
        <v>22125</v>
      </c>
      <c r="AI254" s="1782" t="n">
        <v>22805</v>
      </c>
      <c r="AJ254" s="1782" t="n">
        <v>23219</v>
      </c>
      <c r="AK254" s="1783">
        <f>+AJ254</f>
        <v/>
      </c>
      <c r="AL254" s="1782" t="n">
        <v>23860</v>
      </c>
      <c r="AM254" s="1782" t="n">
        <v>24330</v>
      </c>
      <c r="AN254" s="1782" t="n">
        <v>24749</v>
      </c>
      <c r="AO254" s="1782" t="n">
        <v>26614</v>
      </c>
      <c r="AP254" s="1783">
        <f>+AO254</f>
        <v/>
      </c>
      <c r="AQ254" s="1782" t="n">
        <v>27248</v>
      </c>
      <c r="AR254" s="1782" t="n">
        <v>27777</v>
      </c>
      <c r="AS254" s="1782" t="n">
        <v>29025</v>
      </c>
      <c r="AT254" s="1782" t="n">
        <v>29681</v>
      </c>
      <c r="AU254" s="1781" t="n">
        <v>29861</v>
      </c>
      <c r="AV254" s="1782" t="n">
        <v>30861</v>
      </c>
      <c r="AW254" s="1782" t="n">
        <v>32627</v>
      </c>
      <c r="AX254" s="1782" t="n">
        <v>34720</v>
      </c>
      <c r="AY254" s="1782" t="n">
        <v>36112</v>
      </c>
      <c r="AZ254" s="1783">
        <f>+AY254</f>
        <v/>
      </c>
      <c r="BA254" s="1782" t="n">
        <v>37704</v>
      </c>
      <c r="BB254" s="1782" t="n">
        <v>38866</v>
      </c>
      <c r="BC254" s="1782" t="n">
        <v>39850</v>
      </c>
      <c r="BD254" s="1782" t="n">
        <v>40310</v>
      </c>
      <c r="BE254" s="1783">
        <f>+BD254</f>
        <v/>
      </c>
      <c r="BF254" s="1782" t="n">
        <v>40940</v>
      </c>
      <c r="BG254" s="1782" t="n">
        <v>41505</v>
      </c>
      <c r="BH254" s="1782" t="n">
        <v>42372</v>
      </c>
      <c r="BI254" s="1782" t="n">
        <v>42786</v>
      </c>
      <c r="BJ254" s="1783">
        <f>+BI254</f>
        <v/>
      </c>
      <c r="BK254" s="1782" t="n">
        <v>43129</v>
      </c>
      <c r="BL254" s="1782" t="n">
        <v>43193</v>
      </c>
      <c r="BM254" s="1782" t="n">
        <v>43461</v>
      </c>
      <c r="BN254" s="1782" t="n">
        <v>43520</v>
      </c>
      <c r="BO254" s="1784">
        <f>+BN254</f>
        <v/>
      </c>
      <c r="BP254" s="1672" t="n"/>
      <c r="BQ254" s="1672" t="n"/>
      <c r="BR254" s="1672" t="n"/>
      <c r="BS254" s="1672" t="n"/>
      <c r="BT254" s="1785" t="n"/>
      <c r="BU254" s="1672" t="n"/>
      <c r="BV254" s="1672" t="n"/>
      <c r="BW254" s="1672" t="n"/>
      <c r="BX254" s="1672" t="n"/>
      <c r="BY254" s="1785" t="n"/>
      <c r="BZ254" s="1785" t="n"/>
      <c r="CA254" s="1785" t="n"/>
      <c r="CB254" s="1785" t="n"/>
      <c r="CC254" s="54" t="n"/>
    </row>
    <row r="255" hidden="1" outlineLevel="2" ht="15" customFormat="1" customHeight="1" s="609">
      <c r="A255" s="1693" t="inlineStr">
        <is>
          <t>Number of temporary employees, # of employees</t>
        </is>
      </c>
      <c r="B255" s="345" t="n"/>
      <c r="C255" s="1781" t="n">
        <v>1137</v>
      </c>
      <c r="D255" s="1781" t="n">
        <v>2061</v>
      </c>
      <c r="E255" s="1781" t="n">
        <v>1935</v>
      </c>
      <c r="F255" s="1781" t="n">
        <v>2139</v>
      </c>
      <c r="G255" s="1781" t="n">
        <v>2865</v>
      </c>
      <c r="H255" s="1782" t="n">
        <v>2867</v>
      </c>
      <c r="I255" s="1782" t="n">
        <v>2820</v>
      </c>
      <c r="J255" s="1782" t="n">
        <v>2771</v>
      </c>
      <c r="K255" s="1782" t="n">
        <v>2754</v>
      </c>
      <c r="L255" s="1783">
        <f>+K255</f>
        <v/>
      </c>
      <c r="M255" s="1782" t="n">
        <v>2644</v>
      </c>
      <c r="N255" s="1782" t="n">
        <v>2527</v>
      </c>
      <c r="O255" s="1782" t="n">
        <v>2498</v>
      </c>
      <c r="P255" s="1782" t="n">
        <v>2513</v>
      </c>
      <c r="Q255" s="1783">
        <f>+P255</f>
        <v/>
      </c>
      <c r="R255" s="1782" t="n">
        <v>2492</v>
      </c>
      <c r="S255" s="1782" t="n">
        <v>2569</v>
      </c>
      <c r="T255" s="1782" t="n">
        <v>2599</v>
      </c>
      <c r="U255" s="1782" t="n">
        <v>2656</v>
      </c>
      <c r="V255" s="1783">
        <f>+U255</f>
        <v/>
      </c>
      <c r="W255" s="1782" t="n">
        <v>2657</v>
      </c>
      <c r="X255" s="1782" t="n">
        <v>2722</v>
      </c>
      <c r="Y255" s="1782" t="n">
        <v>2826</v>
      </c>
      <c r="Z255" s="1782" t="n">
        <v>2997</v>
      </c>
      <c r="AA255" s="1783">
        <f>+Z255</f>
        <v/>
      </c>
      <c r="AB255" s="1782" t="n">
        <v>3271</v>
      </c>
      <c r="AC255" s="1782" t="n">
        <v>3407</v>
      </c>
      <c r="AD255" s="1782" t="n">
        <v>3378</v>
      </c>
      <c r="AE255" s="1782" t="n">
        <v>3203</v>
      </c>
      <c r="AF255" s="1783">
        <f>+AE255</f>
        <v/>
      </c>
      <c r="AG255" s="1782" t="n">
        <v>2395</v>
      </c>
      <c r="AH255" s="1782" t="n">
        <v>2157</v>
      </c>
      <c r="AI255" s="1782" t="n">
        <v>1913</v>
      </c>
      <c r="AJ255" s="1782" t="n">
        <v>1681</v>
      </c>
      <c r="AK255" s="1783">
        <f>+AJ255</f>
        <v/>
      </c>
      <c r="AL255" s="1782" t="n">
        <v>1467</v>
      </c>
      <c r="AM255" s="1782" t="n">
        <v>1482</v>
      </c>
      <c r="AN255" s="1782" t="n">
        <v>1451</v>
      </c>
      <c r="AO255" s="1782" t="n">
        <v>1459</v>
      </c>
      <c r="AP255" s="1783">
        <f>+AO255</f>
        <v/>
      </c>
      <c r="AQ255" s="1782" t="n">
        <v>1561</v>
      </c>
      <c r="AR255" s="1782" t="n">
        <v>1609</v>
      </c>
      <c r="AS255" s="1782" t="n">
        <v>1659</v>
      </c>
      <c r="AT255" s="1782" t="n">
        <v>2155</v>
      </c>
      <c r="AU255" s="1783">
        <f>+AT255</f>
        <v/>
      </c>
      <c r="AV255" s="1782" t="n">
        <v>2329</v>
      </c>
      <c r="AW255" s="1782" t="n">
        <v>2689</v>
      </c>
      <c r="AX255" s="1782" t="n">
        <v>2875</v>
      </c>
      <c r="AY255" s="1782" t="n">
        <v>2974</v>
      </c>
      <c r="AZ255" s="1783">
        <f>+AY255</f>
        <v/>
      </c>
      <c r="BA255" s="1782" t="n">
        <v>2816</v>
      </c>
      <c r="BB255" s="1782" t="n">
        <v>2676</v>
      </c>
      <c r="BC255" s="1782" t="n">
        <v>2416</v>
      </c>
      <c r="BD255" s="1782" t="n">
        <v>2107</v>
      </c>
      <c r="BE255" s="1783">
        <f>+BD255</f>
        <v/>
      </c>
      <c r="BF255" s="1782" t="n">
        <v>1773</v>
      </c>
      <c r="BG255" s="1782" t="n">
        <v>1584</v>
      </c>
      <c r="BH255" s="1782" t="n">
        <v>1417</v>
      </c>
      <c r="BI255" s="1782" t="n">
        <v>1241</v>
      </c>
      <c r="BJ255" s="1783">
        <f>+BI255</f>
        <v/>
      </c>
      <c r="BK255" s="1782" t="n">
        <v>998</v>
      </c>
      <c r="BL255" s="1782" t="n">
        <v>870</v>
      </c>
      <c r="BM255" s="1782" t="n">
        <v>789</v>
      </c>
      <c r="BN255" s="1782" t="n">
        <v>689</v>
      </c>
      <c r="BO255" s="1784">
        <f>+BN255</f>
        <v/>
      </c>
      <c r="BP255" s="1672" t="n"/>
      <c r="BQ255" s="1672" t="n"/>
      <c r="BR255" s="1672" t="n"/>
      <c r="BS255" s="1672" t="n"/>
      <c r="BT255" s="1785" t="n"/>
      <c r="BU255" s="1672" t="n"/>
      <c r="BV255" s="1672" t="n"/>
      <c r="BW255" s="1672" t="n"/>
      <c r="BX255" s="1672" t="n"/>
      <c r="BY255" s="1785" t="n"/>
      <c r="BZ255" s="1785" t="n"/>
      <c r="CA255" s="1785" t="n"/>
      <c r="CB255" s="1785" t="n"/>
      <c r="CC255" s="54" t="n"/>
    </row>
    <row r="256" hidden="1" outlineLevel="2" ht="15" customFormat="1" customHeight="1" s="598">
      <c r="A256" s="1761" t="inlineStr">
        <is>
          <t>Total employee count, # of employees</t>
        </is>
      </c>
      <c r="B256" s="67" t="n"/>
      <c r="C256" s="1762">
        <f>SUM(C254:C255)</f>
        <v/>
      </c>
      <c r="D256" s="1762">
        <f>SUM(D254:D255)</f>
        <v/>
      </c>
      <c r="E256" s="1762">
        <f>SUM(E254:E255)</f>
        <v/>
      </c>
      <c r="F256" s="1762">
        <f>SUM(F254:F255)</f>
        <v/>
      </c>
      <c r="G256" s="1762">
        <f>SUM(G254:G255)</f>
        <v/>
      </c>
      <c r="H256" s="1763">
        <f>SUM(H254:H255)</f>
        <v/>
      </c>
      <c r="I256" s="1763">
        <f>SUM(I254:I255)</f>
        <v/>
      </c>
      <c r="J256" s="1763">
        <f>SUM(J254:J255)</f>
        <v/>
      </c>
      <c r="K256" s="1763">
        <f>SUM(K254:K255)</f>
        <v/>
      </c>
      <c r="L256" s="1762">
        <f>SUM(L254:L255)</f>
        <v/>
      </c>
      <c r="M256" s="1763">
        <f>SUM(M254:M255)</f>
        <v/>
      </c>
      <c r="N256" s="1763">
        <f>SUM(N254:N255)</f>
        <v/>
      </c>
      <c r="O256" s="1763">
        <f>SUM(O254:O255)</f>
        <v/>
      </c>
      <c r="P256" s="1763">
        <f>SUM(P254:P255)</f>
        <v/>
      </c>
      <c r="Q256" s="1762">
        <f>SUM(Q254:Q255)</f>
        <v/>
      </c>
      <c r="R256" s="1763">
        <f>SUM(R254:R255)</f>
        <v/>
      </c>
      <c r="S256" s="1763">
        <f>SUM(S254:S255)</f>
        <v/>
      </c>
      <c r="T256" s="1763">
        <f>SUM(T254:T255)</f>
        <v/>
      </c>
      <c r="U256" s="1763">
        <f>SUM(U254:U255)</f>
        <v/>
      </c>
      <c r="V256" s="1762">
        <f>SUM(V254:V255)</f>
        <v/>
      </c>
      <c r="W256" s="1763">
        <f>SUM(W254:W255)</f>
        <v/>
      </c>
      <c r="X256" s="1763">
        <f>SUM(X254:X255)</f>
        <v/>
      </c>
      <c r="Y256" s="1763">
        <f>SUM(Y254:Y255)</f>
        <v/>
      </c>
      <c r="Z256" s="1763">
        <f>SUM(Z254:Z255)</f>
        <v/>
      </c>
      <c r="AA256" s="1762">
        <f>SUM(AA254:AA255)</f>
        <v/>
      </c>
      <c r="AB256" s="1763">
        <f>SUM(AB254:AB255)</f>
        <v/>
      </c>
      <c r="AC256" s="1763">
        <f>SUM(AC254:AC255)</f>
        <v/>
      </c>
      <c r="AD256" s="1763">
        <f>SUM(AD254:AD255)</f>
        <v/>
      </c>
      <c r="AE256" s="1763">
        <f>SUM(AE254:AE255)</f>
        <v/>
      </c>
      <c r="AF256" s="1762">
        <f>SUM(AF254:AF255)</f>
        <v/>
      </c>
      <c r="AG256" s="1763">
        <f>SUM(AG254:AG255)</f>
        <v/>
      </c>
      <c r="AH256" s="1763">
        <f>SUM(AH254:AH255)</f>
        <v/>
      </c>
      <c r="AI256" s="1763">
        <f>SUM(AI254:AI255)</f>
        <v/>
      </c>
      <c r="AJ256" s="1763">
        <f>SUM(AJ254:AJ255)</f>
        <v/>
      </c>
      <c r="AK256" s="1762">
        <f>SUM(AK254:AK255)</f>
        <v/>
      </c>
      <c r="AL256" s="1763">
        <f>SUM(AL254:AL255)</f>
        <v/>
      </c>
      <c r="AM256" s="1763">
        <f>SUM(AM254:AM255)</f>
        <v/>
      </c>
      <c r="AN256" s="1763">
        <f>SUM(AN254:AN255)</f>
        <v/>
      </c>
      <c r="AO256" s="1763">
        <f>SUM(AO254:AO255)</f>
        <v/>
      </c>
      <c r="AP256" s="1762">
        <f>SUM(AP254:AP255)</f>
        <v/>
      </c>
      <c r="AQ256" s="1763">
        <f>SUM(AQ254:AQ255)</f>
        <v/>
      </c>
      <c r="AR256" s="1763">
        <f>SUM(AR254:AR255)</f>
        <v/>
      </c>
      <c r="AS256" s="1763">
        <f>SUM(AS254:AS255)</f>
        <v/>
      </c>
      <c r="AT256" s="1763">
        <f>SUM(AT254:AT255)</f>
        <v/>
      </c>
      <c r="AU256" s="1762">
        <f>SUM(AU254:AU255)</f>
        <v/>
      </c>
      <c r="AV256" s="1763">
        <f>SUM(AV254:AV255)</f>
        <v/>
      </c>
      <c r="AW256" s="1763">
        <f>SUM(AW254:AW255)</f>
        <v/>
      </c>
      <c r="AX256" s="1763">
        <f>SUM(AX254:AX255)</f>
        <v/>
      </c>
      <c r="AY256" s="1763">
        <f>SUM(AY254:AY255)</f>
        <v/>
      </c>
      <c r="AZ256" s="1762">
        <f>SUM(AZ254:AZ255)</f>
        <v/>
      </c>
      <c r="BA256" s="1763">
        <f>SUM(BA254:BA255)</f>
        <v/>
      </c>
      <c r="BB256" s="1763">
        <f>SUM(BB254:BB255)</f>
        <v/>
      </c>
      <c r="BC256" s="1763">
        <f>SUM(BC254:BC255)</f>
        <v/>
      </c>
      <c r="BD256" s="1763">
        <f>SUM(BD254:BD255)</f>
        <v/>
      </c>
      <c r="BE256" s="1762">
        <f>SUM(BE254:BE255)</f>
        <v/>
      </c>
      <c r="BF256" s="1763">
        <f>SUM(BF254:BF255)</f>
        <v/>
      </c>
      <c r="BG256" s="1763">
        <f>SUM(BG254:BG255)</f>
        <v/>
      </c>
      <c r="BH256" s="1763">
        <f>SUM(BH254:BH255)</f>
        <v/>
      </c>
      <c r="BI256" s="1763">
        <f>SUM(BI254:BI255)</f>
        <v/>
      </c>
      <c r="BJ256" s="1762">
        <f>SUM(BJ254:BJ255)</f>
        <v/>
      </c>
      <c r="BK256" s="1763">
        <f>SUM(BK254:BK255)</f>
        <v/>
      </c>
      <c r="BL256" s="1763">
        <f>SUM(BL254:BL255)</f>
        <v/>
      </c>
      <c r="BM256" s="1763">
        <f>SUM(BM254:BM255)</f>
        <v/>
      </c>
      <c r="BN256" s="1763">
        <f>SUM(BN254:BN255)</f>
        <v/>
      </c>
      <c r="BO256" s="1765">
        <f>SUM(BO254:BO255)</f>
        <v/>
      </c>
      <c r="BP256" s="1611" t="n"/>
      <c r="BQ256" s="1611" t="n"/>
      <c r="BR256" s="1611" t="n"/>
      <c r="BS256" s="1611" t="n"/>
      <c r="BT256" s="1610" t="n"/>
      <c r="BU256" s="1611" t="n"/>
      <c r="BV256" s="1611" t="n"/>
      <c r="BW256" s="1611" t="n"/>
      <c r="BX256" s="1611" t="n"/>
      <c r="BY256" s="1610" t="n"/>
      <c r="BZ256" s="1610" t="n"/>
      <c r="CA256" s="1610" t="n"/>
      <c r="CB256" s="1610" t="n"/>
      <c r="CC256" s="750" t="n"/>
    </row>
    <row r="257" hidden="1" outlineLevel="2" ht="15" customFormat="1" customHeight="1" s="598">
      <c r="A257" s="1613" t="n"/>
      <c r="B257" s="64" t="n"/>
      <c r="C257" s="1602" t="n"/>
      <c r="D257" s="1602" t="n"/>
      <c r="E257" s="1602" t="n"/>
      <c r="F257" s="1602" t="n"/>
      <c r="G257" s="1602" t="n"/>
      <c r="H257" s="1603" t="n"/>
      <c r="I257" s="1603" t="n"/>
      <c r="J257" s="1603" t="n"/>
      <c r="K257" s="1603" t="n"/>
      <c r="L257" s="1602" t="n"/>
      <c r="M257" s="1603" t="n"/>
      <c r="N257" s="1603" t="n"/>
      <c r="O257" s="1603" t="n"/>
      <c r="P257" s="1603" t="n"/>
      <c r="Q257" s="1602" t="n"/>
      <c r="R257" s="1603" t="n"/>
      <c r="S257" s="1603" t="n"/>
      <c r="T257" s="1603" t="n"/>
      <c r="U257" s="1603" t="n"/>
      <c r="V257" s="1602" t="n"/>
      <c r="W257" s="1603" t="n"/>
      <c r="X257" s="1603" t="n"/>
      <c r="Y257" s="1603" t="n"/>
      <c r="Z257" s="1603" t="n"/>
      <c r="AA257" s="1602" t="n"/>
      <c r="AB257" s="1603" t="n"/>
      <c r="AC257" s="1603" t="n"/>
      <c r="AD257" s="1603" t="n"/>
      <c r="AE257" s="1603" t="n"/>
      <c r="AF257" s="1602" t="n"/>
      <c r="AG257" s="1603" t="n"/>
      <c r="AH257" s="1603" t="n"/>
      <c r="AI257" s="1603" t="n"/>
      <c r="AJ257" s="1603" t="n"/>
      <c r="AK257" s="1602" t="n"/>
      <c r="AL257" s="1603" t="n"/>
      <c r="AM257" s="1603" t="n"/>
      <c r="AN257" s="1603" t="n"/>
      <c r="AO257" s="1603" t="n"/>
      <c r="AP257" s="1602" t="n"/>
      <c r="AQ257" s="1603" t="n"/>
      <c r="AR257" s="1603" t="n"/>
      <c r="AS257" s="1603" t="n"/>
      <c r="AT257" s="1603" t="n"/>
      <c r="AU257" s="1602" t="n"/>
      <c r="AV257" s="1603" t="n"/>
      <c r="AW257" s="1603" t="n"/>
      <c r="AX257" s="1603" t="n"/>
      <c r="AY257" s="1603" t="n"/>
      <c r="AZ257" s="1602" t="n"/>
      <c r="BA257" s="1603" t="n"/>
      <c r="BB257" s="1603" t="n"/>
      <c r="BC257" s="1603" t="n"/>
      <c r="BD257" s="1603" t="n"/>
      <c r="BE257" s="1602" t="n"/>
      <c r="BF257" s="1603" t="n"/>
      <c r="BG257" s="1603" t="n"/>
      <c r="BH257" s="1603" t="n"/>
      <c r="BI257" s="1603" t="n"/>
      <c r="BJ257" s="1602" t="n"/>
      <c r="BK257" s="1603" t="n"/>
      <c r="BL257" s="1603" t="n"/>
      <c r="BM257" s="1603" t="n"/>
      <c r="BN257" s="1603" t="n"/>
      <c r="BO257" s="1604" t="n"/>
      <c r="BP257" s="1603" t="n"/>
      <c r="BQ257" s="1603" t="n"/>
      <c r="BR257" s="1603" t="n"/>
      <c r="BS257" s="1603" t="n"/>
      <c r="BT257" s="1602" t="n"/>
      <c r="BU257" s="1603" t="n"/>
      <c r="BV257" s="1603" t="n"/>
      <c r="BW257" s="1603" t="n"/>
      <c r="BX257" s="1603" t="n"/>
      <c r="BY257" s="1602" t="n"/>
      <c r="BZ257" s="1602" t="n"/>
      <c r="CA257" s="1602" t="n"/>
      <c r="CB257" s="1602" t="n"/>
      <c r="CC257" s="750" t="n"/>
    </row>
    <row r="258" hidden="1" outlineLevel="2" ht="15" customFormat="1" customHeight="1" s="607">
      <c r="A258" s="1693" t="inlineStr">
        <is>
          <t>Customer support employees, # of employees</t>
        </is>
      </c>
      <c r="B258" s="126" t="n"/>
      <c r="C258" s="1580" t="n">
        <v>1910</v>
      </c>
      <c r="D258" s="1580" t="n">
        <v>2236</v>
      </c>
      <c r="E258" s="1580" t="n">
        <v>2478</v>
      </c>
      <c r="F258" s="1580" t="n">
        <v>2538</v>
      </c>
      <c r="G258" s="1580" t="n">
        <v>2949</v>
      </c>
      <c r="H258" s="1578" t="n"/>
      <c r="I258" s="1578" t="n"/>
      <c r="J258" s="1578" t="n"/>
      <c r="K258" s="1578" t="n"/>
      <c r="L258" s="1580" t="n">
        <v>3289</v>
      </c>
      <c r="M258" s="1578" t="n"/>
      <c r="N258" s="1578" t="n"/>
      <c r="O258" s="1578" t="n"/>
      <c r="P258" s="1578" t="n"/>
      <c r="Q258" s="1580" t="n">
        <v>3607</v>
      </c>
      <c r="R258" s="1578" t="n"/>
      <c r="S258" s="1578" t="n"/>
      <c r="T258" s="1578" t="n"/>
      <c r="U258" s="1578" t="n"/>
      <c r="V258" s="1580" t="n">
        <v>4210</v>
      </c>
      <c r="W258" s="1578" t="n"/>
      <c r="X258" s="1578" t="n"/>
      <c r="Y258" s="1578" t="n"/>
      <c r="Z258" s="1578" t="n"/>
      <c r="AA258" s="1580" t="n">
        <v>5051</v>
      </c>
      <c r="AB258" s="1578" t="n"/>
      <c r="AC258" s="1578" t="n"/>
      <c r="AD258" s="1578" t="n"/>
      <c r="AE258" s="1578" t="n"/>
      <c r="AF258" s="1580" t="n">
        <v>5674</v>
      </c>
      <c r="AG258" s="1578" t="n"/>
      <c r="AH258" s="1578" t="n"/>
      <c r="AI258" s="1578" t="n"/>
      <c r="AJ258" s="1578" t="n"/>
      <c r="AK258" s="1580" t="n">
        <v>5953</v>
      </c>
      <c r="AL258" s="1578" t="n"/>
      <c r="AM258" s="1578" t="n"/>
      <c r="AN258" s="1578" t="n"/>
      <c r="AO258" s="1578" t="n"/>
      <c r="AP258" s="1580" t="n">
        <v>6429</v>
      </c>
      <c r="AQ258" s="1578" t="n"/>
      <c r="AR258" s="1578" t="n"/>
      <c r="AS258" s="1578" t="n"/>
      <c r="AT258" s="1578" t="n"/>
      <c r="AU258" s="1580" t="n">
        <v>7485</v>
      </c>
      <c r="AV258" s="1578" t="n"/>
      <c r="AW258" s="1578" t="n"/>
      <c r="AX258" s="1578" t="n"/>
      <c r="AY258" s="1578" t="n"/>
      <c r="AZ258" s="1580" t="n">
        <v>8901</v>
      </c>
      <c r="BA258" s="1578" t="n"/>
      <c r="BB258" s="1578" t="n"/>
      <c r="BC258" s="1578" t="n"/>
      <c r="BD258" s="1578" t="n"/>
      <c r="BE258" s="1580" t="n">
        <v>9851</v>
      </c>
      <c r="BF258" s="1578" t="n"/>
      <c r="BG258" s="1578" t="n"/>
      <c r="BH258" s="1578" t="n"/>
      <c r="BI258" s="1578" t="n"/>
      <c r="BJ258" s="1580" t="n">
        <v>10344</v>
      </c>
      <c r="BK258" s="1578" t="n"/>
      <c r="BL258" s="1578" t="n"/>
      <c r="BM258" s="1578" t="n"/>
      <c r="BN258" s="1578" t="n"/>
      <c r="BO258" s="1581" t="n"/>
      <c r="BP258" s="1578" t="n"/>
      <c r="BQ258" s="1578" t="n"/>
      <c r="BR258" s="1578" t="n"/>
      <c r="BS258" s="1578" t="n"/>
      <c r="BT258" s="1577" t="n"/>
      <c r="BU258" s="1578" t="n"/>
      <c r="BV258" s="1578" t="n"/>
      <c r="BW258" s="1578" t="n"/>
      <c r="BX258" s="1578" t="n"/>
      <c r="BY258" s="1577" t="n"/>
      <c r="BZ258" s="1577" t="n"/>
      <c r="CA258" s="1577" t="n"/>
      <c r="CB258" s="1577" t="n"/>
      <c r="CC258" s="102" t="n"/>
    </row>
    <row r="259" hidden="1" outlineLevel="2" ht="15" customFormat="1" customHeight="1" s="607">
      <c r="A259" s="1693" t="inlineStr">
        <is>
          <t>Manufacturing and supply chain management employees, # of employees</t>
        </is>
      </c>
      <c r="B259" s="126" t="n"/>
      <c r="C259" s="1580">
        <f>1639+367</f>
        <v/>
      </c>
      <c r="D259" s="1580" t="n">
        <v>2659</v>
      </c>
      <c r="E259" s="1580" t="n">
        <v>2852</v>
      </c>
      <c r="F259" s="1580" t="n">
        <v>2856</v>
      </c>
      <c r="G259" s="1580" t="n">
        <v>3658</v>
      </c>
      <c r="H259" s="1578" t="n"/>
      <c r="I259" s="1578" t="n"/>
      <c r="J259" s="1578" t="n"/>
      <c r="K259" s="1578" t="n"/>
      <c r="L259" s="1580" t="n">
        <v>3846</v>
      </c>
      <c r="M259" s="1578" t="n"/>
      <c r="N259" s="1578" t="n"/>
      <c r="O259" s="1578" t="n"/>
      <c r="P259" s="1578" t="n"/>
      <c r="Q259" s="1580" t="n">
        <v>3833</v>
      </c>
      <c r="R259" s="1578" t="n"/>
      <c r="S259" s="1578" t="n"/>
      <c r="T259" s="1578" t="n"/>
      <c r="U259" s="1578" t="n"/>
      <c r="V259" s="1580" t="n">
        <v>4443</v>
      </c>
      <c r="W259" s="1578" t="n"/>
      <c r="X259" s="1578" t="n"/>
      <c r="Y259" s="1578" t="n"/>
      <c r="Z259" s="1578" t="n"/>
      <c r="AA259" s="1580" t="n">
        <v>5112</v>
      </c>
      <c r="AB259" s="1578" t="n"/>
      <c r="AC259" s="1578" t="n"/>
      <c r="AD259" s="1578" t="n"/>
      <c r="AE259" s="1578" t="n"/>
      <c r="AF259" s="1580" t="n">
        <v>5779</v>
      </c>
      <c r="AG259" s="1578" t="n"/>
      <c r="AH259" s="1578" t="n"/>
      <c r="AI259" s="1578" t="n"/>
      <c r="AJ259" s="1578" t="n"/>
      <c r="AK259" s="1580" t="n">
        <v>5933</v>
      </c>
      <c r="AL259" s="1578" t="n"/>
      <c r="AM259" s="1578" t="n"/>
      <c r="AN259" s="1578" t="n"/>
      <c r="AO259" s="1578" t="n"/>
      <c r="AP259" s="1580" t="n">
        <v>7680</v>
      </c>
      <c r="AQ259" s="1578" t="n"/>
      <c r="AR259" s="1578" t="n"/>
      <c r="AS259" s="1578" t="n"/>
      <c r="AT259" s="1578" t="n"/>
      <c r="AU259" s="1580" t="n">
        <v>8237</v>
      </c>
      <c r="AV259" s="1578" t="n"/>
      <c r="AW259" s="1578" t="n"/>
      <c r="AX259" s="1578" t="n"/>
      <c r="AY259" s="1578" t="n"/>
      <c r="AZ259" s="1580" t="n">
        <v>9953</v>
      </c>
      <c r="BA259" s="1578" t="n"/>
      <c r="BB259" s="1578" t="n"/>
      <c r="BC259" s="1578" t="n"/>
      <c r="BD259" s="1578" t="n"/>
      <c r="BE259" s="1580" t="n">
        <v>9954</v>
      </c>
      <c r="BF259" s="1578" t="n"/>
      <c r="BG259" s="1578" t="n"/>
      <c r="BH259" s="1578" t="n"/>
      <c r="BI259" s="1578" t="n"/>
      <c r="BJ259" s="1580" t="n">
        <v>11341</v>
      </c>
      <c r="BK259" s="1578" t="n"/>
      <c r="BL259" s="1578" t="n"/>
      <c r="BM259" s="1578" t="n"/>
      <c r="BN259" s="1578" t="n"/>
      <c r="BO259" s="1581" t="n"/>
      <c r="BP259" s="1578" t="n"/>
      <c r="BQ259" s="1578" t="n"/>
      <c r="BR259" s="1578" t="n"/>
      <c r="BS259" s="1578" t="n"/>
      <c r="BT259" s="1577" t="n"/>
      <c r="BU259" s="1578" t="n"/>
      <c r="BV259" s="1578" t="n"/>
      <c r="BW259" s="1578" t="n"/>
      <c r="BX259" s="1578" t="n"/>
      <c r="BY259" s="1577" t="n"/>
      <c r="BZ259" s="1577" t="n"/>
      <c r="CA259" s="1577" t="n"/>
      <c r="CB259" s="1577" t="n"/>
      <c r="CC259" s="102" t="n"/>
    </row>
    <row r="260" hidden="1" outlineLevel="2" ht="15" customFormat="1" customHeight="1" s="607">
      <c r="A260" s="1693" t="inlineStr">
        <is>
          <t>Strategic supply management employees, # of employees</t>
        </is>
      </c>
      <c r="B260" s="126" t="n"/>
      <c r="C260" s="1577" t="n"/>
      <c r="D260" s="1577" t="n"/>
      <c r="E260" s="1577" t="n"/>
      <c r="F260" s="1577" t="n"/>
      <c r="G260" s="1577" t="n"/>
      <c r="H260" s="1578" t="n"/>
      <c r="I260" s="1578" t="n"/>
      <c r="J260" s="1578" t="n"/>
      <c r="K260" s="1578" t="n"/>
      <c r="L260" s="1577" t="n"/>
      <c r="M260" s="1578" t="n"/>
      <c r="N260" s="1578" t="n"/>
      <c r="O260" s="1578" t="n"/>
      <c r="P260" s="1578" t="n"/>
      <c r="Q260" s="1577" t="n"/>
      <c r="R260" s="1578" t="n"/>
      <c r="S260" s="1578" t="n"/>
      <c r="T260" s="1578" t="n"/>
      <c r="U260" s="1578" t="n"/>
      <c r="V260" s="1577" t="n"/>
      <c r="W260" s="1578" t="n"/>
      <c r="X260" s="1578" t="n"/>
      <c r="Y260" s="1578" t="n"/>
      <c r="Z260" s="1578" t="n"/>
      <c r="AA260" s="1577" t="n"/>
      <c r="AB260" s="1578" t="n"/>
      <c r="AC260" s="1578" t="n"/>
      <c r="AD260" s="1578" t="n"/>
      <c r="AE260" s="1578" t="n"/>
      <c r="AF260" s="1580" t="n">
        <v>267</v>
      </c>
      <c r="AG260" s="1578" t="n"/>
      <c r="AH260" s="1578" t="n"/>
      <c r="AI260" s="1578" t="n"/>
      <c r="AJ260" s="1578" t="n"/>
      <c r="AK260" s="1580" t="n">
        <v>326</v>
      </c>
      <c r="AL260" s="1578" t="n"/>
      <c r="AM260" s="1578" t="n"/>
      <c r="AN260" s="1578" t="n"/>
      <c r="AO260" s="1578" t="n"/>
      <c r="AP260" s="1580" t="n">
        <v>346</v>
      </c>
      <c r="AQ260" s="1578" t="n"/>
      <c r="AR260" s="1578" t="n"/>
      <c r="AS260" s="1578" t="n"/>
      <c r="AT260" s="1578" t="n"/>
      <c r="AU260" s="1580" t="n">
        <v>707</v>
      </c>
      <c r="AV260" s="1578" t="n"/>
      <c r="AW260" s="1578" t="n"/>
      <c r="AX260" s="1578" t="n"/>
      <c r="AY260" s="1578" t="n"/>
      <c r="AZ260" s="1580" t="n">
        <v>1541</v>
      </c>
      <c r="BA260" s="1578" t="n"/>
      <c r="BB260" s="1578" t="n"/>
      <c r="BC260" s="1578" t="n"/>
      <c r="BD260" s="1578" t="n"/>
      <c r="BE260" s="1580" t="n">
        <v>2033</v>
      </c>
      <c r="BF260" s="1578" t="n"/>
      <c r="BG260" s="1578" t="n"/>
      <c r="BH260" s="1578" t="n"/>
      <c r="BI260" s="1578" t="n"/>
      <c r="BJ260" s="1580" t="n">
        <v>1965</v>
      </c>
      <c r="BK260" s="1578" t="n"/>
      <c r="BL260" s="1578" t="n"/>
      <c r="BM260" s="1578" t="n"/>
      <c r="BN260" s="1578" t="n"/>
      <c r="BO260" s="1581" t="n"/>
      <c r="BP260" s="1578" t="n"/>
      <c r="BQ260" s="1578" t="n"/>
      <c r="BR260" s="1578" t="n"/>
      <c r="BS260" s="1578" t="n"/>
      <c r="BT260" s="1577" t="n"/>
      <c r="BU260" s="1578" t="n"/>
      <c r="BV260" s="1578" t="n"/>
      <c r="BW260" s="1578" t="n"/>
      <c r="BX260" s="1578" t="n"/>
      <c r="BY260" s="1577" t="n"/>
      <c r="BZ260" s="1577" t="n"/>
      <c r="CA260" s="1577" t="n"/>
      <c r="CB260" s="1577" t="n"/>
      <c r="CC260" s="102" t="n"/>
    </row>
    <row r="261" hidden="1" outlineLevel="2" ht="15" customFormat="1" customHeight="1" s="607">
      <c r="A261" s="1693" t="inlineStr">
        <is>
          <t>General &amp; administrative employees, # of employees</t>
        </is>
      </c>
      <c r="B261" s="126" t="n"/>
      <c r="C261" s="1580" t="n">
        <v>679</v>
      </c>
      <c r="D261" s="1580" t="n">
        <v>727</v>
      </c>
      <c r="E261" s="1580" t="n">
        <v>723</v>
      </c>
      <c r="F261" s="1580" t="n">
        <v>869</v>
      </c>
      <c r="G261" s="1580" t="n">
        <v>1098</v>
      </c>
      <c r="H261" s="1578" t="n"/>
      <c r="I261" s="1578" t="n"/>
      <c r="J261" s="1578" t="n"/>
      <c r="K261" s="1578" t="n"/>
      <c r="L261" s="1580" t="n">
        <v>1240</v>
      </c>
      <c r="M261" s="1578" t="n"/>
      <c r="N261" s="1578" t="n"/>
      <c r="O261" s="1578" t="n"/>
      <c r="P261" s="1578" t="n"/>
      <c r="Q261" s="1580" t="n">
        <v>1380</v>
      </c>
      <c r="R261" s="1578" t="n"/>
      <c r="S261" s="1578" t="n"/>
      <c r="T261" s="1578" t="n"/>
      <c r="U261" s="1578" t="n"/>
      <c r="V261" s="1580" t="n">
        <v>1561</v>
      </c>
      <c r="W261" s="1578" t="n"/>
      <c r="X261" s="1578" t="n"/>
      <c r="Y261" s="1578" t="n"/>
      <c r="Z261" s="1578" t="n"/>
      <c r="AA261" s="1580" t="n">
        <v>1701</v>
      </c>
      <c r="AB261" s="1578" t="n"/>
      <c r="AC261" s="1578" t="n"/>
      <c r="AD261" s="1578" t="n"/>
      <c r="AE261" s="1578" t="n"/>
      <c r="AF261" s="1580" t="n">
        <v>1701</v>
      </c>
      <c r="AG261" s="1578" t="n"/>
      <c r="AH261" s="1578" t="n"/>
      <c r="AI261" s="1578" t="n"/>
      <c r="AJ261" s="1578" t="n"/>
      <c r="AK261" s="1580" t="n">
        <v>1898</v>
      </c>
      <c r="AL261" s="1578" t="n"/>
      <c r="AM261" s="1578" t="n"/>
      <c r="AN261" s="1578" t="n"/>
      <c r="AO261" s="1578" t="n"/>
      <c r="AP261" s="1580" t="n">
        <v>2061</v>
      </c>
      <c r="AQ261" s="1578" t="n"/>
      <c r="AR261" s="1578" t="n"/>
      <c r="AS261" s="1578" t="n"/>
      <c r="AT261" s="1578" t="n"/>
      <c r="AU261" s="1580" t="n">
        <v>2761</v>
      </c>
      <c r="AV261" s="1578" t="n"/>
      <c r="AW261" s="1578" t="n"/>
      <c r="AX261" s="1578" t="n"/>
      <c r="AY261" s="1578" t="n"/>
      <c r="AZ261" s="1580" t="n">
        <v>3768</v>
      </c>
      <c r="BA261" s="1578" t="n"/>
      <c r="BB261" s="1578" t="n"/>
      <c r="BC261" s="1578" t="n"/>
      <c r="BD261" s="1578" t="n"/>
      <c r="BE261" s="1580" t="n">
        <v>4035</v>
      </c>
      <c r="BF261" s="1578" t="n"/>
      <c r="BG261" s="1578" t="n"/>
      <c r="BH261" s="1578" t="n"/>
      <c r="BI261" s="1578" t="n"/>
      <c r="BJ261" s="1580" t="n">
        <v>4385</v>
      </c>
      <c r="BK261" s="1578" t="n"/>
      <c r="BL261" s="1578" t="n"/>
      <c r="BM261" s="1578" t="n"/>
      <c r="BN261" s="1578" t="n"/>
      <c r="BO261" s="1581" t="n"/>
      <c r="BP261" s="1578" t="n"/>
      <c r="BQ261" s="1578" t="n"/>
      <c r="BR261" s="1578" t="n"/>
      <c r="BS261" s="1578" t="n"/>
      <c r="BT261" s="1577" t="n"/>
      <c r="BU261" s="1578" t="n"/>
      <c r="BV261" s="1578" t="n"/>
      <c r="BW261" s="1578" t="n"/>
      <c r="BX261" s="1578" t="n"/>
      <c r="BY261" s="1577" t="n"/>
      <c r="BZ261" s="1577" t="n"/>
      <c r="CA261" s="1577" t="n"/>
      <c r="CB261" s="1577" t="n"/>
      <c r="CC261" s="102" t="n"/>
    </row>
    <row r="262" hidden="1" outlineLevel="2" ht="15" customFormat="1" customHeight="1" s="607">
      <c r="A262" s="1693" t="inlineStr">
        <is>
          <t>Sales and mature products and services employees, # of employees</t>
        </is>
      </c>
      <c r="B262" s="126" t="n"/>
      <c r="C262" s="1577" t="n"/>
      <c r="D262" s="1577" t="n"/>
      <c r="E262" s="1577" t="n"/>
      <c r="F262" s="1577" t="n"/>
      <c r="G262" s="1577" t="n"/>
      <c r="H262" s="1578" t="n"/>
      <c r="I262" s="1578" t="n"/>
      <c r="J262" s="1578" t="n"/>
      <c r="K262" s="1578" t="n"/>
      <c r="L262" s="1577" t="n"/>
      <c r="M262" s="1578" t="n"/>
      <c r="N262" s="1578" t="n"/>
      <c r="O262" s="1578" t="n"/>
      <c r="P262" s="1578" t="n"/>
      <c r="Q262" s="1577" t="n"/>
      <c r="R262" s="1578" t="n"/>
      <c r="S262" s="1578" t="n"/>
      <c r="T262" s="1578" t="n"/>
      <c r="U262" s="1578" t="n"/>
      <c r="V262" s="1577" t="n"/>
      <c r="W262" s="1578" t="n"/>
      <c r="X262" s="1578" t="n"/>
      <c r="Y262" s="1578" t="n"/>
      <c r="Z262" s="1578" t="n"/>
      <c r="AA262" s="1577" t="n"/>
      <c r="AB262" s="1578" t="n"/>
      <c r="AC262" s="1578" t="n"/>
      <c r="AD262" s="1578" t="n"/>
      <c r="AE262" s="1578" t="n"/>
      <c r="AF262" s="1580" t="n">
        <v>559</v>
      </c>
      <c r="AG262" s="1578" t="n"/>
      <c r="AH262" s="1578" t="n"/>
      <c r="AI262" s="1578" t="n"/>
      <c r="AJ262" s="1578" t="n"/>
      <c r="AK262" s="1580" t="n">
        <v>624</v>
      </c>
      <c r="AL262" s="1578" t="n"/>
      <c r="AM262" s="1578" t="n"/>
      <c r="AN262" s="1578" t="n"/>
      <c r="AO262" s="1578" t="n"/>
      <c r="AP262" s="1580" t="n">
        <v>744</v>
      </c>
      <c r="AQ262" s="1578" t="n"/>
      <c r="AR262" s="1578" t="n"/>
      <c r="AS262" s="1578" t="n"/>
      <c r="AT262" s="1578" t="n"/>
      <c r="AU262" s="1580" t="n">
        <v>766</v>
      </c>
      <c r="AV262" s="1578" t="n"/>
      <c r="AW262" s="1578" t="n"/>
      <c r="AX262" s="1578" t="n"/>
      <c r="AY262" s="1578" t="n"/>
      <c r="AZ262" s="1580" t="n">
        <v>742</v>
      </c>
      <c r="BA262" s="1578" t="n"/>
      <c r="BB262" s="1578" t="n"/>
      <c r="BC262" s="1578" t="n"/>
      <c r="BD262" s="1578" t="n"/>
      <c r="BE262" s="1580" t="n">
        <v>939</v>
      </c>
      <c r="BF262" s="1578" t="n"/>
      <c r="BG262" s="1578" t="n"/>
      <c r="BH262" s="1578" t="n"/>
      <c r="BI262" s="1578" t="n"/>
      <c r="BJ262" s="1580" t="n">
        <v>0</v>
      </c>
      <c r="BK262" s="1578" t="n"/>
      <c r="BL262" s="1578" t="n"/>
      <c r="BM262" s="1578" t="n"/>
      <c r="BN262" s="1578" t="n"/>
      <c r="BO262" s="1581" t="n"/>
      <c r="BP262" s="1578" t="n"/>
      <c r="BQ262" s="1578" t="n"/>
      <c r="BR262" s="1578" t="n"/>
      <c r="BS262" s="1578" t="n"/>
      <c r="BT262" s="1577" t="n"/>
      <c r="BU262" s="1578" t="n"/>
      <c r="BV262" s="1578" t="n"/>
      <c r="BW262" s="1578" t="n"/>
      <c r="BX262" s="1578" t="n"/>
      <c r="BY262" s="1577" t="n"/>
      <c r="BZ262" s="1577" t="n"/>
      <c r="CA262" s="1577" t="n"/>
      <c r="CB262" s="1577" t="n"/>
      <c r="CC262" s="102" t="n"/>
    </row>
    <row r="263" hidden="1" outlineLevel="2" ht="15" customFormat="1" customHeight="1" s="607">
      <c r="A263" s="1693" t="inlineStr">
        <is>
          <t>Research and development employees, # of employees</t>
        </is>
      </c>
      <c r="B263" s="126" t="n"/>
      <c r="C263" s="1580">
        <f>2813+277</f>
        <v/>
      </c>
      <c r="D263" s="1580">
        <f>3225+398</f>
        <v/>
      </c>
      <c r="E263" s="1580">
        <f>3417+420</f>
        <v/>
      </c>
      <c r="F263" s="1580">
        <f>3736+637</f>
        <v/>
      </c>
      <c r="G263" s="1580">
        <f>4735+785</f>
        <v/>
      </c>
      <c r="H263" s="1578" t="n"/>
      <c r="I263" s="1578" t="n"/>
      <c r="J263" s="1578" t="n"/>
      <c r="K263" s="1578" t="n"/>
      <c r="L263" s="1580" t="n">
        <v>5697</v>
      </c>
      <c r="M263" s="1578" t="n"/>
      <c r="N263" s="1578" t="n"/>
      <c r="O263" s="1578" t="n"/>
      <c r="P263" s="1578" t="n"/>
      <c r="Q263" s="1580" t="n">
        <v>5861</v>
      </c>
      <c r="R263" s="1578" t="n"/>
      <c r="S263" s="1578" t="n"/>
      <c r="T263" s="1578" t="n"/>
      <c r="U263" s="1578" t="n"/>
      <c r="V263" s="1580" t="n">
        <v>6433</v>
      </c>
      <c r="W263" s="1578" t="n"/>
      <c r="X263" s="1578" t="n"/>
      <c r="Y263" s="1578" t="n"/>
      <c r="Z263" s="1578" t="n"/>
      <c r="AA263" s="1580" t="n">
        <v>7352</v>
      </c>
      <c r="AB263" s="1578" t="n"/>
      <c r="AC263" s="1578" t="n"/>
      <c r="AD263" s="1578" t="n"/>
      <c r="AE263" s="1578" t="n"/>
      <c r="AF263" s="1580" t="n">
        <v>9267</v>
      </c>
      <c r="AG263" s="1578" t="n"/>
      <c r="AH263" s="1578" t="n"/>
      <c r="AI263" s="1578" t="n"/>
      <c r="AJ263" s="1578" t="n"/>
      <c r="AK263" s="1580" t="n">
        <v>10166</v>
      </c>
      <c r="AL263" s="1578" t="n"/>
      <c r="AM263" s="1578" t="n"/>
      <c r="AN263" s="1578" t="n"/>
      <c r="AO263" s="1578" t="n"/>
      <c r="AP263" s="1580" t="n">
        <v>10813</v>
      </c>
      <c r="AQ263" s="1578" t="n"/>
      <c r="AR263" s="1578" t="n"/>
      <c r="AS263" s="1578" t="n"/>
      <c r="AT263" s="1578" t="n"/>
      <c r="AU263" s="1580" t="n">
        <v>12060</v>
      </c>
      <c r="AV263" s="1578" t="n"/>
      <c r="AW263" s="1578" t="n"/>
      <c r="AX263" s="1578" t="n"/>
      <c r="AY263" s="1578" t="n"/>
      <c r="AZ263" s="1580" t="n">
        <v>14181</v>
      </c>
      <c r="BA263" s="1578" t="n"/>
      <c r="BB263" s="1578" t="n"/>
      <c r="BC263" s="1578" t="n"/>
      <c r="BD263" s="1578" t="n"/>
      <c r="BE263" s="1580" t="n">
        <v>15604</v>
      </c>
      <c r="BF263" s="1578" t="n"/>
      <c r="BG263" s="1578" t="n"/>
      <c r="BH263" s="1578" t="n"/>
      <c r="BI263" s="1578" t="n"/>
      <c r="BJ263" s="1580" t="n">
        <v>15992</v>
      </c>
      <c r="BK263" s="1578" t="n"/>
      <c r="BL263" s="1578" t="n"/>
      <c r="BM263" s="1578" t="n"/>
      <c r="BN263" s="1578" t="n"/>
      <c r="BO263" s="1581" t="n"/>
      <c r="BP263" s="1578" t="n"/>
      <c r="BQ263" s="1578" t="n"/>
      <c r="BR263" s="1578" t="n"/>
      <c r="BS263" s="1578" t="n"/>
      <c r="BT263" s="1577" t="n"/>
      <c r="BU263" s="1578" t="n"/>
      <c r="BV263" s="1578" t="n"/>
      <c r="BW263" s="1578" t="n"/>
      <c r="BX263" s="1578" t="n"/>
      <c r="BY263" s="1577" t="n"/>
      <c r="BZ263" s="1577" t="n"/>
      <c r="CA263" s="1577" t="n"/>
      <c r="CB263" s="1577" t="n"/>
      <c r="CC263" s="102" t="n"/>
    </row>
    <row r="264" hidden="1" outlineLevel="2" ht="15" customFormat="1" customHeight="1" s="598">
      <c r="A264" s="1761" t="inlineStr">
        <is>
          <t>Total employees, # of employees</t>
        </is>
      </c>
      <c r="B264" s="67" t="n"/>
      <c r="C264" s="1762">
        <f>SUM(C258:C263)</f>
        <v/>
      </c>
      <c r="D264" s="1762">
        <f>SUM(D258:D263)</f>
        <v/>
      </c>
      <c r="E264" s="1762">
        <f>SUM(E258:E263)</f>
        <v/>
      </c>
      <c r="F264" s="1762">
        <f>SUM(F258:F263)</f>
        <v/>
      </c>
      <c r="G264" s="1762">
        <f>SUM(G258:G263)</f>
        <v/>
      </c>
      <c r="H264" s="1611" t="n"/>
      <c r="I264" s="1611" t="n"/>
      <c r="J264" s="1611" t="n"/>
      <c r="K264" s="1611" t="n"/>
      <c r="L264" s="1762">
        <f>SUM(L258:L263)</f>
        <v/>
      </c>
      <c r="M264" s="1611" t="n"/>
      <c r="N264" s="1611" t="n"/>
      <c r="O264" s="1611" t="n"/>
      <c r="P264" s="1611" t="n"/>
      <c r="Q264" s="1762">
        <f>SUM(Q258:Q263)</f>
        <v/>
      </c>
      <c r="R264" s="1611" t="n"/>
      <c r="S264" s="1611" t="n"/>
      <c r="T264" s="1611" t="n"/>
      <c r="U264" s="1611" t="n"/>
      <c r="V264" s="1762">
        <f>SUM(V258:V263)</f>
        <v/>
      </c>
      <c r="W264" s="1611" t="n"/>
      <c r="X264" s="1611" t="n"/>
      <c r="Y264" s="1611" t="n"/>
      <c r="Z264" s="1611" t="n"/>
      <c r="AA264" s="1762">
        <f>SUM(AA258:AA263)</f>
        <v/>
      </c>
      <c r="AB264" s="1611" t="n"/>
      <c r="AC264" s="1611" t="n"/>
      <c r="AD264" s="1611" t="n"/>
      <c r="AE264" s="1611" t="n"/>
      <c r="AF264" s="1762">
        <f>SUM(AF258:AF263)</f>
        <v/>
      </c>
      <c r="AG264" s="1611" t="n"/>
      <c r="AH264" s="1611" t="n"/>
      <c r="AI264" s="1611" t="n"/>
      <c r="AJ264" s="1611" t="n"/>
      <c r="AK264" s="1762">
        <f>SUM(AK258:AK263)</f>
        <v/>
      </c>
      <c r="AL264" s="1611" t="n"/>
      <c r="AM264" s="1611" t="n"/>
      <c r="AN264" s="1611" t="n"/>
      <c r="AO264" s="1611" t="n"/>
      <c r="AP264" s="1762">
        <f>SUM(AP258:AP263)</f>
        <v/>
      </c>
      <c r="AQ264" s="1611" t="n"/>
      <c r="AR264" s="1611" t="n"/>
      <c r="AS264" s="1611" t="n"/>
      <c r="AT264" s="1611" t="n"/>
      <c r="AU264" s="1762">
        <f>SUM(AU258:AU263)</f>
        <v/>
      </c>
      <c r="AV264" s="1611" t="n"/>
      <c r="AW264" s="1611" t="n"/>
      <c r="AX264" s="1611" t="n"/>
      <c r="AY264" s="1611" t="n"/>
      <c r="AZ264" s="1762">
        <f>SUM(AZ258:AZ263)</f>
        <v/>
      </c>
      <c r="BA264" s="1611" t="n"/>
      <c r="BB264" s="1611" t="n"/>
      <c r="BC264" s="1611" t="n"/>
      <c r="BD264" s="1611" t="n"/>
      <c r="BE264" s="1762">
        <f>SUM(BE258:BE263)</f>
        <v/>
      </c>
      <c r="BF264" s="1611" t="n"/>
      <c r="BG264" s="1611" t="n"/>
      <c r="BH264" s="1611" t="n"/>
      <c r="BI264" s="1611" t="n"/>
      <c r="BJ264" s="1762">
        <f>SUM(BJ258:BJ263)</f>
        <v/>
      </c>
      <c r="BK264" s="1611" t="n"/>
      <c r="BL264" s="1611" t="n"/>
      <c r="BM264" s="1611" t="n"/>
      <c r="BN264" s="1611" t="n"/>
      <c r="BO264" s="1765">
        <f>BO266+BO265</f>
        <v/>
      </c>
      <c r="BP264" s="1611" t="n"/>
      <c r="BQ264" s="1611" t="n"/>
      <c r="BR264" s="1611" t="n"/>
      <c r="BS264" s="1611" t="n"/>
      <c r="BT264" s="1610" t="n"/>
      <c r="BU264" s="1611" t="n"/>
      <c r="BV264" s="1611" t="n"/>
      <c r="BW264" s="1611" t="n"/>
      <c r="BX264" s="1611" t="n"/>
      <c r="BY264" s="1610" t="n"/>
      <c r="BZ264" s="1610" t="n"/>
      <c r="CA264" s="1610" t="n"/>
      <c r="CB264" s="1610" t="n"/>
      <c r="CC264" s="750" t="n"/>
    </row>
    <row r="265" hidden="1" outlineLevel="2" ht="15" customFormat="1" customHeight="1" s="607">
      <c r="A265" s="1693" t="inlineStr">
        <is>
          <t>Temporary employees, # of employees</t>
        </is>
      </c>
      <c r="B265" s="126" t="n"/>
      <c r="C265" s="1580" t="n">
        <v>1137</v>
      </c>
      <c r="D265" s="1580" t="n">
        <v>2061</v>
      </c>
      <c r="E265" s="1580" t="n">
        <v>1935</v>
      </c>
      <c r="F265" s="1580" t="n">
        <v>2139</v>
      </c>
      <c r="G265" s="1580" t="n">
        <v>2865</v>
      </c>
      <c r="H265" s="1578" t="n"/>
      <c r="I265" s="1578" t="n"/>
      <c r="J265" s="1578" t="n"/>
      <c r="K265" s="1578" t="n"/>
      <c r="L265" s="1580" t="n">
        <v>2754</v>
      </c>
      <c r="M265" s="1578" t="n"/>
      <c r="N265" s="1578" t="n"/>
      <c r="O265" s="1578" t="n"/>
      <c r="P265" s="1578" t="n"/>
      <c r="Q265" s="1580" t="n">
        <v>2513</v>
      </c>
      <c r="R265" s="1578" t="n"/>
      <c r="S265" s="1578" t="n"/>
      <c r="T265" s="1578" t="n"/>
      <c r="U265" s="1578" t="n"/>
      <c r="V265" s="1580" t="n">
        <v>2656</v>
      </c>
      <c r="W265" s="1578" t="n"/>
      <c r="X265" s="1578" t="n"/>
      <c r="Y265" s="1578" t="n"/>
      <c r="Z265" s="1578" t="n"/>
      <c r="AA265" s="1580" t="n">
        <v>2997</v>
      </c>
      <c r="AB265" s="1578" t="n"/>
      <c r="AC265" s="1578" t="n"/>
      <c r="AD265" s="1578" t="n"/>
      <c r="AE265" s="1578" t="n"/>
      <c r="AF265" s="1580" t="n">
        <v>3203</v>
      </c>
      <c r="AG265" s="1578" t="n"/>
      <c r="AH265" s="1578" t="n"/>
      <c r="AI265" s="1578" t="n"/>
      <c r="AJ265" s="1578" t="n"/>
      <c r="AK265" s="1580" t="n">
        <v>1681</v>
      </c>
      <c r="AL265" s="1578" t="n"/>
      <c r="AM265" s="1578" t="n"/>
      <c r="AN265" s="1578" t="n"/>
      <c r="AO265" s="1578" t="n"/>
      <c r="AP265" s="1580" t="n">
        <v>1459</v>
      </c>
      <c r="AQ265" s="1578" t="n"/>
      <c r="AR265" s="1578" t="n"/>
      <c r="AS265" s="1578" t="n"/>
      <c r="AT265" s="1578" t="n"/>
      <c r="AU265" s="1580" t="n">
        <v>2155</v>
      </c>
      <c r="AV265" s="1578" t="n"/>
      <c r="AW265" s="1578" t="n"/>
      <c r="AX265" s="1578" t="n"/>
      <c r="AY265" s="1578" t="n"/>
      <c r="AZ265" s="1580" t="n">
        <v>2974</v>
      </c>
      <c r="BA265" s="1578" t="n"/>
      <c r="BB265" s="1578" t="n"/>
      <c r="BC265" s="1578" t="n"/>
      <c r="BD265" s="1578" t="n"/>
      <c r="BE265" s="1580" t="n">
        <v>2107</v>
      </c>
      <c r="BF265" s="1578" t="n"/>
      <c r="BG265" s="1578" t="n"/>
      <c r="BH265" s="1578" t="n"/>
      <c r="BI265" s="1578" t="n"/>
      <c r="BJ265" s="1580" t="n">
        <v>1241</v>
      </c>
      <c r="BK265" s="1578" t="n"/>
      <c r="BL265" s="1578" t="n"/>
      <c r="BM265" s="1578" t="n"/>
      <c r="BN265" s="1578" t="n"/>
      <c r="BO265" s="1591" t="n">
        <v>689</v>
      </c>
      <c r="BP265" s="1578" t="n"/>
      <c r="BQ265" s="1578" t="n"/>
      <c r="BR265" s="1578" t="n"/>
      <c r="BS265" s="1578" t="n"/>
      <c r="BT265" s="1577" t="n"/>
      <c r="BU265" s="1578" t="n"/>
      <c r="BV265" s="1578" t="n"/>
      <c r="BW265" s="1578" t="n"/>
      <c r="BX265" s="1578" t="n"/>
      <c r="BY265" s="1577" t="n"/>
      <c r="BZ265" s="1577" t="n"/>
      <c r="CA265" s="1577" t="n"/>
      <c r="CB265" s="1577" t="n"/>
      <c r="CC265" s="102" t="n"/>
    </row>
    <row r="266" hidden="1" outlineLevel="2" ht="15" customFormat="1" customHeight="1" s="598">
      <c r="A266" s="1761" t="inlineStr">
        <is>
          <t>Total payroll employees, # of employees</t>
        </is>
      </c>
      <c r="B266" s="67" t="n"/>
      <c r="C266" s="1762">
        <f>C264-C265</f>
        <v/>
      </c>
      <c r="D266" s="1762">
        <f>D264-D265</f>
        <v/>
      </c>
      <c r="E266" s="1762">
        <f>E264-E265</f>
        <v/>
      </c>
      <c r="F266" s="1762">
        <f>F264-F265</f>
        <v/>
      </c>
      <c r="G266" s="1762">
        <f>G264-G265</f>
        <v/>
      </c>
      <c r="H266" s="1611" t="n"/>
      <c r="I266" s="1611" t="n"/>
      <c r="J266" s="1611" t="n"/>
      <c r="K266" s="1611" t="n"/>
      <c r="L266" s="1762">
        <f>L264-L265</f>
        <v/>
      </c>
      <c r="M266" s="1611" t="n"/>
      <c r="N266" s="1611" t="n"/>
      <c r="O266" s="1611" t="n"/>
      <c r="P266" s="1611" t="n"/>
      <c r="Q266" s="1762">
        <f>Q264-Q265</f>
        <v/>
      </c>
      <c r="R266" s="1611" t="n"/>
      <c r="S266" s="1611" t="n"/>
      <c r="T266" s="1611" t="n"/>
      <c r="U266" s="1611" t="n"/>
      <c r="V266" s="1762">
        <f>V264-V265</f>
        <v/>
      </c>
      <c r="W266" s="1611" t="n"/>
      <c r="X266" s="1611" t="n"/>
      <c r="Y266" s="1611" t="n"/>
      <c r="Z266" s="1611" t="n"/>
      <c r="AA266" s="1762">
        <f>AA264-AA265</f>
        <v/>
      </c>
      <c r="AB266" s="1611" t="n"/>
      <c r="AC266" s="1611" t="n"/>
      <c r="AD266" s="1611" t="n"/>
      <c r="AE266" s="1611" t="n"/>
      <c r="AF266" s="1762">
        <f>AF264-AF265</f>
        <v/>
      </c>
      <c r="AG266" s="1611" t="n"/>
      <c r="AH266" s="1611" t="n"/>
      <c r="AI266" s="1611" t="n"/>
      <c r="AJ266" s="1611" t="n"/>
      <c r="AK266" s="1762">
        <f>AK264-AK265</f>
        <v/>
      </c>
      <c r="AL266" s="1611" t="n"/>
      <c r="AM266" s="1611" t="n"/>
      <c r="AN266" s="1611" t="n"/>
      <c r="AO266" s="1611" t="n"/>
      <c r="AP266" s="1762">
        <f>AP264-AP265</f>
        <v/>
      </c>
      <c r="AQ266" s="1611" t="n"/>
      <c r="AR266" s="1611" t="n"/>
      <c r="AS266" s="1611" t="n"/>
      <c r="AT266" s="1611" t="n"/>
      <c r="AU266" s="1762">
        <f>AU264-AU265</f>
        <v/>
      </c>
      <c r="AV266" s="1611" t="n"/>
      <c r="AW266" s="1611" t="n"/>
      <c r="AX266" s="1611" t="n"/>
      <c r="AY266" s="1611" t="n"/>
      <c r="AZ266" s="1762">
        <f>AZ264-AZ265</f>
        <v/>
      </c>
      <c r="BA266" s="1611" t="n"/>
      <c r="BB266" s="1611" t="n"/>
      <c r="BC266" s="1611" t="n"/>
      <c r="BD266" s="1611" t="n"/>
      <c r="BE266" s="1762">
        <f>BE264-BE265</f>
        <v/>
      </c>
      <c r="BF266" s="1611" t="n"/>
      <c r="BG266" s="1611" t="n"/>
      <c r="BH266" s="1611" t="n"/>
      <c r="BI266" s="1611" t="n"/>
      <c r="BJ266" s="1762">
        <f>BJ264-BJ265</f>
        <v/>
      </c>
      <c r="BK266" s="1611" t="n"/>
      <c r="BL266" s="1611" t="n"/>
      <c r="BM266" s="1611" t="n"/>
      <c r="BN266" s="1611" t="n"/>
      <c r="BO266" s="1612">
        <f>BO254</f>
        <v/>
      </c>
      <c r="BP266" s="1611" t="n"/>
      <c r="BQ266" s="1611" t="n"/>
      <c r="BR266" s="1611" t="n"/>
      <c r="BS266" s="1611" t="n"/>
      <c r="BT266" s="1610" t="n"/>
      <c r="BU266" s="1611" t="n"/>
      <c r="BV266" s="1611" t="n"/>
      <c r="BW266" s="1611" t="n"/>
      <c r="BX266" s="1611" t="n"/>
      <c r="BY266" s="1610" t="n"/>
      <c r="BZ266" s="1610" t="n"/>
      <c r="CA266" s="1610" t="n"/>
      <c r="CB266" s="1610" t="n"/>
      <c r="CC266" s="750" t="n"/>
    </row>
    <row r="267" hidden="1" outlineLevel="2" ht="15" customFormat="1" customHeight="1" s="598">
      <c r="A267" s="1613" t="n"/>
      <c r="B267" s="64" t="n"/>
      <c r="C267" s="1602" t="n"/>
      <c r="D267" s="1602" t="n"/>
      <c r="E267" s="1602" t="n"/>
      <c r="F267" s="1602" t="n"/>
      <c r="G267" s="1602" t="n"/>
      <c r="H267" s="1603" t="n"/>
      <c r="I267" s="1603" t="n"/>
      <c r="J267" s="1603" t="n"/>
      <c r="K267" s="1603" t="n"/>
      <c r="L267" s="1602" t="n"/>
      <c r="M267" s="1603" t="n"/>
      <c r="N267" s="1603" t="n"/>
      <c r="O267" s="1603" t="n"/>
      <c r="P267" s="1603" t="n"/>
      <c r="Q267" s="1602" t="n"/>
      <c r="R267" s="1603" t="n"/>
      <c r="S267" s="1603" t="n"/>
      <c r="T267" s="1603" t="n"/>
      <c r="U267" s="1603" t="n"/>
      <c r="V267" s="1602" t="n"/>
      <c r="W267" s="1603" t="n"/>
      <c r="X267" s="1603" t="n"/>
      <c r="Y267" s="1603" t="n"/>
      <c r="Z267" s="1603" t="n"/>
      <c r="AA267" s="1602" t="n"/>
      <c r="AB267" s="1603" t="n"/>
      <c r="AC267" s="1603" t="n"/>
      <c r="AD267" s="1603" t="n"/>
      <c r="AE267" s="1603" t="n"/>
      <c r="AF267" s="1602" t="n"/>
      <c r="AG267" s="1603" t="n"/>
      <c r="AH267" s="1603" t="n"/>
      <c r="AI267" s="1603" t="n"/>
      <c r="AJ267" s="1603" t="n"/>
      <c r="AK267" s="1602" t="n"/>
      <c r="AL267" s="1603" t="n"/>
      <c r="AM267" s="1603" t="n"/>
      <c r="AN267" s="1603" t="n"/>
      <c r="AO267" s="1603" t="n"/>
      <c r="AP267" s="1602" t="n"/>
      <c r="AQ267" s="1603" t="n"/>
      <c r="AR267" s="1603" t="n"/>
      <c r="AS267" s="1603" t="n"/>
      <c r="AT267" s="1603" t="n"/>
      <c r="AU267" s="1602" t="n"/>
      <c r="AV267" s="1603" t="n"/>
      <c r="AW267" s="1603" t="n"/>
      <c r="AX267" s="1603" t="n"/>
      <c r="AY267" s="1603" t="n"/>
      <c r="AZ267" s="1602" t="n"/>
      <c r="BA267" s="1603" t="n"/>
      <c r="BB267" s="1603" t="n"/>
      <c r="BC267" s="1603" t="n"/>
      <c r="BD267" s="1603" t="n"/>
      <c r="BE267" s="1602" t="n"/>
      <c r="BF267" s="1603" t="n"/>
      <c r="BG267" s="1603" t="n"/>
      <c r="BH267" s="1603" t="n"/>
      <c r="BI267" s="1603" t="n"/>
      <c r="BJ267" s="1602" t="n"/>
      <c r="BK267" s="1603" t="n"/>
      <c r="BL267" s="1603" t="n"/>
      <c r="BM267" s="1603" t="n"/>
      <c r="BN267" s="1603" t="n"/>
      <c r="BO267" s="1604" t="n"/>
      <c r="BP267" s="1603" t="n"/>
      <c r="BQ267" s="1603" t="n"/>
      <c r="BR267" s="1603" t="n"/>
      <c r="BS267" s="1603" t="n"/>
      <c r="BT267" s="1602" t="n"/>
      <c r="BU267" s="1603" t="n"/>
      <c r="BV267" s="1603" t="n"/>
      <c r="BW267" s="1603" t="n"/>
      <c r="BX267" s="1603" t="n"/>
      <c r="BY267" s="1602" t="n"/>
      <c r="BZ267" s="1602" t="n"/>
      <c r="CA267" s="1602" t="n"/>
      <c r="CB267" s="1602" t="n"/>
      <c r="CC267" s="750" t="n"/>
    </row>
    <row r="268" hidden="1" outlineLevel="2" ht="15" customFormat="1" customHeight="1" s="607">
      <c r="A268" s="1777" t="inlineStr">
        <is>
          <t>Average Netherlands employees, # of employees</t>
        </is>
      </c>
      <c r="B268" s="126" t="n"/>
      <c r="C268" s="1580" t="n">
        <v>3601</v>
      </c>
      <c r="D268" s="1580" t="n">
        <v>3805</v>
      </c>
      <c r="E268" s="1580" t="n">
        <v>4313</v>
      </c>
      <c r="F268" s="1580" t="n">
        <v>4620</v>
      </c>
      <c r="G268" s="1580" t="n">
        <v>5112</v>
      </c>
      <c r="H268" s="1578" t="n"/>
      <c r="I268" s="1578" t="n"/>
      <c r="J268" s="1578" t="n"/>
      <c r="K268" s="1578" t="n"/>
      <c r="L268" s="1580" t="n">
        <v>5589</v>
      </c>
      <c r="M268" s="1578" t="n"/>
      <c r="N268" s="1578" t="n"/>
      <c r="O268" s="1578" t="n"/>
      <c r="P268" s="1578" t="n"/>
      <c r="Q268" s="1580" t="n">
        <v>6113</v>
      </c>
      <c r="R268" s="1578" t="n"/>
      <c r="S268" s="1578" t="n"/>
      <c r="T268" s="1578" t="n"/>
      <c r="U268" s="1578" t="n"/>
      <c r="V268" s="1580" t="n">
        <v>6567</v>
      </c>
      <c r="W268" s="1578" t="n"/>
      <c r="X268" s="1578" t="n"/>
      <c r="Y268" s="1578" t="n"/>
      <c r="Z268" s="1578" t="n"/>
      <c r="AA268" s="1580" t="n">
        <v>7211</v>
      </c>
      <c r="AB268" s="1578" t="n"/>
      <c r="AC268" s="1578" t="n"/>
      <c r="AD268" s="1578" t="n"/>
      <c r="AE268" s="1578" t="n"/>
      <c r="AF268" s="1580" t="n">
        <v>8597</v>
      </c>
      <c r="AG268" s="1578" t="n"/>
      <c r="AH268" s="1578" t="n"/>
      <c r="AI268" s="1578" t="n"/>
      <c r="AJ268" s="1578" t="n"/>
      <c r="AK268" s="1580" t="n">
        <v>11376</v>
      </c>
      <c r="AL268" s="1578" t="n"/>
      <c r="AM268" s="1578" t="n"/>
      <c r="AN268" s="1578" t="n"/>
      <c r="AO268" s="1578" t="n"/>
      <c r="AP268" s="1580" t="n">
        <v>12812</v>
      </c>
      <c r="AQ268" s="1578" t="n"/>
      <c r="AR268" s="1578" t="n"/>
      <c r="AS268" s="1578" t="n"/>
      <c r="AT268" s="1578" t="n"/>
      <c r="AU268" s="1580" t="n">
        <v>14222</v>
      </c>
      <c r="AV268" s="1578" t="n"/>
      <c r="AW268" s="1578" t="n"/>
      <c r="AX268" s="1578" t="n"/>
      <c r="AY268" s="1578" t="n"/>
      <c r="AZ268" s="1580" t="n">
        <v>16722</v>
      </c>
      <c r="BA268" s="1578" t="n"/>
      <c r="BB268" s="1578" t="n"/>
      <c r="BC268" s="1578" t="n"/>
      <c r="BD268" s="1578" t="n"/>
      <c r="BE268" s="1580" t="n">
        <v>19876</v>
      </c>
      <c r="BF268" s="1578" t="n"/>
      <c r="BG268" s="1578" t="n"/>
      <c r="BH268" s="1578" t="n"/>
      <c r="BI268" s="1578" t="n"/>
      <c r="BJ268" s="1580" t="n">
        <v>21811</v>
      </c>
      <c r="BK268" s="1578" t="n"/>
      <c r="BL268" s="1578" t="n"/>
      <c r="BM268" s="1578" t="n"/>
      <c r="BN268" s="1578" t="n"/>
      <c r="BO268" s="1581" t="n"/>
      <c r="BP268" s="1578" t="n"/>
      <c r="BQ268" s="1578" t="n"/>
      <c r="BR268" s="1578" t="n"/>
      <c r="BS268" s="1578" t="n"/>
      <c r="BT268" s="1577" t="n"/>
      <c r="BU268" s="1578" t="n"/>
      <c r="BV268" s="1578" t="n"/>
      <c r="BW268" s="1578" t="n"/>
      <c r="BX268" s="1578" t="n"/>
      <c r="BY268" s="1577" t="n"/>
      <c r="BZ268" s="1577" t="n"/>
      <c r="CA268" s="1577" t="n"/>
      <c r="CB268" s="1577" t="n"/>
      <c r="CC268" s="102" t="n"/>
    </row>
    <row r="269" hidden="1" outlineLevel="2" ht="15" customFormat="1" customHeight="1" s="607">
      <c r="A269" s="1777" t="inlineStr">
        <is>
          <t>Average worldwide (including Netherlands) employees, # of employees</t>
        </is>
      </c>
      <c r="B269" s="126" t="n"/>
      <c r="C269" s="1580" t="n">
        <v>6624</v>
      </c>
      <c r="D269" s="1580" t="n">
        <v>6785</v>
      </c>
      <c r="E269" s="1580" t="n">
        <v>7627</v>
      </c>
      <c r="F269" s="1580" t="n">
        <v>8140</v>
      </c>
      <c r="G269" s="1580" t="n">
        <v>9540</v>
      </c>
      <c r="H269" s="1578" t="n"/>
      <c r="I269" s="1578" t="n"/>
      <c r="J269" s="1578" t="n"/>
      <c r="K269" s="1578" t="n"/>
      <c r="L269" s="1580" t="n">
        <v>10942</v>
      </c>
      <c r="M269" s="1578" t="n"/>
      <c r="N269" s="1578" t="n"/>
      <c r="O269" s="1578" t="n"/>
      <c r="P269" s="1578" t="n"/>
      <c r="Q269" s="1580" t="n">
        <v>11824</v>
      </c>
      <c r="R269" s="1578" t="n"/>
      <c r="S269" s="1578" t="n"/>
      <c r="T269" s="1578" t="n"/>
      <c r="U269" s="1578" t="n"/>
      <c r="V269" s="1580" t="n">
        <v>12852</v>
      </c>
      <c r="W269" s="1578" t="n"/>
      <c r="X269" s="1578" t="n"/>
      <c r="Y269" s="1578" t="n"/>
      <c r="Z269" s="1578" t="n"/>
      <c r="AA269" s="1580" t="n">
        <v>15136</v>
      </c>
      <c r="AB269" s="1578" t="n"/>
      <c r="AC269" s="1578" t="n"/>
      <c r="AD269" s="1578" t="n"/>
      <c r="AE269" s="1578" t="n"/>
      <c r="AF269" s="1580" t="n">
        <v>18204</v>
      </c>
      <c r="AG269" s="1578" t="n"/>
      <c r="AH269" s="1578" t="n"/>
      <c r="AI269" s="1578" t="n"/>
      <c r="AJ269" s="1578" t="n"/>
      <c r="AK269" s="1580" t="n">
        <v>22192</v>
      </c>
      <c r="AL269" s="1578" t="n"/>
      <c r="AM269" s="1578" t="n"/>
      <c r="AN269" s="1578" t="n"/>
      <c r="AO269" s="1578" t="n"/>
      <c r="AP269" s="1580" t="n">
        <v>24727</v>
      </c>
      <c r="AQ269" s="1578" t="n"/>
      <c r="AR269" s="1578" t="n"/>
      <c r="AS269" s="1578" t="n"/>
      <c r="AT269" s="1578" t="n"/>
      <c r="AU269" s="1580" t="n">
        <v>28223</v>
      </c>
      <c r="AV269" s="1578" t="n"/>
      <c r="AW269" s="1578" t="n"/>
      <c r="AX269" s="1578" t="n"/>
      <c r="AY269" s="1578" t="n"/>
      <c r="AZ269" s="1580" t="n">
        <v>33071</v>
      </c>
      <c r="BA269" s="1578" t="n"/>
      <c r="BB269" s="1578" t="n"/>
      <c r="BC269" s="1578" t="n"/>
      <c r="BD269" s="1578" t="n"/>
      <c r="BE269" s="1580" t="n">
        <v>38805</v>
      </c>
      <c r="BF269" s="1578" t="n"/>
      <c r="BG269" s="1578" t="n"/>
      <c r="BH269" s="1578" t="n"/>
      <c r="BI269" s="1578" t="n"/>
      <c r="BJ269" s="1580" t="n">
        <v>41697</v>
      </c>
      <c r="BK269" s="1578" t="n"/>
      <c r="BL269" s="1578" t="n"/>
      <c r="BM269" s="1578" t="n"/>
      <c r="BN269" s="1578" t="n"/>
      <c r="BO269" s="1581" t="n"/>
      <c r="BP269" s="1578" t="n"/>
      <c r="BQ269" s="1578" t="n"/>
      <c r="BR269" s="1578" t="n"/>
      <c r="BS269" s="1578" t="n"/>
      <c r="BT269" s="1577" t="n"/>
      <c r="BU269" s="1578" t="n"/>
      <c r="BV269" s="1578" t="n"/>
      <c r="BW269" s="1578" t="n"/>
      <c r="BX269" s="1578" t="n"/>
      <c r="BY269" s="1577" t="n"/>
      <c r="BZ269" s="1577" t="n"/>
      <c r="CA269" s="1577" t="n"/>
      <c r="CB269" s="1577" t="n"/>
      <c r="CC269" s="102" t="n"/>
    </row>
    <row r="270" hidden="1" outlineLevel="1" collapsed="1" ht="15" customFormat="1" customHeight="1" s="598">
      <c r="A270" s="294" t="n"/>
      <c r="B270" s="64" t="n"/>
      <c r="C270" s="1602" t="n"/>
      <c r="D270" s="1602" t="n"/>
      <c r="E270" s="1602" t="n"/>
      <c r="F270" s="1602" t="n"/>
      <c r="G270" s="1602" t="n"/>
      <c r="H270" s="1603" t="n"/>
      <c r="I270" s="1603" t="n"/>
      <c r="J270" s="1603" t="n"/>
      <c r="K270" s="1603" t="n"/>
      <c r="L270" s="1602" t="n"/>
      <c r="M270" s="1603" t="n"/>
      <c r="N270" s="1603" t="n"/>
      <c r="O270" s="1603" t="n"/>
      <c r="P270" s="1603" t="n"/>
      <c r="Q270" s="1602" t="n"/>
      <c r="R270" s="1603" t="n"/>
      <c r="S270" s="1603" t="n"/>
      <c r="T270" s="1603" t="n"/>
      <c r="U270" s="1603" t="n"/>
      <c r="V270" s="1602" t="n"/>
      <c r="W270" s="1603" t="n"/>
      <c r="X270" s="1603" t="n"/>
      <c r="Y270" s="1603" t="n"/>
      <c r="Z270" s="1603" t="n"/>
      <c r="AA270" s="1602" t="n"/>
      <c r="AB270" s="1603" t="n"/>
      <c r="AC270" s="1603" t="n"/>
      <c r="AD270" s="1603" t="n"/>
      <c r="AE270" s="1603" t="n"/>
      <c r="AF270" s="1602" t="n"/>
      <c r="AG270" s="1603" t="n"/>
      <c r="AH270" s="1603" t="n"/>
      <c r="AI270" s="1603" t="n"/>
      <c r="AJ270" s="1603" t="n"/>
      <c r="AK270" s="1602" t="n"/>
      <c r="AL270" s="1603" t="n"/>
      <c r="AM270" s="1603" t="n"/>
      <c r="AN270" s="1603" t="n"/>
      <c r="AO270" s="1603" t="n"/>
      <c r="AP270" s="1602" t="n"/>
      <c r="AQ270" s="1603" t="n"/>
      <c r="AR270" s="1603" t="n"/>
      <c r="AS270" s="1603" t="n"/>
      <c r="AT270" s="1603" t="n"/>
      <c r="AU270" s="1602" t="n"/>
      <c r="AV270" s="1603" t="n"/>
      <c r="AW270" s="1603" t="n"/>
      <c r="AX270" s="1603" t="n"/>
      <c r="AY270" s="1603" t="n"/>
      <c r="AZ270" s="1602" t="n"/>
      <c r="BA270" s="1603" t="n"/>
      <c r="BB270" s="1603" t="n"/>
      <c r="BC270" s="1603" t="n"/>
      <c r="BD270" s="1603" t="n"/>
      <c r="BE270" s="1602" t="n"/>
      <c r="BF270" s="1603" t="n"/>
      <c r="BG270" s="1603" t="n"/>
      <c r="BH270" s="1603" t="n"/>
      <c r="BI270" s="1603" t="n"/>
      <c r="BJ270" s="1602" t="n"/>
      <c r="BK270" s="1603" t="n"/>
      <c r="BL270" s="1603" t="n"/>
      <c r="BM270" s="1603" t="n"/>
      <c r="BN270" s="1603" t="n"/>
      <c r="BO270" s="1604" t="n"/>
      <c r="BP270" s="1603" t="n"/>
      <c r="BQ270" s="1603" t="n"/>
      <c r="BR270" s="1603" t="n"/>
      <c r="BS270" s="1603" t="n"/>
      <c r="BT270" s="1602" t="n"/>
      <c r="BU270" s="1603" t="n"/>
      <c r="BV270" s="1603" t="n"/>
      <c r="BW270" s="1603" t="n"/>
      <c r="BX270" s="1603" t="n"/>
      <c r="BY270" s="1602" t="n"/>
      <c r="BZ270" s="1602" t="n"/>
      <c r="CA270" s="1602" t="n"/>
      <c r="CB270" s="1602" t="n"/>
      <c r="CC270" s="750" t="n"/>
    </row>
    <row r="271" hidden="1" outlineLevel="1" ht="15" customFormat="1" customHeight="1" s="598">
      <c r="A271" s="664" t="inlineStr">
        <is>
          <t>Key Metrics - Customer Concentration (FS)</t>
        </is>
      </c>
      <c r="B271" s="664" t="n"/>
      <c r="C271" s="664" t="n"/>
      <c r="D271" s="664" t="n"/>
      <c r="E271" s="664" t="n"/>
      <c r="F271" s="664" t="n"/>
      <c r="G271" s="664" t="n"/>
      <c r="H271" s="664" t="n"/>
      <c r="I271" s="664" t="n"/>
      <c r="J271" s="664" t="n"/>
      <c r="K271" s="664" t="n"/>
      <c r="L271" s="664" t="n"/>
      <c r="M271" s="664" t="n"/>
      <c r="N271" s="664" t="n"/>
      <c r="O271" s="664" t="n"/>
      <c r="P271" s="664" t="n"/>
      <c r="Q271" s="664" t="n"/>
      <c r="R271" s="664" t="n"/>
      <c r="S271" s="664" t="n"/>
      <c r="T271" s="664" t="n"/>
      <c r="U271" s="664" t="n"/>
      <c r="V271" s="664" t="n"/>
      <c r="W271" s="664" t="n"/>
      <c r="X271" s="664" t="n"/>
      <c r="Y271" s="664" t="n"/>
      <c r="Z271" s="664" t="n"/>
      <c r="AA271" s="664" t="n"/>
      <c r="AB271" s="664" t="n"/>
      <c r="AC271" s="664" t="n"/>
      <c r="AD271" s="664" t="n"/>
      <c r="AE271" s="664" t="n"/>
      <c r="AF271" s="664" t="n"/>
      <c r="AG271" s="664" t="n"/>
      <c r="AH271" s="664" t="n"/>
      <c r="AI271" s="664" t="n"/>
      <c r="AJ271" s="664" t="n"/>
      <c r="AK271" s="664" t="n"/>
      <c r="AL271" s="664" t="n"/>
      <c r="AM271" s="664" t="n"/>
      <c r="AN271" s="664" t="n"/>
      <c r="AO271" s="664" t="n"/>
      <c r="AP271" s="664" t="n"/>
      <c r="AQ271" s="664" t="n"/>
      <c r="AR271" s="664" t="n"/>
      <c r="AS271" s="664" t="n"/>
      <c r="AT271" s="664" t="n"/>
      <c r="AU271" s="664" t="n"/>
      <c r="AV271" s="664" t="n"/>
      <c r="AW271" s="664" t="n"/>
      <c r="AX271" s="664" t="n"/>
      <c r="AY271" s="664" t="n"/>
      <c r="AZ271" s="664" t="n"/>
      <c r="BA271" s="664" t="n"/>
      <c r="BB271" s="664" t="n"/>
      <c r="BC271" s="664" t="n"/>
      <c r="BD271" s="664" t="n"/>
      <c r="BE271" s="664" t="n"/>
      <c r="BF271" s="664" t="n"/>
      <c r="BG271" s="664" t="n"/>
      <c r="BH271" s="664" t="n"/>
      <c r="BI271" s="664" t="n"/>
      <c r="BJ271" s="664" t="n"/>
      <c r="BK271" s="664" t="n"/>
      <c r="BL271" s="664" t="n"/>
      <c r="BM271" s="664" t="n"/>
      <c r="BN271" s="664" t="n"/>
      <c r="BO271" s="351" t="n"/>
      <c r="BP271" s="664" t="n"/>
      <c r="BQ271" s="664" t="n"/>
      <c r="BR271" s="664" t="n"/>
      <c r="BS271" s="664" t="n"/>
      <c r="BT271" s="664" t="n"/>
      <c r="BU271" s="664" t="n"/>
      <c r="BV271" s="664" t="n"/>
      <c r="BW271" s="664" t="n"/>
      <c r="BX271" s="664" t="n"/>
      <c r="BY271" s="664" t="n"/>
      <c r="BZ271" s="664" t="n"/>
      <c r="CA271" s="664" t="n"/>
      <c r="CB271" s="664" t="n"/>
      <c r="CC271" s="750" t="n"/>
    </row>
    <row r="272" hidden="1" outlineLevel="1" ht="15" customFormat="1" customHeight="1" s="607">
      <c r="A272" s="125" t="inlineStr">
        <is>
          <t>Sales to largest customer as a % of total net sales, %</t>
        </is>
      </c>
      <c r="B272" s="126" t="n"/>
      <c r="C272" s="1294" t="n"/>
      <c r="D272" s="1294" t="n"/>
      <c r="E272" s="1294" t="n"/>
      <c r="F272" s="1294" t="n"/>
      <c r="G272" s="1294" t="n"/>
      <c r="H272" s="686" t="n"/>
      <c r="I272" s="686" t="n"/>
      <c r="J272" s="686" t="n"/>
      <c r="K272" s="686" t="n"/>
      <c r="L272" s="1361" t="n">
        <v>0.262</v>
      </c>
      <c r="M272" s="686" t="n"/>
      <c r="N272" s="686" t="n"/>
      <c r="O272" s="686" t="n"/>
      <c r="P272" s="686" t="n"/>
      <c r="Q272" s="1361" t="n">
        <v>0.26</v>
      </c>
      <c r="R272" s="686" t="n"/>
      <c r="S272" s="686" t="n"/>
      <c r="T272" s="686" t="n"/>
      <c r="U272" s="686" t="n"/>
      <c r="V272" s="1361" t="n">
        <v>0.242</v>
      </c>
      <c r="W272" s="686" t="n"/>
      <c r="X272" s="686" t="n"/>
      <c r="Y272" s="686" t="n"/>
      <c r="Z272" s="686" t="n"/>
      <c r="AA272" s="1361" t="n">
        <v>0.274</v>
      </c>
      <c r="AB272" s="686" t="n"/>
      <c r="AC272" s="686" t="n"/>
      <c r="AD272" s="686" t="n"/>
      <c r="AE272" s="686" t="n"/>
      <c r="AF272" s="1361" t="n">
        <v>0.226</v>
      </c>
      <c r="AG272" s="686" t="n"/>
      <c r="AH272" s="686" t="n"/>
      <c r="AI272" s="686" t="n"/>
      <c r="AJ272" s="686" t="n"/>
      <c r="AK272" s="1361" t="n">
        <v>0.397</v>
      </c>
      <c r="AL272" s="686" t="n"/>
      <c r="AM272" s="686" t="n"/>
      <c r="AN272" s="686" t="n"/>
      <c r="AO272" s="686" t="n"/>
      <c r="AP272" s="1361" t="n">
        <v>0.314</v>
      </c>
      <c r="AQ272" s="686" t="n"/>
      <c r="AR272" s="686" t="n"/>
      <c r="AS272" s="686" t="n"/>
      <c r="AT272" s="686" t="n"/>
      <c r="AU272" s="1361" t="n">
        <v>0.37</v>
      </c>
      <c r="AV272" s="686" t="n"/>
      <c r="AW272" s="686" t="n"/>
      <c r="AX272" s="686" t="n"/>
      <c r="AY272" s="686" t="n"/>
      <c r="AZ272" s="1361" t="n">
        <v>0.333</v>
      </c>
      <c r="BA272" s="686" t="n"/>
      <c r="BB272" s="686" t="n"/>
      <c r="BC272" s="686" t="n"/>
      <c r="BD272" s="686" t="n"/>
      <c r="BE272" s="1361" t="n">
        <v>0.318</v>
      </c>
      <c r="BF272" s="686" t="n"/>
      <c r="BG272" s="686" t="n"/>
      <c r="BH272" s="686" t="n"/>
      <c r="BI272" s="686" t="n"/>
      <c r="BJ272" s="1361" t="n">
        <v>0.166</v>
      </c>
      <c r="BK272" s="686" t="n"/>
      <c r="BL272" s="686" t="n"/>
      <c r="BM272" s="686" t="n"/>
      <c r="BN272" s="686" t="n"/>
      <c r="BO272" s="1293" t="n"/>
      <c r="BP272" s="686" t="n"/>
      <c r="BQ272" s="686" t="n"/>
      <c r="BR272" s="686" t="n"/>
      <c r="BS272" s="686" t="n"/>
      <c r="BT272" s="1294" t="n"/>
      <c r="BU272" s="686" t="n"/>
      <c r="BV272" s="686" t="n"/>
      <c r="BW272" s="686" t="n"/>
      <c r="BX272" s="686" t="n"/>
      <c r="BY272" s="1294" t="n"/>
      <c r="BZ272" s="1294" t="n"/>
      <c r="CA272" s="1294" t="n"/>
      <c r="CB272" s="1294" t="n"/>
      <c r="CC272" s="102" t="n"/>
    </row>
    <row r="273" hidden="1" outlineLevel="1" ht="15" customFormat="1" customHeight="1" s="607">
      <c r="A273" s="125" t="inlineStr">
        <is>
          <t>Sales to second largest customer as a % of total net sales, %</t>
        </is>
      </c>
      <c r="B273" s="126" t="n"/>
      <c r="C273" s="1294" t="n"/>
      <c r="D273" s="1294" t="n"/>
      <c r="E273" s="1294" t="n"/>
      <c r="F273" s="1294" t="n"/>
      <c r="G273" s="1294" t="n"/>
      <c r="H273" s="686" t="n"/>
      <c r="I273" s="686" t="n"/>
      <c r="J273" s="686" t="n"/>
      <c r="K273" s="686" t="n"/>
      <c r="L273" s="1294" t="n"/>
      <c r="M273" s="686" t="n"/>
      <c r="N273" s="686" t="n"/>
      <c r="O273" s="686" t="n"/>
      <c r="P273" s="686" t="n"/>
      <c r="Q273" s="1294" t="n"/>
      <c r="R273" s="686" t="n"/>
      <c r="S273" s="686" t="n"/>
      <c r="T273" s="686" t="n"/>
      <c r="U273" s="686" t="n"/>
      <c r="V273" s="1294" t="n"/>
      <c r="W273" s="686" t="n"/>
      <c r="X273" s="686" t="n"/>
      <c r="Y273" s="686" t="n"/>
      <c r="Z273" s="686" t="n"/>
      <c r="AA273" s="1294" t="n"/>
      <c r="AB273" s="686" t="n"/>
      <c r="AC273" s="686" t="n"/>
      <c r="AD273" s="686" t="n"/>
      <c r="AE273" s="686" t="n"/>
      <c r="AF273" s="1294" t="n"/>
      <c r="AG273" s="686" t="n"/>
      <c r="AH273" s="686" t="n"/>
      <c r="AI273" s="686" t="n"/>
      <c r="AJ273" s="686" t="n"/>
      <c r="AK273" s="1294" t="n"/>
      <c r="AL273" s="686" t="n"/>
      <c r="AM273" s="686" t="n"/>
      <c r="AN273" s="686" t="n"/>
      <c r="AO273" s="686" t="n"/>
      <c r="AP273" s="1294" t="n"/>
      <c r="AQ273" s="686" t="n"/>
      <c r="AR273" s="686" t="n"/>
      <c r="AS273" s="686" t="n"/>
      <c r="AT273" s="686" t="n"/>
      <c r="AU273" s="1294">
        <f>AU274-AU272</f>
        <v/>
      </c>
      <c r="AV273" s="686" t="n"/>
      <c r="AW273" s="686" t="n"/>
      <c r="AX273" s="686" t="n"/>
      <c r="AY273" s="686" t="n"/>
      <c r="AZ273" s="1294">
        <f>AZ274-AZ272</f>
        <v/>
      </c>
      <c r="BA273" s="686" t="n"/>
      <c r="BB273" s="686" t="n"/>
      <c r="BC273" s="686" t="n"/>
      <c r="BD273" s="686" t="n"/>
      <c r="BE273" s="1294">
        <f>BE274-BE272</f>
        <v/>
      </c>
      <c r="BF273" s="686" t="n"/>
      <c r="BG273" s="686" t="n"/>
      <c r="BH273" s="686" t="n"/>
      <c r="BI273" s="686" t="n"/>
      <c r="BJ273" s="1294">
        <f>BJ274-BJ272</f>
        <v/>
      </c>
      <c r="BK273" s="686" t="n"/>
      <c r="BL273" s="686" t="n"/>
      <c r="BM273" s="686" t="n"/>
      <c r="BN273" s="686" t="n"/>
      <c r="BO273" s="1293" t="n"/>
      <c r="BP273" s="686" t="n"/>
      <c r="BQ273" s="686" t="n"/>
      <c r="BR273" s="686" t="n"/>
      <c r="BS273" s="686" t="n"/>
      <c r="BT273" s="1294" t="n"/>
      <c r="BU273" s="686" t="n"/>
      <c r="BV273" s="686" t="n"/>
      <c r="BW273" s="686" t="n"/>
      <c r="BX273" s="686" t="n"/>
      <c r="BY273" s="1294" t="n"/>
      <c r="BZ273" s="1294" t="n"/>
      <c r="CA273" s="1294" t="n"/>
      <c r="CB273" s="1294" t="n"/>
      <c r="CC273" s="102" t="n"/>
    </row>
    <row r="274" hidden="1" outlineLevel="1" ht="15" customFormat="1" customHeight="1" s="607">
      <c r="A274" s="125" t="inlineStr">
        <is>
          <t>Sales to two largest customers as a % of total net sales, %</t>
        </is>
      </c>
      <c r="B274" s="126" t="n"/>
      <c r="C274" s="1294" t="n"/>
      <c r="D274" s="1294" t="n"/>
      <c r="E274" s="1294" t="n"/>
      <c r="F274" s="1294" t="n"/>
      <c r="G274" s="1294" t="n"/>
      <c r="H274" s="686" t="n"/>
      <c r="I274" s="686" t="n"/>
      <c r="J274" s="686" t="n"/>
      <c r="K274" s="686" t="n"/>
      <c r="L274" s="1294" t="n"/>
      <c r="M274" s="686" t="n"/>
      <c r="N274" s="686" t="n"/>
      <c r="O274" s="686" t="n"/>
      <c r="P274" s="686" t="n"/>
      <c r="Q274" s="1294" t="n"/>
      <c r="R274" s="686" t="n"/>
      <c r="S274" s="686" t="n"/>
      <c r="T274" s="686" t="n"/>
      <c r="U274" s="686" t="n"/>
      <c r="V274" s="1294" t="n"/>
      <c r="W274" s="686" t="n"/>
      <c r="X274" s="686" t="n"/>
      <c r="Y274" s="686" t="n"/>
      <c r="Z274" s="686" t="n"/>
      <c r="AA274" s="1294" t="n"/>
      <c r="AB274" s="686" t="n"/>
      <c r="AC274" s="686" t="n"/>
      <c r="AD274" s="686" t="n"/>
      <c r="AE274" s="686" t="n"/>
      <c r="AF274" s="1294" t="n"/>
      <c r="AG274" s="686" t="n"/>
      <c r="AH274" s="686" t="n"/>
      <c r="AI274" s="686" t="n"/>
      <c r="AJ274" s="686" t="n"/>
      <c r="AK274" s="1294" t="n"/>
      <c r="AL274" s="686" t="n"/>
      <c r="AM274" s="686" t="n"/>
      <c r="AN274" s="686" t="n"/>
      <c r="AO274" s="686" t="n"/>
      <c r="AP274" s="1294" t="n"/>
      <c r="AQ274" s="686" t="n"/>
      <c r="AR274" s="686" t="n"/>
      <c r="AS274" s="686" t="n"/>
      <c r="AT274" s="686" t="n"/>
      <c r="AU274" s="1361" t="n">
        <v>0.663</v>
      </c>
      <c r="AV274" s="686" t="n"/>
      <c r="AW274" s="686" t="n"/>
      <c r="AX274" s="686" t="n"/>
      <c r="AY274" s="686" t="n"/>
      <c r="AZ274" s="1361" t="n">
        <v>0.5580000000000001</v>
      </c>
      <c r="BA274" s="686" t="n"/>
      <c r="BB274" s="686" t="n"/>
      <c r="BC274" s="686" t="n"/>
      <c r="BD274" s="686" t="n"/>
      <c r="BE274" s="1361" t="n">
        <v>0.539</v>
      </c>
      <c r="BF274" s="686" t="n"/>
      <c r="BG274" s="686" t="n"/>
      <c r="BH274" s="686" t="n"/>
      <c r="BI274" s="686" t="n"/>
      <c r="BJ274" s="1361" t="n">
        <v>0.305</v>
      </c>
      <c r="BK274" s="686" t="n"/>
      <c r="BL274" s="686" t="n"/>
      <c r="BM274" s="686" t="n"/>
      <c r="BN274" s="686" t="n"/>
      <c r="BO274" s="1293" t="n"/>
      <c r="BP274" s="686" t="n"/>
      <c r="BQ274" s="686" t="n"/>
      <c r="BR274" s="686" t="n"/>
      <c r="BS274" s="686" t="n"/>
      <c r="BT274" s="1294" t="n"/>
      <c r="BU274" s="686" t="n"/>
      <c r="BV274" s="686" t="n"/>
      <c r="BW274" s="686" t="n"/>
      <c r="BX274" s="686" t="n"/>
      <c r="BY274" s="1294" t="n"/>
      <c r="BZ274" s="1294" t="n"/>
      <c r="CA274" s="1294" t="n"/>
      <c r="CB274" s="1294" t="n"/>
      <c r="CC274" s="102" t="n"/>
    </row>
    <row r="275" collapsed="1" ht="15" customFormat="1" customHeight="1" s="598">
      <c r="A275" s="294" t="n"/>
      <c r="B275" s="64" t="n"/>
      <c r="C275" s="1602" t="n"/>
      <c r="D275" s="1602" t="n"/>
      <c r="E275" s="1602" t="n"/>
      <c r="F275" s="1602" t="n"/>
      <c r="G275" s="1602" t="n"/>
      <c r="H275" s="1603" t="n"/>
      <c r="I275" s="1603" t="n"/>
      <c r="J275" s="1603" t="n"/>
      <c r="K275" s="1603" t="n"/>
      <c r="L275" s="1602" t="n"/>
      <c r="M275" s="1603" t="n"/>
      <c r="N275" s="1603" t="n"/>
      <c r="O275" s="1603" t="n"/>
      <c r="P275" s="1603" t="n"/>
      <c r="Q275" s="1602" t="n"/>
      <c r="R275" s="1603" t="n"/>
      <c r="S275" s="1603" t="n"/>
      <c r="T275" s="1603" t="n"/>
      <c r="U275" s="1603" t="n"/>
      <c r="V275" s="1602" t="n"/>
      <c r="W275" s="1603" t="n"/>
      <c r="X275" s="1603" t="n"/>
      <c r="Y275" s="1603" t="n"/>
      <c r="Z275" s="1603" t="n"/>
      <c r="AA275" s="1602" t="n"/>
      <c r="AB275" s="1603" t="n"/>
      <c r="AC275" s="1603" t="n"/>
      <c r="AD275" s="1603" t="n"/>
      <c r="AE275" s="1603" t="n"/>
      <c r="AF275" s="1602" t="n"/>
      <c r="AG275" s="1603" t="n"/>
      <c r="AH275" s="1603" t="n"/>
      <c r="AI275" s="1603" t="n"/>
      <c r="AJ275" s="1603" t="n"/>
      <c r="AK275" s="1602" t="n"/>
      <c r="AL275" s="1603" t="n"/>
      <c r="AM275" s="1603" t="n"/>
      <c r="AN275" s="1603" t="n"/>
      <c r="AO275" s="1603" t="n"/>
      <c r="AP275" s="1602" t="n"/>
      <c r="AQ275" s="1603" t="n"/>
      <c r="AR275" s="1603" t="n"/>
      <c r="AS275" s="1603" t="n"/>
      <c r="AT275" s="1603" t="n"/>
      <c r="AU275" s="1602" t="n"/>
      <c r="AV275" s="1603" t="n"/>
      <c r="AW275" s="1603" t="n"/>
      <c r="AX275" s="1603" t="n"/>
      <c r="AY275" s="1603" t="n"/>
      <c r="AZ275" s="1602" t="n"/>
      <c r="BA275" s="1603" t="n"/>
      <c r="BB275" s="1603" t="n"/>
      <c r="BC275" s="1603" t="n"/>
      <c r="BD275" s="1603" t="n"/>
      <c r="BE275" s="1602" t="n"/>
      <c r="BF275" s="1603" t="n"/>
      <c r="BG275" s="1603" t="n"/>
      <c r="BH275" s="1603" t="n"/>
      <c r="BI275" s="1603" t="n"/>
      <c r="BJ275" s="1602" t="n"/>
      <c r="BK275" s="1603" t="n"/>
      <c r="BL275" s="1603" t="n"/>
      <c r="BM275" s="1603" t="n"/>
      <c r="BN275" s="1603" t="n"/>
      <c r="BO275" s="1604" t="n"/>
      <c r="BP275" s="1603" t="n"/>
      <c r="BQ275" s="1603" t="n"/>
      <c r="BR275" s="1603" t="n"/>
      <c r="BS275" s="1603" t="n"/>
      <c r="BT275" s="1602" t="n"/>
      <c r="BU275" s="1603" t="n"/>
      <c r="BV275" s="1603" t="n"/>
      <c r="BW275" s="1603" t="n"/>
      <c r="BX275" s="1603" t="n"/>
      <c r="BY275" s="1602" t="n"/>
      <c r="BZ275" s="1602" t="n"/>
      <c r="CA275" s="1602" t="n"/>
      <c r="CB275" s="1602" t="n"/>
      <c r="CC275" s="750" t="n"/>
    </row>
    <row r="276" ht="15" customFormat="1" customHeight="1" s="598">
      <c r="A276" s="664" t="inlineStr">
        <is>
          <t>Margin Analysis</t>
        </is>
      </c>
      <c r="B276" s="664" t="n"/>
      <c r="C276" s="664" t="n"/>
      <c r="D276" s="664" t="n"/>
      <c r="E276" s="664" t="n"/>
      <c r="F276" s="664" t="n"/>
      <c r="G276" s="664" t="n"/>
      <c r="H276" s="664" t="n"/>
      <c r="I276" s="664" t="n"/>
      <c r="J276" s="664" t="n"/>
      <c r="K276" s="664" t="n"/>
      <c r="L276" s="664" t="n"/>
      <c r="M276" s="664" t="n"/>
      <c r="N276" s="664" t="n"/>
      <c r="O276" s="664" t="n"/>
      <c r="P276" s="664" t="n"/>
      <c r="Q276" s="664" t="n"/>
      <c r="R276" s="664" t="n"/>
      <c r="S276" s="664" t="n"/>
      <c r="T276" s="664" t="n"/>
      <c r="U276" s="664" t="n"/>
      <c r="V276" s="664" t="n"/>
      <c r="W276" s="664" t="n"/>
      <c r="X276" s="664" t="n"/>
      <c r="Y276" s="664" t="n"/>
      <c r="Z276" s="664" t="n"/>
      <c r="AA276" s="664" t="n"/>
      <c r="AB276" s="664" t="n"/>
      <c r="AC276" s="664" t="n"/>
      <c r="AD276" s="664" t="n"/>
      <c r="AE276" s="664" t="n"/>
      <c r="AF276" s="664" t="n"/>
      <c r="AG276" s="664" t="n"/>
      <c r="AH276" s="664" t="n"/>
      <c r="AI276" s="664" t="n"/>
      <c r="AJ276" s="664" t="n"/>
      <c r="AK276" s="664" t="n"/>
      <c r="AL276" s="664" t="n"/>
      <c r="AM276" s="664" t="n"/>
      <c r="AN276" s="664" t="n"/>
      <c r="AO276" s="664" t="n"/>
      <c r="AP276" s="664" t="n"/>
      <c r="AQ276" s="664" t="n"/>
      <c r="AR276" s="664" t="n"/>
      <c r="AS276" s="664" t="n"/>
      <c r="AT276" s="664" t="n"/>
      <c r="AU276" s="664" t="n"/>
      <c r="AV276" s="664" t="n"/>
      <c r="AW276" s="664" t="n"/>
      <c r="AX276" s="664" t="n"/>
      <c r="AY276" s="664" t="n"/>
      <c r="AZ276" s="664" t="n"/>
      <c r="BA276" s="664" t="n"/>
      <c r="BB276" s="664" t="n"/>
      <c r="BC276" s="664" t="n"/>
      <c r="BD276" s="664" t="n"/>
      <c r="BE276" s="664" t="n"/>
      <c r="BF276" s="664" t="n"/>
      <c r="BG276" s="664" t="n"/>
      <c r="BH276" s="664" t="n"/>
      <c r="BI276" s="664" t="n"/>
      <c r="BJ276" s="664" t="n"/>
      <c r="BK276" s="664" t="n"/>
      <c r="BL276" s="664" t="n"/>
      <c r="BM276" s="664" t="n"/>
      <c r="BN276" s="664" t="n"/>
      <c r="BO276" s="351" t="n"/>
      <c r="BP276" s="664" t="n"/>
      <c r="BQ276" s="664" t="n"/>
      <c r="BR276" s="664" t="n"/>
      <c r="BS276" s="664" t="n"/>
      <c r="BT276" s="664" t="n"/>
      <c r="BU276" s="664" t="n"/>
      <c r="BV276" s="664" t="n"/>
      <c r="BW276" s="664" t="n"/>
      <c r="BX276" s="664" t="n"/>
      <c r="BY276" s="664" t="n"/>
      <c r="BZ276" s="664" t="n"/>
      <c r="CA276" s="664" t="n"/>
      <c r="CB276" s="664" t="n"/>
      <c r="CC276" s="750" t="n"/>
    </row>
    <row r="277" hidden="1" outlineLevel="2" ht="15" customFormat="1" customHeight="1" s="598">
      <c r="A277" s="380" t="inlineStr">
        <is>
          <t>COGS Margin (Excluding D&amp;A), %</t>
        </is>
      </c>
      <c r="B277" s="126" t="n"/>
      <c r="C277" s="1294">
        <f>(C332-C342)/C329</f>
        <v/>
      </c>
      <c r="D277" s="1294">
        <f>(D332-D342)/D329</f>
        <v/>
      </c>
      <c r="E277" s="1294">
        <f>(E332-E342)/E329</f>
        <v/>
      </c>
      <c r="F277" s="1294">
        <f>(F332-F342)/F329</f>
        <v/>
      </c>
      <c r="G277" s="1294">
        <f>(G332-G342)/G329</f>
        <v/>
      </c>
      <c r="H277" s="686">
        <f>(H332-H342)/H329</f>
        <v/>
      </c>
      <c r="I277" s="686">
        <f>(I332-I342)/I329</f>
        <v/>
      </c>
      <c r="J277" s="686">
        <f>(J332-J342)/J329</f>
        <v/>
      </c>
      <c r="K277" s="686">
        <f>(K332-K342)/K329</f>
        <v/>
      </c>
      <c r="L277" s="1294">
        <f>(L332-L342)/L329</f>
        <v/>
      </c>
      <c r="M277" s="686">
        <f>(M332-M342)/M329</f>
        <v/>
      </c>
      <c r="N277" s="686">
        <f>(N332-N342)/N329</f>
        <v/>
      </c>
      <c r="O277" s="686">
        <f>(O332-O342)/O329</f>
        <v/>
      </c>
      <c r="P277" s="686">
        <f>(P332-P342)/P329</f>
        <v/>
      </c>
      <c r="Q277" s="1294">
        <f>(Q332-Q342)/Q329</f>
        <v/>
      </c>
      <c r="R277" s="686">
        <f>(R332-R342)/R329</f>
        <v/>
      </c>
      <c r="S277" s="686">
        <f>(S332-S342)/S329</f>
        <v/>
      </c>
      <c r="T277" s="686">
        <f>(T332-T342)/T329</f>
        <v/>
      </c>
      <c r="U277" s="686">
        <f>(U332-U342)/U329</f>
        <v/>
      </c>
      <c r="V277" s="1294">
        <f>(V332-V342)/V329</f>
        <v/>
      </c>
      <c r="W277" s="686">
        <f>(W332-W342)/W329</f>
        <v/>
      </c>
      <c r="X277" s="686">
        <f>(X332-X342)/X329</f>
        <v/>
      </c>
      <c r="Y277" s="686">
        <f>(Y332-Y342)/Y329</f>
        <v/>
      </c>
      <c r="Z277" s="686">
        <f>(Z332-Z342)/Z329</f>
        <v/>
      </c>
      <c r="AA277" s="1294">
        <f>(AA332-AA342)/AA329</f>
        <v/>
      </c>
      <c r="AB277" s="686">
        <f>(AB332-AB342)/AB329</f>
        <v/>
      </c>
      <c r="AC277" s="686">
        <f>(AC332-AC342)/AC329</f>
        <v/>
      </c>
      <c r="AD277" s="686">
        <f>(AD332-AD342)/AD329</f>
        <v/>
      </c>
      <c r="AE277" s="686">
        <f>(AE332-AE342)/AE329</f>
        <v/>
      </c>
      <c r="AF277" s="1294">
        <f>(AF332-AF342)/AF329</f>
        <v/>
      </c>
      <c r="AG277" s="686">
        <f>(AG332-AG342)/AG329</f>
        <v/>
      </c>
      <c r="AH277" s="686">
        <f>(AH332-AH342)/AH329</f>
        <v/>
      </c>
      <c r="AI277" s="686">
        <f>(AI332-AI342)/AI329</f>
        <v/>
      </c>
      <c r="AJ277" s="686">
        <f>(AJ332-AJ342)/AJ329</f>
        <v/>
      </c>
      <c r="AK277" s="1294">
        <f>(AK332-AK342)/AK329</f>
        <v/>
      </c>
      <c r="AL277" s="686">
        <f>(AL332-AL342)/AL329</f>
        <v/>
      </c>
      <c r="AM277" s="686">
        <f>(AM332-AM342)/AM329</f>
        <v/>
      </c>
      <c r="AN277" s="686">
        <f>(AN332-AN342)/AN329</f>
        <v/>
      </c>
      <c r="AO277" s="686">
        <f>(AO332-AO342)/AO329</f>
        <v/>
      </c>
      <c r="AP277" s="1294">
        <f>(AP332-AP342)/AP329</f>
        <v/>
      </c>
      <c r="AQ277" s="686">
        <f>(AQ332-AQ342)/AQ329</f>
        <v/>
      </c>
      <c r="AR277" s="686">
        <f>(AR332-AR342)/AR329</f>
        <v/>
      </c>
      <c r="AS277" s="686">
        <f>(AS332-AS342)/AS329</f>
        <v/>
      </c>
      <c r="AT277" s="686">
        <f>(AT332-AT342)/AT329</f>
        <v/>
      </c>
      <c r="AU277" s="1294">
        <f>(AU332-AU342)/AU329</f>
        <v/>
      </c>
      <c r="AV277" s="686">
        <f>(AV332-AV342)/AV329</f>
        <v/>
      </c>
      <c r="AW277" s="686">
        <f>(AW332-AW342)/AW329</f>
        <v/>
      </c>
      <c r="AX277" s="686">
        <f>(AX332-AX342)/AX329</f>
        <v/>
      </c>
      <c r="AY277" s="686">
        <f>(AY332-AY342)/AY329</f>
        <v/>
      </c>
      <c r="AZ277" s="1294">
        <f>(AZ332-AZ342)/AZ329</f>
        <v/>
      </c>
      <c r="BA277" s="686">
        <f>(BA332-BA342)/BA329</f>
        <v/>
      </c>
      <c r="BB277" s="686">
        <f>(BB332-BB342)/BB329</f>
        <v/>
      </c>
      <c r="BC277" s="686">
        <f>(BC332-BC342)/BC329</f>
        <v/>
      </c>
      <c r="BD277" s="686">
        <f>(BD332-BD342)/BD329</f>
        <v/>
      </c>
      <c r="BE277" s="1294">
        <f>(BE332-BE342)/BE329</f>
        <v/>
      </c>
      <c r="BF277" s="686">
        <f>(BF332-BF342)/BF329</f>
        <v/>
      </c>
      <c r="BG277" s="686">
        <f>(BG332-BG342)/BG329</f>
        <v/>
      </c>
      <c r="BH277" s="686">
        <f>(BH332-BH342)/BH329</f>
        <v/>
      </c>
      <c r="BI277" s="686">
        <f>(BI332-BI342)/BI329</f>
        <v/>
      </c>
      <c r="BJ277" s="1294">
        <f>(BJ332-BJ342)/BJ329</f>
        <v/>
      </c>
      <c r="BK277" s="686">
        <f>(BK332-BK342)/BK329</f>
        <v/>
      </c>
      <c r="BL277" s="686">
        <f>(BL332-BL342)/BL329</f>
        <v/>
      </c>
      <c r="BM277" s="686">
        <f>(BM332-BM342)/BM329</f>
        <v/>
      </c>
      <c r="BN277" s="686">
        <f>(BN332-BN342)/BN329</f>
        <v/>
      </c>
      <c r="BO277" s="1293">
        <f>(BO332-BO342)/BO329</f>
        <v/>
      </c>
      <c r="BP277" s="686">
        <f>(BP332-BP342)/BP329</f>
        <v/>
      </c>
      <c r="BQ277" s="686">
        <f>(BQ332-BQ342)/BQ329</f>
        <v/>
      </c>
      <c r="BR277" s="686">
        <f>(BR332-BR342)/BR329</f>
        <v/>
      </c>
      <c r="BS277" s="686">
        <f>(BS332-BS342)/BS329</f>
        <v/>
      </c>
      <c r="BT277" s="1294">
        <f>(BT332-BT342)/BT329</f>
        <v/>
      </c>
      <c r="BU277" s="686">
        <f>(BU332-BU342)/BU329</f>
        <v/>
      </c>
      <c r="BV277" s="686">
        <f>(BV332-BV342)/BV329</f>
        <v/>
      </c>
      <c r="BW277" s="686">
        <f>(BW332-BW342)/BW329</f>
        <v/>
      </c>
      <c r="BX277" s="686">
        <f>(BX332-BX342)/BX329</f>
        <v/>
      </c>
      <c r="BY277" s="1294">
        <f>(BY332-BY342)/BY329</f>
        <v/>
      </c>
      <c r="BZ277" s="1294">
        <f>(BZ332-BZ342)/BZ329</f>
        <v/>
      </c>
      <c r="CA277" s="1294">
        <f>(CA332-CA342)/CA329</f>
        <v/>
      </c>
      <c r="CB277" s="1294">
        <f>(CB332-CB342)/CB329</f>
        <v/>
      </c>
      <c r="CC277" s="750" t="n"/>
    </row>
    <row r="278" hidden="1" outlineLevel="2" ht="15" customFormat="1" customHeight="1" s="610">
      <c r="A278" s="219" t="inlineStr">
        <is>
          <t>Gross Margin (Excluding D&amp;A), %</t>
        </is>
      </c>
      <c r="B278" s="300" t="n"/>
      <c r="C278" s="1337">
        <f>1-C277</f>
        <v/>
      </c>
      <c r="D278" s="1337">
        <f>1-D277</f>
        <v/>
      </c>
      <c r="E278" s="1337">
        <f>1-E277</f>
        <v/>
      </c>
      <c r="F278" s="1337">
        <f>1-F277</f>
        <v/>
      </c>
      <c r="G278" s="1337">
        <f>1-G277</f>
        <v/>
      </c>
      <c r="H278" s="301">
        <f>1-H277</f>
        <v/>
      </c>
      <c r="I278" s="301">
        <f>1-I277</f>
        <v/>
      </c>
      <c r="J278" s="301">
        <f>1-J277</f>
        <v/>
      </c>
      <c r="K278" s="301">
        <f>1-K277</f>
        <v/>
      </c>
      <c r="L278" s="1337">
        <f>1-L277</f>
        <v/>
      </c>
      <c r="M278" s="301">
        <f>1-M277</f>
        <v/>
      </c>
      <c r="N278" s="301">
        <f>1-N277</f>
        <v/>
      </c>
      <c r="O278" s="301">
        <f>1-O277</f>
        <v/>
      </c>
      <c r="P278" s="301">
        <f>1-P277</f>
        <v/>
      </c>
      <c r="Q278" s="1337">
        <f>1-Q277</f>
        <v/>
      </c>
      <c r="R278" s="301">
        <f>1-R277</f>
        <v/>
      </c>
      <c r="S278" s="301">
        <f>1-S277</f>
        <v/>
      </c>
      <c r="T278" s="301">
        <f>1-T277</f>
        <v/>
      </c>
      <c r="U278" s="301">
        <f>1-U277</f>
        <v/>
      </c>
      <c r="V278" s="1337">
        <f>1-V277</f>
        <v/>
      </c>
      <c r="W278" s="301">
        <f>1-W277</f>
        <v/>
      </c>
      <c r="X278" s="301">
        <f>1-X277</f>
        <v/>
      </c>
      <c r="Y278" s="301">
        <f>1-Y277</f>
        <v/>
      </c>
      <c r="Z278" s="301">
        <f>1-Z277</f>
        <v/>
      </c>
      <c r="AA278" s="1337">
        <f>1-AA277</f>
        <v/>
      </c>
      <c r="AB278" s="301">
        <f>1-AB277</f>
        <v/>
      </c>
      <c r="AC278" s="301">
        <f>1-AC277</f>
        <v/>
      </c>
      <c r="AD278" s="301">
        <f>1-AD277</f>
        <v/>
      </c>
      <c r="AE278" s="301">
        <f>1-AE277</f>
        <v/>
      </c>
      <c r="AF278" s="1337">
        <f>1-AF277</f>
        <v/>
      </c>
      <c r="AG278" s="301">
        <f>1-AG277</f>
        <v/>
      </c>
      <c r="AH278" s="301">
        <f>1-AH277</f>
        <v/>
      </c>
      <c r="AI278" s="301">
        <f>1-AI277</f>
        <v/>
      </c>
      <c r="AJ278" s="301">
        <f>1-AJ277</f>
        <v/>
      </c>
      <c r="AK278" s="1337">
        <f>1-AK277</f>
        <v/>
      </c>
      <c r="AL278" s="301">
        <f>1-AL277</f>
        <v/>
      </c>
      <c r="AM278" s="301">
        <f>1-AM277</f>
        <v/>
      </c>
      <c r="AN278" s="301">
        <f>1-AN277</f>
        <v/>
      </c>
      <c r="AO278" s="301">
        <f>1-AO277</f>
        <v/>
      </c>
      <c r="AP278" s="1337">
        <f>1-AP277</f>
        <v/>
      </c>
      <c r="AQ278" s="301">
        <f>1-AQ277</f>
        <v/>
      </c>
      <c r="AR278" s="301">
        <f>1-AR277</f>
        <v/>
      </c>
      <c r="AS278" s="301">
        <f>1-AS277</f>
        <v/>
      </c>
      <c r="AT278" s="301">
        <f>1-AT277</f>
        <v/>
      </c>
      <c r="AU278" s="1337">
        <f>1-AU277</f>
        <v/>
      </c>
      <c r="AV278" s="301">
        <f>1-AV277</f>
        <v/>
      </c>
      <c r="AW278" s="301">
        <f>1-AW277</f>
        <v/>
      </c>
      <c r="AX278" s="301">
        <f>1-AX277</f>
        <v/>
      </c>
      <c r="AY278" s="301">
        <f>1-AY277</f>
        <v/>
      </c>
      <c r="AZ278" s="1337">
        <f>1-AZ277</f>
        <v/>
      </c>
      <c r="BA278" s="301">
        <f>1-BA277</f>
        <v/>
      </c>
      <c r="BB278" s="301">
        <f>1-BB277</f>
        <v/>
      </c>
      <c r="BC278" s="301">
        <f>1-BC277</f>
        <v/>
      </c>
      <c r="BD278" s="301">
        <f>1-BD277</f>
        <v/>
      </c>
      <c r="BE278" s="1337">
        <f>1-BE277</f>
        <v/>
      </c>
      <c r="BF278" s="301">
        <f>1-BF277</f>
        <v/>
      </c>
      <c r="BG278" s="301">
        <f>1-BG277</f>
        <v/>
      </c>
      <c r="BH278" s="301">
        <f>1-BH277</f>
        <v/>
      </c>
      <c r="BI278" s="301">
        <f>1-BI277</f>
        <v/>
      </c>
      <c r="BJ278" s="1337">
        <f>1-BJ277</f>
        <v/>
      </c>
      <c r="BK278" s="301">
        <f>1-BK277</f>
        <v/>
      </c>
      <c r="BL278" s="301">
        <f>1-BL277</f>
        <v/>
      </c>
      <c r="BM278" s="301">
        <f>1-BM277</f>
        <v/>
      </c>
      <c r="BN278" s="301">
        <f>1-BN277</f>
        <v/>
      </c>
      <c r="BO278" s="1362">
        <f>1-BO277</f>
        <v/>
      </c>
      <c r="BP278" s="301">
        <f>1-BP277</f>
        <v/>
      </c>
      <c r="BQ278" s="301">
        <f>1-BQ277</f>
        <v/>
      </c>
      <c r="BR278" s="301">
        <f>1-BR277</f>
        <v/>
      </c>
      <c r="BS278" s="301">
        <f>1-BS277</f>
        <v/>
      </c>
      <c r="BT278" s="1337">
        <f>1-BT277</f>
        <v/>
      </c>
      <c r="BU278" s="301">
        <f>1-BU277</f>
        <v/>
      </c>
      <c r="BV278" s="301">
        <f>1-BV277</f>
        <v/>
      </c>
      <c r="BW278" s="301">
        <f>1-BW277</f>
        <v/>
      </c>
      <c r="BX278" s="301">
        <f>1-BX277</f>
        <v/>
      </c>
      <c r="BY278" s="1337">
        <f>1-BY277</f>
        <v/>
      </c>
      <c r="BZ278" s="1337">
        <f>1-BZ277</f>
        <v/>
      </c>
      <c r="CA278" s="1337">
        <f>1-CA277</f>
        <v/>
      </c>
      <c r="CB278" s="1337">
        <f>1-CB277</f>
        <v/>
      </c>
      <c r="CC278" s="709" t="n"/>
    </row>
    <row r="279" hidden="1" outlineLevel="2" ht="15" customFormat="1" customHeight="1" s="610">
      <c r="A279" s="302" t="n"/>
      <c r="B279" s="126" t="n"/>
      <c r="C279" s="1294" t="n"/>
      <c r="D279" s="1294" t="n"/>
      <c r="E279" s="1294" t="n"/>
      <c r="F279" s="1294" t="n"/>
      <c r="G279" s="1294" t="n"/>
      <c r="H279" s="686" t="n"/>
      <c r="I279" s="686" t="n"/>
      <c r="J279" s="686" t="n"/>
      <c r="K279" s="686" t="n"/>
      <c r="L279" s="1294" t="n"/>
      <c r="M279" s="686" t="n"/>
      <c r="N279" s="686" t="n"/>
      <c r="O279" s="686" t="n"/>
      <c r="P279" s="686" t="n"/>
      <c r="Q279" s="1294" t="n"/>
      <c r="R279" s="686" t="n"/>
      <c r="S279" s="686" t="n"/>
      <c r="T279" s="686" t="n"/>
      <c r="U279" s="686" t="n"/>
      <c r="V279" s="1294" t="n"/>
      <c r="W279" s="686" t="n"/>
      <c r="X279" s="686" t="n"/>
      <c r="Y279" s="686" t="n"/>
      <c r="Z279" s="686" t="n"/>
      <c r="AA279" s="1294" t="n"/>
      <c r="AB279" s="686" t="n"/>
      <c r="AC279" s="686" t="n"/>
      <c r="AD279" s="686" t="n"/>
      <c r="AE279" s="686" t="n"/>
      <c r="AF279" s="1294" t="n"/>
      <c r="AG279" s="686" t="n"/>
      <c r="AH279" s="686" t="n"/>
      <c r="AI279" s="686" t="n"/>
      <c r="AJ279" s="686" t="n"/>
      <c r="AK279" s="1294" t="n"/>
      <c r="AL279" s="686" t="n"/>
      <c r="AM279" s="686" t="n"/>
      <c r="AN279" s="686" t="n"/>
      <c r="AO279" s="686" t="n"/>
      <c r="AP279" s="1294" t="n"/>
      <c r="AQ279" s="686" t="n"/>
      <c r="AR279" s="686" t="n"/>
      <c r="AS279" s="686" t="n"/>
      <c r="AT279" s="686" t="n"/>
      <c r="AU279" s="1294" t="n"/>
      <c r="AV279" s="686" t="n"/>
      <c r="AW279" s="686" t="n"/>
      <c r="AX279" s="686" t="n"/>
      <c r="AY279" s="686" t="n"/>
      <c r="AZ279" s="1294" t="n"/>
      <c r="BA279" s="686" t="n"/>
      <c r="BB279" s="686" t="n"/>
      <c r="BC279" s="686" t="n"/>
      <c r="BD279" s="686" t="n"/>
      <c r="BE279" s="1294" t="n"/>
      <c r="BF279" s="686" t="n"/>
      <c r="BG279" s="686" t="n"/>
      <c r="BH279" s="686" t="n"/>
      <c r="BI279" s="686" t="n"/>
      <c r="BJ279" s="1294" t="n"/>
      <c r="BK279" s="686" t="n"/>
      <c r="BL279" s="686" t="n"/>
      <c r="BM279" s="686" t="n"/>
      <c r="BN279" s="686" t="n"/>
      <c r="BO279" s="1293" t="n"/>
      <c r="BP279" s="686" t="n"/>
      <c r="BQ279" s="686" t="n"/>
      <c r="BR279" s="686" t="n"/>
      <c r="BS279" s="686" t="n"/>
      <c r="BT279" s="1294" t="n"/>
      <c r="BU279" s="686" t="n"/>
      <c r="BV279" s="686" t="n"/>
      <c r="BW279" s="686" t="n"/>
      <c r="BX279" s="686" t="n"/>
      <c r="BY279" s="1294" t="n"/>
      <c r="BZ279" s="1294" t="n"/>
      <c r="CA279" s="1294" t="n"/>
      <c r="CB279" s="1294" t="n"/>
      <c r="CC279" s="709" t="n"/>
    </row>
    <row r="280" hidden="1" outlineLevel="1" collapsed="1" ht="15" customFormat="1" customHeight="1" s="610">
      <c r="A280" s="230" t="inlineStr">
        <is>
          <t>COGS Margin, %</t>
        </is>
      </c>
      <c r="B280" s="231" t="n"/>
      <c r="C280" s="1363">
        <f>C332/C329</f>
        <v/>
      </c>
      <c r="D280" s="1363">
        <f>D332/D329</f>
        <v/>
      </c>
      <c r="E280" s="1363">
        <f>E332/E329</f>
        <v/>
      </c>
      <c r="F280" s="1363">
        <f>F332/F329</f>
        <v/>
      </c>
      <c r="G280" s="1363">
        <f>G332/G329</f>
        <v/>
      </c>
      <c r="H280" s="453">
        <f>H332/H329</f>
        <v/>
      </c>
      <c r="I280" s="453">
        <f>I332/I329</f>
        <v/>
      </c>
      <c r="J280" s="453">
        <f>J332/J329</f>
        <v/>
      </c>
      <c r="K280" s="453">
        <f>K332/K329</f>
        <v/>
      </c>
      <c r="L280" s="1363">
        <f>L332/L329</f>
        <v/>
      </c>
      <c r="M280" s="453">
        <f>M332/M329</f>
        <v/>
      </c>
      <c r="N280" s="453">
        <f>N332/N329</f>
        <v/>
      </c>
      <c r="O280" s="453">
        <f>O332/O329</f>
        <v/>
      </c>
      <c r="P280" s="453">
        <f>P332/P329</f>
        <v/>
      </c>
      <c r="Q280" s="1363">
        <f>Q332/Q329</f>
        <v/>
      </c>
      <c r="R280" s="453">
        <f>R332/R329</f>
        <v/>
      </c>
      <c r="S280" s="453">
        <f>S332/S329</f>
        <v/>
      </c>
      <c r="T280" s="453">
        <f>T332/T329</f>
        <v/>
      </c>
      <c r="U280" s="453">
        <f>U332/U329</f>
        <v/>
      </c>
      <c r="V280" s="1363">
        <f>V332/V329</f>
        <v/>
      </c>
      <c r="W280" s="453">
        <f>W332/W329</f>
        <v/>
      </c>
      <c r="X280" s="453">
        <f>X332/X329</f>
        <v/>
      </c>
      <c r="Y280" s="453">
        <f>Y332/Y329</f>
        <v/>
      </c>
      <c r="Z280" s="453">
        <f>Z332/Z329</f>
        <v/>
      </c>
      <c r="AA280" s="1363">
        <f>AA332/AA329</f>
        <v/>
      </c>
      <c r="AB280" s="453">
        <f>AB332/AB329</f>
        <v/>
      </c>
      <c r="AC280" s="453">
        <f>AC332/AC329</f>
        <v/>
      </c>
      <c r="AD280" s="453">
        <f>AD332/AD329</f>
        <v/>
      </c>
      <c r="AE280" s="453">
        <f>AE332/AE329</f>
        <v/>
      </c>
      <c r="AF280" s="1363">
        <f>AF332/AF329</f>
        <v/>
      </c>
      <c r="AG280" s="453">
        <f>AG332/AG329</f>
        <v/>
      </c>
      <c r="AH280" s="453">
        <f>AH332/AH329</f>
        <v/>
      </c>
      <c r="AI280" s="453">
        <f>AI332/AI329</f>
        <v/>
      </c>
      <c r="AJ280" s="453">
        <f>AJ332/AJ329</f>
        <v/>
      </c>
      <c r="AK280" s="1363">
        <f>AK332/AK329</f>
        <v/>
      </c>
      <c r="AL280" s="453">
        <f>AL332/AL329</f>
        <v/>
      </c>
      <c r="AM280" s="453">
        <f>AM332/AM329</f>
        <v/>
      </c>
      <c r="AN280" s="453">
        <f>AN332/AN329</f>
        <v/>
      </c>
      <c r="AO280" s="453">
        <f>AO332/AO329</f>
        <v/>
      </c>
      <c r="AP280" s="1363">
        <f>AP332/AP329</f>
        <v/>
      </c>
      <c r="AQ280" s="453">
        <f>AQ332/AQ329</f>
        <v/>
      </c>
      <c r="AR280" s="453">
        <f>AR332/AR329</f>
        <v/>
      </c>
      <c r="AS280" s="453">
        <f>AS332/AS329</f>
        <v/>
      </c>
      <c r="AT280" s="453">
        <f>AT332/AT329</f>
        <v/>
      </c>
      <c r="AU280" s="1363">
        <f>AU332/AU329</f>
        <v/>
      </c>
      <c r="AV280" s="453">
        <f>AV332/AV329</f>
        <v/>
      </c>
      <c r="AW280" s="453">
        <f>AW332/AW329</f>
        <v/>
      </c>
      <c r="AX280" s="453">
        <f>AX332/AX329</f>
        <v/>
      </c>
      <c r="AY280" s="453">
        <f>AY332/AY329</f>
        <v/>
      </c>
      <c r="AZ280" s="1363">
        <f>AZ332/AZ329</f>
        <v/>
      </c>
      <c r="BA280" s="453">
        <f>BA332/BA329</f>
        <v/>
      </c>
      <c r="BB280" s="453">
        <f>BB332/BB329</f>
        <v/>
      </c>
      <c r="BC280" s="453">
        <f>BC332/BC329</f>
        <v/>
      </c>
      <c r="BD280" s="453">
        <f>BD332/BD329</f>
        <v/>
      </c>
      <c r="BE280" s="1363">
        <f>BE332/BE329</f>
        <v/>
      </c>
      <c r="BF280" s="453">
        <f>BF332/BF329</f>
        <v/>
      </c>
      <c r="BG280" s="453">
        <f>BG332/BG329</f>
        <v/>
      </c>
      <c r="BH280" s="453">
        <f>BH332/BH329</f>
        <v/>
      </c>
      <c r="BI280" s="453">
        <f>BI332/BI329</f>
        <v/>
      </c>
      <c r="BJ280" s="1363">
        <f>BJ332/BJ329</f>
        <v/>
      </c>
      <c r="BK280" s="453">
        <f>BK332/BK329</f>
        <v/>
      </c>
      <c r="BL280" s="453">
        <f>BL332/BL329</f>
        <v/>
      </c>
      <c r="BM280" s="453">
        <f>BM332/BM329</f>
        <v/>
      </c>
      <c r="BN280" s="453">
        <f>BN332/BN329</f>
        <v/>
      </c>
      <c r="BO280" s="1364">
        <f>BO332/BO329</f>
        <v/>
      </c>
      <c r="BP280" s="453">
        <f>BP332/BP329</f>
        <v/>
      </c>
      <c r="BQ280" s="453">
        <f>BQ332/BQ329</f>
        <v/>
      </c>
      <c r="BR280" s="453">
        <f>BR332/BR329</f>
        <v/>
      </c>
      <c r="BS280" s="453">
        <f>BS332/BS329</f>
        <v/>
      </c>
      <c r="BT280" s="1363">
        <f>BT332/BT329</f>
        <v/>
      </c>
      <c r="BU280" s="453">
        <f>BU332/BU329</f>
        <v/>
      </c>
      <c r="BV280" s="453">
        <f>BV332/BV329</f>
        <v/>
      </c>
      <c r="BW280" s="453">
        <f>BW332/BW329</f>
        <v/>
      </c>
      <c r="BX280" s="453">
        <f>BX332/BX329</f>
        <v/>
      </c>
      <c r="BY280" s="1363">
        <f>BY332/BY329</f>
        <v/>
      </c>
      <c r="BZ280" s="1363">
        <f>BZ332/BZ329</f>
        <v/>
      </c>
      <c r="CA280" s="1363">
        <f>CA332/CA329</f>
        <v/>
      </c>
      <c r="CB280" s="1363">
        <f>CB332/CB329</f>
        <v/>
      </c>
      <c r="CC280" s="709" t="n"/>
    </row>
    <row r="281" hidden="1" outlineLevel="1" ht="15" customFormat="1" customHeight="1" s="610">
      <c r="A281" s="70" t="inlineStr">
        <is>
          <t>Gross Margin, %</t>
        </is>
      </c>
      <c r="B281" s="64" t="n"/>
      <c r="C281" s="1254">
        <f>1-C280</f>
        <v/>
      </c>
      <c r="D281" s="1254">
        <f>1-D280</f>
        <v/>
      </c>
      <c r="E281" s="1254">
        <f>1-E280</f>
        <v/>
      </c>
      <c r="F281" s="1254">
        <f>1-F280</f>
        <v/>
      </c>
      <c r="G281" s="1254">
        <f>1-G280</f>
        <v/>
      </c>
      <c r="H281" s="674">
        <f>1-H280</f>
        <v/>
      </c>
      <c r="I281" s="674">
        <f>1-I280</f>
        <v/>
      </c>
      <c r="J281" s="674">
        <f>1-J280</f>
        <v/>
      </c>
      <c r="K281" s="674">
        <f>1-K280</f>
        <v/>
      </c>
      <c r="L281" s="1254">
        <f>1-L280</f>
        <v/>
      </c>
      <c r="M281" s="674">
        <f>1-M280</f>
        <v/>
      </c>
      <c r="N281" s="674">
        <f>1-N280</f>
        <v/>
      </c>
      <c r="O281" s="674">
        <f>1-O280</f>
        <v/>
      </c>
      <c r="P281" s="674">
        <f>1-P280</f>
        <v/>
      </c>
      <c r="Q281" s="1254">
        <f>1-Q280</f>
        <v/>
      </c>
      <c r="R281" s="674">
        <f>1-R280</f>
        <v/>
      </c>
      <c r="S281" s="674">
        <f>1-S280</f>
        <v/>
      </c>
      <c r="T281" s="674">
        <f>1-T280</f>
        <v/>
      </c>
      <c r="U281" s="674">
        <f>1-U280</f>
        <v/>
      </c>
      <c r="V281" s="1254">
        <f>1-V280</f>
        <v/>
      </c>
      <c r="W281" s="674">
        <f>1-W280</f>
        <v/>
      </c>
      <c r="X281" s="674">
        <f>1-X280</f>
        <v/>
      </c>
      <c r="Y281" s="674">
        <f>1-Y280</f>
        <v/>
      </c>
      <c r="Z281" s="674">
        <f>1-Z280</f>
        <v/>
      </c>
      <c r="AA281" s="1254">
        <f>1-AA280</f>
        <v/>
      </c>
      <c r="AB281" s="674">
        <f>1-AB280</f>
        <v/>
      </c>
      <c r="AC281" s="674">
        <f>1-AC280</f>
        <v/>
      </c>
      <c r="AD281" s="674">
        <f>1-AD280</f>
        <v/>
      </c>
      <c r="AE281" s="674">
        <f>1-AE280</f>
        <v/>
      </c>
      <c r="AF281" s="1254">
        <f>1-AF280</f>
        <v/>
      </c>
      <c r="AG281" s="674">
        <f>1-AG280</f>
        <v/>
      </c>
      <c r="AH281" s="674">
        <f>1-AH280</f>
        <v/>
      </c>
      <c r="AI281" s="674">
        <f>1-AI280</f>
        <v/>
      </c>
      <c r="AJ281" s="674">
        <f>1-AJ280</f>
        <v/>
      </c>
      <c r="AK281" s="1254">
        <f>1-AK280</f>
        <v/>
      </c>
      <c r="AL281" s="674">
        <f>1-AL280</f>
        <v/>
      </c>
      <c r="AM281" s="674">
        <f>1-AM280</f>
        <v/>
      </c>
      <c r="AN281" s="674">
        <f>1-AN280</f>
        <v/>
      </c>
      <c r="AO281" s="674">
        <f>1-AO280</f>
        <v/>
      </c>
      <c r="AP281" s="1254">
        <f>1-AP280</f>
        <v/>
      </c>
      <c r="AQ281" s="674">
        <f>1-AQ280</f>
        <v/>
      </c>
      <c r="AR281" s="674">
        <f>1-AR280</f>
        <v/>
      </c>
      <c r="AS281" s="674">
        <f>1-AS280</f>
        <v/>
      </c>
      <c r="AT281" s="674">
        <f>1-AT280</f>
        <v/>
      </c>
      <c r="AU281" s="1254">
        <f>1-AU280</f>
        <v/>
      </c>
      <c r="AV281" s="674">
        <f>1-AV280</f>
        <v/>
      </c>
      <c r="AW281" s="674">
        <f>1-AW280</f>
        <v/>
      </c>
      <c r="AX281" s="674">
        <f>1-AX280</f>
        <v/>
      </c>
      <c r="AY281" s="674">
        <f>1-AY280</f>
        <v/>
      </c>
      <c r="AZ281" s="1254">
        <f>1-AZ280</f>
        <v/>
      </c>
      <c r="BA281" s="674">
        <f>1-BA280</f>
        <v/>
      </c>
      <c r="BB281" s="674">
        <f>1-BB280</f>
        <v/>
      </c>
      <c r="BC281" s="674">
        <f>1-BC280</f>
        <v/>
      </c>
      <c r="BD281" s="674">
        <f>1-BD280</f>
        <v/>
      </c>
      <c r="BE281" s="1254">
        <f>1-BE280</f>
        <v/>
      </c>
      <c r="BF281" s="674">
        <f>1-BF280</f>
        <v/>
      </c>
      <c r="BG281" s="674">
        <f>1-BG280</f>
        <v/>
      </c>
      <c r="BH281" s="674">
        <f>1-BH280</f>
        <v/>
      </c>
      <c r="BI281" s="674">
        <f>1-BI280</f>
        <v/>
      </c>
      <c r="BJ281" s="1254">
        <f>1-BJ280</f>
        <v/>
      </c>
      <c r="BK281" s="674">
        <f>1-BK280</f>
        <v/>
      </c>
      <c r="BL281" s="674">
        <f>1-BL280</f>
        <v/>
      </c>
      <c r="BM281" s="674">
        <f>1-BM280</f>
        <v/>
      </c>
      <c r="BN281" s="674">
        <f>1-BN280</f>
        <v/>
      </c>
      <c r="BO281" s="1253">
        <f>1-BO280</f>
        <v/>
      </c>
      <c r="BP281" s="674">
        <f>1-BP280</f>
        <v/>
      </c>
      <c r="BQ281" s="674">
        <f>1-BQ280</f>
        <v/>
      </c>
      <c r="BR281" s="674">
        <f>1-BR280</f>
        <v/>
      </c>
      <c r="BS281" s="674">
        <f>1-BS280</f>
        <v/>
      </c>
      <c r="BT281" s="1254">
        <f>1-BT280</f>
        <v/>
      </c>
      <c r="BU281" s="674">
        <f>1-BU280</f>
        <v/>
      </c>
      <c r="BV281" s="674">
        <f>1-BV280</f>
        <v/>
      </c>
      <c r="BW281" s="674">
        <f>1-BW280</f>
        <v/>
      </c>
      <c r="BX281" s="674">
        <f>1-BX280</f>
        <v/>
      </c>
      <c r="BY281" s="1254">
        <f>1-BY280</f>
        <v/>
      </c>
      <c r="BZ281" s="1254">
        <f>1-BZ280</f>
        <v/>
      </c>
      <c r="CA281" s="1254">
        <f>1-CA280</f>
        <v/>
      </c>
      <c r="CB281" s="1254">
        <f>1-CB280</f>
        <v/>
      </c>
      <c r="CC281" s="709" t="n"/>
    </row>
    <row r="282" hidden="1" outlineLevel="1" ht="15" customFormat="1" customHeight="1" s="611">
      <c r="A282" s="377" t="inlineStr">
        <is>
          <t>Consensus Estimates - Gross Margin, %</t>
        </is>
      </c>
      <c r="B282" s="378" t="n"/>
      <c r="C282" s="1267" t="n"/>
      <c r="D282" s="1267" t="n"/>
      <c r="E282" s="1267" t="n"/>
      <c r="F282" s="1267" t="n"/>
      <c r="G282" s="1267" t="n"/>
      <c r="H282" s="676" t="n"/>
      <c r="I282" s="676" t="n"/>
      <c r="J282" s="676" t="n"/>
      <c r="K282" s="676" t="n"/>
      <c r="L282" s="1267" t="n"/>
      <c r="M282" s="676" t="n"/>
      <c r="N282" s="676" t="n"/>
      <c r="O282" s="676" t="n"/>
      <c r="P282" s="676" t="n"/>
      <c r="Q282" s="1267" t="n"/>
      <c r="R282" s="676" t="n"/>
      <c r="S282" s="705" t="n"/>
      <c r="T282" s="676" t="n"/>
      <c r="U282" s="676" t="n"/>
      <c r="V282" s="1267" t="n"/>
      <c r="W282" s="676" t="n"/>
      <c r="X282" s="705" t="n"/>
      <c r="Y282" s="676" t="n"/>
      <c r="Z282" s="676" t="n"/>
      <c r="AA282" s="1267" t="n"/>
      <c r="AB282" s="676" t="n"/>
      <c r="AC282" s="705" t="n"/>
      <c r="AD282" s="676" t="n"/>
      <c r="AE282" s="676" t="n"/>
      <c r="AF282" s="1267" t="n"/>
      <c r="AG282" s="676" t="n"/>
      <c r="AH282" s="705" t="n"/>
      <c r="AI282" s="676" t="n"/>
      <c r="AJ282" s="676" t="n"/>
      <c r="AK282" s="1267" t="n"/>
      <c r="AL282" s="676" t="n"/>
      <c r="AM282" s="705" t="n"/>
      <c r="AN282" s="676" t="n"/>
      <c r="AO282" s="676" t="n"/>
      <c r="AP282" s="1267" t="n"/>
      <c r="AQ282" s="676" t="n"/>
      <c r="AR282" s="705" t="n"/>
      <c r="AS282" s="676" t="n"/>
      <c r="AT282" s="676" t="n"/>
      <c r="AU282" s="1267" t="n"/>
      <c r="AV282" s="676" t="n"/>
      <c r="AW282" s="705" t="n"/>
      <c r="AX282" s="676" t="n"/>
      <c r="AY282" s="676" t="n"/>
      <c r="AZ282" s="1267" t="n"/>
      <c r="BA282" s="676" t="n"/>
      <c r="BB282" s="705" t="n"/>
      <c r="BC282" s="676" t="n"/>
      <c r="BD282" s="676" t="n"/>
      <c r="BE282" s="1267" t="n"/>
      <c r="BF282" s="676" t="n"/>
      <c r="BG282" s="705" t="n"/>
      <c r="BH282" s="676" t="n"/>
      <c r="BI282" s="676" t="n"/>
      <c r="BJ282" s="1267" t="n"/>
      <c r="BK282" s="676" t="n"/>
      <c r="BL282" s="705" t="n"/>
      <c r="BM282" s="676" t="n"/>
      <c r="BN282" s="676" t="n"/>
      <c r="BO282" s="1266" t="n"/>
      <c r="BP282" s="672">
        <f>IFERROR(VLOOKUP($A282,tb_ConsensusEstimate,MATCH(BP$5,OFFSET(tb_ConsensusEstimate,0,0,1,COLUMNS(tb_ConsensusEstimate)),0),FALSE),"-")</f>
        <v/>
      </c>
      <c r="BQ282" s="672">
        <f>IFERROR(VLOOKUP($A282,tb_ConsensusEstimate,MATCH(BQ$5,OFFSET(tb_ConsensusEstimate,0,0,1,COLUMNS(tb_ConsensusEstimate)),0),FALSE),"-")</f>
        <v/>
      </c>
      <c r="BR282" s="672">
        <f>IFERROR(VLOOKUP($A282,tb_ConsensusEstimate,MATCH(BR$5,OFFSET(tb_ConsensusEstimate,0,0,1,COLUMNS(tb_ConsensusEstimate)),0),FALSE),"-")</f>
        <v/>
      </c>
      <c r="BS282" s="672">
        <f>IFERROR(VLOOKUP($A282,tb_ConsensusEstimate,MATCH(BS$5,OFFSET(tb_ConsensusEstimate,0,0,1,COLUMNS(tb_ConsensusEstimate)),0),FALSE),"-")</f>
        <v/>
      </c>
      <c r="BT282" s="1249">
        <f>IFERROR(VLOOKUP($A282,tb_ConsensusEstimate,MATCH(BT$5,OFFSET(tb_ConsensusEstimate,0,0,1,COLUMNS(tb_ConsensusEstimate)),0),FALSE),"-")</f>
        <v/>
      </c>
      <c r="BU282" s="672">
        <f>IFERROR(VLOOKUP($A282,tb_ConsensusEstimate,MATCH(BU$5,OFFSET(tb_ConsensusEstimate,0,0,1,COLUMNS(tb_ConsensusEstimate)),0),FALSE),"-")</f>
        <v/>
      </c>
      <c r="BV282" s="672">
        <f>IFERROR(VLOOKUP($A282,tb_ConsensusEstimate,MATCH(BV$5,OFFSET(tb_ConsensusEstimate,0,0,1,COLUMNS(tb_ConsensusEstimate)),0),FALSE),"-")</f>
        <v/>
      </c>
      <c r="BW282" s="672">
        <f>IFERROR(VLOOKUP($A282,tb_ConsensusEstimate,MATCH(BW$5,OFFSET(tb_ConsensusEstimate,0,0,1,COLUMNS(tb_ConsensusEstimate)),0),FALSE),"-")</f>
        <v/>
      </c>
      <c r="BX282" s="672">
        <f>IFERROR(VLOOKUP($A282,tb_ConsensusEstimate,MATCH(BX$5,OFFSET(tb_ConsensusEstimate,0,0,1,COLUMNS(tb_ConsensusEstimate)),0),FALSE),"-")</f>
        <v/>
      </c>
      <c r="BY282" s="1249">
        <f>IFERROR(VLOOKUP($A282,tb_ConsensusEstimate,MATCH(BY$5,OFFSET(tb_ConsensusEstimate,0,0,1,COLUMNS(tb_ConsensusEstimate)),0),FALSE),"-")</f>
        <v/>
      </c>
      <c r="BZ282" s="1249">
        <f>IFERROR(VLOOKUP($A282,tb_ConsensusEstimate,MATCH(BZ$5,OFFSET(tb_ConsensusEstimate,0,0,1,COLUMNS(tb_ConsensusEstimate)),0),FALSE),"-")</f>
        <v/>
      </c>
      <c r="CA282" s="1249">
        <f>IFERROR(VLOOKUP($A282,tb_ConsensusEstimate,MATCH(CA$5,OFFSET(tb_ConsensusEstimate,0,0,1,COLUMNS(tb_ConsensusEstimate)),0),FALSE),"-")</f>
        <v/>
      </c>
      <c r="CB282" s="1249">
        <f>IFERROR(VLOOKUP($A282,tb_ConsensusEstimate,MATCH(CB$5,OFFSET(tb_ConsensusEstimate,0,0,1,COLUMNS(tb_ConsensusEstimate)),0),FALSE),"-")</f>
        <v/>
      </c>
      <c r="CC282" s="676" t="n"/>
    </row>
    <row r="283" hidden="1" outlineLevel="1" ht="15" customFormat="1" customHeight="1" s="598">
      <c r="A283" s="70" t="n"/>
      <c r="B283" s="64" t="n"/>
      <c r="C283" s="1254" t="n"/>
      <c r="D283" s="1254" t="n"/>
      <c r="E283" s="1254" t="n"/>
      <c r="F283" s="1254" t="n"/>
      <c r="G283" s="1254" t="n"/>
      <c r="H283" s="674" t="n"/>
      <c r="I283" s="674" t="n"/>
      <c r="J283" s="674" t="n"/>
      <c r="K283" s="674" t="n"/>
      <c r="L283" s="1254" t="n"/>
      <c r="M283" s="674" t="n"/>
      <c r="N283" s="674" t="n"/>
      <c r="O283" s="674" t="n"/>
      <c r="P283" s="674" t="n"/>
      <c r="Q283" s="1254" t="n"/>
      <c r="R283" s="674" t="n"/>
      <c r="S283" s="674" t="n"/>
      <c r="T283" s="674" t="n"/>
      <c r="U283" s="674" t="n"/>
      <c r="V283" s="1254" t="n"/>
      <c r="W283" s="674" t="n"/>
      <c r="X283" s="674" t="n"/>
      <c r="Y283" s="674" t="n"/>
      <c r="Z283" s="674" t="n"/>
      <c r="AA283" s="1254" t="n"/>
      <c r="AB283" s="674" t="n"/>
      <c r="AC283" s="674" t="n"/>
      <c r="AD283" s="674" t="n"/>
      <c r="AE283" s="674" t="n"/>
      <c r="AF283" s="1254" t="n"/>
      <c r="AG283" s="674" t="n"/>
      <c r="AH283" s="674" t="n"/>
      <c r="AI283" s="674" t="n"/>
      <c r="AJ283" s="674" t="n"/>
      <c r="AK283" s="1254" t="n"/>
      <c r="AL283" s="674" t="n"/>
      <c r="AM283" s="674" t="n"/>
      <c r="AN283" s="674" t="n"/>
      <c r="AO283" s="674" t="n"/>
      <c r="AP283" s="1254" t="n"/>
      <c r="AQ283" s="674" t="n"/>
      <c r="AR283" s="674" t="n"/>
      <c r="AS283" s="674" t="n"/>
      <c r="AT283" s="674" t="n"/>
      <c r="AU283" s="1254" t="n"/>
      <c r="AV283" s="674" t="n"/>
      <c r="AW283" s="674" t="n"/>
      <c r="AX283" s="674" t="n"/>
      <c r="AY283" s="674" t="n"/>
      <c r="AZ283" s="1254" t="n"/>
      <c r="BA283" s="674" t="n"/>
      <c r="BB283" s="674" t="n"/>
      <c r="BC283" s="674" t="n"/>
      <c r="BD283" s="674" t="n"/>
      <c r="BE283" s="1254" t="n"/>
      <c r="BF283" s="674" t="n"/>
      <c r="BG283" s="674" t="n"/>
      <c r="BH283" s="674" t="n"/>
      <c r="BI283" s="674" t="n"/>
      <c r="BJ283" s="1254" t="n"/>
      <c r="BK283" s="674" t="n"/>
      <c r="BL283" s="674" t="n"/>
      <c r="BM283" s="674" t="n"/>
      <c r="BN283" s="674" t="n"/>
      <c r="BO283" s="1253" t="n"/>
      <c r="BP283" s="674" t="n"/>
      <c r="BQ283" s="674" t="n"/>
      <c r="BR283" s="674" t="n"/>
      <c r="BS283" s="674" t="n"/>
      <c r="BT283" s="1254" t="n"/>
      <c r="BU283" s="674" t="n"/>
      <c r="BV283" s="674" t="n"/>
      <c r="BW283" s="674" t="n"/>
      <c r="BX283" s="674" t="n"/>
      <c r="BY283" s="1254" t="n"/>
      <c r="BZ283" s="1254" t="n"/>
      <c r="CA283" s="1254" t="n"/>
      <c r="CB283" s="1254" t="n"/>
      <c r="CC283" s="750" t="n"/>
    </row>
    <row r="284" hidden="1" outlineLevel="1" ht="15" customFormat="1" customHeight="1" s="598">
      <c r="A284" s="55" t="inlineStr">
        <is>
          <t>SG&amp;A Margin, %</t>
        </is>
      </c>
      <c r="B284" s="64" t="n"/>
      <c r="C284" s="1365">
        <f>C336/C329</f>
        <v/>
      </c>
      <c r="D284" s="1365">
        <f>D336/D329</f>
        <v/>
      </c>
      <c r="E284" s="1365">
        <f>E336/E329</f>
        <v/>
      </c>
      <c r="F284" s="1365">
        <f>F336/F329</f>
        <v/>
      </c>
      <c r="G284" s="1365">
        <f>G336/G329</f>
        <v/>
      </c>
      <c r="H284" s="707">
        <f>H336/H329</f>
        <v/>
      </c>
      <c r="I284" s="707">
        <f>I336/I329</f>
        <v/>
      </c>
      <c r="J284" s="707">
        <f>J336/J329</f>
        <v/>
      </c>
      <c r="K284" s="707">
        <f>K336/K329</f>
        <v/>
      </c>
      <c r="L284" s="1365">
        <f>L336/L329</f>
        <v/>
      </c>
      <c r="M284" s="707">
        <f>M336/M329</f>
        <v/>
      </c>
      <c r="N284" s="707">
        <f>N336/N329</f>
        <v/>
      </c>
      <c r="O284" s="707">
        <f>O336/O329</f>
        <v/>
      </c>
      <c r="P284" s="707">
        <f>P336/P329</f>
        <v/>
      </c>
      <c r="Q284" s="1365">
        <f>Q336/Q329</f>
        <v/>
      </c>
      <c r="R284" s="707">
        <f>R336/R329</f>
        <v/>
      </c>
      <c r="S284" s="707">
        <f>S336/S329</f>
        <v/>
      </c>
      <c r="T284" s="707">
        <f>T336/T329</f>
        <v/>
      </c>
      <c r="U284" s="707">
        <f>U336/U329</f>
        <v/>
      </c>
      <c r="V284" s="1365">
        <f>V336/V329</f>
        <v/>
      </c>
      <c r="W284" s="707">
        <f>W336/W329</f>
        <v/>
      </c>
      <c r="X284" s="707">
        <f>X336/X329</f>
        <v/>
      </c>
      <c r="Y284" s="707">
        <f>Y336/Y329</f>
        <v/>
      </c>
      <c r="Z284" s="707">
        <f>Z336/Z329</f>
        <v/>
      </c>
      <c r="AA284" s="1365">
        <f>AA336/AA329</f>
        <v/>
      </c>
      <c r="AB284" s="707">
        <f>AB336/AB329</f>
        <v/>
      </c>
      <c r="AC284" s="707">
        <f>AC336/AC329</f>
        <v/>
      </c>
      <c r="AD284" s="707">
        <f>AD336/AD329</f>
        <v/>
      </c>
      <c r="AE284" s="707">
        <f>AE336/AE329</f>
        <v/>
      </c>
      <c r="AF284" s="1365">
        <f>AF336/AF329</f>
        <v/>
      </c>
      <c r="AG284" s="707">
        <f>AG336/AG329</f>
        <v/>
      </c>
      <c r="AH284" s="707">
        <f>AH336/AH329</f>
        <v/>
      </c>
      <c r="AI284" s="707">
        <f>AI336/AI329</f>
        <v/>
      </c>
      <c r="AJ284" s="707">
        <f>AJ336/AJ329</f>
        <v/>
      </c>
      <c r="AK284" s="1365">
        <f>AK336/AK329</f>
        <v/>
      </c>
      <c r="AL284" s="707">
        <f>AL336/AL329</f>
        <v/>
      </c>
      <c r="AM284" s="707">
        <f>AM336/AM329</f>
        <v/>
      </c>
      <c r="AN284" s="707">
        <f>AN336/AN329</f>
        <v/>
      </c>
      <c r="AO284" s="707">
        <f>AO336/AO329</f>
        <v/>
      </c>
      <c r="AP284" s="1365">
        <f>AP336/AP329</f>
        <v/>
      </c>
      <c r="AQ284" s="707">
        <f>AQ336/AQ329</f>
        <v/>
      </c>
      <c r="AR284" s="707">
        <f>AR336/AR329</f>
        <v/>
      </c>
      <c r="AS284" s="707">
        <f>AS336/AS329</f>
        <v/>
      </c>
      <c r="AT284" s="707">
        <f>AT336/AT329</f>
        <v/>
      </c>
      <c r="AU284" s="1365">
        <f>AU336/AU329</f>
        <v/>
      </c>
      <c r="AV284" s="707">
        <f>AV336/AV329</f>
        <v/>
      </c>
      <c r="AW284" s="707">
        <f>AW336/AW329</f>
        <v/>
      </c>
      <c r="AX284" s="707">
        <f>AX336/AX329</f>
        <v/>
      </c>
      <c r="AY284" s="707">
        <f>AY336/AY329</f>
        <v/>
      </c>
      <c r="AZ284" s="1365">
        <f>AZ336/AZ329</f>
        <v/>
      </c>
      <c r="BA284" s="707">
        <f>BA336/BA329</f>
        <v/>
      </c>
      <c r="BB284" s="707">
        <f>BB336/BB329</f>
        <v/>
      </c>
      <c r="BC284" s="707">
        <f>BC336/BC329</f>
        <v/>
      </c>
      <c r="BD284" s="707">
        <f>BD336/BD329</f>
        <v/>
      </c>
      <c r="BE284" s="1365">
        <f>BE336/BE329</f>
        <v/>
      </c>
      <c r="BF284" s="707">
        <f>BF336/BF329</f>
        <v/>
      </c>
      <c r="BG284" s="707">
        <f>BG336/BG329</f>
        <v/>
      </c>
      <c r="BH284" s="707">
        <f>BH336/BH329</f>
        <v/>
      </c>
      <c r="BI284" s="707">
        <f>BI336/BI329</f>
        <v/>
      </c>
      <c r="BJ284" s="1365">
        <f>BJ336/BJ329</f>
        <v/>
      </c>
      <c r="BK284" s="707">
        <f>BK336/BK329</f>
        <v/>
      </c>
      <c r="BL284" s="707">
        <f>BL336/BL329</f>
        <v/>
      </c>
      <c r="BM284" s="707">
        <f>BM336/BM329</f>
        <v/>
      </c>
      <c r="BN284" s="707">
        <f>BN336/BN329</f>
        <v/>
      </c>
      <c r="BO284" s="1366">
        <f>BO336/BO329</f>
        <v/>
      </c>
      <c r="BP284" s="674">
        <f>BP336/BP329</f>
        <v/>
      </c>
      <c r="BQ284" s="674">
        <f>BQ336/BQ329</f>
        <v/>
      </c>
      <c r="BR284" s="674">
        <f>BR336/BR329</f>
        <v/>
      </c>
      <c r="BS284" s="674">
        <f>BS336/BS329</f>
        <v/>
      </c>
      <c r="BT284" s="1254">
        <f>BT336/BT329</f>
        <v/>
      </c>
      <c r="BU284" s="674">
        <f>BU336/BU329</f>
        <v/>
      </c>
      <c r="BV284" s="674">
        <f>BV336/BV329</f>
        <v/>
      </c>
      <c r="BW284" s="674">
        <f>BW336/BW329</f>
        <v/>
      </c>
      <c r="BX284" s="674">
        <f>BX336/BX329</f>
        <v/>
      </c>
      <c r="BY284" s="1254">
        <f>BY336/BY329</f>
        <v/>
      </c>
      <c r="BZ284" s="1254">
        <f>BZ336/BZ329</f>
        <v/>
      </c>
      <c r="CA284" s="1254">
        <f>CA336/CA329</f>
        <v/>
      </c>
      <c r="CB284" s="1254">
        <f>CB336/CB329</f>
        <v/>
      </c>
      <c r="CC284" s="750" t="n"/>
    </row>
    <row r="285" hidden="1" outlineLevel="1" ht="15" customFormat="1" customHeight="1" s="598">
      <c r="A285" s="55" t="inlineStr">
        <is>
          <t>R&amp;D Margin, %</t>
        </is>
      </c>
      <c r="B285" s="64" t="n"/>
      <c r="C285" s="1365">
        <f>C335/C329</f>
        <v/>
      </c>
      <c r="D285" s="1365">
        <f>D335/D329</f>
        <v/>
      </c>
      <c r="E285" s="1365">
        <f>E335/E329</f>
        <v/>
      </c>
      <c r="F285" s="1365">
        <f>F335/F329</f>
        <v/>
      </c>
      <c r="G285" s="1365">
        <f>G335/G329</f>
        <v/>
      </c>
      <c r="H285" s="707">
        <f>H335/H329</f>
        <v/>
      </c>
      <c r="I285" s="707">
        <f>I335/I329</f>
        <v/>
      </c>
      <c r="J285" s="707">
        <f>J335/J329</f>
        <v/>
      </c>
      <c r="K285" s="707">
        <f>K335/K329</f>
        <v/>
      </c>
      <c r="L285" s="1365">
        <f>L335/L329</f>
        <v/>
      </c>
      <c r="M285" s="707">
        <f>M335/M329</f>
        <v/>
      </c>
      <c r="N285" s="707">
        <f>N335/N329</f>
        <v/>
      </c>
      <c r="O285" s="707">
        <f>O335/O329</f>
        <v/>
      </c>
      <c r="P285" s="707">
        <f>P335/P329</f>
        <v/>
      </c>
      <c r="Q285" s="1365">
        <f>Q335/Q329</f>
        <v/>
      </c>
      <c r="R285" s="707">
        <f>R335/R329</f>
        <v/>
      </c>
      <c r="S285" s="707">
        <f>S335/S329</f>
        <v/>
      </c>
      <c r="T285" s="707">
        <f>T335/T329</f>
        <v/>
      </c>
      <c r="U285" s="707">
        <f>U335/U329</f>
        <v/>
      </c>
      <c r="V285" s="1365">
        <f>V335/V329</f>
        <v/>
      </c>
      <c r="W285" s="707">
        <f>W335/W329</f>
        <v/>
      </c>
      <c r="X285" s="707">
        <f>X335/X329</f>
        <v/>
      </c>
      <c r="Y285" s="707">
        <f>Y335/Y329</f>
        <v/>
      </c>
      <c r="Z285" s="707">
        <f>Z335/Z329</f>
        <v/>
      </c>
      <c r="AA285" s="1365">
        <f>AA335/AA329</f>
        <v/>
      </c>
      <c r="AB285" s="707">
        <f>AB335/AB329</f>
        <v/>
      </c>
      <c r="AC285" s="707">
        <f>AC335/AC329</f>
        <v/>
      </c>
      <c r="AD285" s="707">
        <f>AD335/AD329</f>
        <v/>
      </c>
      <c r="AE285" s="707">
        <f>AE335/AE329</f>
        <v/>
      </c>
      <c r="AF285" s="1365">
        <f>AF335/AF329</f>
        <v/>
      </c>
      <c r="AG285" s="707">
        <f>AG335/AG329</f>
        <v/>
      </c>
      <c r="AH285" s="707">
        <f>AH335/AH329</f>
        <v/>
      </c>
      <c r="AI285" s="707">
        <f>AI335/AI329</f>
        <v/>
      </c>
      <c r="AJ285" s="707">
        <f>AJ335/AJ329</f>
        <v/>
      </c>
      <c r="AK285" s="1365">
        <f>AK335/AK329</f>
        <v/>
      </c>
      <c r="AL285" s="707">
        <f>AL335/AL329</f>
        <v/>
      </c>
      <c r="AM285" s="707">
        <f>AM335/AM329</f>
        <v/>
      </c>
      <c r="AN285" s="707">
        <f>AN335/AN329</f>
        <v/>
      </c>
      <c r="AO285" s="707">
        <f>AO335/AO329</f>
        <v/>
      </c>
      <c r="AP285" s="1365">
        <f>AP335/AP329</f>
        <v/>
      </c>
      <c r="AQ285" s="707">
        <f>AQ335/AQ329</f>
        <v/>
      </c>
      <c r="AR285" s="707">
        <f>AR335/AR329</f>
        <v/>
      </c>
      <c r="AS285" s="707">
        <f>AS335/AS329</f>
        <v/>
      </c>
      <c r="AT285" s="707">
        <f>AT335/AT329</f>
        <v/>
      </c>
      <c r="AU285" s="1365">
        <f>AU335/AU329</f>
        <v/>
      </c>
      <c r="AV285" s="707">
        <f>AV335/AV329</f>
        <v/>
      </c>
      <c r="AW285" s="707">
        <f>AW335/AW329</f>
        <v/>
      </c>
      <c r="AX285" s="707">
        <f>AX335/AX329</f>
        <v/>
      </c>
      <c r="AY285" s="707">
        <f>AY335/AY329</f>
        <v/>
      </c>
      <c r="AZ285" s="1365">
        <f>AZ335/AZ329</f>
        <v/>
      </c>
      <c r="BA285" s="707">
        <f>BA335/BA329</f>
        <v/>
      </c>
      <c r="BB285" s="707">
        <f>BB335/BB329</f>
        <v/>
      </c>
      <c r="BC285" s="707">
        <f>BC335/BC329</f>
        <v/>
      </c>
      <c r="BD285" s="707">
        <f>BD335/BD329</f>
        <v/>
      </c>
      <c r="BE285" s="1365">
        <f>BE335/BE329</f>
        <v/>
      </c>
      <c r="BF285" s="707">
        <f>BF335/BF329</f>
        <v/>
      </c>
      <c r="BG285" s="707">
        <f>BG335/BG329</f>
        <v/>
      </c>
      <c r="BH285" s="707">
        <f>BH335/BH329</f>
        <v/>
      </c>
      <c r="BI285" s="707">
        <f>BI335/BI329</f>
        <v/>
      </c>
      <c r="BJ285" s="1365">
        <f>BJ335/BJ329</f>
        <v/>
      </c>
      <c r="BK285" s="707">
        <f>BK335/BK329</f>
        <v/>
      </c>
      <c r="BL285" s="707">
        <f>BL335/BL329</f>
        <v/>
      </c>
      <c r="BM285" s="707">
        <f>BM335/BM329</f>
        <v/>
      </c>
      <c r="BN285" s="707">
        <f>BN335/BN329</f>
        <v/>
      </c>
      <c r="BO285" s="1366">
        <f>BO335/BO329</f>
        <v/>
      </c>
      <c r="BP285" s="674">
        <f>BP335/BP329</f>
        <v/>
      </c>
      <c r="BQ285" s="674">
        <f>BQ335/BQ329</f>
        <v/>
      </c>
      <c r="BR285" s="674">
        <f>BR335/BR329</f>
        <v/>
      </c>
      <c r="BS285" s="674">
        <f>BS335/BS329</f>
        <v/>
      </c>
      <c r="BT285" s="1254">
        <f>BT335/BT329</f>
        <v/>
      </c>
      <c r="BU285" s="674">
        <f>BU335/BU329</f>
        <v/>
      </c>
      <c r="BV285" s="674">
        <f>BV335/BV329</f>
        <v/>
      </c>
      <c r="BW285" s="674">
        <f>BW335/BW329</f>
        <v/>
      </c>
      <c r="BX285" s="674">
        <f>BX335/BX329</f>
        <v/>
      </c>
      <c r="BY285" s="1254">
        <f>BY335/BY329</f>
        <v/>
      </c>
      <c r="BZ285" s="1254">
        <f>BZ335/BZ329</f>
        <v/>
      </c>
      <c r="CA285" s="1254">
        <f>CA335/CA329</f>
        <v/>
      </c>
      <c r="CB285" s="1254">
        <f>CB335/CB329</f>
        <v/>
      </c>
      <c r="CC285" s="750" t="n"/>
    </row>
    <row r="286" hidden="1" outlineLevel="1" ht="15" customFormat="1" customHeight="1" s="598">
      <c r="A286" s="55" t="inlineStr">
        <is>
          <t>Other Margin, %</t>
        </is>
      </c>
      <c r="B286" s="64" t="n"/>
      <c r="C286" s="1365">
        <f>C337/C329</f>
        <v/>
      </c>
      <c r="D286" s="1365">
        <f>D337/D329</f>
        <v/>
      </c>
      <c r="E286" s="1365">
        <f>E337/E329</f>
        <v/>
      </c>
      <c r="F286" s="1365">
        <f>F337/F329</f>
        <v/>
      </c>
      <c r="G286" s="1365">
        <f>G337/G329</f>
        <v/>
      </c>
      <c r="H286" s="707">
        <f>H337/H329</f>
        <v/>
      </c>
      <c r="I286" s="707">
        <f>I337/I329</f>
        <v/>
      </c>
      <c r="J286" s="707">
        <f>J337/J329</f>
        <v/>
      </c>
      <c r="K286" s="707">
        <f>K337/K329</f>
        <v/>
      </c>
      <c r="L286" s="1365">
        <f>L337/L329</f>
        <v/>
      </c>
      <c r="M286" s="707">
        <f>M337/M329</f>
        <v/>
      </c>
      <c r="N286" s="707">
        <f>N337/N329</f>
        <v/>
      </c>
      <c r="O286" s="707">
        <f>O337/O329</f>
        <v/>
      </c>
      <c r="P286" s="707">
        <f>P337/P329</f>
        <v/>
      </c>
      <c r="Q286" s="1365">
        <f>Q337/Q329</f>
        <v/>
      </c>
      <c r="R286" s="707">
        <f>R337/R329</f>
        <v/>
      </c>
      <c r="S286" s="707">
        <f>S337/S329</f>
        <v/>
      </c>
      <c r="T286" s="707">
        <f>T337/T329</f>
        <v/>
      </c>
      <c r="U286" s="707">
        <f>U337/U329</f>
        <v/>
      </c>
      <c r="V286" s="1365">
        <f>V337/V329</f>
        <v/>
      </c>
      <c r="W286" s="707">
        <f>W337/W329</f>
        <v/>
      </c>
      <c r="X286" s="707">
        <f>X337/X329</f>
        <v/>
      </c>
      <c r="Y286" s="707">
        <f>Y337/Y329</f>
        <v/>
      </c>
      <c r="Z286" s="707">
        <f>Z337/Z329</f>
        <v/>
      </c>
      <c r="AA286" s="1365">
        <f>AA337/AA329</f>
        <v/>
      </c>
      <c r="AB286" s="707">
        <f>AB337/AB329</f>
        <v/>
      </c>
      <c r="AC286" s="707">
        <f>AC337/AC329</f>
        <v/>
      </c>
      <c r="AD286" s="707">
        <f>AD337/AD329</f>
        <v/>
      </c>
      <c r="AE286" s="707">
        <f>AE337/AE329</f>
        <v/>
      </c>
      <c r="AF286" s="1365">
        <f>AF337/AF329</f>
        <v/>
      </c>
      <c r="AG286" s="707">
        <f>AG337/AG329</f>
        <v/>
      </c>
      <c r="AH286" s="707">
        <f>AH337/AH329</f>
        <v/>
      </c>
      <c r="AI286" s="707">
        <f>AI337/AI329</f>
        <v/>
      </c>
      <c r="AJ286" s="707">
        <f>AJ337/AJ329</f>
        <v/>
      </c>
      <c r="AK286" s="1365">
        <f>AK337/AK329</f>
        <v/>
      </c>
      <c r="AL286" s="707">
        <f>AL337/AL329</f>
        <v/>
      </c>
      <c r="AM286" s="707">
        <f>AM337/AM329</f>
        <v/>
      </c>
      <c r="AN286" s="707">
        <f>AN337/AN329</f>
        <v/>
      </c>
      <c r="AO286" s="707">
        <f>AO337/AO329</f>
        <v/>
      </c>
      <c r="AP286" s="1365">
        <f>AP337/AP329</f>
        <v/>
      </c>
      <c r="AQ286" s="707">
        <f>AQ337/AQ329</f>
        <v/>
      </c>
      <c r="AR286" s="707">
        <f>AR337/AR329</f>
        <v/>
      </c>
      <c r="AS286" s="707">
        <f>AS337/AS329</f>
        <v/>
      </c>
      <c r="AT286" s="707">
        <f>AT337/AT329</f>
        <v/>
      </c>
      <c r="AU286" s="1365">
        <f>AU337/AU329</f>
        <v/>
      </c>
      <c r="AV286" s="707">
        <f>AV337/AV329</f>
        <v/>
      </c>
      <c r="AW286" s="707">
        <f>AW337/AW329</f>
        <v/>
      </c>
      <c r="AX286" s="707">
        <f>AX337/AX329</f>
        <v/>
      </c>
      <c r="AY286" s="707">
        <f>AY337/AY329</f>
        <v/>
      </c>
      <c r="AZ286" s="1365">
        <f>AZ337/AZ329</f>
        <v/>
      </c>
      <c r="BA286" s="707">
        <f>BA337/BA329</f>
        <v/>
      </c>
      <c r="BB286" s="707">
        <f>BB337/BB329</f>
        <v/>
      </c>
      <c r="BC286" s="707">
        <f>BC337/BC329</f>
        <v/>
      </c>
      <c r="BD286" s="707">
        <f>BD337/BD329</f>
        <v/>
      </c>
      <c r="BE286" s="1365">
        <f>BE337/BE329</f>
        <v/>
      </c>
      <c r="BF286" s="707">
        <f>BF337/BF329</f>
        <v/>
      </c>
      <c r="BG286" s="707">
        <f>BG337/BG329</f>
        <v/>
      </c>
      <c r="BH286" s="707">
        <f>BH337/BH329</f>
        <v/>
      </c>
      <c r="BI286" s="707">
        <f>BI337/BI329</f>
        <v/>
      </c>
      <c r="BJ286" s="1365">
        <f>BJ337/BJ329</f>
        <v/>
      </c>
      <c r="BK286" s="707">
        <f>BK337/BK329</f>
        <v/>
      </c>
      <c r="BL286" s="707">
        <f>BL337/BL329</f>
        <v/>
      </c>
      <c r="BM286" s="707">
        <f>BM337/BM329</f>
        <v/>
      </c>
      <c r="BN286" s="707">
        <f>BN337/BN329</f>
        <v/>
      </c>
      <c r="BO286" s="1366">
        <f>BO337/BO329</f>
        <v/>
      </c>
      <c r="BP286" s="674">
        <f>BP337/BP329</f>
        <v/>
      </c>
      <c r="BQ286" s="674">
        <f>BQ337/BQ329</f>
        <v/>
      </c>
      <c r="BR286" s="674">
        <f>BR337/BR329</f>
        <v/>
      </c>
      <c r="BS286" s="674">
        <f>BS337/BS329</f>
        <v/>
      </c>
      <c r="BT286" s="1254">
        <f>BT337/BT329</f>
        <v/>
      </c>
      <c r="BU286" s="674">
        <f>BU337/BU329</f>
        <v/>
      </c>
      <c r="BV286" s="674">
        <f>BV337/BV329</f>
        <v/>
      </c>
      <c r="BW286" s="674">
        <f>BW337/BW329</f>
        <v/>
      </c>
      <c r="BX286" s="674">
        <f>BX337/BX329</f>
        <v/>
      </c>
      <c r="BY286" s="1254">
        <f>BY337/BY329</f>
        <v/>
      </c>
      <c r="BZ286" s="1254">
        <f>BZ337/BZ329</f>
        <v/>
      </c>
      <c r="CA286" s="1254">
        <f>CA337/CA329</f>
        <v/>
      </c>
      <c r="CB286" s="1254">
        <f>CB337/CB329</f>
        <v/>
      </c>
      <c r="CC286" s="750" t="n"/>
    </row>
    <row r="287" hidden="1" outlineLevel="1" ht="15" customFormat="1" customHeight="1" s="598">
      <c r="A287" s="21" t="inlineStr">
        <is>
          <t>EBIT Margin, %</t>
        </is>
      </c>
      <c r="B287" s="67" t="n"/>
      <c r="C287" s="1348">
        <f>C338/C329</f>
        <v/>
      </c>
      <c r="D287" s="1348">
        <f>D338/D329</f>
        <v/>
      </c>
      <c r="E287" s="1348">
        <f>E338/E329</f>
        <v/>
      </c>
      <c r="F287" s="1348">
        <f>F338/F329</f>
        <v/>
      </c>
      <c r="G287" s="1348">
        <f>G338/G329</f>
        <v/>
      </c>
      <c r="H287" s="452">
        <f>H338/H329</f>
        <v/>
      </c>
      <c r="I287" s="452">
        <f>I338/I329</f>
        <v/>
      </c>
      <c r="J287" s="452">
        <f>J338/J329</f>
        <v/>
      </c>
      <c r="K287" s="452">
        <f>K338/K329</f>
        <v/>
      </c>
      <c r="L287" s="1348">
        <f>L338/L329</f>
        <v/>
      </c>
      <c r="M287" s="452">
        <f>M338/M329</f>
        <v/>
      </c>
      <c r="N287" s="452">
        <f>N338/N329</f>
        <v/>
      </c>
      <c r="O287" s="452">
        <f>O338/O329</f>
        <v/>
      </c>
      <c r="P287" s="452">
        <f>P338/P329</f>
        <v/>
      </c>
      <c r="Q287" s="1348">
        <f>Q338/Q329</f>
        <v/>
      </c>
      <c r="R287" s="452">
        <f>R338/R329</f>
        <v/>
      </c>
      <c r="S287" s="452">
        <f>S338/S329</f>
        <v/>
      </c>
      <c r="T287" s="452">
        <f>T338/T329</f>
        <v/>
      </c>
      <c r="U287" s="452">
        <f>U338/U329</f>
        <v/>
      </c>
      <c r="V287" s="1348">
        <f>V338/V329</f>
        <v/>
      </c>
      <c r="W287" s="452">
        <f>W338/W329</f>
        <v/>
      </c>
      <c r="X287" s="452">
        <f>X338/X329</f>
        <v/>
      </c>
      <c r="Y287" s="452">
        <f>Y338/Y329</f>
        <v/>
      </c>
      <c r="Z287" s="452">
        <f>Z338/Z329</f>
        <v/>
      </c>
      <c r="AA287" s="1348">
        <f>AA338/AA329</f>
        <v/>
      </c>
      <c r="AB287" s="452">
        <f>AB338/AB329</f>
        <v/>
      </c>
      <c r="AC287" s="452">
        <f>AC338/AC329</f>
        <v/>
      </c>
      <c r="AD287" s="452">
        <f>AD338/AD329</f>
        <v/>
      </c>
      <c r="AE287" s="452">
        <f>AE338/AE329</f>
        <v/>
      </c>
      <c r="AF287" s="1348">
        <f>AF338/AF329</f>
        <v/>
      </c>
      <c r="AG287" s="452">
        <f>AG338/AG329</f>
        <v/>
      </c>
      <c r="AH287" s="452">
        <f>AH338/AH329</f>
        <v/>
      </c>
      <c r="AI287" s="452">
        <f>AI338/AI329</f>
        <v/>
      </c>
      <c r="AJ287" s="452">
        <f>AJ338/AJ329</f>
        <v/>
      </c>
      <c r="AK287" s="1348">
        <f>AK338/AK329</f>
        <v/>
      </c>
      <c r="AL287" s="452">
        <f>AL338/AL329</f>
        <v/>
      </c>
      <c r="AM287" s="452">
        <f>AM338/AM329</f>
        <v/>
      </c>
      <c r="AN287" s="452">
        <f>AN338/AN329</f>
        <v/>
      </c>
      <c r="AO287" s="452">
        <f>AO338/AO329</f>
        <v/>
      </c>
      <c r="AP287" s="1348">
        <f>AP338/AP329</f>
        <v/>
      </c>
      <c r="AQ287" s="452">
        <f>AQ338/AQ329</f>
        <v/>
      </c>
      <c r="AR287" s="452">
        <f>AR338/AR329</f>
        <v/>
      </c>
      <c r="AS287" s="452">
        <f>AS338/AS329</f>
        <v/>
      </c>
      <c r="AT287" s="452">
        <f>AT338/AT329</f>
        <v/>
      </c>
      <c r="AU287" s="1348">
        <f>AU338/AU329</f>
        <v/>
      </c>
      <c r="AV287" s="452">
        <f>AV338/AV329</f>
        <v/>
      </c>
      <c r="AW287" s="452">
        <f>AW338/AW329</f>
        <v/>
      </c>
      <c r="AX287" s="452">
        <f>AX338/AX329</f>
        <v/>
      </c>
      <c r="AY287" s="452">
        <f>AY338/AY329</f>
        <v/>
      </c>
      <c r="AZ287" s="1348">
        <f>AZ338/AZ329</f>
        <v/>
      </c>
      <c r="BA287" s="452">
        <f>BA338/BA329</f>
        <v/>
      </c>
      <c r="BB287" s="452">
        <f>BB338/BB329</f>
        <v/>
      </c>
      <c r="BC287" s="452">
        <f>BC338/BC329</f>
        <v/>
      </c>
      <c r="BD287" s="452">
        <f>BD338/BD329</f>
        <v/>
      </c>
      <c r="BE287" s="1348">
        <f>BE338/BE329</f>
        <v/>
      </c>
      <c r="BF287" s="452">
        <f>BF338/BF329</f>
        <v/>
      </c>
      <c r="BG287" s="452">
        <f>BG338/BG329</f>
        <v/>
      </c>
      <c r="BH287" s="452">
        <f>BH338/BH329</f>
        <v/>
      </c>
      <c r="BI287" s="452">
        <f>BI338/BI329</f>
        <v/>
      </c>
      <c r="BJ287" s="1348">
        <f>BJ338/BJ329</f>
        <v/>
      </c>
      <c r="BK287" s="452">
        <f>BK338/BK329</f>
        <v/>
      </c>
      <c r="BL287" s="452">
        <f>BL338/BL329</f>
        <v/>
      </c>
      <c r="BM287" s="452">
        <f>BM338/BM329</f>
        <v/>
      </c>
      <c r="BN287" s="452">
        <f>BN338/BN329</f>
        <v/>
      </c>
      <c r="BO287" s="1349">
        <f>BO338/BO329</f>
        <v/>
      </c>
      <c r="BP287" s="69">
        <f>BP338/BP329</f>
        <v/>
      </c>
      <c r="BQ287" s="69">
        <f>BQ338/BQ329</f>
        <v/>
      </c>
      <c r="BR287" s="69">
        <f>BR338/BR329</f>
        <v/>
      </c>
      <c r="BS287" s="69">
        <f>BS338/BS329</f>
        <v/>
      </c>
      <c r="BT287" s="1347">
        <f>BT338/BT329</f>
        <v/>
      </c>
      <c r="BU287" s="69">
        <f>BU338/BU329</f>
        <v/>
      </c>
      <c r="BV287" s="69">
        <f>BV338/BV329</f>
        <v/>
      </c>
      <c r="BW287" s="69">
        <f>BW338/BW329</f>
        <v/>
      </c>
      <c r="BX287" s="69">
        <f>BX338/BX329</f>
        <v/>
      </c>
      <c r="BY287" s="1347">
        <f>BY338/BY329</f>
        <v/>
      </c>
      <c r="BZ287" s="1347">
        <f>BZ338/BZ329</f>
        <v/>
      </c>
      <c r="CA287" s="1347">
        <f>CA338/CA329</f>
        <v/>
      </c>
      <c r="CB287" s="1347">
        <f>CB338/CB329</f>
        <v/>
      </c>
      <c r="CC287" s="750" t="n"/>
    </row>
    <row r="288" hidden="1" outlineLevel="1" ht="15" customFormat="1" customHeight="1" s="598">
      <c r="A288" s="375" t="inlineStr">
        <is>
          <t>Adjusted EBIT Margin (No Adjustments), %</t>
        </is>
      </c>
      <c r="B288" s="64" t="n"/>
      <c r="C288" s="1365">
        <f>C339/C329</f>
        <v/>
      </c>
      <c r="D288" s="1365">
        <f>D339/D329</f>
        <v/>
      </c>
      <c r="E288" s="1365">
        <f>E339/E329</f>
        <v/>
      </c>
      <c r="F288" s="1365">
        <f>F339/F329</f>
        <v/>
      </c>
      <c r="G288" s="1365">
        <f>G339/G329</f>
        <v/>
      </c>
      <c r="H288" s="707">
        <f>H339/H329</f>
        <v/>
      </c>
      <c r="I288" s="707">
        <f>I339/I329</f>
        <v/>
      </c>
      <c r="J288" s="707">
        <f>J339/J329</f>
        <v/>
      </c>
      <c r="K288" s="707">
        <f>K339/K329</f>
        <v/>
      </c>
      <c r="L288" s="1365">
        <f>L339/L329</f>
        <v/>
      </c>
      <c r="M288" s="707">
        <f>M339/M329</f>
        <v/>
      </c>
      <c r="N288" s="707">
        <f>N339/N329</f>
        <v/>
      </c>
      <c r="O288" s="707">
        <f>O339/O329</f>
        <v/>
      </c>
      <c r="P288" s="707">
        <f>P339/P329</f>
        <v/>
      </c>
      <c r="Q288" s="1365">
        <f>Q339/Q329</f>
        <v/>
      </c>
      <c r="R288" s="707">
        <f>R339/R329</f>
        <v/>
      </c>
      <c r="S288" s="707">
        <f>S339/S329</f>
        <v/>
      </c>
      <c r="T288" s="707">
        <f>T339/T329</f>
        <v/>
      </c>
      <c r="U288" s="707">
        <f>U339/U329</f>
        <v/>
      </c>
      <c r="V288" s="1365">
        <f>V339/V329</f>
        <v/>
      </c>
      <c r="W288" s="707">
        <f>W339/W329</f>
        <v/>
      </c>
      <c r="X288" s="707">
        <f>X339/X329</f>
        <v/>
      </c>
      <c r="Y288" s="707">
        <f>Y339/Y329</f>
        <v/>
      </c>
      <c r="Z288" s="707">
        <f>Z339/Z329</f>
        <v/>
      </c>
      <c r="AA288" s="1365">
        <f>AA339/AA329</f>
        <v/>
      </c>
      <c r="AB288" s="707">
        <f>AB339/AB329</f>
        <v/>
      </c>
      <c r="AC288" s="707">
        <f>AC339/AC329</f>
        <v/>
      </c>
      <c r="AD288" s="707">
        <f>AD339/AD329</f>
        <v/>
      </c>
      <c r="AE288" s="707">
        <f>AE339/AE329</f>
        <v/>
      </c>
      <c r="AF288" s="1365">
        <f>AF339/AF329</f>
        <v/>
      </c>
      <c r="AG288" s="707">
        <f>AG339/AG329</f>
        <v/>
      </c>
      <c r="AH288" s="707">
        <f>AH339/AH329</f>
        <v/>
      </c>
      <c r="AI288" s="707">
        <f>AI339/AI329</f>
        <v/>
      </c>
      <c r="AJ288" s="707">
        <f>AJ339/AJ329</f>
        <v/>
      </c>
      <c r="AK288" s="1365">
        <f>AK339/AK329</f>
        <v/>
      </c>
      <c r="AL288" s="707">
        <f>AL339/AL329</f>
        <v/>
      </c>
      <c r="AM288" s="707">
        <f>AM339/AM329</f>
        <v/>
      </c>
      <c r="AN288" s="707">
        <f>AN339/AN329</f>
        <v/>
      </c>
      <c r="AO288" s="707">
        <f>AO339/AO329</f>
        <v/>
      </c>
      <c r="AP288" s="1365">
        <f>AP339/AP329</f>
        <v/>
      </c>
      <c r="AQ288" s="707">
        <f>AQ339/AQ329</f>
        <v/>
      </c>
      <c r="AR288" s="707">
        <f>AR339/AR329</f>
        <v/>
      </c>
      <c r="AS288" s="707">
        <f>AS339/AS329</f>
        <v/>
      </c>
      <c r="AT288" s="707">
        <f>AT339/AT329</f>
        <v/>
      </c>
      <c r="AU288" s="1365">
        <f>AU339/AU329</f>
        <v/>
      </c>
      <c r="AV288" s="707">
        <f>AV339/AV329</f>
        <v/>
      </c>
      <c r="AW288" s="707">
        <f>AW339/AW329</f>
        <v/>
      </c>
      <c r="AX288" s="707">
        <f>AX339/AX329</f>
        <v/>
      </c>
      <c r="AY288" s="707">
        <f>AY339/AY329</f>
        <v/>
      </c>
      <c r="AZ288" s="1365">
        <f>AZ339/AZ329</f>
        <v/>
      </c>
      <c r="BA288" s="707">
        <f>BA339/BA329</f>
        <v/>
      </c>
      <c r="BB288" s="707">
        <f>BB339/BB329</f>
        <v/>
      </c>
      <c r="BC288" s="707">
        <f>BC339/BC329</f>
        <v/>
      </c>
      <c r="BD288" s="707">
        <f>BD339/BD329</f>
        <v/>
      </c>
      <c r="BE288" s="1365">
        <f>BE339/BE329</f>
        <v/>
      </c>
      <c r="BF288" s="707">
        <f>BF339/BF329</f>
        <v/>
      </c>
      <c r="BG288" s="707">
        <f>BG339/BG329</f>
        <v/>
      </c>
      <c r="BH288" s="707">
        <f>BH339/BH329</f>
        <v/>
      </c>
      <c r="BI288" s="707">
        <f>BI339/BI329</f>
        <v/>
      </c>
      <c r="BJ288" s="1365">
        <f>BJ339/BJ329</f>
        <v/>
      </c>
      <c r="BK288" s="707">
        <f>BK339/BK329</f>
        <v/>
      </c>
      <c r="BL288" s="707">
        <f>BL339/BL329</f>
        <v/>
      </c>
      <c r="BM288" s="707">
        <f>BM339/BM329</f>
        <v/>
      </c>
      <c r="BN288" s="707">
        <f>BN339/BN329</f>
        <v/>
      </c>
      <c r="BO288" s="1366">
        <f>BO339/BO329</f>
        <v/>
      </c>
      <c r="BP288" s="674">
        <f>BP339/BP329</f>
        <v/>
      </c>
      <c r="BQ288" s="674">
        <f>BQ339/BQ329</f>
        <v/>
      </c>
      <c r="BR288" s="674">
        <f>BR339/BR329</f>
        <v/>
      </c>
      <c r="BS288" s="674">
        <f>BS339/BS329</f>
        <v/>
      </c>
      <c r="BT288" s="1254">
        <f>BT339/BT329</f>
        <v/>
      </c>
      <c r="BU288" s="674">
        <f>BU339/BU329</f>
        <v/>
      </c>
      <c r="BV288" s="674">
        <f>BV339/BV329</f>
        <v/>
      </c>
      <c r="BW288" s="674">
        <f>BW339/BW329</f>
        <v/>
      </c>
      <c r="BX288" s="674">
        <f>BX339/BX329</f>
        <v/>
      </c>
      <c r="BY288" s="1254">
        <f>BY339/BY329</f>
        <v/>
      </c>
      <c r="BZ288" s="1254">
        <f>BZ339/BZ329</f>
        <v/>
      </c>
      <c r="CA288" s="1254">
        <f>CA339/CA329</f>
        <v/>
      </c>
      <c r="CB288" s="1254">
        <f>CB339/CB329</f>
        <v/>
      </c>
      <c r="CC288" s="750" t="n"/>
    </row>
    <row r="289" hidden="1" outlineLevel="1" ht="15" customFormat="1" customHeight="1" s="598">
      <c r="A289" s="376" t="inlineStr">
        <is>
          <t>Consensus Estimates - Adjusted EBIT Margin, %</t>
        </is>
      </c>
      <c r="B289" s="95" t="n"/>
      <c r="C289" s="1249" t="n"/>
      <c r="D289" s="1249" t="n"/>
      <c r="E289" s="1249" t="n"/>
      <c r="F289" s="1249" t="n"/>
      <c r="G289" s="1249" t="n"/>
      <c r="H289" s="672" t="n"/>
      <c r="I289" s="672" t="n"/>
      <c r="J289" s="672" t="n"/>
      <c r="K289" s="672" t="n"/>
      <c r="L289" s="1249" t="n"/>
      <c r="M289" s="672" t="n"/>
      <c r="N289" s="672" t="n"/>
      <c r="O289" s="672" t="n"/>
      <c r="P289" s="672" t="n"/>
      <c r="Q289" s="1249" t="n"/>
      <c r="R289" s="672" t="n"/>
      <c r="S289" s="672" t="n"/>
      <c r="T289" s="672" t="n"/>
      <c r="U289" s="672" t="n"/>
      <c r="V289" s="1249" t="n"/>
      <c r="W289" s="672" t="n"/>
      <c r="X289" s="672" t="n"/>
      <c r="Y289" s="672" t="n"/>
      <c r="Z289" s="672" t="n"/>
      <c r="AA289" s="1249" t="n"/>
      <c r="AB289" s="672" t="n"/>
      <c r="AC289" s="672" t="n"/>
      <c r="AD289" s="672" t="n"/>
      <c r="AE289" s="672" t="n"/>
      <c r="AF289" s="1249" t="n"/>
      <c r="AG289" s="672" t="n"/>
      <c r="AH289" s="672" t="n"/>
      <c r="AI289" s="672" t="n"/>
      <c r="AJ289" s="672" t="n"/>
      <c r="AK289" s="1249" t="n"/>
      <c r="AL289" s="672" t="n"/>
      <c r="AM289" s="672" t="n"/>
      <c r="AN289" s="672" t="n"/>
      <c r="AO289" s="672" t="n"/>
      <c r="AP289" s="1249" t="n"/>
      <c r="AQ289" s="672" t="n"/>
      <c r="AR289" s="672" t="n"/>
      <c r="AS289" s="672" t="n"/>
      <c r="AT289" s="672" t="n"/>
      <c r="AU289" s="1249" t="n"/>
      <c r="AV289" s="672" t="n"/>
      <c r="AW289" s="672" t="n"/>
      <c r="AX289" s="672" t="n"/>
      <c r="AY289" s="672" t="n"/>
      <c r="AZ289" s="1249" t="n"/>
      <c r="BA289" s="672" t="n"/>
      <c r="BB289" s="672" t="n"/>
      <c r="BC289" s="672" t="n"/>
      <c r="BD289" s="672" t="n"/>
      <c r="BE289" s="1249" t="n"/>
      <c r="BF289" s="672" t="n"/>
      <c r="BG289" s="672" t="n"/>
      <c r="BH289" s="672" t="n"/>
      <c r="BI289" s="672" t="n"/>
      <c r="BJ289" s="1249" t="n"/>
      <c r="BK289" s="672" t="n"/>
      <c r="BL289" s="672" t="n"/>
      <c r="BM289" s="672" t="n"/>
      <c r="BN289" s="672" t="n"/>
      <c r="BO289" s="1248" t="n"/>
      <c r="BP289" s="672">
        <f>IFERROR(BP340/BP330,0)</f>
        <v/>
      </c>
      <c r="BQ289" s="672">
        <f>IFERROR(BQ340/BQ330,0)</f>
        <v/>
      </c>
      <c r="BR289" s="672">
        <f>IFERROR(BR340/BR330,0)</f>
        <v/>
      </c>
      <c r="BS289" s="672">
        <f>IFERROR(BS340/BS330,0)</f>
        <v/>
      </c>
      <c r="BT289" s="1249">
        <f>IFERROR(BT340/BT330,0)</f>
        <v/>
      </c>
      <c r="BU289" s="672">
        <f>IFERROR(BU340/BU330,0)</f>
        <v/>
      </c>
      <c r="BV289" s="672">
        <f>IFERROR(BV340/BV330,0)</f>
        <v/>
      </c>
      <c r="BW289" s="672">
        <f>IFERROR(BW340/BW330,0)</f>
        <v/>
      </c>
      <c r="BX289" s="672">
        <f>IFERROR(BX340/BX330,0)</f>
        <v/>
      </c>
      <c r="BY289" s="1249">
        <f>IFERROR(BY340/BY330,0)</f>
        <v/>
      </c>
      <c r="BZ289" s="1249">
        <f>IFERROR(BZ340/BZ330,0)</f>
        <v/>
      </c>
      <c r="CA289" s="1249">
        <f>IFERROR(CA340/CA330,0)</f>
        <v/>
      </c>
      <c r="CB289" s="1249">
        <f>IFERROR(CB340/CB330,0)</f>
        <v/>
      </c>
      <c r="CC289" s="750" t="n"/>
    </row>
    <row r="290" hidden="1" outlineLevel="1" ht="15" customFormat="1" customHeight="1" s="598">
      <c r="A290" s="294" t="n"/>
      <c r="B290" s="64" t="n"/>
      <c r="C290" s="1254" t="n"/>
      <c r="D290" s="1254" t="n"/>
      <c r="E290" s="1254" t="n"/>
      <c r="F290" s="1254" t="n"/>
      <c r="G290" s="1254" t="n"/>
      <c r="H290" s="674" t="n"/>
      <c r="I290" s="674" t="n"/>
      <c r="J290" s="674" t="n"/>
      <c r="K290" s="674" t="n"/>
      <c r="L290" s="1254" t="n"/>
      <c r="M290" s="674" t="n"/>
      <c r="N290" s="674" t="n"/>
      <c r="O290" s="674" t="n"/>
      <c r="P290" s="674" t="n"/>
      <c r="Q290" s="1254" t="n"/>
      <c r="R290" s="674" t="n"/>
      <c r="S290" s="674" t="n"/>
      <c r="T290" s="674" t="n"/>
      <c r="U290" s="674" t="n"/>
      <c r="V290" s="1254" t="n"/>
      <c r="W290" s="674" t="n"/>
      <c r="X290" s="674" t="n"/>
      <c r="Y290" s="674" t="n"/>
      <c r="Z290" s="674" t="n"/>
      <c r="AA290" s="1254" t="n"/>
      <c r="AB290" s="674" t="n"/>
      <c r="AC290" s="674" t="n"/>
      <c r="AD290" s="674" t="n"/>
      <c r="AE290" s="674" t="n"/>
      <c r="AF290" s="1254" t="n"/>
      <c r="AG290" s="674" t="n"/>
      <c r="AH290" s="674" t="n"/>
      <c r="AI290" s="674" t="n"/>
      <c r="AJ290" s="674" t="n"/>
      <c r="AK290" s="1254" t="n"/>
      <c r="AL290" s="674" t="n"/>
      <c r="AM290" s="674" t="n"/>
      <c r="AN290" s="674" t="n"/>
      <c r="AO290" s="674" t="n"/>
      <c r="AP290" s="1254" t="n"/>
      <c r="AQ290" s="674" t="n"/>
      <c r="AR290" s="674" t="n"/>
      <c r="AS290" s="674" t="n"/>
      <c r="AT290" s="674" t="n"/>
      <c r="AU290" s="1254" t="n"/>
      <c r="AV290" s="674" t="n"/>
      <c r="AW290" s="674" t="n"/>
      <c r="AX290" s="674" t="n"/>
      <c r="AY290" s="674" t="n"/>
      <c r="AZ290" s="1254" t="n"/>
      <c r="BA290" s="674" t="n"/>
      <c r="BB290" s="674" t="n"/>
      <c r="BC290" s="674" t="n"/>
      <c r="BD290" s="674" t="n"/>
      <c r="BE290" s="1254" t="n"/>
      <c r="BF290" s="674" t="n"/>
      <c r="BG290" s="674" t="n"/>
      <c r="BH290" s="674" t="n"/>
      <c r="BI290" s="674" t="n"/>
      <c r="BJ290" s="1254" t="n"/>
      <c r="BK290" s="674" t="n"/>
      <c r="BL290" s="674" t="n"/>
      <c r="BM290" s="674" t="n"/>
      <c r="BN290" s="674" t="n"/>
      <c r="BO290" s="1253" t="n"/>
      <c r="BP290" s="674" t="n"/>
      <c r="BQ290" s="674" t="n"/>
      <c r="BR290" s="674" t="n"/>
      <c r="BS290" s="674" t="n"/>
      <c r="BT290" s="1254" t="n"/>
      <c r="BU290" s="674" t="n"/>
      <c r="BV290" s="674" t="n"/>
      <c r="BW290" s="674" t="n"/>
      <c r="BX290" s="674" t="n"/>
      <c r="BY290" s="1254" t="n"/>
      <c r="BZ290" s="1254" t="n"/>
      <c r="CA290" s="1254" t="n"/>
      <c r="CB290" s="1254" t="n"/>
      <c r="CC290" s="750" t="n"/>
    </row>
    <row r="291" hidden="1" outlineLevel="1" ht="15" customFormat="1" customHeight="1" s="598">
      <c r="A291" s="54" t="inlineStr">
        <is>
          <t>Add back: D&amp;A Margin, %</t>
        </is>
      </c>
      <c r="B291" s="126" t="n"/>
      <c r="C291" s="1333">
        <f>C342/C329</f>
        <v/>
      </c>
      <c r="D291" s="1333">
        <f>D342/D329</f>
        <v/>
      </c>
      <c r="E291" s="1333">
        <f>E342/E329</f>
        <v/>
      </c>
      <c r="F291" s="1333">
        <f>F342/F329</f>
        <v/>
      </c>
      <c r="G291" s="1333">
        <f>G342/G329</f>
        <v/>
      </c>
      <c r="H291" s="695">
        <f>H342/H329</f>
        <v/>
      </c>
      <c r="I291" s="695">
        <f>I342/I329</f>
        <v/>
      </c>
      <c r="J291" s="695">
        <f>J342/J329</f>
        <v/>
      </c>
      <c r="K291" s="695">
        <f>K342/K329</f>
        <v/>
      </c>
      <c r="L291" s="1333">
        <f>L342/L329</f>
        <v/>
      </c>
      <c r="M291" s="695">
        <f>M342/M329</f>
        <v/>
      </c>
      <c r="N291" s="695">
        <f>N342/N329</f>
        <v/>
      </c>
      <c r="O291" s="695">
        <f>O342/O329</f>
        <v/>
      </c>
      <c r="P291" s="695">
        <f>P342/P329</f>
        <v/>
      </c>
      <c r="Q291" s="1333">
        <f>Q342/Q329</f>
        <v/>
      </c>
      <c r="R291" s="695">
        <f>R342/R329</f>
        <v/>
      </c>
      <c r="S291" s="695">
        <f>S342/S329</f>
        <v/>
      </c>
      <c r="T291" s="695">
        <f>T342/T329</f>
        <v/>
      </c>
      <c r="U291" s="695">
        <f>U342/U329</f>
        <v/>
      </c>
      <c r="V291" s="1333">
        <f>V342/V329</f>
        <v/>
      </c>
      <c r="W291" s="695">
        <f>W342/W329</f>
        <v/>
      </c>
      <c r="X291" s="695">
        <f>X342/X329</f>
        <v/>
      </c>
      <c r="Y291" s="695">
        <f>Y342/Y329</f>
        <v/>
      </c>
      <c r="Z291" s="695">
        <f>Z342/Z329</f>
        <v/>
      </c>
      <c r="AA291" s="1333">
        <f>AA342/AA329</f>
        <v/>
      </c>
      <c r="AB291" s="695">
        <f>AB342/AB329</f>
        <v/>
      </c>
      <c r="AC291" s="695">
        <f>AC342/AC329</f>
        <v/>
      </c>
      <c r="AD291" s="695">
        <f>AD342/AD329</f>
        <v/>
      </c>
      <c r="AE291" s="695">
        <f>AE342/AE329</f>
        <v/>
      </c>
      <c r="AF291" s="1333">
        <f>AF342/AF329</f>
        <v/>
      </c>
      <c r="AG291" s="695">
        <f>AG342/AG329</f>
        <v/>
      </c>
      <c r="AH291" s="695">
        <f>AH342/AH329</f>
        <v/>
      </c>
      <c r="AI291" s="695">
        <f>AI342/AI329</f>
        <v/>
      </c>
      <c r="AJ291" s="695">
        <f>AJ342/AJ329</f>
        <v/>
      </c>
      <c r="AK291" s="1333">
        <f>AK342/AK329</f>
        <v/>
      </c>
      <c r="AL291" s="695">
        <f>AL342/AL329</f>
        <v/>
      </c>
      <c r="AM291" s="695">
        <f>AM342/AM329</f>
        <v/>
      </c>
      <c r="AN291" s="695">
        <f>AN342/AN329</f>
        <v/>
      </c>
      <c r="AO291" s="695">
        <f>AO342/AO329</f>
        <v/>
      </c>
      <c r="AP291" s="1333">
        <f>AP342/AP329</f>
        <v/>
      </c>
      <c r="AQ291" s="695">
        <f>AQ342/AQ329</f>
        <v/>
      </c>
      <c r="AR291" s="695">
        <f>AR342/AR329</f>
        <v/>
      </c>
      <c r="AS291" s="695">
        <f>AS342/AS329</f>
        <v/>
      </c>
      <c r="AT291" s="695">
        <f>AT342/AT329</f>
        <v/>
      </c>
      <c r="AU291" s="1333">
        <f>AU342/AU329</f>
        <v/>
      </c>
      <c r="AV291" s="695">
        <f>AV342/AV329</f>
        <v/>
      </c>
      <c r="AW291" s="695">
        <f>AW342/AW329</f>
        <v/>
      </c>
      <c r="AX291" s="695">
        <f>AX342/AX329</f>
        <v/>
      </c>
      <c r="AY291" s="695">
        <f>AY342/AY329</f>
        <v/>
      </c>
      <c r="AZ291" s="1333">
        <f>AZ342/AZ329</f>
        <v/>
      </c>
      <c r="BA291" s="695">
        <f>BA342/BA329</f>
        <v/>
      </c>
      <c r="BB291" s="695">
        <f>BB342/BB329</f>
        <v/>
      </c>
      <c r="BC291" s="695">
        <f>BC342/BC329</f>
        <v/>
      </c>
      <c r="BD291" s="695">
        <f>BD342/BD329</f>
        <v/>
      </c>
      <c r="BE291" s="1333">
        <f>BE342/BE329</f>
        <v/>
      </c>
      <c r="BF291" s="695">
        <f>BF342/BF329</f>
        <v/>
      </c>
      <c r="BG291" s="695">
        <f>BG342/BG329</f>
        <v/>
      </c>
      <c r="BH291" s="695">
        <f>BH342/BH329</f>
        <v/>
      </c>
      <c r="BI291" s="695">
        <f>BI342/BI329</f>
        <v/>
      </c>
      <c r="BJ291" s="1333">
        <f>BJ342/BJ329</f>
        <v/>
      </c>
      <c r="BK291" s="695">
        <f>BK342/BK329</f>
        <v/>
      </c>
      <c r="BL291" s="695">
        <f>BL342/BL329</f>
        <v/>
      </c>
      <c r="BM291" s="695">
        <f>BM342/BM329</f>
        <v/>
      </c>
      <c r="BN291" s="695">
        <f>BN342/BN329</f>
        <v/>
      </c>
      <c r="BO291" s="1340">
        <f>BO342/BO329</f>
        <v/>
      </c>
      <c r="BP291" s="686">
        <f>BP342/BP329</f>
        <v/>
      </c>
      <c r="BQ291" s="686">
        <f>BQ342/BQ329</f>
        <v/>
      </c>
      <c r="BR291" s="686">
        <f>BR342/BR329</f>
        <v/>
      </c>
      <c r="BS291" s="686">
        <f>BS342/BS329</f>
        <v/>
      </c>
      <c r="BT291" s="1294">
        <f>BT342/BT329</f>
        <v/>
      </c>
      <c r="BU291" s="686">
        <f>BU342/BU329</f>
        <v/>
      </c>
      <c r="BV291" s="686">
        <f>BV342/BV329</f>
        <v/>
      </c>
      <c r="BW291" s="686">
        <f>BW342/BW329</f>
        <v/>
      </c>
      <c r="BX291" s="686">
        <f>BX342/BX329</f>
        <v/>
      </c>
      <c r="BY291" s="1294">
        <f>BY342/BY329</f>
        <v/>
      </c>
      <c r="BZ291" s="1294">
        <f>BZ342/BZ329</f>
        <v/>
      </c>
      <c r="CA291" s="1294">
        <f>CA342/CA329</f>
        <v/>
      </c>
      <c r="CB291" s="1294">
        <f>CB342/CB329</f>
        <v/>
      </c>
      <c r="CC291" s="750" t="n"/>
    </row>
    <row r="292" hidden="1" outlineLevel="1" ht="15" customFormat="1" customHeight="1" s="598">
      <c r="A292" s="54" t="inlineStr">
        <is>
          <t>Add back: SBC Margin, %</t>
        </is>
      </c>
      <c r="B292" s="126" t="n"/>
      <c r="C292" s="1333">
        <f>C343/C329</f>
        <v/>
      </c>
      <c r="D292" s="1333">
        <f>D343/D329</f>
        <v/>
      </c>
      <c r="E292" s="1333">
        <f>E343/E329</f>
        <v/>
      </c>
      <c r="F292" s="1333">
        <f>F343/F329</f>
        <v/>
      </c>
      <c r="G292" s="1333">
        <f>G343/G329</f>
        <v/>
      </c>
      <c r="H292" s="695">
        <f>H343/H329</f>
        <v/>
      </c>
      <c r="I292" s="695">
        <f>I343/I329</f>
        <v/>
      </c>
      <c r="J292" s="695">
        <f>J343/J329</f>
        <v/>
      </c>
      <c r="K292" s="695">
        <f>K343/K329</f>
        <v/>
      </c>
      <c r="L292" s="1333">
        <f>L343/L329</f>
        <v/>
      </c>
      <c r="M292" s="695">
        <f>M343/M329</f>
        <v/>
      </c>
      <c r="N292" s="695">
        <f>N343/N329</f>
        <v/>
      </c>
      <c r="O292" s="695">
        <f>O343/O329</f>
        <v/>
      </c>
      <c r="P292" s="695">
        <f>P343/P329</f>
        <v/>
      </c>
      <c r="Q292" s="1333">
        <f>Q343/Q329</f>
        <v/>
      </c>
      <c r="R292" s="695">
        <f>R343/R329</f>
        <v/>
      </c>
      <c r="S292" s="695">
        <f>S343/S329</f>
        <v/>
      </c>
      <c r="T292" s="695">
        <f>T343/T329</f>
        <v/>
      </c>
      <c r="U292" s="695">
        <f>U343/U329</f>
        <v/>
      </c>
      <c r="V292" s="1333">
        <f>V343/V329</f>
        <v/>
      </c>
      <c r="W292" s="695">
        <f>W343/W329</f>
        <v/>
      </c>
      <c r="X292" s="695">
        <f>X343/X329</f>
        <v/>
      </c>
      <c r="Y292" s="695">
        <f>Y343/Y329</f>
        <v/>
      </c>
      <c r="Z292" s="695">
        <f>Z343/Z329</f>
        <v/>
      </c>
      <c r="AA292" s="1333">
        <f>AA343/AA329</f>
        <v/>
      </c>
      <c r="AB292" s="695">
        <f>AB343/AB329</f>
        <v/>
      </c>
      <c r="AC292" s="695">
        <f>AC343/AC329</f>
        <v/>
      </c>
      <c r="AD292" s="695">
        <f>AD343/AD329</f>
        <v/>
      </c>
      <c r="AE292" s="695">
        <f>AE343/AE329</f>
        <v/>
      </c>
      <c r="AF292" s="1333">
        <f>AF343/AF329</f>
        <v/>
      </c>
      <c r="AG292" s="695">
        <f>AG343/AG329</f>
        <v/>
      </c>
      <c r="AH292" s="695">
        <f>AH343/AH329</f>
        <v/>
      </c>
      <c r="AI292" s="695">
        <f>AI343/AI329</f>
        <v/>
      </c>
      <c r="AJ292" s="695">
        <f>AJ343/AJ329</f>
        <v/>
      </c>
      <c r="AK292" s="1333">
        <f>AK343/AK329</f>
        <v/>
      </c>
      <c r="AL292" s="695">
        <f>AL343/AL329</f>
        <v/>
      </c>
      <c r="AM292" s="695">
        <f>AM343/AM329</f>
        <v/>
      </c>
      <c r="AN292" s="695">
        <f>AN343/AN329</f>
        <v/>
      </c>
      <c r="AO292" s="695">
        <f>AO343/AO329</f>
        <v/>
      </c>
      <c r="AP292" s="1333">
        <f>AP343/AP329</f>
        <v/>
      </c>
      <c r="AQ292" s="695">
        <f>AQ343/AQ329</f>
        <v/>
      </c>
      <c r="AR292" s="695">
        <f>AR343/AR329</f>
        <v/>
      </c>
      <c r="AS292" s="695">
        <f>AS343/AS329</f>
        <v/>
      </c>
      <c r="AT292" s="695">
        <f>AT343/AT329</f>
        <v/>
      </c>
      <c r="AU292" s="1333">
        <f>AU343/AU329</f>
        <v/>
      </c>
      <c r="AV292" s="695">
        <f>AV343/AV329</f>
        <v/>
      </c>
      <c r="AW292" s="695">
        <f>AW343/AW329</f>
        <v/>
      </c>
      <c r="AX292" s="695">
        <f>AX343/AX329</f>
        <v/>
      </c>
      <c r="AY292" s="695">
        <f>AY343/AY329</f>
        <v/>
      </c>
      <c r="AZ292" s="1333">
        <f>AZ343/AZ329</f>
        <v/>
      </c>
      <c r="BA292" s="695">
        <f>BA343/BA329</f>
        <v/>
      </c>
      <c r="BB292" s="695">
        <f>BB343/BB329</f>
        <v/>
      </c>
      <c r="BC292" s="695">
        <f>BC343/BC329</f>
        <v/>
      </c>
      <c r="BD292" s="695">
        <f>BD343/BD329</f>
        <v/>
      </c>
      <c r="BE292" s="1333">
        <f>BE343/BE329</f>
        <v/>
      </c>
      <c r="BF292" s="695">
        <f>BF343/BF329</f>
        <v/>
      </c>
      <c r="BG292" s="695">
        <f>BG343/BG329</f>
        <v/>
      </c>
      <c r="BH292" s="695">
        <f>BH343/BH329</f>
        <v/>
      </c>
      <c r="BI292" s="695">
        <f>BI343/BI329</f>
        <v/>
      </c>
      <c r="BJ292" s="1333">
        <f>BJ343/BJ329</f>
        <v/>
      </c>
      <c r="BK292" s="695">
        <f>BK343/BK329</f>
        <v/>
      </c>
      <c r="BL292" s="695">
        <f>BL343/BL329</f>
        <v/>
      </c>
      <c r="BM292" s="695">
        <f>BM343/BM329</f>
        <v/>
      </c>
      <c r="BN292" s="695">
        <f>BN343/BN329</f>
        <v/>
      </c>
      <c r="BO292" s="1340">
        <f>BO343/BO329</f>
        <v/>
      </c>
      <c r="BP292" s="686">
        <f>BP343/BP329</f>
        <v/>
      </c>
      <c r="BQ292" s="686">
        <f>BQ343/BQ329</f>
        <v/>
      </c>
      <c r="BR292" s="686">
        <f>BR343/BR329</f>
        <v/>
      </c>
      <c r="BS292" s="686">
        <f>BS343/BS329</f>
        <v/>
      </c>
      <c r="BT292" s="1294">
        <f>BT343/BT329</f>
        <v/>
      </c>
      <c r="BU292" s="686">
        <f>BU343/BU329</f>
        <v/>
      </c>
      <c r="BV292" s="686">
        <f>BV343/BV329</f>
        <v/>
      </c>
      <c r="BW292" s="686">
        <f>BW343/BW329</f>
        <v/>
      </c>
      <c r="BX292" s="686">
        <f>BX343/BX329</f>
        <v/>
      </c>
      <c r="BY292" s="1294">
        <f>BY343/BY329</f>
        <v/>
      </c>
      <c r="BZ292" s="1294">
        <f>BZ343/BZ329</f>
        <v/>
      </c>
      <c r="CA292" s="1294">
        <f>CA343/CA329</f>
        <v/>
      </c>
      <c r="CB292" s="1294">
        <f>CB343/CB329</f>
        <v/>
      </c>
      <c r="CC292" s="750" t="n"/>
    </row>
    <row r="293" hidden="1" outlineLevel="1" ht="15" customFormat="1" customHeight="1" s="598">
      <c r="A293" s="21" t="inlineStr">
        <is>
          <t>EBITDA Margin, %</t>
        </is>
      </c>
      <c r="B293" s="67" t="n"/>
      <c r="C293" s="1348">
        <f>C344/C329</f>
        <v/>
      </c>
      <c r="D293" s="1348">
        <f>D344/D329</f>
        <v/>
      </c>
      <c r="E293" s="1348">
        <f>E344/E329</f>
        <v/>
      </c>
      <c r="F293" s="1348">
        <f>F344/F329</f>
        <v/>
      </c>
      <c r="G293" s="1348">
        <f>G344/G329</f>
        <v/>
      </c>
      <c r="H293" s="452">
        <f>H344/H329</f>
        <v/>
      </c>
      <c r="I293" s="452">
        <f>I344/I329</f>
        <v/>
      </c>
      <c r="J293" s="452">
        <f>J344/J329</f>
        <v/>
      </c>
      <c r="K293" s="452">
        <f>K344/K329</f>
        <v/>
      </c>
      <c r="L293" s="1348">
        <f>L344/L329</f>
        <v/>
      </c>
      <c r="M293" s="452">
        <f>M344/M329</f>
        <v/>
      </c>
      <c r="N293" s="452">
        <f>N344/N329</f>
        <v/>
      </c>
      <c r="O293" s="452">
        <f>O344/O329</f>
        <v/>
      </c>
      <c r="P293" s="452">
        <f>P344/P329</f>
        <v/>
      </c>
      <c r="Q293" s="1348">
        <f>Q344/Q329</f>
        <v/>
      </c>
      <c r="R293" s="452">
        <f>R344/R329</f>
        <v/>
      </c>
      <c r="S293" s="452">
        <f>S344/S329</f>
        <v/>
      </c>
      <c r="T293" s="452">
        <f>T344/T329</f>
        <v/>
      </c>
      <c r="U293" s="452">
        <f>U344/U329</f>
        <v/>
      </c>
      <c r="V293" s="1348">
        <f>V344/V329</f>
        <v/>
      </c>
      <c r="W293" s="452">
        <f>W344/W329</f>
        <v/>
      </c>
      <c r="X293" s="452">
        <f>X344/X329</f>
        <v/>
      </c>
      <c r="Y293" s="452">
        <f>Y344/Y329</f>
        <v/>
      </c>
      <c r="Z293" s="452">
        <f>Z344/Z329</f>
        <v/>
      </c>
      <c r="AA293" s="1348">
        <f>AA344/AA329</f>
        <v/>
      </c>
      <c r="AB293" s="452">
        <f>AB344/AB329</f>
        <v/>
      </c>
      <c r="AC293" s="452">
        <f>AC344/AC329</f>
        <v/>
      </c>
      <c r="AD293" s="452">
        <f>AD344/AD329</f>
        <v/>
      </c>
      <c r="AE293" s="452">
        <f>AE344/AE329</f>
        <v/>
      </c>
      <c r="AF293" s="1348">
        <f>AF344/AF329</f>
        <v/>
      </c>
      <c r="AG293" s="452">
        <f>AG344/AG329</f>
        <v/>
      </c>
      <c r="AH293" s="452">
        <f>AH344/AH329</f>
        <v/>
      </c>
      <c r="AI293" s="452">
        <f>AI344/AI329</f>
        <v/>
      </c>
      <c r="AJ293" s="452">
        <f>AJ344/AJ329</f>
        <v/>
      </c>
      <c r="AK293" s="1348">
        <f>AK344/AK329</f>
        <v/>
      </c>
      <c r="AL293" s="452">
        <f>AL344/AL329</f>
        <v/>
      </c>
      <c r="AM293" s="452">
        <f>AM344/AM329</f>
        <v/>
      </c>
      <c r="AN293" s="452">
        <f>AN344/AN329</f>
        <v/>
      </c>
      <c r="AO293" s="452">
        <f>AO344/AO329</f>
        <v/>
      </c>
      <c r="AP293" s="1348">
        <f>AP344/AP329</f>
        <v/>
      </c>
      <c r="AQ293" s="452">
        <f>AQ344/AQ329</f>
        <v/>
      </c>
      <c r="AR293" s="452">
        <f>AR344/AR329</f>
        <v/>
      </c>
      <c r="AS293" s="452">
        <f>AS344/AS329</f>
        <v/>
      </c>
      <c r="AT293" s="452">
        <f>AT344/AT329</f>
        <v/>
      </c>
      <c r="AU293" s="1348">
        <f>AU344/AU329</f>
        <v/>
      </c>
      <c r="AV293" s="452">
        <f>AV344/AV329</f>
        <v/>
      </c>
      <c r="AW293" s="452">
        <f>AW344/AW329</f>
        <v/>
      </c>
      <c r="AX293" s="452">
        <f>AX344/AX329</f>
        <v/>
      </c>
      <c r="AY293" s="452">
        <f>AY344/AY329</f>
        <v/>
      </c>
      <c r="AZ293" s="1348">
        <f>AZ344/AZ329</f>
        <v/>
      </c>
      <c r="BA293" s="452">
        <f>BA344/BA329</f>
        <v/>
      </c>
      <c r="BB293" s="452">
        <f>BB344/BB329</f>
        <v/>
      </c>
      <c r="BC293" s="452">
        <f>BC344/BC329</f>
        <v/>
      </c>
      <c r="BD293" s="452">
        <f>BD344/BD329</f>
        <v/>
      </c>
      <c r="BE293" s="1348">
        <f>BE344/BE329</f>
        <v/>
      </c>
      <c r="BF293" s="452">
        <f>BF344/BF329</f>
        <v/>
      </c>
      <c r="BG293" s="452">
        <f>BG344/BG329</f>
        <v/>
      </c>
      <c r="BH293" s="452">
        <f>BH344/BH329</f>
        <v/>
      </c>
      <c r="BI293" s="452">
        <f>BI344/BI329</f>
        <v/>
      </c>
      <c r="BJ293" s="1348">
        <f>BJ344/BJ329</f>
        <v/>
      </c>
      <c r="BK293" s="452">
        <f>BK344/BK329</f>
        <v/>
      </c>
      <c r="BL293" s="452">
        <f>BL344/BL329</f>
        <v/>
      </c>
      <c r="BM293" s="452">
        <f>BM344/BM329</f>
        <v/>
      </c>
      <c r="BN293" s="452">
        <f>BN344/BN329</f>
        <v/>
      </c>
      <c r="BO293" s="1349">
        <f>BO344/BO329</f>
        <v/>
      </c>
      <c r="BP293" s="69">
        <f>BP344/BP329</f>
        <v/>
      </c>
      <c r="BQ293" s="69">
        <f>BQ344/BQ329</f>
        <v/>
      </c>
      <c r="BR293" s="69">
        <f>BR344/BR329</f>
        <v/>
      </c>
      <c r="BS293" s="69">
        <f>BS344/BS329</f>
        <v/>
      </c>
      <c r="BT293" s="1347">
        <f>BT344/BT329</f>
        <v/>
      </c>
      <c r="BU293" s="69">
        <f>BU344/BU329</f>
        <v/>
      </c>
      <c r="BV293" s="69">
        <f>BV344/BV329</f>
        <v/>
      </c>
      <c r="BW293" s="69">
        <f>BW344/BW329</f>
        <v/>
      </c>
      <c r="BX293" s="69">
        <f>BX344/BX329</f>
        <v/>
      </c>
      <c r="BY293" s="1347">
        <f>BY344/BY329</f>
        <v/>
      </c>
      <c r="BZ293" s="1347">
        <f>BZ344/BZ329</f>
        <v/>
      </c>
      <c r="CA293" s="1347">
        <f>CA344/CA329</f>
        <v/>
      </c>
      <c r="CB293" s="1347">
        <f>CB344/CB329</f>
        <v/>
      </c>
      <c r="CC293" s="750" t="n"/>
    </row>
    <row r="294" hidden="1" outlineLevel="1" ht="15" customFormat="1" customHeight="1" s="598">
      <c r="A294" s="375" t="inlineStr">
        <is>
          <t>Adjusted EBITDA Margin (No Adjustments), %</t>
        </is>
      </c>
      <c r="B294" s="64" t="n"/>
      <c r="C294" s="1365">
        <f>C345/C329</f>
        <v/>
      </c>
      <c r="D294" s="1365">
        <f>D345/D329</f>
        <v/>
      </c>
      <c r="E294" s="1365">
        <f>E345/E329</f>
        <v/>
      </c>
      <c r="F294" s="1365">
        <f>F345/F329</f>
        <v/>
      </c>
      <c r="G294" s="1365">
        <f>G345/G329</f>
        <v/>
      </c>
      <c r="H294" s="707">
        <f>H345/H329</f>
        <v/>
      </c>
      <c r="I294" s="707">
        <f>I345/I329</f>
        <v/>
      </c>
      <c r="J294" s="707">
        <f>J345/J329</f>
        <v/>
      </c>
      <c r="K294" s="707">
        <f>K345/K329</f>
        <v/>
      </c>
      <c r="L294" s="1365">
        <f>L345/L329</f>
        <v/>
      </c>
      <c r="M294" s="707">
        <f>M345/M329</f>
        <v/>
      </c>
      <c r="N294" s="707">
        <f>N345/N329</f>
        <v/>
      </c>
      <c r="O294" s="707">
        <f>O345/O329</f>
        <v/>
      </c>
      <c r="P294" s="707">
        <f>P345/P329</f>
        <v/>
      </c>
      <c r="Q294" s="1365">
        <f>Q345/Q329</f>
        <v/>
      </c>
      <c r="R294" s="707">
        <f>R345/R329</f>
        <v/>
      </c>
      <c r="S294" s="707">
        <f>S345/S329</f>
        <v/>
      </c>
      <c r="T294" s="707">
        <f>T345/T329</f>
        <v/>
      </c>
      <c r="U294" s="707">
        <f>U345/U329</f>
        <v/>
      </c>
      <c r="V294" s="1365">
        <f>V345/V329</f>
        <v/>
      </c>
      <c r="W294" s="707">
        <f>W345/W329</f>
        <v/>
      </c>
      <c r="X294" s="707">
        <f>X345/X329</f>
        <v/>
      </c>
      <c r="Y294" s="707">
        <f>Y345/Y329</f>
        <v/>
      </c>
      <c r="Z294" s="707">
        <f>Z345/Z329</f>
        <v/>
      </c>
      <c r="AA294" s="1365">
        <f>AA345/AA329</f>
        <v/>
      </c>
      <c r="AB294" s="707">
        <f>AB345/AB329</f>
        <v/>
      </c>
      <c r="AC294" s="707">
        <f>AC345/AC329</f>
        <v/>
      </c>
      <c r="AD294" s="707">
        <f>AD345/AD329</f>
        <v/>
      </c>
      <c r="AE294" s="707">
        <f>AE345/AE329</f>
        <v/>
      </c>
      <c r="AF294" s="1365">
        <f>AF345/AF329</f>
        <v/>
      </c>
      <c r="AG294" s="707">
        <f>AG345/AG329</f>
        <v/>
      </c>
      <c r="AH294" s="707">
        <f>AH345/AH329</f>
        <v/>
      </c>
      <c r="AI294" s="707">
        <f>AI345/AI329</f>
        <v/>
      </c>
      <c r="AJ294" s="707">
        <f>AJ345/AJ329</f>
        <v/>
      </c>
      <c r="AK294" s="1365">
        <f>AK345/AK329</f>
        <v/>
      </c>
      <c r="AL294" s="707">
        <f>AL345/AL329</f>
        <v/>
      </c>
      <c r="AM294" s="707">
        <f>AM345/AM329</f>
        <v/>
      </c>
      <c r="AN294" s="707">
        <f>AN345/AN329</f>
        <v/>
      </c>
      <c r="AO294" s="707">
        <f>AO345/AO329</f>
        <v/>
      </c>
      <c r="AP294" s="1365">
        <f>AP345/AP329</f>
        <v/>
      </c>
      <c r="AQ294" s="707">
        <f>AQ345/AQ329</f>
        <v/>
      </c>
      <c r="AR294" s="707">
        <f>AR345/AR329</f>
        <v/>
      </c>
      <c r="AS294" s="707">
        <f>AS345/AS329</f>
        <v/>
      </c>
      <c r="AT294" s="707">
        <f>AT345/AT329</f>
        <v/>
      </c>
      <c r="AU294" s="1365">
        <f>AU345/AU329</f>
        <v/>
      </c>
      <c r="AV294" s="707">
        <f>AV345/AV329</f>
        <v/>
      </c>
      <c r="AW294" s="707">
        <f>AW345/AW329</f>
        <v/>
      </c>
      <c r="AX294" s="707">
        <f>AX345/AX329</f>
        <v/>
      </c>
      <c r="AY294" s="707">
        <f>AY345/AY329</f>
        <v/>
      </c>
      <c r="AZ294" s="1365">
        <f>AZ345/AZ329</f>
        <v/>
      </c>
      <c r="BA294" s="707">
        <f>BA345/BA329</f>
        <v/>
      </c>
      <c r="BB294" s="707">
        <f>BB345/BB329</f>
        <v/>
      </c>
      <c r="BC294" s="707">
        <f>BC345/BC329</f>
        <v/>
      </c>
      <c r="BD294" s="707">
        <f>BD345/BD329</f>
        <v/>
      </c>
      <c r="BE294" s="1365">
        <f>BE345/BE329</f>
        <v/>
      </c>
      <c r="BF294" s="707">
        <f>BF345/BF329</f>
        <v/>
      </c>
      <c r="BG294" s="707">
        <f>BG345/BG329</f>
        <v/>
      </c>
      <c r="BH294" s="707">
        <f>BH345/BH329</f>
        <v/>
      </c>
      <c r="BI294" s="707">
        <f>BI345/BI329</f>
        <v/>
      </c>
      <c r="BJ294" s="1365">
        <f>BJ345/BJ329</f>
        <v/>
      </c>
      <c r="BK294" s="707">
        <f>BK345/BK329</f>
        <v/>
      </c>
      <c r="BL294" s="707">
        <f>BL345/BL329</f>
        <v/>
      </c>
      <c r="BM294" s="707">
        <f>BM345/BM329</f>
        <v/>
      </c>
      <c r="BN294" s="707">
        <f>BN345/BN329</f>
        <v/>
      </c>
      <c r="BO294" s="1366">
        <f>BO345/BO329</f>
        <v/>
      </c>
      <c r="BP294" s="674">
        <f>BP345/BP329</f>
        <v/>
      </c>
      <c r="BQ294" s="674">
        <f>BQ345/BQ329</f>
        <v/>
      </c>
      <c r="BR294" s="674">
        <f>BR345/BR329</f>
        <v/>
      </c>
      <c r="BS294" s="674">
        <f>BS345/BS329</f>
        <v/>
      </c>
      <c r="BT294" s="1254">
        <f>BT345/BT329</f>
        <v/>
      </c>
      <c r="BU294" s="674">
        <f>BU345/BU329</f>
        <v/>
      </c>
      <c r="BV294" s="674">
        <f>BV345/BV329</f>
        <v/>
      </c>
      <c r="BW294" s="674">
        <f>BW345/BW329</f>
        <v/>
      </c>
      <c r="BX294" s="674">
        <f>BX345/BX329</f>
        <v/>
      </c>
      <c r="BY294" s="1254">
        <f>BY345/BY329</f>
        <v/>
      </c>
      <c r="BZ294" s="1254">
        <f>BZ345/BZ329</f>
        <v/>
      </c>
      <c r="CA294" s="1254">
        <f>CA345/CA329</f>
        <v/>
      </c>
      <c r="CB294" s="1254">
        <f>CB345/CB329</f>
        <v/>
      </c>
      <c r="CC294" s="750" t="n"/>
    </row>
    <row r="295" hidden="1" outlineLevel="1" ht="15" customFormat="1" customHeight="1" s="611">
      <c r="A295" s="377" t="inlineStr">
        <is>
          <t>Consensus Estimates - Adjusted EBITDA Margin, %</t>
        </is>
      </c>
      <c r="B295" s="378" t="n"/>
      <c r="C295" s="1267" t="n"/>
      <c r="D295" s="1267" t="n"/>
      <c r="E295" s="1267" t="n"/>
      <c r="F295" s="1267" t="n"/>
      <c r="G295" s="1267" t="n"/>
      <c r="H295" s="676" t="n"/>
      <c r="I295" s="676" t="n"/>
      <c r="J295" s="676" t="n"/>
      <c r="K295" s="676" t="n"/>
      <c r="L295" s="1267" t="n"/>
      <c r="M295" s="676" t="n"/>
      <c r="N295" s="676" t="n"/>
      <c r="O295" s="676" t="n"/>
      <c r="P295" s="676" t="n"/>
      <c r="Q295" s="1267" t="n"/>
      <c r="R295" s="676" t="n"/>
      <c r="S295" s="705" t="n"/>
      <c r="T295" s="676" t="n"/>
      <c r="U295" s="676" t="n"/>
      <c r="V295" s="1267" t="n"/>
      <c r="W295" s="676" t="n"/>
      <c r="X295" s="705" t="n"/>
      <c r="Y295" s="676" t="n"/>
      <c r="Z295" s="676" t="n"/>
      <c r="AA295" s="1267" t="n"/>
      <c r="AB295" s="676" t="n"/>
      <c r="AC295" s="705" t="n"/>
      <c r="AD295" s="676" t="n"/>
      <c r="AE295" s="676" t="n"/>
      <c r="AF295" s="1267" t="n"/>
      <c r="AG295" s="676" t="n"/>
      <c r="AH295" s="705" t="n"/>
      <c r="AI295" s="676" t="n"/>
      <c r="AJ295" s="676" t="n"/>
      <c r="AK295" s="1267" t="n"/>
      <c r="AL295" s="676" t="n"/>
      <c r="AM295" s="705" t="n"/>
      <c r="AN295" s="676" t="n"/>
      <c r="AO295" s="676" t="n"/>
      <c r="AP295" s="1267" t="n"/>
      <c r="AQ295" s="676" t="n"/>
      <c r="AR295" s="705" t="n"/>
      <c r="AS295" s="676" t="n"/>
      <c r="AT295" s="676" t="n"/>
      <c r="AU295" s="1267" t="n"/>
      <c r="AV295" s="676" t="n"/>
      <c r="AW295" s="705" t="n"/>
      <c r="AX295" s="676" t="n"/>
      <c r="AY295" s="676" t="n"/>
      <c r="AZ295" s="1267" t="n"/>
      <c r="BA295" s="676" t="n"/>
      <c r="BB295" s="705" t="n"/>
      <c r="BC295" s="676" t="n"/>
      <c r="BD295" s="676" t="n"/>
      <c r="BE295" s="1267" t="n"/>
      <c r="BF295" s="676" t="n"/>
      <c r="BG295" s="705" t="n"/>
      <c r="BH295" s="676" t="n"/>
      <c r="BI295" s="676" t="n"/>
      <c r="BJ295" s="1267" t="n"/>
      <c r="BK295" s="676" t="n"/>
      <c r="BL295" s="705" t="n"/>
      <c r="BM295" s="676" t="n"/>
      <c r="BN295" s="676" t="n"/>
      <c r="BO295" s="1266" t="n"/>
      <c r="BP295" s="672">
        <f>IFERROR(BP346/BP330,0)</f>
        <v/>
      </c>
      <c r="BQ295" s="672">
        <f>IFERROR(BQ346/BQ330,0)</f>
        <v/>
      </c>
      <c r="BR295" s="672">
        <f>IFERROR(BR346/BR330,0)</f>
        <v/>
      </c>
      <c r="BS295" s="672">
        <f>IFERROR(BS346/BS330,0)</f>
        <v/>
      </c>
      <c r="BT295" s="1249">
        <f>IFERROR(BT346/BT330,0)</f>
        <v/>
      </c>
      <c r="BU295" s="672">
        <f>IFERROR(BU346/BU330,0)</f>
        <v/>
      </c>
      <c r="BV295" s="672">
        <f>IFERROR(BV346/BV330,0)</f>
        <v/>
      </c>
      <c r="BW295" s="672">
        <f>IFERROR(BW346/BW330,0)</f>
        <v/>
      </c>
      <c r="BX295" s="672">
        <f>IFERROR(BX346/BX330,0)</f>
        <v/>
      </c>
      <c r="BY295" s="1249">
        <f>IFERROR(BY346/BY330,0)</f>
        <v/>
      </c>
      <c r="BZ295" s="1249">
        <f>IFERROR(BZ346/BZ330,0)</f>
        <v/>
      </c>
      <c r="CA295" s="1249">
        <f>IFERROR(CA346/CA330,0)</f>
        <v/>
      </c>
      <c r="CB295" s="1249">
        <f>IFERROR(CB346/CB330,0)</f>
        <v/>
      </c>
      <c r="CC295" s="676" t="n"/>
    </row>
    <row r="296" collapsed="1" ht="15" customFormat="1" customHeight="1" s="611">
      <c r="A296" s="377" t="n"/>
      <c r="B296" s="378" t="n"/>
      <c r="C296" s="1267" t="n"/>
      <c r="D296" s="1267" t="n"/>
      <c r="E296" s="1267" t="n"/>
      <c r="F296" s="1267" t="n"/>
      <c r="G296" s="1267" t="n"/>
      <c r="H296" s="676" t="n"/>
      <c r="I296" s="676" t="n"/>
      <c r="J296" s="676" t="n"/>
      <c r="K296" s="676" t="n"/>
      <c r="L296" s="1267" t="n"/>
      <c r="M296" s="676" t="n"/>
      <c r="N296" s="676" t="n"/>
      <c r="O296" s="676" t="n"/>
      <c r="P296" s="676" t="n"/>
      <c r="Q296" s="1267" t="n"/>
      <c r="R296" s="676" t="n"/>
      <c r="S296" s="705" t="n"/>
      <c r="T296" s="676" t="n"/>
      <c r="U296" s="676" t="n"/>
      <c r="V296" s="1267" t="n"/>
      <c r="W296" s="676" t="n"/>
      <c r="X296" s="705" t="n"/>
      <c r="Y296" s="676" t="n"/>
      <c r="Z296" s="676" t="n"/>
      <c r="AA296" s="1267" t="n"/>
      <c r="AB296" s="676" t="n"/>
      <c r="AC296" s="705" t="n"/>
      <c r="AD296" s="676" t="n"/>
      <c r="AE296" s="676" t="n"/>
      <c r="AF296" s="1267" t="n"/>
      <c r="AG296" s="676" t="n"/>
      <c r="AH296" s="705" t="n"/>
      <c r="AI296" s="676" t="n"/>
      <c r="AJ296" s="676" t="n"/>
      <c r="AK296" s="1267" t="n"/>
      <c r="AL296" s="676" t="n"/>
      <c r="AM296" s="705" t="n"/>
      <c r="AN296" s="676" t="n"/>
      <c r="AO296" s="676" t="n"/>
      <c r="AP296" s="1267" t="n"/>
      <c r="AQ296" s="676" t="n"/>
      <c r="AR296" s="705" t="n"/>
      <c r="AS296" s="676" t="n"/>
      <c r="AT296" s="676" t="n"/>
      <c r="AU296" s="1267" t="n"/>
      <c r="AV296" s="676" t="n"/>
      <c r="AW296" s="705" t="n"/>
      <c r="AX296" s="676" t="n"/>
      <c r="AY296" s="676" t="n"/>
      <c r="AZ296" s="1267" t="n"/>
      <c r="BA296" s="676" t="n"/>
      <c r="BB296" s="705" t="n"/>
      <c r="BC296" s="676" t="n"/>
      <c r="BD296" s="676" t="n"/>
      <c r="BE296" s="1267" t="n"/>
      <c r="BF296" s="676" t="n"/>
      <c r="BG296" s="705" t="n"/>
      <c r="BH296" s="676" t="n"/>
      <c r="BI296" s="676" t="n"/>
      <c r="BJ296" s="1267" t="n"/>
      <c r="BK296" s="676" t="n"/>
      <c r="BL296" s="705" t="n"/>
      <c r="BM296" s="676" t="n"/>
      <c r="BN296" s="676" t="n"/>
      <c r="BO296" s="1266" t="n"/>
      <c r="BP296" s="676" t="n"/>
      <c r="BQ296" s="676" t="n"/>
      <c r="BR296" s="676" t="n"/>
      <c r="BS296" s="676" t="n"/>
      <c r="BT296" s="1368" t="n"/>
      <c r="BU296" s="676" t="n"/>
      <c r="BV296" s="676" t="n"/>
      <c r="BW296" s="676" t="n"/>
      <c r="BX296" s="676" t="n"/>
      <c r="BY296" s="1368" t="n"/>
      <c r="BZ296" s="1368" t="n"/>
      <c r="CA296" s="1368" t="n"/>
      <c r="CB296" s="1368" t="n"/>
      <c r="CC296" s="676" t="n"/>
    </row>
    <row r="297" ht="15" customFormat="1" customHeight="1" s="1628">
      <c r="A297" s="1786" t="inlineStr">
        <is>
          <t>Income Statement - As Reported</t>
        </is>
      </c>
      <c r="B297" s="1786" t="n"/>
      <c r="C297" s="1786" t="n"/>
      <c r="D297" s="1786" t="n"/>
      <c r="E297" s="1786" t="n"/>
      <c r="F297" s="1786" t="n"/>
      <c r="G297" s="1786" t="n"/>
      <c r="H297" s="1786" t="n"/>
      <c r="I297" s="1786" t="n"/>
      <c r="J297" s="1786" t="n"/>
      <c r="K297" s="1786" t="n"/>
      <c r="L297" s="1786" t="n"/>
      <c r="M297" s="1786" t="n"/>
      <c r="N297" s="1786" t="n"/>
      <c r="O297" s="1786" t="n"/>
      <c r="P297" s="1786" t="n"/>
      <c r="Q297" s="1786" t="n"/>
      <c r="R297" s="1786" t="n"/>
      <c r="S297" s="1786" t="n"/>
      <c r="T297" s="1786" t="n"/>
      <c r="U297" s="1786" t="n"/>
      <c r="V297" s="1786" t="n"/>
      <c r="W297" s="1786" t="n"/>
      <c r="X297" s="1786" t="n"/>
      <c r="Y297" s="1786" t="n"/>
      <c r="Z297" s="1786" t="n"/>
      <c r="AA297" s="1786" t="n"/>
      <c r="AB297" s="1786" t="n"/>
      <c r="AC297" s="1786" t="n"/>
      <c r="AD297" s="1786" t="n"/>
      <c r="AE297" s="1786" t="n"/>
      <c r="AF297" s="1786" t="n"/>
      <c r="AG297" s="1786" t="n"/>
      <c r="AH297" s="1786" t="n"/>
      <c r="AI297" s="1786" t="n"/>
      <c r="AJ297" s="1786" t="n"/>
      <c r="AK297" s="1679" t="n"/>
      <c r="AL297" s="1786" t="n"/>
      <c r="AM297" s="1786" t="n"/>
      <c r="AN297" s="1786" t="n"/>
      <c r="AO297" s="1786" t="n"/>
      <c r="AP297" s="1679" t="n"/>
      <c r="AQ297" s="1786" t="n"/>
      <c r="AR297" s="1786" t="n"/>
      <c r="AS297" s="1786" t="n"/>
      <c r="AT297" s="1786" t="n"/>
      <c r="AU297" s="1679" t="n"/>
      <c r="AV297" s="1786" t="n"/>
      <c r="AW297" s="1786" t="n"/>
      <c r="AX297" s="1786" t="n"/>
      <c r="AY297" s="1786" t="n"/>
      <c r="AZ297" s="1679" t="n"/>
      <c r="BA297" s="1786" t="n"/>
      <c r="BB297" s="1786" t="n"/>
      <c r="BC297" s="1786" t="n"/>
      <c r="BD297" s="1786" t="n"/>
      <c r="BE297" s="1679" t="n"/>
      <c r="BF297" s="1786" t="n"/>
      <c r="BG297" s="1786" t="n"/>
      <c r="BH297" s="1786" t="n"/>
      <c r="BI297" s="1786" t="n"/>
      <c r="BJ297" s="1679" t="n"/>
      <c r="BK297" s="1786" t="n"/>
      <c r="BL297" s="1786" t="n"/>
      <c r="BM297" s="1786" t="n"/>
      <c r="BN297" s="1786" t="n"/>
      <c r="BO297" s="1680" t="n"/>
      <c r="BP297" s="1786" t="n"/>
      <c r="BQ297" s="1786" t="n"/>
      <c r="BR297" s="1786" t="n"/>
      <c r="BS297" s="1786" t="n"/>
      <c r="BT297" s="1786" t="n"/>
      <c r="BU297" s="1786" t="n"/>
      <c r="BV297" s="1786" t="n"/>
      <c r="BW297" s="1786" t="n"/>
      <c r="BX297" s="1786" t="n"/>
      <c r="BY297" s="1786" t="n"/>
      <c r="BZ297" s="1786" t="n"/>
      <c r="CA297" s="1786" t="n"/>
      <c r="CB297" s="1786" t="n"/>
      <c r="CC297" s="1634" t="n"/>
    </row>
    <row r="298" hidden="1" outlineLevel="1" ht="15" customFormat="1" customHeight="1" s="1561">
      <c r="A298" s="1734" t="inlineStr">
        <is>
          <t>Net system sales</t>
        </is>
      </c>
      <c r="B298" s="1705" t="n"/>
      <c r="C298" s="1787" t="n">
        <v>1174.858</v>
      </c>
      <c r="D298" s="1787" t="n">
        <v>3894.742</v>
      </c>
      <c r="E298" s="1787" t="n">
        <v>4883.913</v>
      </c>
      <c r="F298" s="1787" t="n">
        <v>3801.632</v>
      </c>
      <c r="G298" s="1706" t="n">
        <v>3993.129</v>
      </c>
      <c r="H298" s="1714" t="n">
        <v>1030</v>
      </c>
      <c r="I298" s="1714" t="n">
        <v>1243</v>
      </c>
      <c r="J298" s="1714" t="n">
        <v>884.5</v>
      </c>
      <c r="K298" s="1714" t="n">
        <v>1085.3</v>
      </c>
      <c r="L298" s="1706" t="n">
        <v>4242.79</v>
      </c>
      <c r="M298" s="1714" t="n">
        <v>1246.5</v>
      </c>
      <c r="N298" s="1714" t="n">
        <v>1134.5</v>
      </c>
      <c r="O298" s="1714" t="n">
        <v>975.3</v>
      </c>
      <c r="P298" s="1714" t="n">
        <v>880.9</v>
      </c>
      <c r="Q298" s="1706" t="n">
        <v>4237.183</v>
      </c>
      <c r="R298" s="1714" t="n">
        <v>859.8</v>
      </c>
      <c r="S298" s="1714" t="n">
        <v>1265.4</v>
      </c>
      <c r="T298" s="1714" t="n">
        <v>1257.7</v>
      </c>
      <c r="U298" s="1714" t="n">
        <v>1289.1</v>
      </c>
      <c r="V298" s="1706" t="n">
        <v>4672</v>
      </c>
      <c r="W298" s="1714" t="n">
        <v>1215.8</v>
      </c>
      <c r="X298" s="1714" t="n">
        <v>1384.1</v>
      </c>
      <c r="Y298" s="1714" t="n">
        <v>1818.9</v>
      </c>
      <c r="Z298" s="1714" t="n">
        <v>1954.9</v>
      </c>
      <c r="AA298" s="1706" t="n">
        <v>6373.7</v>
      </c>
      <c r="AB298" s="1714" t="n">
        <v>1667.7</v>
      </c>
      <c r="AC298" s="1714" t="n">
        <v>2086.5</v>
      </c>
      <c r="AD298" s="1714" t="n">
        <v>2080.6</v>
      </c>
      <c r="AE298" s="1564">
        <f>AF298-SUM(AB298,AC298,AD298)</f>
        <v/>
      </c>
      <c r="AF298" s="1706" t="n">
        <v>8259.1</v>
      </c>
      <c r="AG298" s="1714" t="n">
        <v>1689</v>
      </c>
      <c r="AH298" s="1714" t="n">
        <v>1850.8</v>
      </c>
      <c r="AI298" s="1714" t="n">
        <v>2325.6</v>
      </c>
      <c r="AJ298" s="1564">
        <f>AK298-SUM(AG298,AH298,AI298)</f>
        <v/>
      </c>
      <c r="AK298" s="1706" t="n">
        <v>8996.200000000001</v>
      </c>
      <c r="AL298" s="1714" t="n">
        <v>1584</v>
      </c>
      <c r="AM298" s="1714" t="n">
        <v>2438.6</v>
      </c>
      <c r="AN298" s="1714" t="n">
        <v>3095.6</v>
      </c>
      <c r="AO298" s="1564">
        <f>AP298-SUM(AL298,AM298,AN298)</f>
        <v/>
      </c>
      <c r="AP298" s="1706" t="n">
        <v>10316.6</v>
      </c>
      <c r="AQ298" s="1714" t="n">
        <v>3128.8</v>
      </c>
      <c r="AR298" s="1714" t="n">
        <v>2949.6</v>
      </c>
      <c r="AS298" s="1714" t="n">
        <v>4111.1</v>
      </c>
      <c r="AT298" s="1564">
        <f>AU298-SUM(AQ298,AR298,AS298)</f>
        <v/>
      </c>
      <c r="AU298" s="1706" t="n">
        <v>13652.8</v>
      </c>
      <c r="AV298" s="1714" t="n">
        <v>2287.2</v>
      </c>
      <c r="AW298" s="1714" t="n">
        <v>4140.5</v>
      </c>
      <c r="AX298" s="1714" t="n">
        <v>4254.7</v>
      </c>
      <c r="AY298" s="1564">
        <f>AZ298-SUM(AV298,AW298,AX298)</f>
        <v/>
      </c>
      <c r="AZ298" s="1706" t="n">
        <v>15430.3</v>
      </c>
      <c r="BA298" s="1714" t="n">
        <v>5341.8</v>
      </c>
      <c r="BB298" s="1714" t="n">
        <v>5606.1</v>
      </c>
      <c r="BC298" s="1714" t="n">
        <v>5308.2</v>
      </c>
      <c r="BD298" s="1564">
        <f>BE298-SUM(BA298,BB298,BC298)</f>
        <v/>
      </c>
      <c r="BE298" s="1706" t="n">
        <v>21938.6</v>
      </c>
      <c r="BF298" s="1714" t="n">
        <v>3965.9</v>
      </c>
      <c r="BG298" s="1714" t="n">
        <v>4760.9</v>
      </c>
      <c r="BH298" s="1714" t="n">
        <v>5926</v>
      </c>
      <c r="BI298" s="1564">
        <f>BJ298-SUM(BF298,BG298,BH298)</f>
        <v/>
      </c>
      <c r="BJ298" s="1706" t="n">
        <v>21768.7</v>
      </c>
      <c r="BK298" s="1714" t="n">
        <v>5740.4</v>
      </c>
      <c r="BL298" s="1714" t="n">
        <v>5596.1</v>
      </c>
      <c r="BM298" s="1714" t="n">
        <v>5553.8</v>
      </c>
      <c r="BN298" s="1564">
        <f>BO298-SUM(BK298,BL298,BM298)</f>
        <v/>
      </c>
      <c r="BO298" s="1788" t="n">
        <v>24474.3</v>
      </c>
      <c r="BP298" s="1562" t="n"/>
      <c r="BQ298" s="1562" t="n"/>
      <c r="BR298" s="1562" t="n"/>
      <c r="BS298" s="1562" t="n"/>
      <c r="BT298" s="1637" t="n"/>
      <c r="BU298" s="1562" t="n"/>
      <c r="BV298" s="1562" t="n"/>
      <c r="BW298" s="1562" t="n"/>
      <c r="BX298" s="1562" t="n"/>
      <c r="BY298" s="1637" t="n"/>
      <c r="BZ298" s="1637" t="n"/>
      <c r="CA298" s="1637" t="n"/>
      <c r="CB298" s="1637" t="n"/>
      <c r="CC298" s="1564" t="n"/>
    </row>
    <row r="299" hidden="1" outlineLevel="1" ht="15" customFormat="1" customHeight="1" s="1561">
      <c r="A299" s="1789" t="inlineStr">
        <is>
          <t>Net service and field option sales</t>
        </is>
      </c>
      <c r="B299" s="1708" t="n"/>
      <c r="C299" s="1790" t="n">
        <v>421.205</v>
      </c>
      <c r="D299" s="1790" t="n">
        <v>613.196</v>
      </c>
      <c r="E299" s="1790" t="n">
        <v>767.122</v>
      </c>
      <c r="F299" s="1790" t="n">
        <v>929.923</v>
      </c>
      <c r="G299" s="1709" t="n">
        <v>1252.197</v>
      </c>
      <c r="H299" s="1716" t="n">
        <v>366.5</v>
      </c>
      <c r="I299" s="1716" t="n">
        <v>400.6</v>
      </c>
      <c r="J299" s="1716" t="n">
        <v>437.7</v>
      </c>
      <c r="K299" s="1716" t="n">
        <v>408.7</v>
      </c>
      <c r="L299" s="1709" t="n">
        <v>1613.487</v>
      </c>
      <c r="M299" s="1716" t="n">
        <v>403.4</v>
      </c>
      <c r="N299" s="1716" t="n">
        <v>519.6</v>
      </c>
      <c r="O299" s="1716" t="n">
        <v>573.9</v>
      </c>
      <c r="P299" s="1716" t="n">
        <v>553.3</v>
      </c>
      <c r="Q299" s="1709" t="n">
        <v>2050.192</v>
      </c>
      <c r="R299" s="1716" t="n">
        <v>473.4</v>
      </c>
      <c r="S299" s="1716" t="n">
        <v>474.2</v>
      </c>
      <c r="T299" s="1716" t="n">
        <v>556.9</v>
      </c>
      <c r="U299" s="1716" t="n">
        <v>618.3</v>
      </c>
      <c r="V299" s="1709" t="n">
        <v>2122.8</v>
      </c>
      <c r="W299" s="1716" t="n">
        <v>727.8</v>
      </c>
      <c r="X299" s="1716" t="n">
        <v>717.3</v>
      </c>
      <c r="Y299" s="1716" t="n">
        <v>628.5</v>
      </c>
      <c r="Z299" s="1716" t="n">
        <v>605.5</v>
      </c>
      <c r="AA299" s="1709" t="n">
        <v>2679.1</v>
      </c>
      <c r="AB299" s="1716" t="n">
        <v>617.3</v>
      </c>
      <c r="AC299" s="1716" t="n">
        <v>653.9</v>
      </c>
      <c r="AD299" s="1716" t="n">
        <v>695.5</v>
      </c>
      <c r="AE299" s="1791">
        <f>AF299-SUM(AB299,AC299,AD299)</f>
        <v/>
      </c>
      <c r="AF299" s="1709" t="n">
        <v>2684.9</v>
      </c>
      <c r="AG299" s="1716" t="n">
        <v>540.1</v>
      </c>
      <c r="AH299" s="1716" t="n">
        <v>717.1</v>
      </c>
      <c r="AI299" s="1716" t="n">
        <v>660.9</v>
      </c>
      <c r="AJ299" s="1791">
        <f>AK299-SUM(AG299,AH299,AI299)</f>
        <v/>
      </c>
      <c r="AK299" s="1709" t="n">
        <v>2823.8</v>
      </c>
      <c r="AL299" s="1716" t="n">
        <v>856.6</v>
      </c>
      <c r="AM299" s="1716" t="n">
        <v>887.1</v>
      </c>
      <c r="AN299" s="1716" t="n">
        <v>862.4</v>
      </c>
      <c r="AO299" s="1791">
        <f>AP299-SUM(AL299,AM299,AN299)</f>
        <v/>
      </c>
      <c r="AP299" s="1709" t="n">
        <v>3661.9</v>
      </c>
      <c r="AQ299" s="1716" t="n">
        <v>1235.1</v>
      </c>
      <c r="AR299" s="1716" t="n">
        <v>1070.6</v>
      </c>
      <c r="AS299" s="1716" t="n">
        <v>1130.2</v>
      </c>
      <c r="AT299" s="1791">
        <f>AU299-SUM(AQ299,AR299,AS299)</f>
        <v/>
      </c>
      <c r="AU299" s="1709" t="n">
        <v>4958.2</v>
      </c>
      <c r="AV299" s="1716" t="n">
        <v>1247.2</v>
      </c>
      <c r="AW299" s="1716" t="n">
        <v>1290</v>
      </c>
      <c r="AX299" s="1716" t="n">
        <v>1523.6</v>
      </c>
      <c r="AY299" s="1791">
        <f>AZ299-SUM(AV299,AW299,AX299)</f>
        <v/>
      </c>
      <c r="AZ299" s="1709" t="n">
        <v>5743.1</v>
      </c>
      <c r="BA299" s="1716" t="n">
        <v>1404.4</v>
      </c>
      <c r="BB299" s="1716" t="n">
        <v>1296.2</v>
      </c>
      <c r="BC299" s="1716" t="n">
        <v>1364.8</v>
      </c>
      <c r="BD299" s="1791">
        <f>BE299-SUM(BA299,BB299,BC299)</f>
        <v/>
      </c>
      <c r="BE299" s="1709" t="n">
        <v>5619.9</v>
      </c>
      <c r="BF299" s="1716" t="n">
        <v>1324.1</v>
      </c>
      <c r="BG299" s="1716" t="n">
        <v>1481.9</v>
      </c>
      <c r="BH299" s="1716" t="n">
        <v>1541.3</v>
      </c>
      <c r="BI299" s="1791">
        <f>BJ299-SUM(BF299,BG299,BH299)</f>
        <v/>
      </c>
      <c r="BJ299" s="1709" t="n">
        <v>6494.2</v>
      </c>
      <c r="BK299" s="1716" t="n">
        <v>2001.1</v>
      </c>
      <c r="BL299" s="1716" t="n">
        <v>2095.6</v>
      </c>
      <c r="BM299" s="1716" t="n">
        <v>1962.2</v>
      </c>
      <c r="BN299" s="1791">
        <f>BO299-SUM(BK299,BL299,BM299)</f>
        <v/>
      </c>
      <c r="BO299" s="1792" t="n">
        <v>8193</v>
      </c>
      <c r="BP299" s="1710" t="n"/>
      <c r="BQ299" s="1710" t="n"/>
      <c r="BR299" s="1710" t="n"/>
      <c r="BS299" s="1710" t="n"/>
      <c r="BT299" s="1712" t="n"/>
      <c r="BU299" s="1710" t="n"/>
      <c r="BV299" s="1710" t="n"/>
      <c r="BW299" s="1710" t="n"/>
      <c r="BX299" s="1710" t="n"/>
      <c r="BY299" s="1712" t="n"/>
      <c r="BZ299" s="1712" t="n"/>
      <c r="CA299" s="1712" t="n"/>
      <c r="CB299" s="1712" t="n"/>
      <c r="CC299" s="1564" t="n"/>
    </row>
    <row r="300" hidden="1" outlineLevel="1" ht="15" customFormat="1" customHeight="1" s="1628">
      <c r="A300" s="1778" t="inlineStr">
        <is>
          <t>Total net sales</t>
        </is>
      </c>
      <c r="B300" s="1793" t="n"/>
      <c r="C300" s="1794">
        <f>SUM(C298:C299)</f>
        <v/>
      </c>
      <c r="D300" s="1794">
        <f>SUM(D298:D299)</f>
        <v/>
      </c>
      <c r="E300" s="1794">
        <f>SUM(E298:E299)</f>
        <v/>
      </c>
      <c r="F300" s="1794">
        <f>SUM(F298:F299)</f>
        <v/>
      </c>
      <c r="G300" s="1779">
        <f>SUM(G298:G299)</f>
        <v/>
      </c>
      <c r="H300" s="1795">
        <f>SUM(H298:H299)</f>
        <v/>
      </c>
      <c r="I300" s="1795">
        <f>SUM(I298:I299)</f>
        <v/>
      </c>
      <c r="J300" s="1795">
        <f>SUM(J298:J299)</f>
        <v/>
      </c>
      <c r="K300" s="1795">
        <f>SUM(K298:K299)</f>
        <v/>
      </c>
      <c r="L300" s="1779">
        <f>SUM(L298:L299)</f>
        <v/>
      </c>
      <c r="M300" s="1795">
        <f>SUM(M298:M299)</f>
        <v/>
      </c>
      <c r="N300" s="1795">
        <f>SUM(N298:N299)</f>
        <v/>
      </c>
      <c r="O300" s="1795">
        <f>SUM(O298:O299)</f>
        <v/>
      </c>
      <c r="P300" s="1795">
        <f>SUM(P298:P299)</f>
        <v/>
      </c>
      <c r="Q300" s="1779">
        <f>SUM(Q298:Q299)</f>
        <v/>
      </c>
      <c r="R300" s="1795">
        <f>SUM(R298:R299)</f>
        <v/>
      </c>
      <c r="S300" s="1795">
        <f>SUM(S298:S299)</f>
        <v/>
      </c>
      <c r="T300" s="1795">
        <f>SUM(T298:T299)</f>
        <v/>
      </c>
      <c r="U300" s="1795">
        <f>SUM(U298:U299)</f>
        <v/>
      </c>
      <c r="V300" s="1779">
        <f>SUM(V298:V299)</f>
        <v/>
      </c>
      <c r="W300" s="1795">
        <f>SUM(W298:W299)</f>
        <v/>
      </c>
      <c r="X300" s="1795">
        <f>SUM(X298:X299)</f>
        <v/>
      </c>
      <c r="Y300" s="1795">
        <f>SUM(Y298:Y299)</f>
        <v/>
      </c>
      <c r="Z300" s="1795">
        <f>SUM(Z298:Z299)</f>
        <v/>
      </c>
      <c r="AA300" s="1779">
        <f>SUM(AA298:AA299)</f>
        <v/>
      </c>
      <c r="AB300" s="1795">
        <f>SUM(AB298:AB299)</f>
        <v/>
      </c>
      <c r="AC300" s="1795">
        <f>SUM(AC298:AC299)</f>
        <v/>
      </c>
      <c r="AD300" s="1795">
        <f>SUM(AD298:AD299)</f>
        <v/>
      </c>
      <c r="AE300" s="1795">
        <f>SUM(AE298:AE299)</f>
        <v/>
      </c>
      <c r="AF300" s="1779">
        <f>SUM(AF298:AF299)</f>
        <v/>
      </c>
      <c r="AG300" s="1795">
        <f>SUM(AG298:AG299)</f>
        <v/>
      </c>
      <c r="AH300" s="1795">
        <f>SUM(AH298:AH299)</f>
        <v/>
      </c>
      <c r="AI300" s="1795">
        <f>SUM(AI298:AI299)</f>
        <v/>
      </c>
      <c r="AJ300" s="1795">
        <f>SUM(AJ298:AJ299)</f>
        <v/>
      </c>
      <c r="AK300" s="1779">
        <f>SUM(AK298:AK299)</f>
        <v/>
      </c>
      <c r="AL300" s="1795">
        <f>SUM(AL298:AL299)</f>
        <v/>
      </c>
      <c r="AM300" s="1795">
        <f>SUM(AM298:AM299)</f>
        <v/>
      </c>
      <c r="AN300" s="1795">
        <f>SUM(AN298:AN299)</f>
        <v/>
      </c>
      <c r="AO300" s="1795">
        <f>SUM(AO298:AO299)</f>
        <v/>
      </c>
      <c r="AP300" s="1779">
        <f>SUM(AP298:AP299)</f>
        <v/>
      </c>
      <c r="AQ300" s="1795">
        <f>SUM(AQ298:AQ299)</f>
        <v/>
      </c>
      <c r="AR300" s="1795">
        <f>SUM(AR298:AR299)</f>
        <v/>
      </c>
      <c r="AS300" s="1795">
        <f>SUM(AS298:AS299)</f>
        <v/>
      </c>
      <c r="AT300" s="1795">
        <f>SUM(AT298:AT299)</f>
        <v/>
      </c>
      <c r="AU300" s="1779">
        <f>SUM(AU298:AU299)</f>
        <v/>
      </c>
      <c r="AV300" s="1795">
        <f>SUM(AV298:AV299)</f>
        <v/>
      </c>
      <c r="AW300" s="1795">
        <f>SUM(AW298:AW299)</f>
        <v/>
      </c>
      <c r="AX300" s="1795">
        <f>SUM(AX298:AX299)</f>
        <v/>
      </c>
      <c r="AY300" s="1795">
        <f>SUM(AY298:AY299)</f>
        <v/>
      </c>
      <c r="AZ300" s="1779">
        <f>SUM(AZ298:AZ299)</f>
        <v/>
      </c>
      <c r="BA300" s="1795">
        <f>SUM(BA298:BA299)</f>
        <v/>
      </c>
      <c r="BB300" s="1795">
        <f>SUM(BB298:BB299)</f>
        <v/>
      </c>
      <c r="BC300" s="1795">
        <f>SUM(BC298:BC299)</f>
        <v/>
      </c>
      <c r="BD300" s="1795">
        <f>SUM(BD298:BD299)</f>
        <v/>
      </c>
      <c r="BE300" s="1779">
        <f>SUM(BE298:BE299)</f>
        <v/>
      </c>
      <c r="BF300" s="1795">
        <f>SUM(BF298:BF299)</f>
        <v/>
      </c>
      <c r="BG300" s="1795">
        <f>SUM(BG298:BG299)</f>
        <v/>
      </c>
      <c r="BH300" s="1795">
        <f>SUM(BH298:BH299)</f>
        <v/>
      </c>
      <c r="BI300" s="1795">
        <f>SUM(BI298:BI299)</f>
        <v/>
      </c>
      <c r="BJ300" s="1779">
        <f>SUM(BJ298:BJ299)</f>
        <v/>
      </c>
      <c r="BK300" s="1795">
        <f>SUM(BK298:BK299)</f>
        <v/>
      </c>
      <c r="BL300" s="1795">
        <f>SUM(BL298:BL299)</f>
        <v/>
      </c>
      <c r="BM300" s="1795">
        <f>SUM(BM298:BM299)</f>
        <v/>
      </c>
      <c r="BN300" s="1795">
        <f>SUM(BN298:BN299)</f>
        <v/>
      </c>
      <c r="BO300" s="1796">
        <f>SUM(BO298:BO299)</f>
        <v/>
      </c>
      <c r="BP300" s="1642" t="n"/>
      <c r="BQ300" s="1642" t="n"/>
      <c r="BR300" s="1642" t="n"/>
      <c r="BS300" s="1642" t="n"/>
      <c r="BT300" s="1641" t="n"/>
      <c r="BU300" s="1642" t="n"/>
      <c r="BV300" s="1642" t="n"/>
      <c r="BW300" s="1642" t="n"/>
      <c r="BX300" s="1642" t="n"/>
      <c r="BY300" s="1641" t="n"/>
      <c r="BZ300" s="1641" t="n"/>
      <c r="CA300" s="1641" t="n"/>
      <c r="CB300" s="1641" t="n"/>
      <c r="CC300" s="1634" t="n"/>
    </row>
    <row r="301" hidden="1" outlineLevel="1" ht="15" customFormat="1" customHeight="1" s="1561">
      <c r="A301" s="1734" t="inlineStr">
        <is>
          <t>Cost of system sales</t>
        </is>
      </c>
      <c r="B301" s="1705" t="n"/>
      <c r="C301" s="1787" t="n">
        <v>-852.417</v>
      </c>
      <c r="D301" s="1787" t="n">
        <v>-2222.965</v>
      </c>
      <c r="E301" s="1787" t="n">
        <v>-2793.931</v>
      </c>
      <c r="F301" s="1787" t="n">
        <v>-2198.921</v>
      </c>
      <c r="G301" s="1706" t="n">
        <v>-2233.621</v>
      </c>
      <c r="H301" s="1562" t="n"/>
      <c r="I301" s="1562" t="n"/>
      <c r="J301" s="1562" t="n"/>
      <c r="K301" s="1562" t="n"/>
      <c r="L301" s="1706" t="n">
        <v>-2335.512</v>
      </c>
      <c r="M301" s="1562" t="n"/>
      <c r="N301" s="1562" t="n"/>
      <c r="O301" s="1562" t="n"/>
      <c r="P301" s="1562" t="n"/>
      <c r="Q301" s="1706" t="n">
        <v>-2212.965</v>
      </c>
      <c r="R301" s="1562" t="n"/>
      <c r="S301" s="1562" t="n"/>
      <c r="T301" s="1562" t="n"/>
      <c r="U301" s="1562" t="n"/>
      <c r="V301" s="1706" t="n">
        <v>-2468.2</v>
      </c>
      <c r="W301" s="1562" t="n"/>
      <c r="X301" s="1562" t="n"/>
      <c r="Y301" s="1562" t="n"/>
      <c r="Z301" s="1562" t="n"/>
      <c r="AA301" s="1706" t="n">
        <v>-3459</v>
      </c>
      <c r="AB301" s="1562" t="n"/>
      <c r="AC301" s="1562" t="n"/>
      <c r="AD301" s="1562" t="n"/>
      <c r="AE301" s="1562" t="n"/>
      <c r="AF301" s="1706" t="n">
        <v>-4141.2</v>
      </c>
      <c r="AG301" s="1562" t="n"/>
      <c r="AH301" s="1562" t="n"/>
      <c r="AI301" s="1562" t="n"/>
      <c r="AJ301" s="1562" t="n"/>
      <c r="AK301" s="1706" t="n">
        <v>-4676.2</v>
      </c>
      <c r="AL301" s="1562" t="n"/>
      <c r="AM301" s="1562" t="n"/>
      <c r="AN301" s="1562" t="n"/>
      <c r="AO301" s="1562" t="n"/>
      <c r="AP301" s="1706" t="n">
        <v>-5169.3</v>
      </c>
      <c r="AQ301" s="1562" t="n"/>
      <c r="AR301" s="1562" t="n"/>
      <c r="AS301" s="1562" t="n"/>
      <c r="AT301" s="1562" t="n"/>
      <c r="AU301" s="1706" t="n">
        <v>-6482.9</v>
      </c>
      <c r="AV301" s="1562" t="n"/>
      <c r="AW301" s="1562" t="n"/>
      <c r="AX301" s="1562" t="n"/>
      <c r="AY301" s="1562" t="n"/>
      <c r="AZ301" s="1706" t="n">
        <v>-7582.3</v>
      </c>
      <c r="BA301" s="1562" t="n"/>
      <c r="BB301" s="1562" t="n"/>
      <c r="BC301" s="1562" t="n"/>
      <c r="BD301" s="1562" t="n"/>
      <c r="BE301" s="1706" t="n">
        <v>-10151</v>
      </c>
      <c r="BF301" s="1562" t="n"/>
      <c r="BG301" s="1562" t="n"/>
      <c r="BH301" s="1562" t="n"/>
      <c r="BI301" s="1562" t="n"/>
      <c r="BJ301" s="1706" t="n">
        <v>-10406.9</v>
      </c>
      <c r="BK301" s="1562" t="n"/>
      <c r="BL301" s="1562" t="n"/>
      <c r="BM301" s="1562" t="n"/>
      <c r="BN301" s="1562" t="n"/>
      <c r="BO301" s="1638" t="n"/>
      <c r="BP301" s="1562" t="n"/>
      <c r="BQ301" s="1562" t="n"/>
      <c r="BR301" s="1562" t="n"/>
      <c r="BS301" s="1562" t="n"/>
      <c r="BT301" s="1637" t="n"/>
      <c r="BU301" s="1562" t="n"/>
      <c r="BV301" s="1562" t="n"/>
      <c r="BW301" s="1562" t="n"/>
      <c r="BX301" s="1562" t="n"/>
      <c r="BY301" s="1637" t="n"/>
      <c r="BZ301" s="1637" t="n"/>
      <c r="CA301" s="1637" t="n"/>
      <c r="CB301" s="1637" t="n"/>
      <c r="CC301" s="1564" t="n"/>
    </row>
    <row r="302" hidden="1" outlineLevel="1" ht="15" customFormat="1" customHeight="1" s="1561">
      <c r="A302" s="1789" t="inlineStr">
        <is>
          <t>Cost of service and field option sales</t>
        </is>
      </c>
      <c r="B302" s="1708" t="n"/>
      <c r="C302" s="1790" t="n">
        <v>-285.254</v>
      </c>
      <c r="D302" s="1790" t="n">
        <v>-329.803</v>
      </c>
      <c r="E302" s="1790" t="n">
        <v>-407.714</v>
      </c>
      <c r="F302" s="1790" t="n">
        <v>-527.377</v>
      </c>
      <c r="G302" s="1709" t="n">
        <v>-834.443</v>
      </c>
      <c r="H302" s="1710" t="n"/>
      <c r="I302" s="1710" t="n"/>
      <c r="J302" s="1710" t="n"/>
      <c r="K302" s="1710" t="n"/>
      <c r="L302" s="1709" t="n">
        <v>-924.391</v>
      </c>
      <c r="M302" s="1710" t="n"/>
      <c r="N302" s="1710" t="n"/>
      <c r="O302" s="1710" t="n"/>
      <c r="P302" s="1710" t="n"/>
      <c r="Q302" s="1709" t="n">
        <v>-1178.666</v>
      </c>
      <c r="R302" s="1710" t="n"/>
      <c r="S302" s="1710" t="n"/>
      <c r="T302" s="1710" t="n"/>
      <c r="U302" s="1710" t="n"/>
      <c r="V302" s="1709" t="n">
        <v>-1282.1</v>
      </c>
      <c r="W302" s="1710" t="n"/>
      <c r="X302" s="1710" t="n"/>
      <c r="Y302" s="1710" t="n"/>
      <c r="Z302" s="1710" t="n"/>
      <c r="AA302" s="1709" t="n">
        <v>-1517.1</v>
      </c>
      <c r="AB302" s="1710" t="n"/>
      <c r="AC302" s="1710" t="n"/>
      <c r="AD302" s="1710" t="n"/>
      <c r="AE302" s="1710" t="n"/>
      <c r="AF302" s="1709" t="n">
        <v>-1773.6</v>
      </c>
      <c r="AG302" s="1710" t="n"/>
      <c r="AH302" s="1710" t="n"/>
      <c r="AI302" s="1710" t="n"/>
      <c r="AJ302" s="1710" t="n"/>
      <c r="AK302" s="1709" t="n">
        <v>-1864</v>
      </c>
      <c r="AL302" s="1710" t="n"/>
      <c r="AM302" s="1710" t="n"/>
      <c r="AN302" s="1710" t="n"/>
      <c r="AO302" s="1710" t="n"/>
      <c r="AP302" s="1709" t="n">
        <v>-2012</v>
      </c>
      <c r="AQ302" s="1710" t="n"/>
      <c r="AR302" s="1710" t="n"/>
      <c r="AS302" s="1710" t="n"/>
      <c r="AT302" s="1710" t="n"/>
      <c r="AU302" s="1709" t="n">
        <v>-2319.1</v>
      </c>
      <c r="AV302" s="1710" t="n"/>
      <c r="AW302" s="1710" t="n"/>
      <c r="AX302" s="1710" t="n"/>
      <c r="AY302" s="1710" t="n"/>
      <c r="AZ302" s="1709" t="n">
        <v>-2891</v>
      </c>
      <c r="BA302" s="1710" t="n"/>
      <c r="BB302" s="1710" t="n"/>
      <c r="BC302" s="1710" t="n"/>
      <c r="BD302" s="1710" t="n"/>
      <c r="BE302" s="1709" t="n">
        <v>-3271.4</v>
      </c>
      <c r="BF302" s="1710" t="n"/>
      <c r="BG302" s="1710" t="n"/>
      <c r="BH302" s="1710" t="n"/>
      <c r="BI302" s="1710" t="n"/>
      <c r="BJ302" s="1709" t="n">
        <v>-3364</v>
      </c>
      <c r="BK302" s="1710" t="n"/>
      <c r="BL302" s="1710" t="n"/>
      <c r="BM302" s="1710" t="n"/>
      <c r="BN302" s="1710" t="n"/>
      <c r="BO302" s="1711" t="n"/>
      <c r="BP302" s="1710" t="n"/>
      <c r="BQ302" s="1710" t="n"/>
      <c r="BR302" s="1710" t="n"/>
      <c r="BS302" s="1710" t="n"/>
      <c r="BT302" s="1712" t="n"/>
      <c r="BU302" s="1710" t="n"/>
      <c r="BV302" s="1710" t="n"/>
      <c r="BW302" s="1710" t="n"/>
      <c r="BX302" s="1710" t="n"/>
      <c r="BY302" s="1712" t="n"/>
      <c r="BZ302" s="1712" t="n"/>
      <c r="CA302" s="1712" t="n"/>
      <c r="CB302" s="1712" t="n"/>
      <c r="CC302" s="1564" t="n"/>
    </row>
    <row r="303" hidden="1" outlineLevel="1" ht="15" customFormat="1" customHeight="1" s="1628">
      <c r="A303" s="1778" t="inlineStr">
        <is>
          <t>Total cost of sales</t>
        </is>
      </c>
      <c r="B303" s="1793" t="n"/>
      <c r="C303" s="1794">
        <f>SUM(C301:C302)</f>
        <v/>
      </c>
      <c r="D303" s="1794">
        <f>SUM(D301:D302)</f>
        <v/>
      </c>
      <c r="E303" s="1794">
        <f>SUM(E301:E302)</f>
        <v/>
      </c>
      <c r="F303" s="1794">
        <f>SUM(F301:F302)</f>
        <v/>
      </c>
      <c r="G303" s="1779">
        <f>SUM(G301:G302)</f>
        <v/>
      </c>
      <c r="H303" s="1797" t="n">
        <v>-787</v>
      </c>
      <c r="I303" s="1797" t="n">
        <v>-891.7</v>
      </c>
      <c r="J303" s="1797" t="n">
        <v>-744.1</v>
      </c>
      <c r="K303" s="1797" t="n">
        <v>-837.1</v>
      </c>
      <c r="L303" s="1779">
        <f>SUM(L301:L302)</f>
        <v/>
      </c>
      <c r="M303" s="1797" t="n">
        <v>-871.3</v>
      </c>
      <c r="N303" s="1797" t="n">
        <v>-900.3</v>
      </c>
      <c r="O303" s="1797" t="n">
        <v>-845.7</v>
      </c>
      <c r="P303" s="1797" t="n">
        <v>-774.4</v>
      </c>
      <c r="Q303" s="1779">
        <f>SUM(Q301:Q302)</f>
        <v/>
      </c>
      <c r="R303" s="1797" t="n">
        <v>-765.1</v>
      </c>
      <c r="S303" s="1797" t="n">
        <v>-998.2</v>
      </c>
      <c r="T303" s="1797" t="n">
        <v>-980.2</v>
      </c>
      <c r="U303" s="1797" t="n">
        <v>-1006.8</v>
      </c>
      <c r="V303" s="1779">
        <f>SUM(V301:V302)</f>
        <v/>
      </c>
      <c r="W303" s="1797" t="n">
        <v>-1019</v>
      </c>
      <c r="X303" s="1797" t="n">
        <v>-1154.9</v>
      </c>
      <c r="Y303" s="1797" t="n">
        <v>-1397.9</v>
      </c>
      <c r="Z303" s="1797" t="n">
        <v>-1404.3</v>
      </c>
      <c r="AA303" s="1779">
        <f>SUM(AA301:AA302)</f>
        <v/>
      </c>
      <c r="AB303" s="1797" t="n">
        <v>-1171.5</v>
      </c>
      <c r="AC303" s="1797" t="n">
        <v>-1553.5</v>
      </c>
      <c r="AD303" s="1797" t="n">
        <v>-1440.2</v>
      </c>
      <c r="AE303" s="1795">
        <f>AF303-SUM(AB303,AC303,AD303)</f>
        <v/>
      </c>
      <c r="AF303" s="1779">
        <f>SUM(AF301:AF302)</f>
        <v/>
      </c>
      <c r="AG303" s="1797" t="n">
        <v>-1301.1</v>
      </c>
      <c r="AH303" s="1797" t="n">
        <v>-1462.7</v>
      </c>
      <c r="AI303" s="1797" t="n">
        <v>-1680.1</v>
      </c>
      <c r="AJ303" s="1795">
        <f>AK303-SUM(AG303,AH303,AI303)</f>
        <v/>
      </c>
      <c r="AK303" s="1779">
        <f>SUM(AK301:AK302)</f>
        <v/>
      </c>
      <c r="AL303" s="1797" t="n">
        <v>-1339.2</v>
      </c>
      <c r="AM303" s="1797" t="n">
        <v>-1722.5</v>
      </c>
      <c r="AN303" s="1797" t="n">
        <v>-2076.6</v>
      </c>
      <c r="AO303" s="1795">
        <f>AP303-SUM(AL303,AM303,AN303)</f>
        <v/>
      </c>
      <c r="AP303" s="1779">
        <f>SUM(AP301:AP302)</f>
        <v/>
      </c>
      <c r="AQ303" s="1797" t="n">
        <v>-2011.5</v>
      </c>
      <c r="AR303" s="1797" t="n">
        <v>-1975.6</v>
      </c>
      <c r="AS303" s="1797" t="n">
        <v>-2529.9</v>
      </c>
      <c r="AT303" s="1795">
        <f>AU303-SUM(AQ303,AR303,AS303)</f>
        <v/>
      </c>
      <c r="AU303" s="1779">
        <f>SUM(AU301:AU302)</f>
        <v/>
      </c>
      <c r="AV303" s="1797" t="n">
        <v>-1803.4</v>
      </c>
      <c r="AW303" s="1797" t="n">
        <v>-2766</v>
      </c>
      <c r="AX303" s="1797" t="n">
        <v>-2784.6</v>
      </c>
      <c r="AY303" s="1795">
        <f>AZ303-SUM(AV303,AW303,AX303)</f>
        <v/>
      </c>
      <c r="AZ303" s="1779">
        <f>SUM(AZ301:AZ302)</f>
        <v/>
      </c>
      <c r="BA303" s="1797" t="n">
        <v>-3333</v>
      </c>
      <c r="BB303" s="1797" t="n">
        <v>-3358.3</v>
      </c>
      <c r="BC303" s="1797" t="n">
        <v>-3211.4</v>
      </c>
      <c r="BD303" s="1795">
        <f>BE303-SUM(BA303,BB303,BC303)</f>
        <v/>
      </c>
      <c r="BE303" s="1798" t="n">
        <v>-13422.4</v>
      </c>
      <c r="BF303" s="1797" t="n">
        <v>-2593.4</v>
      </c>
      <c r="BG303" s="1797" t="n">
        <v>-3030.6</v>
      </c>
      <c r="BH303" s="1797" t="n">
        <v>-3673.9</v>
      </c>
      <c r="BI303" s="1795">
        <f>BJ303-SUM(BF303,BG303,BH303)</f>
        <v/>
      </c>
      <c r="BJ303" s="1641">
        <f>SUM(BJ301:BJ302)</f>
        <v/>
      </c>
      <c r="BK303" s="1797" t="n">
        <v>-3561.8</v>
      </c>
      <c r="BL303" s="1797" t="n">
        <v>-3562.2</v>
      </c>
      <c r="BM303" s="1797" t="n">
        <v>-3635.7</v>
      </c>
      <c r="BN303" s="1795">
        <f>BO303-SUM(BK303,BL303,BM303)</f>
        <v/>
      </c>
      <c r="BO303" s="1799" t="n">
        <v>-15409.3</v>
      </c>
      <c r="BP303" s="1642" t="n"/>
      <c r="BQ303" s="1642" t="n"/>
      <c r="BR303" s="1642" t="n"/>
      <c r="BS303" s="1642" t="n"/>
      <c r="BT303" s="1641" t="n"/>
      <c r="BU303" s="1642" t="n"/>
      <c r="BV303" s="1642" t="n"/>
      <c r="BW303" s="1642" t="n"/>
      <c r="BX303" s="1642" t="n"/>
      <c r="BY303" s="1641" t="n"/>
      <c r="BZ303" s="1641" t="n"/>
      <c r="CA303" s="1641" t="n"/>
      <c r="CB303" s="1641" t="n"/>
      <c r="CC303" s="1634" t="n"/>
    </row>
    <row r="304" hidden="1" outlineLevel="1" ht="15" customFormat="1" customHeight="1" s="1628">
      <c r="A304" s="1800" t="inlineStr">
        <is>
          <t>Gross profit</t>
        </is>
      </c>
      <c r="B304" s="1717" t="n"/>
      <c r="C304" s="1801">
        <f>C300+C303</f>
        <v/>
      </c>
      <c r="D304" s="1801">
        <f>D300+D303</f>
        <v/>
      </c>
      <c r="E304" s="1801">
        <f>E300+E303</f>
        <v/>
      </c>
      <c r="F304" s="1801">
        <f>F300+F303</f>
        <v/>
      </c>
      <c r="G304" s="1802">
        <f>G300+G303</f>
        <v/>
      </c>
      <c r="H304" s="1634">
        <f>H300+H303</f>
        <v/>
      </c>
      <c r="I304" s="1634">
        <f>I300+I303</f>
        <v/>
      </c>
      <c r="J304" s="1634">
        <f>J300+J303</f>
        <v/>
      </c>
      <c r="K304" s="1634">
        <f>K300+K303</f>
        <v/>
      </c>
      <c r="L304" s="1802">
        <f>L300+L303</f>
        <v/>
      </c>
      <c r="M304" s="1634">
        <f>M300+M303</f>
        <v/>
      </c>
      <c r="N304" s="1634">
        <f>N300+N303</f>
        <v/>
      </c>
      <c r="O304" s="1634">
        <f>O300+O303</f>
        <v/>
      </c>
      <c r="P304" s="1634">
        <f>P300+P303</f>
        <v/>
      </c>
      <c r="Q304" s="1802">
        <f>Q300+Q303</f>
        <v/>
      </c>
      <c r="R304" s="1634">
        <f>R300+R303</f>
        <v/>
      </c>
      <c r="S304" s="1634">
        <f>S300+S303</f>
        <v/>
      </c>
      <c r="T304" s="1634">
        <f>T300+T303</f>
        <v/>
      </c>
      <c r="U304" s="1634">
        <f>U300+U303</f>
        <v/>
      </c>
      <c r="V304" s="1802">
        <f>V300+V303</f>
        <v/>
      </c>
      <c r="W304" s="1634">
        <f>W300+W303</f>
        <v/>
      </c>
      <c r="X304" s="1634">
        <f>X300+X303</f>
        <v/>
      </c>
      <c r="Y304" s="1634">
        <f>Y300+Y303</f>
        <v/>
      </c>
      <c r="Z304" s="1634">
        <f>Z300+Z303</f>
        <v/>
      </c>
      <c r="AA304" s="1802">
        <f>AA300+AA303</f>
        <v/>
      </c>
      <c r="AB304" s="1634">
        <f>AB300+AB303</f>
        <v/>
      </c>
      <c r="AC304" s="1634">
        <f>AC300+AC303</f>
        <v/>
      </c>
      <c r="AD304" s="1634">
        <f>AD300+AD303</f>
        <v/>
      </c>
      <c r="AE304" s="1634">
        <f>AE300+AE303</f>
        <v/>
      </c>
      <c r="AF304" s="1802">
        <f>AF300+AF303</f>
        <v/>
      </c>
      <c r="AG304" s="1634">
        <f>AG300+AG303</f>
        <v/>
      </c>
      <c r="AH304" s="1634">
        <f>AH300+AH303</f>
        <v/>
      </c>
      <c r="AI304" s="1634">
        <f>AI300+AI303</f>
        <v/>
      </c>
      <c r="AJ304" s="1634">
        <f>AJ300+AJ303</f>
        <v/>
      </c>
      <c r="AK304" s="1802">
        <f>AK300+AK303</f>
        <v/>
      </c>
      <c r="AL304" s="1634">
        <f>AL300+AL303</f>
        <v/>
      </c>
      <c r="AM304" s="1634">
        <f>AM300+AM303</f>
        <v/>
      </c>
      <c r="AN304" s="1634">
        <f>AN300+AN303</f>
        <v/>
      </c>
      <c r="AO304" s="1634">
        <f>AO300+AO303</f>
        <v/>
      </c>
      <c r="AP304" s="1802">
        <f>AP300+AP303</f>
        <v/>
      </c>
      <c r="AQ304" s="1634">
        <f>AQ300+AQ303</f>
        <v/>
      </c>
      <c r="AR304" s="1634">
        <f>AR300+AR303</f>
        <v/>
      </c>
      <c r="AS304" s="1634">
        <f>AS300+AS303</f>
        <v/>
      </c>
      <c r="AT304" s="1634">
        <f>AT300+AT303</f>
        <v/>
      </c>
      <c r="AU304" s="1802">
        <f>AU300+AU303</f>
        <v/>
      </c>
      <c r="AV304" s="1634">
        <f>AV300+AV303</f>
        <v/>
      </c>
      <c r="AW304" s="1634">
        <f>AW300+AW303</f>
        <v/>
      </c>
      <c r="AX304" s="1634">
        <f>AX300+AX303</f>
        <v/>
      </c>
      <c r="AY304" s="1634">
        <f>AY300+AY303</f>
        <v/>
      </c>
      <c r="AZ304" s="1802">
        <f>AZ300+AZ303</f>
        <v/>
      </c>
      <c r="BA304" s="1634">
        <f>BA300+BA303</f>
        <v/>
      </c>
      <c r="BB304" s="1634">
        <f>BB300+BB303</f>
        <v/>
      </c>
      <c r="BC304" s="1634">
        <f>BC300+BC303</f>
        <v/>
      </c>
      <c r="BD304" s="1634">
        <f>BD300+BD303</f>
        <v/>
      </c>
      <c r="BE304" s="1802">
        <f>BE300+BE303</f>
        <v/>
      </c>
      <c r="BF304" s="1634">
        <f>BF300+BF303</f>
        <v/>
      </c>
      <c r="BG304" s="1634">
        <f>BG300+BG303</f>
        <v/>
      </c>
      <c r="BH304" s="1634">
        <f>BH300+BH303</f>
        <v/>
      </c>
      <c r="BI304" s="1634">
        <f>BI300+BI303</f>
        <v/>
      </c>
      <c r="BJ304" s="1802">
        <f>BJ300+BJ303</f>
        <v/>
      </c>
      <c r="BK304" s="1634">
        <f>BK300+BK303</f>
        <v/>
      </c>
      <c r="BL304" s="1634">
        <f>BL300+BL303</f>
        <v/>
      </c>
      <c r="BM304" s="1634">
        <f>BM300+BM303</f>
        <v/>
      </c>
      <c r="BN304" s="1634">
        <f>BN300+BN303</f>
        <v/>
      </c>
      <c r="BO304" s="1803">
        <f>BO300+BO303</f>
        <v/>
      </c>
      <c r="BP304" s="1719" t="n"/>
      <c r="BQ304" s="1719" t="n"/>
      <c r="BR304" s="1719" t="n"/>
      <c r="BS304" s="1719" t="n"/>
      <c r="BT304" s="1718" t="n"/>
      <c r="BU304" s="1719" t="n"/>
      <c r="BV304" s="1719" t="n"/>
      <c r="BW304" s="1719" t="n"/>
      <c r="BX304" s="1719" t="n"/>
      <c r="BY304" s="1718" t="n"/>
      <c r="BZ304" s="1718" t="n"/>
      <c r="CA304" s="1718" t="n"/>
      <c r="CB304" s="1718" t="n"/>
      <c r="CC304" s="1634" t="n"/>
    </row>
    <row r="305" hidden="1" outlineLevel="1" ht="15" customFormat="1" customHeight="1" s="1561">
      <c r="A305" s="1734" t="inlineStr">
        <is>
          <t>Other income</t>
        </is>
      </c>
      <c r="B305" s="1705" t="n"/>
      <c r="C305" s="1804" t="n"/>
      <c r="D305" s="1804" t="n"/>
      <c r="E305" s="1804" t="n"/>
      <c r="F305" s="1804" t="n"/>
      <c r="G305" s="1706" t="n">
        <v>64.456</v>
      </c>
      <c r="H305" s="1714" t="n">
        <v>20.2</v>
      </c>
      <c r="I305" s="1714" t="n">
        <v>20.3</v>
      </c>
      <c r="J305" s="1714" t="n">
        <v>20.3</v>
      </c>
      <c r="K305" s="1714" t="n">
        <v>20.2</v>
      </c>
      <c r="L305" s="1706" t="n">
        <v>81.006</v>
      </c>
      <c r="M305" s="1714" t="n">
        <v>20.8</v>
      </c>
      <c r="N305" s="1714" t="n">
        <v>20.8</v>
      </c>
      <c r="O305" s="1714" t="n">
        <v>20.8</v>
      </c>
      <c r="P305" s="1714" t="n">
        <v>20.8</v>
      </c>
      <c r="Q305" s="1706" t="n">
        <v>83.2</v>
      </c>
      <c r="R305" s="1714" t="n">
        <v>23.4</v>
      </c>
      <c r="S305" s="1714" t="n">
        <v>23.5</v>
      </c>
      <c r="T305" s="1714" t="n">
        <v>23.4</v>
      </c>
      <c r="U305" s="1714" t="n">
        <v>23.5</v>
      </c>
      <c r="V305" s="1706" t="n">
        <v>93.8</v>
      </c>
      <c r="W305" s="1714" t="n">
        <v>23.9</v>
      </c>
      <c r="X305" s="1714" t="n">
        <v>24</v>
      </c>
      <c r="Y305" s="1714" t="n">
        <v>23.9</v>
      </c>
      <c r="Z305" s="1714" t="n">
        <v>24</v>
      </c>
      <c r="AA305" s="1706" t="n">
        <v>95.8</v>
      </c>
      <c r="AB305" s="1562" t="n"/>
      <c r="AC305" s="1562" t="n"/>
      <c r="AD305" s="1562" t="n"/>
      <c r="AE305" s="1564">
        <f>AF305-SUM(AB305,AC305,AD305)</f>
        <v/>
      </c>
      <c r="AF305" s="1706" t="n">
        <v>0</v>
      </c>
      <c r="AG305" s="1562" t="n"/>
      <c r="AH305" s="1562" t="n"/>
      <c r="AI305" s="1562" t="n"/>
      <c r="AJ305" s="1564">
        <f>AK305-SUM(AG305,AH305,AI305)</f>
        <v/>
      </c>
      <c r="AK305" s="1637" t="n"/>
      <c r="AL305" s="1562" t="n"/>
      <c r="AM305" s="1562" t="n"/>
      <c r="AN305" s="1562" t="n"/>
      <c r="AO305" s="1564">
        <f>AP305-SUM(AL305,AM305,AN305)</f>
        <v/>
      </c>
      <c r="AP305" s="1637" t="n"/>
      <c r="AQ305" s="1562" t="n"/>
      <c r="AR305" s="1562" t="n"/>
      <c r="AS305" s="1562" t="n"/>
      <c r="AT305" s="1564">
        <f>AU305-SUM(AQ305,AR305,AS305)</f>
        <v/>
      </c>
      <c r="AU305" s="1706" t="n">
        <v>213.7</v>
      </c>
      <c r="AV305" s="1562" t="n"/>
      <c r="AW305" s="1562" t="n"/>
      <c r="AX305" s="1562" t="n"/>
      <c r="AY305" s="1562" t="n"/>
      <c r="AZ305" s="1637" t="n"/>
      <c r="BA305" s="1562" t="n"/>
      <c r="BB305" s="1562" t="n"/>
      <c r="BC305" s="1562" t="n"/>
      <c r="BD305" s="1562" t="n"/>
      <c r="BE305" s="1637" t="n"/>
      <c r="BF305" s="1562" t="n"/>
      <c r="BG305" s="1562" t="n"/>
      <c r="BH305" s="1562" t="n"/>
      <c r="BI305" s="1562" t="n"/>
      <c r="BJ305" s="1637" t="n"/>
      <c r="BK305" s="1562" t="n"/>
      <c r="BL305" s="1562" t="n"/>
      <c r="BM305" s="1562" t="n"/>
      <c r="BN305" s="1562" t="n"/>
      <c r="BO305" s="1638" t="n"/>
      <c r="BP305" s="1562" t="n"/>
      <c r="BQ305" s="1562" t="n"/>
      <c r="BR305" s="1562" t="n"/>
      <c r="BS305" s="1562" t="n"/>
      <c r="BT305" s="1637" t="n"/>
      <c r="BU305" s="1562" t="n"/>
      <c r="BV305" s="1562" t="n"/>
      <c r="BW305" s="1562" t="n"/>
      <c r="BX305" s="1562" t="n"/>
      <c r="BY305" s="1637" t="n"/>
      <c r="BZ305" s="1637" t="n"/>
      <c r="CA305" s="1637" t="n"/>
      <c r="CB305" s="1637" t="n"/>
      <c r="CC305" s="1564" t="n"/>
    </row>
    <row r="306" hidden="1" outlineLevel="1" ht="15" customFormat="1" customHeight="1" s="1561">
      <c r="A306" s="1734" t="inlineStr">
        <is>
          <t>Research and development costs</t>
        </is>
      </c>
      <c r="B306" s="1705" t="n"/>
      <c r="C306" s="1787" t="n">
        <v>-466.761</v>
      </c>
      <c r="D306" s="1787" t="n">
        <v>-523.426</v>
      </c>
      <c r="E306" s="1787" t="n">
        <v>-590.27</v>
      </c>
      <c r="F306" s="1787" t="n">
        <v>-589.182</v>
      </c>
      <c r="G306" s="1706" t="n">
        <v>-882.029</v>
      </c>
      <c r="H306" s="1714" t="n">
        <v>-279.1</v>
      </c>
      <c r="I306" s="1714" t="n">
        <v>-266.9</v>
      </c>
      <c r="J306" s="1714" t="n">
        <v>-260.1</v>
      </c>
      <c r="K306" s="1714" t="n">
        <v>-268</v>
      </c>
      <c r="L306" s="1706" t="n">
        <v>-1074.035</v>
      </c>
      <c r="M306" s="1714" t="n">
        <v>-261.4</v>
      </c>
      <c r="N306" s="1714" t="n">
        <v>-267.4</v>
      </c>
      <c r="O306" s="1714" t="n">
        <v>-266.3</v>
      </c>
      <c r="P306" s="1714" t="n">
        <v>-273</v>
      </c>
      <c r="Q306" s="1706" t="n">
        <v>-1068.077</v>
      </c>
      <c r="R306" s="1714" t="n">
        <v>-274.7</v>
      </c>
      <c r="S306" s="1714" t="n">
        <v>-270.3</v>
      </c>
      <c r="T306" s="1714" t="n">
        <v>-273.4</v>
      </c>
      <c r="U306" s="1714" t="n">
        <v>-287.4</v>
      </c>
      <c r="V306" s="1706" t="n">
        <v>-1105.8</v>
      </c>
      <c r="W306" s="1714" t="n">
        <v>-315.1</v>
      </c>
      <c r="X306" s="1714" t="n">
        <v>-312.7</v>
      </c>
      <c r="Y306" s="1714" t="n">
        <v>-314.5</v>
      </c>
      <c r="Z306" s="1714" t="n">
        <v>-317.4</v>
      </c>
      <c r="AA306" s="1706" t="n">
        <v>-1259.7</v>
      </c>
      <c r="AB306" s="1714" t="n">
        <v>-357.1</v>
      </c>
      <c r="AC306" s="1714" t="n">
        <v>-380.1</v>
      </c>
      <c r="AD306" s="1714" t="n">
        <v>-396.3</v>
      </c>
      <c r="AE306" s="1564">
        <f>AF306-SUM(AB306,AC306,AD306)</f>
        <v/>
      </c>
      <c r="AF306" s="1706" t="n">
        <v>-1575.9</v>
      </c>
      <c r="AG306" s="1714" t="n">
        <v>-472.7</v>
      </c>
      <c r="AH306" s="1714" t="n">
        <v>-487.4</v>
      </c>
      <c r="AI306" s="1714" t="n">
        <v>-492.3</v>
      </c>
      <c r="AJ306" s="1564">
        <f>AK306-SUM(AG306,AH306,AI306)</f>
        <v/>
      </c>
      <c r="AK306" s="1706" t="n">
        <v>-1968.5</v>
      </c>
      <c r="AL306" s="1714" t="n">
        <v>-544</v>
      </c>
      <c r="AM306" s="1714" t="n">
        <v>-566.9</v>
      </c>
      <c r="AN306" s="1714" t="n">
        <v>-534</v>
      </c>
      <c r="AO306" s="1564">
        <f>AP306-SUM(AL306,AM306,AN306)</f>
        <v/>
      </c>
      <c r="AP306" s="1706" t="n">
        <v>-2200.8</v>
      </c>
      <c r="AQ306" s="1714" t="n">
        <v>-623.4</v>
      </c>
      <c r="AR306" s="1714" t="n">
        <v>-633.8</v>
      </c>
      <c r="AS306" s="1714" t="n">
        <v>-609.2</v>
      </c>
      <c r="AT306" s="1564">
        <f>AU306-SUM(AQ306,AR306,AS306)</f>
        <v/>
      </c>
      <c r="AU306" s="1706" t="n">
        <v>-2547</v>
      </c>
      <c r="AV306" s="1714" t="n">
        <v>-738.7</v>
      </c>
      <c r="AW306" s="1714" t="n">
        <v>-789.1</v>
      </c>
      <c r="AX306" s="1714" t="n">
        <v>-819.4</v>
      </c>
      <c r="AY306" s="1564">
        <f>AZ306-SUM(AV306,AW306,AX306)</f>
        <v/>
      </c>
      <c r="AZ306" s="1706" t="n">
        <v>-3253.5</v>
      </c>
      <c r="BA306" s="1714" t="n">
        <v>-947.9</v>
      </c>
      <c r="BB306" s="1714" t="n">
        <v>-999.9</v>
      </c>
      <c r="BC306" s="1714" t="n">
        <v>-991.4</v>
      </c>
      <c r="BD306" s="1564">
        <f>BE306-SUM(BA306,BB306,BC306)</f>
        <v/>
      </c>
      <c r="BE306" s="1706" t="n">
        <v>-3980.6</v>
      </c>
      <c r="BF306" s="1714" t="n">
        <v>-1031.9</v>
      </c>
      <c r="BG306" s="1714" t="n">
        <v>-1100.6</v>
      </c>
      <c r="BH306" s="1714" t="n">
        <v>-1055.2</v>
      </c>
      <c r="BI306" s="1564">
        <f>BJ306-SUM(BF306,BG306,BH306)</f>
        <v/>
      </c>
      <c r="BJ306" s="1706" t="n">
        <v>-4303.7</v>
      </c>
      <c r="BK306" s="1714" t="n">
        <v>-1161.1</v>
      </c>
      <c r="BL306" s="1714" t="n">
        <v>-1166.7</v>
      </c>
      <c r="BM306" s="1714" t="n">
        <v>-1108.7</v>
      </c>
      <c r="BN306" s="1564">
        <f>BO306-SUM(BK306,BL306,BM306)</f>
        <v/>
      </c>
      <c r="BO306" s="1788" t="n">
        <v>-4698.8</v>
      </c>
      <c r="BP306" s="1562" t="n"/>
      <c r="BQ306" s="1562" t="n"/>
      <c r="BR306" s="1562" t="n"/>
      <c r="BS306" s="1562" t="n"/>
      <c r="BT306" s="1637" t="n"/>
      <c r="BU306" s="1562" t="n"/>
      <c r="BV306" s="1562" t="n"/>
      <c r="BW306" s="1562" t="n"/>
      <c r="BX306" s="1562" t="n"/>
      <c r="BY306" s="1637" t="n"/>
      <c r="BZ306" s="1637" t="n"/>
      <c r="CA306" s="1637" t="n"/>
      <c r="CB306" s="1637" t="n"/>
      <c r="CC306" s="1564" t="n"/>
    </row>
    <row r="307" hidden="1" outlineLevel="1" ht="15" customFormat="1" customHeight="1" s="1561">
      <c r="A307" s="1789" t="inlineStr">
        <is>
          <t>Selling, general and administrative costs</t>
        </is>
      </c>
      <c r="B307" s="1708" t="n"/>
      <c r="C307" s="1790" t="n">
        <v>-154.756</v>
      </c>
      <c r="D307" s="1790" t="n">
        <v>-181.045</v>
      </c>
      <c r="E307" s="1790" t="n">
        <v>-217.904</v>
      </c>
      <c r="F307" s="1790" t="n">
        <v>-259.301</v>
      </c>
      <c r="G307" s="1709" t="n">
        <v>-311.741</v>
      </c>
      <c r="H307" s="1716" t="n">
        <v>-84.90000000000001</v>
      </c>
      <c r="I307" s="1716" t="n">
        <v>-79.90000000000001</v>
      </c>
      <c r="J307" s="1716" t="n">
        <v>-76.90000000000001</v>
      </c>
      <c r="K307" s="1716" t="n">
        <v>-79.40000000000001</v>
      </c>
      <c r="L307" s="1709" t="n">
        <v>-321.11</v>
      </c>
      <c r="M307" s="1716" t="n">
        <v>-82.3</v>
      </c>
      <c r="N307" s="1716" t="n">
        <v>-88.3</v>
      </c>
      <c r="O307" s="1716" t="n">
        <v>-85.59999999999999</v>
      </c>
      <c r="P307" s="1716" t="n">
        <v>-89.5</v>
      </c>
      <c r="Q307" s="1709" t="n">
        <v>-345.732</v>
      </c>
      <c r="R307" s="1716" t="n">
        <v>-88.8</v>
      </c>
      <c r="S307" s="1716" t="n">
        <v>-90.40000000000001</v>
      </c>
      <c r="T307" s="1716" t="n">
        <v>-88.8</v>
      </c>
      <c r="U307" s="1716" t="n">
        <v>-106.8</v>
      </c>
      <c r="V307" s="1709" t="n">
        <v>-374.8</v>
      </c>
      <c r="W307" s="1716" t="n">
        <v>-98.59999999999999</v>
      </c>
      <c r="X307" s="1716" t="n">
        <v>-102</v>
      </c>
      <c r="Y307" s="1716" t="n">
        <v>-103.3</v>
      </c>
      <c r="Z307" s="1716" t="n">
        <v>-112.7</v>
      </c>
      <c r="AA307" s="1709" t="n">
        <v>-416.6</v>
      </c>
      <c r="AB307" s="1716" t="n">
        <v>-114.2</v>
      </c>
      <c r="AC307" s="1716" t="n">
        <v>-117.4</v>
      </c>
      <c r="AD307" s="1716" t="n">
        <v>-121.8</v>
      </c>
      <c r="AE307" s="1791">
        <f>AF307-SUM(AB307,AC307,AD307)</f>
        <v/>
      </c>
      <c r="AF307" s="1709" t="n">
        <v>-488</v>
      </c>
      <c r="AG307" s="1716" t="n">
        <v>-121</v>
      </c>
      <c r="AH307" s="1716" t="n">
        <v>-123.5</v>
      </c>
      <c r="AI307" s="1716" t="n">
        <v>-128.5</v>
      </c>
      <c r="AJ307" s="1791">
        <f>AK307-SUM(AG307,AH307,AI307)</f>
        <v/>
      </c>
      <c r="AK307" s="1709" t="n">
        <v>-520.5</v>
      </c>
      <c r="AL307" s="1716" t="n">
        <v>-130.7</v>
      </c>
      <c r="AM307" s="1716" t="n">
        <v>-131.2</v>
      </c>
      <c r="AN307" s="1716" t="n">
        <v>-131.5</v>
      </c>
      <c r="AO307" s="1791">
        <f>AP307-SUM(AL307,AM307,AN307)</f>
        <v/>
      </c>
      <c r="AP307" s="1709" t="n">
        <v>-544.9</v>
      </c>
      <c r="AQ307" s="1716" t="n">
        <v>-168.4</v>
      </c>
      <c r="AR307" s="1716" t="n">
        <v>-171.8</v>
      </c>
      <c r="AS307" s="1716" t="n">
        <v>-182.9</v>
      </c>
      <c r="AT307" s="1791">
        <f>AU307-SUM(AQ307,AR307,AS307)</f>
        <v/>
      </c>
      <c r="AU307" s="1709" t="n">
        <v>-725.6</v>
      </c>
      <c r="AV307" s="1716" t="n">
        <v>-207.7</v>
      </c>
      <c r="AW307" s="1716" t="n">
        <v>-222</v>
      </c>
      <c r="AX307" s="1716" t="n">
        <v>-235.8</v>
      </c>
      <c r="AY307" s="1791">
        <f>AZ307-SUM(AV307,AW307,AX307)</f>
        <v/>
      </c>
      <c r="AZ307" s="1709" t="n">
        <v>-945.9</v>
      </c>
      <c r="BA307" s="1716" t="n">
        <v>-260.3</v>
      </c>
      <c r="BB307" s="1716" t="n">
        <v>-281.1</v>
      </c>
      <c r="BC307" s="1716" t="n">
        <v>-287.8</v>
      </c>
      <c r="BD307" s="1791">
        <f>BE307-SUM(BA307,BB307,BC307)</f>
        <v/>
      </c>
      <c r="BE307" s="1709" t="n">
        <v>-1113.2</v>
      </c>
      <c r="BF307" s="1716" t="n">
        <v>-273.3</v>
      </c>
      <c r="BG307" s="1716" t="n">
        <v>-277</v>
      </c>
      <c r="BH307" s="1716" t="n">
        <v>-297</v>
      </c>
      <c r="BI307" s="1791">
        <f>BJ307-SUM(BF307,BG307,BH307)</f>
        <v/>
      </c>
      <c r="BJ307" s="1709" t="n">
        <v>-1165.7</v>
      </c>
      <c r="BK307" s="1716" t="n">
        <v>-280.7</v>
      </c>
      <c r="BL307" s="1716" t="n">
        <v>-298.7</v>
      </c>
      <c r="BM307" s="1716" t="n">
        <v>-303.2</v>
      </c>
      <c r="BN307" s="1791">
        <f>BO307-SUM(BK307,BL307,BM307)</f>
        <v/>
      </c>
      <c r="BO307" s="1792" t="n">
        <v>-1257.8</v>
      </c>
      <c r="BP307" s="1710" t="n"/>
      <c r="BQ307" s="1710" t="n"/>
      <c r="BR307" s="1710" t="n"/>
      <c r="BS307" s="1710" t="n"/>
      <c r="BT307" s="1712" t="n"/>
      <c r="BU307" s="1710" t="n"/>
      <c r="BV307" s="1710" t="n"/>
      <c r="BW307" s="1710" t="n"/>
      <c r="BX307" s="1710" t="n"/>
      <c r="BY307" s="1712" t="n"/>
      <c r="BZ307" s="1712" t="n"/>
      <c r="CA307" s="1712" t="n"/>
      <c r="CB307" s="1712" t="n"/>
      <c r="CC307" s="1564" t="n"/>
    </row>
    <row r="308" hidden="1" outlineLevel="1" ht="15" customFormat="1" customHeight="1" s="1628">
      <c r="A308" s="1778" t="inlineStr">
        <is>
          <t>Income from operations</t>
        </is>
      </c>
      <c r="B308" s="1793" t="n"/>
      <c r="C308" s="1794">
        <f>SUM(C304:C307)</f>
        <v/>
      </c>
      <c r="D308" s="1794">
        <f>SUM(D304:D307)</f>
        <v/>
      </c>
      <c r="E308" s="1794">
        <f>SUM(E304:E307)</f>
        <v/>
      </c>
      <c r="F308" s="1794">
        <f>SUM(F304:F307)</f>
        <v/>
      </c>
      <c r="G308" s="1779">
        <f>SUM(G304:G307)</f>
        <v/>
      </c>
      <c r="H308" s="1795">
        <f>SUM(H304:H307)</f>
        <v/>
      </c>
      <c r="I308" s="1795">
        <f>SUM(I304:I307)</f>
        <v/>
      </c>
      <c r="J308" s="1795">
        <f>SUM(J304:J307)</f>
        <v/>
      </c>
      <c r="K308" s="1795">
        <f>SUM(K304:K307)</f>
        <v/>
      </c>
      <c r="L308" s="1779">
        <f>SUM(L304:L307)</f>
        <v/>
      </c>
      <c r="M308" s="1795">
        <f>SUM(M304:M307)</f>
        <v/>
      </c>
      <c r="N308" s="1795">
        <f>SUM(N304:N307)</f>
        <v/>
      </c>
      <c r="O308" s="1795">
        <f>SUM(O304:O307)</f>
        <v/>
      </c>
      <c r="P308" s="1795">
        <f>SUM(P304:P307)</f>
        <v/>
      </c>
      <c r="Q308" s="1779">
        <f>SUM(Q304:Q307)</f>
        <v/>
      </c>
      <c r="R308" s="1795">
        <f>SUM(R304:R307)</f>
        <v/>
      </c>
      <c r="S308" s="1795">
        <f>SUM(S304:S307)</f>
        <v/>
      </c>
      <c r="T308" s="1795">
        <f>SUM(T304:T307)</f>
        <v/>
      </c>
      <c r="U308" s="1795">
        <f>SUM(U304:U307)</f>
        <v/>
      </c>
      <c r="V308" s="1779">
        <f>SUM(V304:V307)</f>
        <v/>
      </c>
      <c r="W308" s="1795">
        <f>SUM(W304:W307)</f>
        <v/>
      </c>
      <c r="X308" s="1795">
        <f>SUM(X304:X307)</f>
        <v/>
      </c>
      <c r="Y308" s="1795">
        <f>SUM(Y304:Y307)</f>
        <v/>
      </c>
      <c r="Z308" s="1795">
        <f>SUM(Z304:Z307)</f>
        <v/>
      </c>
      <c r="AA308" s="1779">
        <f>SUM(AA304:AA307)</f>
        <v/>
      </c>
      <c r="AB308" s="1795">
        <f>SUM(AB304:AB307)</f>
        <v/>
      </c>
      <c r="AC308" s="1795">
        <f>SUM(AC304:AC307)</f>
        <v/>
      </c>
      <c r="AD308" s="1795">
        <f>SUM(AD304:AD307)</f>
        <v/>
      </c>
      <c r="AE308" s="1795">
        <f>SUM(AE304:AE307)</f>
        <v/>
      </c>
      <c r="AF308" s="1779">
        <f>SUM(AF304:AF307)</f>
        <v/>
      </c>
      <c r="AG308" s="1795">
        <f>SUM(AG304:AG307)</f>
        <v/>
      </c>
      <c r="AH308" s="1795">
        <f>SUM(AH304:AH307)</f>
        <v/>
      </c>
      <c r="AI308" s="1795">
        <f>SUM(AI304:AI307)</f>
        <v/>
      </c>
      <c r="AJ308" s="1795">
        <f>SUM(AJ304:AJ307)</f>
        <v/>
      </c>
      <c r="AK308" s="1779">
        <f>SUM(AK304:AK307)</f>
        <v/>
      </c>
      <c r="AL308" s="1795">
        <f>SUM(AL304:AL307)</f>
        <v/>
      </c>
      <c r="AM308" s="1795">
        <f>SUM(AM304:AM307)</f>
        <v/>
      </c>
      <c r="AN308" s="1795">
        <f>SUM(AN304:AN307)</f>
        <v/>
      </c>
      <c r="AO308" s="1795">
        <f>SUM(AO304:AO307)</f>
        <v/>
      </c>
      <c r="AP308" s="1779">
        <f>SUM(AP304:AP307)</f>
        <v/>
      </c>
      <c r="AQ308" s="1795">
        <f>SUM(AQ304:AQ307)</f>
        <v/>
      </c>
      <c r="AR308" s="1795">
        <f>SUM(AR304:AR307)</f>
        <v/>
      </c>
      <c r="AS308" s="1795">
        <f>SUM(AS304:AS307)</f>
        <v/>
      </c>
      <c r="AT308" s="1795">
        <f>SUM(AT304:AT307)</f>
        <v/>
      </c>
      <c r="AU308" s="1779">
        <f>SUM(AU304:AU307)</f>
        <v/>
      </c>
      <c r="AV308" s="1795">
        <f>SUM(AV304:AV307)</f>
        <v/>
      </c>
      <c r="AW308" s="1795">
        <f>SUM(AW304:AW307)</f>
        <v/>
      </c>
      <c r="AX308" s="1795">
        <f>SUM(AX304:AX307)</f>
        <v/>
      </c>
      <c r="AY308" s="1795">
        <f>SUM(AY304:AY307)</f>
        <v/>
      </c>
      <c r="AZ308" s="1779">
        <f>SUM(AZ304:AZ307)</f>
        <v/>
      </c>
      <c r="BA308" s="1795">
        <f>SUM(BA304:BA307)</f>
        <v/>
      </c>
      <c r="BB308" s="1795">
        <f>SUM(BB304:BB307)</f>
        <v/>
      </c>
      <c r="BC308" s="1795">
        <f>SUM(BC304:BC307)</f>
        <v/>
      </c>
      <c r="BD308" s="1795">
        <f>SUM(BD304:BD307)</f>
        <v/>
      </c>
      <c r="BE308" s="1779">
        <f>SUM(BE304:BE307)</f>
        <v/>
      </c>
      <c r="BF308" s="1795">
        <f>SUM(BF304:BF307)</f>
        <v/>
      </c>
      <c r="BG308" s="1795">
        <f>SUM(BG304:BG307)</f>
        <v/>
      </c>
      <c r="BH308" s="1795">
        <f>SUM(BH304:BH307)</f>
        <v/>
      </c>
      <c r="BI308" s="1795">
        <f>SUM(BI304:BI307)</f>
        <v/>
      </c>
      <c r="BJ308" s="1779">
        <f>SUM(BJ304:BJ307)</f>
        <v/>
      </c>
      <c r="BK308" s="1795">
        <f>SUM(BK304:BK307)</f>
        <v/>
      </c>
      <c r="BL308" s="1795">
        <f>SUM(BL304:BL307)</f>
        <v/>
      </c>
      <c r="BM308" s="1795">
        <f>SUM(BM304:BM307)</f>
        <v/>
      </c>
      <c r="BN308" s="1795">
        <f>SUM(BN304:BN307)</f>
        <v/>
      </c>
      <c r="BO308" s="1796">
        <f>SUM(BO304:BO307)</f>
        <v/>
      </c>
      <c r="BP308" s="1642" t="n"/>
      <c r="BQ308" s="1642" t="n"/>
      <c r="BR308" s="1642" t="n"/>
      <c r="BS308" s="1642" t="n"/>
      <c r="BT308" s="1641" t="n"/>
      <c r="BU308" s="1642" t="n"/>
      <c r="BV308" s="1642" t="n"/>
      <c r="BW308" s="1642" t="n"/>
      <c r="BX308" s="1642" t="n"/>
      <c r="BY308" s="1641" t="n"/>
      <c r="BZ308" s="1641" t="n"/>
      <c r="CA308" s="1641" t="n"/>
      <c r="CB308" s="1641" t="n"/>
      <c r="CC308" s="1634" t="n"/>
    </row>
    <row r="309" hidden="1" outlineLevel="1" ht="15" customFormat="1" customHeight="1" s="1561">
      <c r="A309" s="1805" t="inlineStr">
        <is>
          <t>Interest expense</t>
        </is>
      </c>
      <c r="B309" s="1705" t="n"/>
      <c r="C309" s="1787" t="n">
        <v>-51.191</v>
      </c>
      <c r="D309" s="1787" t="n">
        <v>-23.301</v>
      </c>
      <c r="E309" s="1787" t="n">
        <v>-33.737</v>
      </c>
      <c r="F309" s="1787" t="n">
        <v>-22.8</v>
      </c>
      <c r="G309" s="1706" t="n">
        <v>-33.6</v>
      </c>
      <c r="H309" s="1562" t="n"/>
      <c r="I309" s="1562" t="n"/>
      <c r="J309" s="1562" t="n"/>
      <c r="K309" s="1562" t="n"/>
      <c r="L309" s="1706" t="n">
        <v>-23.1</v>
      </c>
      <c r="M309" s="1562" t="n"/>
      <c r="N309" s="1562" t="n"/>
      <c r="O309" s="1562" t="n"/>
      <c r="P309" s="1562" t="n"/>
      <c r="Q309" s="1706" t="n">
        <v>-27.4</v>
      </c>
      <c r="R309" s="1562" t="n"/>
      <c r="S309" s="1562" t="n"/>
      <c r="T309" s="1562" t="n"/>
      <c r="U309" s="1562" t="n"/>
      <c r="V309" s="1706" t="n">
        <v>-38</v>
      </c>
      <c r="W309" s="1562" t="n"/>
      <c r="X309" s="1562" t="n"/>
      <c r="Y309" s="1562" t="n"/>
      <c r="Z309" s="1562" t="n"/>
      <c r="AA309" s="1706" t="n">
        <v>-57.5</v>
      </c>
      <c r="AB309" s="1562" t="n"/>
      <c r="AC309" s="1562" t="n"/>
      <c r="AD309" s="1562" t="n"/>
      <c r="AE309" s="1562" t="n"/>
      <c r="AF309" s="1706" t="n">
        <v>-41.8</v>
      </c>
      <c r="AG309" s="1562" t="n"/>
      <c r="AH309" s="1562" t="n"/>
      <c r="AI309" s="1562" t="n"/>
      <c r="AJ309" s="1562" t="n"/>
      <c r="AK309" s="1706" t="n">
        <v>-36.6</v>
      </c>
      <c r="AL309" s="1562" t="n"/>
      <c r="AM309" s="1562" t="n"/>
      <c r="AN309" s="1562" t="n"/>
      <c r="AO309" s="1562" t="n"/>
      <c r="AP309" s="1706" t="n">
        <v>-43.3</v>
      </c>
      <c r="AQ309" s="1562" t="n"/>
      <c r="AR309" s="1562" t="n"/>
      <c r="AS309" s="1562" t="n"/>
      <c r="AT309" s="1562" t="n"/>
      <c r="AU309" s="1706" t="n">
        <v>-54.6</v>
      </c>
      <c r="AV309" s="1562" t="n"/>
      <c r="AW309" s="1562" t="n"/>
      <c r="AX309" s="1562" t="n"/>
      <c r="AY309" s="1562" t="n"/>
      <c r="AZ309" s="1706" t="n">
        <v>-60.8</v>
      </c>
      <c r="BA309" s="1562" t="n"/>
      <c r="BB309" s="1562" t="n"/>
      <c r="BC309" s="1562" t="n"/>
      <c r="BD309" s="1562" t="n"/>
      <c r="BE309" s="1706" t="n">
        <v>-152.7</v>
      </c>
      <c r="BF309" s="1562" t="n"/>
      <c r="BG309" s="1562" t="n"/>
      <c r="BH309" s="1562" t="n"/>
      <c r="BI309" s="1562" t="n"/>
      <c r="BJ309" s="1706" t="n">
        <v>-162.6</v>
      </c>
      <c r="BK309" s="1562" t="n"/>
      <c r="BL309" s="1562" t="n"/>
      <c r="BM309" s="1562" t="n"/>
      <c r="BN309" s="1562" t="n"/>
      <c r="BO309" s="1788" t="n">
        <v>-165</v>
      </c>
      <c r="BP309" s="1562" t="n"/>
      <c r="BQ309" s="1562" t="n"/>
      <c r="BR309" s="1562" t="n"/>
      <c r="BS309" s="1562" t="n"/>
      <c r="BT309" s="1637" t="n"/>
      <c r="BU309" s="1562" t="n"/>
      <c r="BV309" s="1562" t="n"/>
      <c r="BW309" s="1562" t="n"/>
      <c r="BX309" s="1562" t="n"/>
      <c r="BY309" s="1637" t="n"/>
      <c r="BZ309" s="1637" t="n"/>
      <c r="CA309" s="1637" t="n"/>
      <c r="CB309" s="1637" t="n"/>
      <c r="CC309" s="1564" t="n"/>
    </row>
    <row r="310" hidden="1" outlineLevel="1" ht="15" customFormat="1" customHeight="1" s="1561">
      <c r="A310" s="1806" t="inlineStr">
        <is>
          <t>Interest income and other</t>
        </is>
      </c>
      <c r="B310" s="1708" t="n"/>
      <c r="C310" s="1790" t="n">
        <v>42.766</v>
      </c>
      <c r="D310" s="1790" t="n">
        <v>15.125</v>
      </c>
      <c r="E310" s="1790" t="n">
        <v>41.156</v>
      </c>
      <c r="F310" s="1807">
        <f>F311-F309</f>
        <v/>
      </c>
      <c r="G310" s="1808">
        <f>G311-G309</f>
        <v/>
      </c>
      <c r="H310" s="1710" t="n"/>
      <c r="I310" s="1710" t="n"/>
      <c r="J310" s="1710" t="n"/>
      <c r="K310" s="1710" t="n"/>
      <c r="L310" s="1808">
        <f>L311-L309</f>
        <v/>
      </c>
      <c r="M310" s="1710" t="n"/>
      <c r="N310" s="1710" t="n"/>
      <c r="O310" s="1710" t="n"/>
      <c r="P310" s="1710" t="n"/>
      <c r="Q310" s="1808">
        <f>Q311-Q309</f>
        <v/>
      </c>
      <c r="R310" s="1710" t="n"/>
      <c r="S310" s="1710" t="n"/>
      <c r="T310" s="1710" t="n"/>
      <c r="U310" s="1710" t="n"/>
      <c r="V310" s="1808">
        <f>V311-V309</f>
        <v/>
      </c>
      <c r="W310" s="1710" t="n"/>
      <c r="X310" s="1710" t="n"/>
      <c r="Y310" s="1710" t="n"/>
      <c r="Z310" s="1710" t="n"/>
      <c r="AA310" s="1808">
        <f>AA311-AA309</f>
        <v/>
      </c>
      <c r="AB310" s="1710" t="n"/>
      <c r="AC310" s="1710" t="n"/>
      <c r="AD310" s="1710" t="n"/>
      <c r="AE310" s="1710" t="n"/>
      <c r="AF310" s="1808">
        <f>AF311-AF309</f>
        <v/>
      </c>
      <c r="AG310" s="1710" t="n"/>
      <c r="AH310" s="1710" t="n"/>
      <c r="AI310" s="1710" t="n"/>
      <c r="AJ310" s="1710" t="n"/>
      <c r="AK310" s="1808">
        <f>AK311-AK309</f>
        <v/>
      </c>
      <c r="AL310" s="1710" t="n"/>
      <c r="AM310" s="1710" t="n"/>
      <c r="AN310" s="1710" t="n"/>
      <c r="AO310" s="1710" t="n"/>
      <c r="AP310" s="1808">
        <f>AP311-AP309</f>
        <v/>
      </c>
      <c r="AQ310" s="1710" t="n"/>
      <c r="AR310" s="1710" t="n"/>
      <c r="AS310" s="1710" t="n"/>
      <c r="AT310" s="1710" t="n"/>
      <c r="AU310" s="1808">
        <f>AU311-AU309</f>
        <v/>
      </c>
      <c r="AV310" s="1710" t="n"/>
      <c r="AW310" s="1710" t="n"/>
      <c r="AX310" s="1710" t="n"/>
      <c r="AY310" s="1710" t="n"/>
      <c r="AZ310" s="1808">
        <f>AZ311-AZ309</f>
        <v/>
      </c>
      <c r="BA310" s="1710" t="n"/>
      <c r="BB310" s="1710" t="n"/>
      <c r="BC310" s="1710" t="n"/>
      <c r="BD310" s="1710" t="n"/>
      <c r="BE310" s="1808">
        <f>BE311-BE309</f>
        <v/>
      </c>
      <c r="BF310" s="1710" t="n"/>
      <c r="BG310" s="1710" t="n"/>
      <c r="BH310" s="1710" t="n"/>
      <c r="BI310" s="1710" t="n"/>
      <c r="BJ310" s="1808">
        <f>BJ311-BJ309</f>
        <v/>
      </c>
      <c r="BK310" s="1710" t="n"/>
      <c r="BL310" s="1710" t="n"/>
      <c r="BM310" s="1710" t="n"/>
      <c r="BN310" s="1710" t="n"/>
      <c r="BO310" s="1809">
        <f>BO311-BO309</f>
        <v/>
      </c>
      <c r="BP310" s="1710" t="n"/>
      <c r="BQ310" s="1710" t="n"/>
      <c r="BR310" s="1710" t="n"/>
      <c r="BS310" s="1710" t="n"/>
      <c r="BT310" s="1712" t="n"/>
      <c r="BU310" s="1710" t="n"/>
      <c r="BV310" s="1710" t="n"/>
      <c r="BW310" s="1710" t="n"/>
      <c r="BX310" s="1710" t="n"/>
      <c r="BY310" s="1712" t="n"/>
      <c r="BZ310" s="1712" t="n"/>
      <c r="CA310" s="1712" t="n"/>
      <c r="CB310" s="1712" t="n"/>
      <c r="CC310" s="1564" t="n"/>
    </row>
    <row r="311" hidden="1" outlineLevel="1" ht="15" customFormat="1" customHeight="1" s="1561">
      <c r="A311" s="1789" t="inlineStr">
        <is>
          <t>Interest and other, net</t>
        </is>
      </c>
      <c r="B311" s="1708" t="n"/>
      <c r="C311" s="1807">
        <f>SUM(C309:C310)</f>
        <v/>
      </c>
      <c r="D311" s="1807">
        <f>SUM(D309:D310)</f>
        <v/>
      </c>
      <c r="E311" s="1807">
        <f>SUM(E309:E310)</f>
        <v/>
      </c>
      <c r="F311" s="1790" t="n">
        <v>-6.196</v>
      </c>
      <c r="G311" s="1709" t="n">
        <v>-24.471</v>
      </c>
      <c r="H311" s="1716" t="n">
        <v>-2.6</v>
      </c>
      <c r="I311" s="1716" t="n">
        <v>-1.4</v>
      </c>
      <c r="J311" s="1716" t="n">
        <v>-2</v>
      </c>
      <c r="K311" s="1716" t="n">
        <v>-2.6</v>
      </c>
      <c r="L311" s="1709" t="n">
        <v>-8.6</v>
      </c>
      <c r="M311" s="1716" t="n">
        <v>-3.5</v>
      </c>
      <c r="N311" s="1716" t="n">
        <v>-4.2</v>
      </c>
      <c r="O311" s="1716" t="n">
        <v>-4.2</v>
      </c>
      <c r="P311" s="1716" t="n">
        <v>-4.6</v>
      </c>
      <c r="Q311" s="1709" t="n">
        <v>-16.515</v>
      </c>
      <c r="R311" s="1716" t="n">
        <v>-3.6</v>
      </c>
      <c r="S311" s="1716" t="n">
        <v>-3.6</v>
      </c>
      <c r="T311" s="1716" t="n">
        <v>-33.9</v>
      </c>
      <c r="U311" s="1716" t="n">
        <v>74.8</v>
      </c>
      <c r="V311" s="1709" t="n">
        <v>33.7</v>
      </c>
      <c r="W311" s="1716" t="n">
        <v>-14.1</v>
      </c>
      <c r="X311" s="1716" t="n">
        <v>-10.8</v>
      </c>
      <c r="Y311" s="1716" t="n">
        <v>-12.5</v>
      </c>
      <c r="Z311" s="1716" t="n">
        <v>-12.9</v>
      </c>
      <c r="AA311" s="1709" t="n">
        <v>-50.3</v>
      </c>
      <c r="AB311" s="1716" t="n">
        <v>-10.5</v>
      </c>
      <c r="AC311" s="1716" t="n">
        <v>-2.2</v>
      </c>
      <c r="AD311" s="1716" t="n">
        <v>-8.1</v>
      </c>
      <c r="AE311" s="1791">
        <f>AF311-SUM(AB311,AC311,AD311)</f>
        <v/>
      </c>
      <c r="AF311" s="1709" t="n">
        <v>-28.3</v>
      </c>
      <c r="AG311" s="1716" t="n">
        <v>-7.9</v>
      </c>
      <c r="AH311" s="1716" t="n">
        <v>-6.9</v>
      </c>
      <c r="AI311" s="1716" t="n">
        <v>-5.4</v>
      </c>
      <c r="AJ311" s="1791">
        <f>AK311-SUM(AG311,AH311,AI311)</f>
        <v/>
      </c>
      <c r="AK311" s="1709" t="n">
        <v>-25</v>
      </c>
      <c r="AL311" s="1716" t="n">
        <v>-11.4</v>
      </c>
      <c r="AM311" s="1716" t="n">
        <v>-7.1</v>
      </c>
      <c r="AN311" s="1716" t="n">
        <v>-8.4</v>
      </c>
      <c r="AO311" s="1791">
        <f>AP311-SUM(AL311,AM311,AN311)</f>
        <v/>
      </c>
      <c r="AP311" s="1709" t="n">
        <v>-34.9</v>
      </c>
      <c r="AQ311" s="1716" t="n">
        <v>-12.1</v>
      </c>
      <c r="AR311" s="1716" t="n">
        <v>-9.800000000000001</v>
      </c>
      <c r="AS311" s="1716" t="n">
        <v>-10.5</v>
      </c>
      <c r="AT311" s="1791">
        <f>AU311-SUM(AQ311,AR311,AS311)</f>
        <v/>
      </c>
      <c r="AU311" s="1709" t="n">
        <v>-44.6</v>
      </c>
      <c r="AV311" s="1716" t="n">
        <v>-15.6</v>
      </c>
      <c r="AW311" s="1716" t="n">
        <v>-10.8</v>
      </c>
      <c r="AX311" s="1716" t="n">
        <v>-15.1</v>
      </c>
      <c r="AY311" s="1791">
        <f>AZ311-SUM(AV311,AW311,AX311)</f>
        <v/>
      </c>
      <c r="AZ311" s="1709" t="n">
        <v>-44.6</v>
      </c>
      <c r="BA311" s="1716" t="n">
        <v>12.2</v>
      </c>
      <c r="BB311" s="1716" t="n">
        <v>16.7</v>
      </c>
      <c r="BC311" s="1716" t="n">
        <v>7.1</v>
      </c>
      <c r="BD311" s="1791">
        <f>BE311-SUM(BA311,BB311,BC311)</f>
        <v/>
      </c>
      <c r="BE311" s="1709" t="n">
        <v>41.2</v>
      </c>
      <c r="BF311" s="1716" t="n">
        <v>26.2</v>
      </c>
      <c r="BG311" s="1716" t="n">
        <v>-11.9</v>
      </c>
      <c r="BH311" s="1716" t="n">
        <v>-0.8</v>
      </c>
      <c r="BI311" s="1791">
        <f>BJ311-SUM(BF311,BG311,BH311)</f>
        <v/>
      </c>
      <c r="BJ311" s="1709" t="n">
        <v>19.8</v>
      </c>
      <c r="BK311" s="1716" t="n">
        <v>49.2</v>
      </c>
      <c r="BL311" s="1716" t="n">
        <v>24.8</v>
      </c>
      <c r="BM311" s="1716" t="n">
        <v>19.4</v>
      </c>
      <c r="BN311" s="1791">
        <f>BO311-SUM(BK311,BL311,BM311)</f>
        <v/>
      </c>
      <c r="BO311" s="1792" t="n">
        <v>104.7</v>
      </c>
      <c r="BP311" s="1710" t="n"/>
      <c r="BQ311" s="1710" t="n"/>
      <c r="BR311" s="1710" t="n"/>
      <c r="BS311" s="1710" t="n"/>
      <c r="BT311" s="1712" t="n"/>
      <c r="BU311" s="1710" t="n"/>
      <c r="BV311" s="1710" t="n"/>
      <c r="BW311" s="1710" t="n"/>
      <c r="BX311" s="1710" t="n"/>
      <c r="BY311" s="1712" t="n"/>
      <c r="BZ311" s="1712" t="n"/>
      <c r="CA311" s="1712" t="n"/>
      <c r="CB311" s="1712" t="n"/>
      <c r="CC311" s="1564" t="n"/>
    </row>
    <row r="312" hidden="1" outlineLevel="1" ht="15" customFormat="1" customHeight="1" s="1628">
      <c r="A312" s="1778" t="inlineStr">
        <is>
          <t>Income before income taxes</t>
        </is>
      </c>
      <c r="B312" s="1793" t="n"/>
      <c r="C312" s="1794">
        <f>C308+C311</f>
        <v/>
      </c>
      <c r="D312" s="1794">
        <f>D308+D311</f>
        <v/>
      </c>
      <c r="E312" s="1794">
        <f>E308+E311</f>
        <v/>
      </c>
      <c r="F312" s="1794">
        <f>F308+F311</f>
        <v/>
      </c>
      <c r="G312" s="1779">
        <f>G308+G311</f>
        <v/>
      </c>
      <c r="H312" s="1795">
        <f>H308+H311</f>
        <v/>
      </c>
      <c r="I312" s="1795">
        <f>I308+I311</f>
        <v/>
      </c>
      <c r="J312" s="1795">
        <f>J308+J311</f>
        <v/>
      </c>
      <c r="K312" s="1795">
        <f>K308+K311</f>
        <v/>
      </c>
      <c r="L312" s="1779">
        <f>L308+L311</f>
        <v/>
      </c>
      <c r="M312" s="1795">
        <f>M308+M311</f>
        <v/>
      </c>
      <c r="N312" s="1795">
        <f>N308+N311</f>
        <v/>
      </c>
      <c r="O312" s="1795">
        <f>O308+O311</f>
        <v/>
      </c>
      <c r="P312" s="1795">
        <f>P308+P311</f>
        <v/>
      </c>
      <c r="Q312" s="1779">
        <f>Q308+Q311</f>
        <v/>
      </c>
      <c r="R312" s="1795">
        <f>R308+R311</f>
        <v/>
      </c>
      <c r="S312" s="1795">
        <f>S308+S311</f>
        <v/>
      </c>
      <c r="T312" s="1795">
        <f>T308+T311</f>
        <v/>
      </c>
      <c r="U312" s="1795">
        <f>U308+U311</f>
        <v/>
      </c>
      <c r="V312" s="1779">
        <f>V308+V311</f>
        <v/>
      </c>
      <c r="W312" s="1795">
        <f>W308+W311</f>
        <v/>
      </c>
      <c r="X312" s="1795">
        <f>X308+X311</f>
        <v/>
      </c>
      <c r="Y312" s="1795">
        <f>Y308+Y311</f>
        <v/>
      </c>
      <c r="Z312" s="1795">
        <f>Z308+Z311</f>
        <v/>
      </c>
      <c r="AA312" s="1779">
        <f>AA308+AA311</f>
        <v/>
      </c>
      <c r="AB312" s="1795">
        <f>AB308+AB311</f>
        <v/>
      </c>
      <c r="AC312" s="1795">
        <f>AC308+AC311</f>
        <v/>
      </c>
      <c r="AD312" s="1795">
        <f>AD308+AD311</f>
        <v/>
      </c>
      <c r="AE312" s="1795">
        <f>AE308+AE311</f>
        <v/>
      </c>
      <c r="AF312" s="1779">
        <f>AF308+AF311</f>
        <v/>
      </c>
      <c r="AG312" s="1795">
        <f>AG308+AG311</f>
        <v/>
      </c>
      <c r="AH312" s="1795">
        <f>AH308+AH311</f>
        <v/>
      </c>
      <c r="AI312" s="1795">
        <f>AI308+AI311</f>
        <v/>
      </c>
      <c r="AJ312" s="1795">
        <f>AJ308+AJ311</f>
        <v/>
      </c>
      <c r="AK312" s="1779">
        <f>AK308+AK311</f>
        <v/>
      </c>
      <c r="AL312" s="1795">
        <f>AL308+AL311</f>
        <v/>
      </c>
      <c r="AM312" s="1795">
        <f>AM308+AM311</f>
        <v/>
      </c>
      <c r="AN312" s="1795">
        <f>AN308+AN311</f>
        <v/>
      </c>
      <c r="AO312" s="1795">
        <f>AO308+AO311</f>
        <v/>
      </c>
      <c r="AP312" s="1779">
        <f>AP308+AP311</f>
        <v/>
      </c>
      <c r="AQ312" s="1795">
        <f>AQ308+AQ311</f>
        <v/>
      </c>
      <c r="AR312" s="1795">
        <f>AR308+AR311</f>
        <v/>
      </c>
      <c r="AS312" s="1795">
        <f>AS308+AS311</f>
        <v/>
      </c>
      <c r="AT312" s="1795">
        <f>AT308+AT311</f>
        <v/>
      </c>
      <c r="AU312" s="1779">
        <f>AU308+AU311</f>
        <v/>
      </c>
      <c r="AV312" s="1795">
        <f>AV308+AV311</f>
        <v/>
      </c>
      <c r="AW312" s="1795">
        <f>AW308+AW311</f>
        <v/>
      </c>
      <c r="AX312" s="1795">
        <f>AX308+AX311</f>
        <v/>
      </c>
      <c r="AY312" s="1795">
        <f>AY308+AY311</f>
        <v/>
      </c>
      <c r="AZ312" s="1779">
        <f>AZ308+AZ311</f>
        <v/>
      </c>
      <c r="BA312" s="1795">
        <f>BA308+BA311</f>
        <v/>
      </c>
      <c r="BB312" s="1795">
        <f>BB308+BB311</f>
        <v/>
      </c>
      <c r="BC312" s="1795">
        <f>BC308+BC311</f>
        <v/>
      </c>
      <c r="BD312" s="1795">
        <f>BD308+BD311</f>
        <v/>
      </c>
      <c r="BE312" s="1779">
        <f>BE308+BE311</f>
        <v/>
      </c>
      <c r="BF312" s="1795">
        <f>BF308+BF311</f>
        <v/>
      </c>
      <c r="BG312" s="1795">
        <f>BG308+BG311</f>
        <v/>
      </c>
      <c r="BH312" s="1795">
        <f>BH308+BH311</f>
        <v/>
      </c>
      <c r="BI312" s="1795">
        <f>BI308+BI311</f>
        <v/>
      </c>
      <c r="BJ312" s="1779">
        <f>BJ308+BJ311</f>
        <v/>
      </c>
      <c r="BK312" s="1795">
        <f>BK308+BK311</f>
        <v/>
      </c>
      <c r="BL312" s="1795">
        <f>BL308+BL311</f>
        <v/>
      </c>
      <c r="BM312" s="1795">
        <f>BM308+BM311</f>
        <v/>
      </c>
      <c r="BN312" s="1795">
        <f>BN308+BN311</f>
        <v/>
      </c>
      <c r="BO312" s="1796">
        <f>BO308+BO311</f>
        <v/>
      </c>
      <c r="BP312" s="1642" t="n"/>
      <c r="BQ312" s="1642" t="n"/>
      <c r="BR312" s="1642" t="n"/>
      <c r="BS312" s="1642" t="n"/>
      <c r="BT312" s="1641" t="n"/>
      <c r="BU312" s="1642" t="n"/>
      <c r="BV312" s="1642" t="n"/>
      <c r="BW312" s="1642" t="n"/>
      <c r="BX312" s="1642" t="n"/>
      <c r="BY312" s="1641" t="n"/>
      <c r="BZ312" s="1641" t="n"/>
      <c r="CA312" s="1641" t="n"/>
      <c r="CB312" s="1641" t="n"/>
      <c r="CC312" s="1634" t="n"/>
    </row>
    <row r="313" hidden="1" outlineLevel="2" ht="15" customFormat="1" customHeight="1" s="1561">
      <c r="A313" s="1805" t="inlineStr">
        <is>
          <t>Current income taxes</t>
        </is>
      </c>
      <c r="B313" s="1705" t="n"/>
      <c r="C313" s="1787" t="n">
        <v>-29.97</v>
      </c>
      <c r="D313" s="1787" t="n">
        <v>-180.613</v>
      </c>
      <c r="E313" s="1787" t="n">
        <v>-129.127</v>
      </c>
      <c r="F313" s="1787" t="n">
        <v>-79.255</v>
      </c>
      <c r="G313" s="1706" t="n">
        <v>-52.753</v>
      </c>
      <c r="H313" s="1562" t="n"/>
      <c r="I313" s="1562" t="n"/>
      <c r="J313" s="1562" t="n"/>
      <c r="K313" s="1562" t="n"/>
      <c r="L313" s="1706" t="n">
        <v>-130.425</v>
      </c>
      <c r="M313" s="1562" t="n"/>
      <c r="N313" s="1562" t="n"/>
      <c r="O313" s="1562" t="n"/>
      <c r="P313" s="1562" t="n"/>
      <c r="Q313" s="1706" t="n">
        <v>-116.094</v>
      </c>
      <c r="R313" s="1562" t="n"/>
      <c r="S313" s="1562" t="n"/>
      <c r="T313" s="1562" t="n"/>
      <c r="U313" s="1562" t="n"/>
      <c r="V313" s="1706" t="n">
        <v>-157.9</v>
      </c>
      <c r="W313" s="1562" t="n"/>
      <c r="X313" s="1562" t="n"/>
      <c r="Y313" s="1562" t="n"/>
      <c r="Z313" s="1562" t="n"/>
      <c r="AA313" s="1706" t="n">
        <v>-367.1</v>
      </c>
      <c r="AB313" s="1562" t="n"/>
      <c r="AC313" s="1562" t="n"/>
      <c r="AD313" s="1562" t="n"/>
      <c r="AE313" s="1562" t="n"/>
      <c r="AF313" s="1706" t="n">
        <v>-643.5</v>
      </c>
      <c r="AG313" s="1562" t="n"/>
      <c r="AH313" s="1562" t="n"/>
      <c r="AI313" s="1562" t="n"/>
      <c r="AJ313" s="1562" t="n"/>
      <c r="AK313" s="1706" t="n">
        <v>-423.9</v>
      </c>
      <c r="AL313" s="1562" t="n"/>
      <c r="AM313" s="1562" t="n"/>
      <c r="AN313" s="1562" t="n"/>
      <c r="AO313" s="1562" t="n"/>
      <c r="AP313" s="1706" t="n">
        <v>-783</v>
      </c>
      <c r="AQ313" s="1562" t="n"/>
      <c r="AR313" s="1562" t="n"/>
      <c r="AS313" s="1562" t="n"/>
      <c r="AT313" s="1562" t="n"/>
      <c r="AU313" s="1706" t="n">
        <v>-1388.5</v>
      </c>
      <c r="AV313" s="1562" t="n"/>
      <c r="AW313" s="1562" t="n"/>
      <c r="AX313" s="1562" t="n"/>
      <c r="AY313" s="1562" t="n"/>
      <c r="AZ313" s="1706" t="n">
        <v>-1496.7</v>
      </c>
      <c r="BA313" s="1562" t="n"/>
      <c r="BB313" s="1562" t="n"/>
      <c r="BC313" s="1562" t="n"/>
      <c r="BD313" s="1562" t="n"/>
      <c r="BE313" s="1706" t="n">
        <v>-1653</v>
      </c>
      <c r="BF313" s="1562" t="n"/>
      <c r="BG313" s="1562" t="n"/>
      <c r="BH313" s="1562" t="n"/>
      <c r="BI313" s="1562" t="n"/>
      <c r="BJ313" s="1706" t="n">
        <v>-1746.8</v>
      </c>
      <c r="BK313" s="1562" t="n"/>
      <c r="BL313" s="1562" t="n"/>
      <c r="BM313" s="1562" t="n"/>
      <c r="BN313" s="1562" t="n"/>
      <c r="BO313" s="1638" t="n"/>
      <c r="BP313" s="1562" t="n"/>
      <c r="BQ313" s="1562" t="n"/>
      <c r="BR313" s="1562" t="n"/>
      <c r="BS313" s="1562" t="n"/>
      <c r="BT313" s="1637" t="n"/>
      <c r="BU313" s="1562" t="n"/>
      <c r="BV313" s="1562" t="n"/>
      <c r="BW313" s="1562" t="n"/>
      <c r="BX313" s="1562" t="n"/>
      <c r="BY313" s="1637" t="n"/>
      <c r="BZ313" s="1637" t="n"/>
      <c r="CA313" s="1637" t="n"/>
      <c r="CB313" s="1637" t="n"/>
      <c r="CC313" s="1564" t="n"/>
    </row>
    <row r="314" hidden="1" outlineLevel="2" ht="15" customFormat="1" customHeight="1" s="1561">
      <c r="A314" s="1806" t="inlineStr">
        <is>
          <t>Deferred income taxes</t>
        </is>
      </c>
      <c r="B314" s="1708" t="n"/>
      <c r="C314" s="1790" t="n">
        <v>50.595</v>
      </c>
      <c r="D314" s="1790" t="n">
        <v>-40.09</v>
      </c>
      <c r="E314" s="1790" t="n">
        <v>-52.548</v>
      </c>
      <c r="F314" s="1790" t="n">
        <v>74.99299999999999</v>
      </c>
      <c r="G314" s="1709" t="n">
        <v>44.766</v>
      </c>
      <c r="H314" s="1710" t="n"/>
      <c r="I314" s="1710" t="n"/>
      <c r="J314" s="1710" t="n"/>
      <c r="K314" s="1710" t="n"/>
      <c r="L314" s="1709" t="n">
        <v>53.43</v>
      </c>
      <c r="M314" s="1710" t="n"/>
      <c r="N314" s="1710" t="n"/>
      <c r="O314" s="1710" t="n"/>
      <c r="P314" s="1710" t="n"/>
      <c r="Q314" s="1709" t="n">
        <v>-45.352</v>
      </c>
      <c r="R314" s="1710" t="n"/>
      <c r="S314" s="1710" t="n"/>
      <c r="T314" s="1710" t="n"/>
      <c r="U314" s="1710" t="n"/>
      <c r="V314" s="1709" t="n">
        <v>-61.6</v>
      </c>
      <c r="W314" s="1710" t="n"/>
      <c r="X314" s="1710" t="n"/>
      <c r="Y314" s="1710" t="n"/>
      <c r="Z314" s="1710" t="n"/>
      <c r="AA314" s="1709" t="n">
        <v>56.4</v>
      </c>
      <c r="AB314" s="1710" t="n"/>
      <c r="AC314" s="1710" t="n"/>
      <c r="AD314" s="1710" t="n"/>
      <c r="AE314" s="1710" t="n"/>
      <c r="AF314" s="1709" t="n">
        <v>291.9</v>
      </c>
      <c r="AG314" s="1710" t="n"/>
      <c r="AH314" s="1710" t="n"/>
      <c r="AI314" s="1710" t="n"/>
      <c r="AJ314" s="1710" t="n"/>
      <c r="AK314" s="1709" t="n">
        <v>232.2</v>
      </c>
      <c r="AL314" s="1710" t="n"/>
      <c r="AM314" s="1710" t="n"/>
      <c r="AN314" s="1710" t="n"/>
      <c r="AO314" s="1710" t="n"/>
      <c r="AP314" s="1709" t="n">
        <v>231.5</v>
      </c>
      <c r="AQ314" s="1710" t="n"/>
      <c r="AR314" s="1710" t="n"/>
      <c r="AS314" s="1710" t="n"/>
      <c r="AT314" s="1710" t="n"/>
      <c r="AU314" s="1709" t="n">
        <v>367.1</v>
      </c>
      <c r="AV314" s="1710" t="n"/>
      <c r="AW314" s="1710" t="n"/>
      <c r="AX314" s="1710" t="n"/>
      <c r="AY314" s="1710" t="n"/>
      <c r="AZ314" s="1709" t="n">
        <v>526.8</v>
      </c>
      <c r="BA314" s="1710" t="n"/>
      <c r="BB314" s="1710" t="n"/>
      <c r="BC314" s="1710" t="n"/>
      <c r="BD314" s="1710" t="n"/>
      <c r="BE314" s="1709" t="n">
        <v>217.2</v>
      </c>
      <c r="BF314" s="1710" t="n"/>
      <c r="BG314" s="1710" t="n"/>
      <c r="BH314" s="1710" t="n"/>
      <c r="BI314" s="1710" t="n"/>
      <c r="BJ314" s="1709" t="n">
        <v>66.2</v>
      </c>
      <c r="BK314" s="1710" t="n"/>
      <c r="BL314" s="1710" t="n"/>
      <c r="BM314" s="1710" t="n"/>
      <c r="BN314" s="1710" t="n"/>
      <c r="BO314" s="1711" t="n"/>
      <c r="BP314" s="1710" t="n"/>
      <c r="BQ314" s="1710" t="n"/>
      <c r="BR314" s="1710" t="n"/>
      <c r="BS314" s="1710" t="n"/>
      <c r="BT314" s="1712" t="n"/>
      <c r="BU314" s="1710" t="n"/>
      <c r="BV314" s="1710" t="n"/>
      <c r="BW314" s="1710" t="n"/>
      <c r="BX314" s="1710" t="n"/>
      <c r="BY314" s="1712" t="n"/>
      <c r="BZ314" s="1712" t="n"/>
      <c r="CA314" s="1712" t="n"/>
      <c r="CB314" s="1712" t="n"/>
      <c r="CC314" s="1564" t="n"/>
    </row>
    <row r="315" hidden="1" outlineLevel="1" collapsed="1" ht="15" customFormat="1" customHeight="1" s="1561">
      <c r="A315" s="1789" t="inlineStr">
        <is>
          <t>Provision for income taxes</t>
        </is>
      </c>
      <c r="B315" s="1708" t="n"/>
      <c r="C315" s="1807">
        <f>SUM(C313:C314)</f>
        <v/>
      </c>
      <c r="D315" s="1807">
        <f>SUM(D313:D314)</f>
        <v/>
      </c>
      <c r="E315" s="1807">
        <f>SUM(E313:E314)</f>
        <v/>
      </c>
      <c r="F315" s="1807">
        <f>SUM(F313:F314)</f>
        <v/>
      </c>
      <c r="G315" s="1808">
        <f>SUM(G313:G314)</f>
        <v/>
      </c>
      <c r="H315" s="1716" t="n">
        <v>-14</v>
      </c>
      <c r="I315" s="1716" t="n">
        <v>-25.3</v>
      </c>
      <c r="J315" s="1716" t="n">
        <v>-15.4</v>
      </c>
      <c r="K315" s="1716" t="n">
        <v>-22.3</v>
      </c>
      <c r="L315" s="1808">
        <f>SUM(L313:L314)</f>
        <v/>
      </c>
      <c r="M315" s="1716" t="n">
        <v>-49.5</v>
      </c>
      <c r="N315" s="1716" t="n">
        <v>-45</v>
      </c>
      <c r="O315" s="1716" t="n">
        <v>-45.8</v>
      </c>
      <c r="P315" s="1716" t="n">
        <v>-21.1</v>
      </c>
      <c r="Q315" s="1808">
        <f>SUM(Q313:Q314)</f>
        <v/>
      </c>
      <c r="R315" s="1716" t="n">
        <v>-26.4</v>
      </c>
      <c r="S315" s="1716" t="n">
        <v>-46.8</v>
      </c>
      <c r="T315" s="1716" t="n">
        <v>-65.8</v>
      </c>
      <c r="U315" s="1716" t="n">
        <v>-80.5</v>
      </c>
      <c r="V315" s="1808">
        <f>SUM(V313:V314)</f>
        <v/>
      </c>
      <c r="W315" s="1716" t="n">
        <v>-68.59999999999999</v>
      </c>
      <c r="X315" s="1716" t="n">
        <v>-78.7</v>
      </c>
      <c r="Y315" s="1716" t="n">
        <v>-86</v>
      </c>
      <c r="Z315" s="1716" t="n">
        <v>-77.40000000000001</v>
      </c>
      <c r="AA315" s="1808">
        <f>SUM(AA313:AA314)</f>
        <v/>
      </c>
      <c r="AB315" s="1716" t="n">
        <v>-74.40000000000001</v>
      </c>
      <c r="AC315" s="1716" t="n">
        <v>-107.5</v>
      </c>
      <c r="AD315" s="1716" t="n">
        <v>-129.6</v>
      </c>
      <c r="AE315" s="1791">
        <f>AF315-SUM(AB315,AC315,AD315)</f>
        <v/>
      </c>
      <c r="AF315" s="1808">
        <f>SUM(AF313:AF314)</f>
        <v/>
      </c>
      <c r="AG315" s="1716" t="n">
        <v>17</v>
      </c>
      <c r="AH315" s="1716" t="n">
        <v>-19.1</v>
      </c>
      <c r="AI315" s="1716" t="n">
        <v>-65</v>
      </c>
      <c r="AJ315" s="1791">
        <f>AK315-SUM(AG315,AH315,AI315)</f>
        <v/>
      </c>
      <c r="AK315" s="1808">
        <f>SUM(AK313:AK314)</f>
        <v/>
      </c>
      <c r="AL315" s="1716" t="n">
        <v>-48.5</v>
      </c>
      <c r="AM315" s="1716" t="n">
        <v>-166.4</v>
      </c>
      <c r="AN315" s="1716" t="n">
        <v>-166.5</v>
      </c>
      <c r="AO315" s="1791">
        <f>AP315-SUM(AL315,AM315,AN315)</f>
        <v/>
      </c>
      <c r="AP315" s="1808">
        <f>SUM(AP313:AP314)</f>
        <v/>
      </c>
      <c r="AQ315" s="1716" t="n">
        <v>-230.3</v>
      </c>
      <c r="AR315" s="1716" t="n">
        <v>-204.2</v>
      </c>
      <c r="AS315" s="1716" t="n">
        <v>-270.9</v>
      </c>
      <c r="AT315" s="1791">
        <f>AU315-SUM(AQ315,AR315,AS315)</f>
        <v/>
      </c>
      <c r="AU315" s="1808">
        <f>SUM(AU313:AU314)</f>
        <v/>
      </c>
      <c r="AV315" s="1716" t="n">
        <v>-114.4</v>
      </c>
      <c r="AW315" s="1716" t="n">
        <v>-246.2</v>
      </c>
      <c r="AX315" s="1716" t="n">
        <v>-252</v>
      </c>
      <c r="AY315" s="1791">
        <f>AZ315-SUM(AV315,AW315,AX315)</f>
        <v/>
      </c>
      <c r="AZ315" s="1808">
        <f>SUM(AZ313:AZ314)</f>
        <v/>
      </c>
      <c r="BA315" s="1716" t="n">
        <v>-302.6</v>
      </c>
      <c r="BB315" s="1716" t="n">
        <v>-403.9</v>
      </c>
      <c r="BC315" s="1716" t="n">
        <v>-343.7</v>
      </c>
      <c r="BD315" s="1791">
        <f>BE315-SUM(BA315,BB315,BC315)</f>
        <v/>
      </c>
      <c r="BE315" s="1712">
        <f>SUM(BE313:BE314)</f>
        <v/>
      </c>
      <c r="BF315" s="1716" t="n">
        <v>-224</v>
      </c>
      <c r="BG315" s="1716" t="n">
        <v>-291.6</v>
      </c>
      <c r="BH315" s="1716" t="n">
        <v>-441.2</v>
      </c>
      <c r="BI315" s="1791">
        <f>BJ315-SUM(BF315,BG315,BH315)</f>
        <v/>
      </c>
      <c r="BJ315" s="1712">
        <f>SUM(BJ313:BJ314)</f>
        <v/>
      </c>
      <c r="BK315" s="1716" t="n">
        <v>-465.1</v>
      </c>
      <c r="BL315" s="1716" t="n">
        <v>-487.4</v>
      </c>
      <c r="BM315" s="1716" t="n">
        <v>-442.2</v>
      </c>
      <c r="BN315" s="1791">
        <f>BO315-SUM(BK315,BL315,BM315)</f>
        <v/>
      </c>
      <c r="BO315" s="1792" t="n">
        <v>-2013.4</v>
      </c>
      <c r="BP315" s="1710" t="n"/>
      <c r="BQ315" s="1710" t="n"/>
      <c r="BR315" s="1710" t="n"/>
      <c r="BS315" s="1710" t="n"/>
      <c r="BT315" s="1712" t="n"/>
      <c r="BU315" s="1710" t="n"/>
      <c r="BV315" s="1710" t="n"/>
      <c r="BW315" s="1710" t="n"/>
      <c r="BX315" s="1710" t="n"/>
      <c r="BY315" s="1712" t="n"/>
      <c r="BZ315" s="1712" t="n"/>
      <c r="CA315" s="1712" t="n"/>
      <c r="CB315" s="1712" t="n"/>
      <c r="CC315" s="1564" t="n"/>
    </row>
    <row r="316" hidden="1" outlineLevel="1" ht="15" customFormat="1" customHeight="1" s="1628">
      <c r="A316" s="1778" t="inlineStr">
        <is>
          <t>Income after income taxes</t>
        </is>
      </c>
      <c r="B316" s="1793" t="n"/>
      <c r="C316" s="1794">
        <f>C312+C315</f>
        <v/>
      </c>
      <c r="D316" s="1794">
        <f>D312+D315</f>
        <v/>
      </c>
      <c r="E316" s="1794">
        <f>E312+E315</f>
        <v/>
      </c>
      <c r="F316" s="1794">
        <f>F312+F315</f>
        <v/>
      </c>
      <c r="G316" s="1779">
        <f>G312+G315</f>
        <v/>
      </c>
      <c r="H316" s="1795">
        <f>H312+H315</f>
        <v/>
      </c>
      <c r="I316" s="1795">
        <f>I312+I315</f>
        <v/>
      </c>
      <c r="J316" s="1795">
        <f>J312+J315</f>
        <v/>
      </c>
      <c r="K316" s="1795">
        <f>K312+K315</f>
        <v/>
      </c>
      <c r="L316" s="1779">
        <f>L312+L315</f>
        <v/>
      </c>
      <c r="M316" s="1795">
        <f>M312+M315</f>
        <v/>
      </c>
      <c r="N316" s="1795">
        <f>N312+N315</f>
        <v/>
      </c>
      <c r="O316" s="1795">
        <f>O312+O315</f>
        <v/>
      </c>
      <c r="P316" s="1795">
        <f>P312+P315</f>
        <v/>
      </c>
      <c r="Q316" s="1779">
        <f>Q312+Q315</f>
        <v/>
      </c>
      <c r="R316" s="1795">
        <f>R312+R315</f>
        <v/>
      </c>
      <c r="S316" s="1795">
        <f>S312+S315</f>
        <v/>
      </c>
      <c r="T316" s="1795">
        <f>T312+T315</f>
        <v/>
      </c>
      <c r="U316" s="1795">
        <f>U312+U315</f>
        <v/>
      </c>
      <c r="V316" s="1779">
        <f>V312+V315</f>
        <v/>
      </c>
      <c r="W316" s="1795">
        <f>W312+W315</f>
        <v/>
      </c>
      <c r="X316" s="1795">
        <f>X312+X315</f>
        <v/>
      </c>
      <c r="Y316" s="1795">
        <f>Y312+Y315</f>
        <v/>
      </c>
      <c r="Z316" s="1795">
        <f>Z312+Z315</f>
        <v/>
      </c>
      <c r="AA316" s="1779">
        <f>AA312+AA315</f>
        <v/>
      </c>
      <c r="AB316" s="1795">
        <f>AB312+AB315</f>
        <v/>
      </c>
      <c r="AC316" s="1795">
        <f>AC312+AC315</f>
        <v/>
      </c>
      <c r="AD316" s="1795">
        <f>AD312+AD315</f>
        <v/>
      </c>
      <c r="AE316" s="1795">
        <f>AE312+AE315</f>
        <v/>
      </c>
      <c r="AF316" s="1779">
        <f>AF312+AF315</f>
        <v/>
      </c>
      <c r="AG316" s="1795">
        <f>AG312+AG315</f>
        <v/>
      </c>
      <c r="AH316" s="1795">
        <f>AH312+AH315</f>
        <v/>
      </c>
      <c r="AI316" s="1795">
        <f>AI312+AI315</f>
        <v/>
      </c>
      <c r="AJ316" s="1795">
        <f>AJ312+AJ315</f>
        <v/>
      </c>
      <c r="AK316" s="1779">
        <f>AK312+AK315</f>
        <v/>
      </c>
      <c r="AL316" s="1795">
        <f>AL312+AL315</f>
        <v/>
      </c>
      <c r="AM316" s="1795">
        <f>AM312+AM315</f>
        <v/>
      </c>
      <c r="AN316" s="1795">
        <f>AN312+AN315</f>
        <v/>
      </c>
      <c r="AO316" s="1795">
        <f>AO312+AO315</f>
        <v/>
      </c>
      <c r="AP316" s="1779">
        <f>AP312+AP315</f>
        <v/>
      </c>
      <c r="AQ316" s="1795">
        <f>AQ312+AQ315</f>
        <v/>
      </c>
      <c r="AR316" s="1795">
        <f>AR312+AR315</f>
        <v/>
      </c>
      <c r="AS316" s="1795">
        <f>AS312+AS315</f>
        <v/>
      </c>
      <c r="AT316" s="1795">
        <f>AT312+AT315</f>
        <v/>
      </c>
      <c r="AU316" s="1779">
        <f>AU312+AU315</f>
        <v/>
      </c>
      <c r="AV316" s="1795">
        <f>AV312+AV315</f>
        <v/>
      </c>
      <c r="AW316" s="1795">
        <f>AW312+AW315</f>
        <v/>
      </c>
      <c r="AX316" s="1795">
        <f>AX312+AX315</f>
        <v/>
      </c>
      <c r="AY316" s="1795">
        <f>AY312+AY315</f>
        <v/>
      </c>
      <c r="AZ316" s="1779">
        <f>AZ312+AZ315</f>
        <v/>
      </c>
      <c r="BA316" s="1795">
        <f>BA312+BA315</f>
        <v/>
      </c>
      <c r="BB316" s="1795">
        <f>BB312+BB315</f>
        <v/>
      </c>
      <c r="BC316" s="1795">
        <f>BC312+BC315</f>
        <v/>
      </c>
      <c r="BD316" s="1795">
        <f>BD312+BD315</f>
        <v/>
      </c>
      <c r="BE316" s="1779">
        <f>BE312+BE315</f>
        <v/>
      </c>
      <c r="BF316" s="1795">
        <f>BF312+BF315</f>
        <v/>
      </c>
      <c r="BG316" s="1795">
        <f>BG312+BG315</f>
        <v/>
      </c>
      <c r="BH316" s="1795">
        <f>BH312+BH315</f>
        <v/>
      </c>
      <c r="BI316" s="1795">
        <f>BI312+BI315</f>
        <v/>
      </c>
      <c r="BJ316" s="1779">
        <f>BJ312+BJ315</f>
        <v/>
      </c>
      <c r="BK316" s="1795">
        <f>BK312+BK315</f>
        <v/>
      </c>
      <c r="BL316" s="1795">
        <f>BL312+BL315</f>
        <v/>
      </c>
      <c r="BM316" s="1795">
        <f>BM312+BM315</f>
        <v/>
      </c>
      <c r="BN316" s="1795">
        <f>BN312+BN315</f>
        <v/>
      </c>
      <c r="BO316" s="1796">
        <f>BO312+BO315</f>
        <v/>
      </c>
      <c r="BP316" s="1642" t="n"/>
      <c r="BQ316" s="1642" t="n"/>
      <c r="BR316" s="1642" t="n"/>
      <c r="BS316" s="1642" t="n"/>
      <c r="BT316" s="1641" t="n"/>
      <c r="BU316" s="1642" t="n"/>
      <c r="BV316" s="1642" t="n"/>
      <c r="BW316" s="1642" t="n"/>
      <c r="BX316" s="1642" t="n"/>
      <c r="BY316" s="1641" t="n"/>
      <c r="BZ316" s="1641" t="n"/>
      <c r="CA316" s="1641" t="n"/>
      <c r="CB316" s="1641" t="n"/>
      <c r="CC316" s="1634" t="n"/>
    </row>
    <row r="317" hidden="1" outlineLevel="1" ht="15" customFormat="1" customHeight="1" s="1561">
      <c r="A317" s="1789" t="inlineStr">
        <is>
          <t>Profit (loss) related to equity method investments</t>
        </is>
      </c>
      <c r="B317" s="1708" t="n"/>
      <c r="C317" s="1810" t="n"/>
      <c r="D317" s="1810" t="n"/>
      <c r="E317" s="1810" t="n"/>
      <c r="F317" s="1810" t="n"/>
      <c r="G317" s="1712" t="n"/>
      <c r="H317" s="1710" t="n"/>
      <c r="I317" s="1710" t="n"/>
      <c r="J317" s="1710" t="n"/>
      <c r="K317" s="1710" t="n"/>
      <c r="L317" s="1712" t="n"/>
      <c r="M317" s="1710" t="n"/>
      <c r="N317" s="1710" t="n"/>
      <c r="O317" s="1710" t="n"/>
      <c r="P317" s="1710" t="n"/>
      <c r="Q317" s="1712" t="n"/>
      <c r="R317" s="1710" t="n"/>
      <c r="S317" s="1710" t="n"/>
      <c r="T317" s="1710" t="n"/>
      <c r="U317" s="1710" t="n"/>
      <c r="V317" s="1712" t="n"/>
      <c r="W317" s="1710" t="n"/>
      <c r="X317" s="1710" t="n"/>
      <c r="Y317" s="1710" t="n"/>
      <c r="Z317" s="1716" t="n">
        <v>-16.7</v>
      </c>
      <c r="AA317" s="1709" t="n">
        <v>-16.7</v>
      </c>
      <c r="AB317" s="1716" t="n">
        <v>-17.6</v>
      </c>
      <c r="AC317" s="1716" t="n">
        <v>4.3</v>
      </c>
      <c r="AD317" s="1716" t="n">
        <v>0.3</v>
      </c>
      <c r="AE317" s="1791">
        <f>AF317-SUM(AB317,AC317,AD317)</f>
        <v/>
      </c>
      <c r="AF317" s="1709" t="n">
        <v>6.2</v>
      </c>
      <c r="AG317" s="1716" t="n">
        <v>12</v>
      </c>
      <c r="AH317" s="1716" t="n">
        <v>7.7</v>
      </c>
      <c r="AI317" s="1716" t="n">
        <v>11.6</v>
      </c>
      <c r="AJ317" s="1791">
        <f>AK317-SUM(AG317,AH317,AI317)</f>
        <v/>
      </c>
      <c r="AK317" s="1709" t="n">
        <v>18.2</v>
      </c>
      <c r="AL317" s="1716" t="n">
        <v>23.8</v>
      </c>
      <c r="AM317" s="1716" t="n">
        <v>19.4</v>
      </c>
      <c r="AN317" s="1716" t="n">
        <v>20.5</v>
      </c>
      <c r="AO317" s="1791">
        <f>AP317-SUM(AL317,AM317,AN317)</f>
        <v/>
      </c>
      <c r="AP317" s="1709" t="n">
        <v>88.59999999999999</v>
      </c>
      <c r="AQ317" s="1716" t="n">
        <v>13.2</v>
      </c>
      <c r="AR317" s="1716" t="n">
        <v>13.2</v>
      </c>
      <c r="AS317" s="1716" t="n">
        <v>102.3</v>
      </c>
      <c r="AT317" s="1791">
        <f>AU317-SUM(AQ317,AR317,AS317)</f>
        <v/>
      </c>
      <c r="AU317" s="1709" t="n">
        <v>199.1</v>
      </c>
      <c r="AV317" s="1716" t="n">
        <v>40.7</v>
      </c>
      <c r="AW317" s="1716" t="n">
        <v>14.5</v>
      </c>
      <c r="AX317" s="1716" t="n">
        <v>30.1</v>
      </c>
      <c r="AY317" s="1791">
        <f>AZ317-SUM(AV317,AW317,AX317)</f>
        <v/>
      </c>
      <c r="AZ317" s="1709" t="n">
        <v>138</v>
      </c>
      <c r="BA317" s="1716" t="n">
        <v>41.2</v>
      </c>
      <c r="BB317" s="1716" t="n">
        <v>65.90000000000001</v>
      </c>
      <c r="BC317" s="1716" t="n">
        <v>47.6</v>
      </c>
      <c r="BD317" s="1791">
        <f>BE317-SUM(BA317,BB317,BC317)</f>
        <v/>
      </c>
      <c r="BE317" s="1709" t="n">
        <v>191.3</v>
      </c>
      <c r="BF317" s="1716" t="n">
        <v>30.2</v>
      </c>
      <c r="BG317" s="1716" t="n">
        <v>46.8</v>
      </c>
      <c r="BH317" s="1716" t="n">
        <v>77.3</v>
      </c>
      <c r="BI317" s="1791">
        <f>BJ317-SUM(BF317,BG317,BH317)</f>
        <v/>
      </c>
      <c r="BJ317" s="1709" t="n">
        <v>209.8</v>
      </c>
      <c r="BK317" s="1716" t="n">
        <v>33</v>
      </c>
      <c r="BL317" s="1716" t="n">
        <v>88.8</v>
      </c>
      <c r="BM317" s="1716" t="n">
        <v>78.90000000000001</v>
      </c>
      <c r="BN317" s="1791">
        <f>BO317-SUM(BK317,BL317,BM317)</f>
        <v/>
      </c>
      <c r="BO317" s="1792" t="n">
        <v>216.7</v>
      </c>
      <c r="BP317" s="1710" t="n"/>
      <c r="BQ317" s="1710" t="n"/>
      <c r="BR317" s="1710" t="n"/>
      <c r="BS317" s="1710" t="n"/>
      <c r="BT317" s="1712" t="n"/>
      <c r="BU317" s="1710" t="n"/>
      <c r="BV317" s="1710" t="n"/>
      <c r="BW317" s="1710" t="n"/>
      <c r="BX317" s="1710" t="n"/>
      <c r="BY317" s="1712" t="n"/>
      <c r="BZ317" s="1712" t="n"/>
      <c r="CA317" s="1712" t="n"/>
      <c r="CB317" s="1712" t="n"/>
      <c r="CC317" s="1564" t="n"/>
    </row>
    <row r="318" hidden="1" outlineLevel="1" ht="15" customFormat="1" customHeight="1" s="1628">
      <c r="A318" s="1811" t="inlineStr">
        <is>
          <t>Net income</t>
        </is>
      </c>
      <c r="B318" s="1812" t="n"/>
      <c r="C318" s="1813">
        <f>SUM(C316:C317)</f>
        <v/>
      </c>
      <c r="D318" s="1813">
        <f>SUM(D316:D317)</f>
        <v/>
      </c>
      <c r="E318" s="1813">
        <f>SUM(E316:E317)</f>
        <v/>
      </c>
      <c r="F318" s="1813">
        <f>SUM(F316:F317)</f>
        <v/>
      </c>
      <c r="G318" s="1814">
        <f>SUM(G316:G317)</f>
        <v/>
      </c>
      <c r="H318" s="1815">
        <f>SUM(H316:H317)</f>
        <v/>
      </c>
      <c r="I318" s="1815">
        <f>SUM(I316:I317)</f>
        <v/>
      </c>
      <c r="J318" s="1815">
        <f>SUM(J316:J317)</f>
        <v/>
      </c>
      <c r="K318" s="1815">
        <f>SUM(K316:K317)</f>
        <v/>
      </c>
      <c r="L318" s="1814">
        <f>SUM(L316:L317)</f>
        <v/>
      </c>
      <c r="M318" s="1815">
        <f>SUM(M316:M317)</f>
        <v/>
      </c>
      <c r="N318" s="1815">
        <f>SUM(N316:N317)</f>
        <v/>
      </c>
      <c r="O318" s="1815">
        <f>SUM(O316:O317)</f>
        <v/>
      </c>
      <c r="P318" s="1815">
        <f>SUM(P316:P317)</f>
        <v/>
      </c>
      <c r="Q318" s="1814">
        <f>SUM(Q316:Q317)</f>
        <v/>
      </c>
      <c r="R318" s="1815">
        <f>SUM(R316:R317)</f>
        <v/>
      </c>
      <c r="S318" s="1815">
        <f>SUM(S316:S317)</f>
        <v/>
      </c>
      <c r="T318" s="1815">
        <f>SUM(T316:T317)</f>
        <v/>
      </c>
      <c r="U318" s="1815">
        <f>SUM(U316:U317)</f>
        <v/>
      </c>
      <c r="V318" s="1814">
        <f>SUM(V316:V317)</f>
        <v/>
      </c>
      <c r="W318" s="1815">
        <f>SUM(W316:W317)</f>
        <v/>
      </c>
      <c r="X318" s="1815">
        <f>SUM(X316:X317)</f>
        <v/>
      </c>
      <c r="Y318" s="1815">
        <f>SUM(Y316:Y317)</f>
        <v/>
      </c>
      <c r="Z318" s="1815">
        <f>SUM(Z316:Z317)</f>
        <v/>
      </c>
      <c r="AA318" s="1814">
        <f>SUM(AA316:AA317)</f>
        <v/>
      </c>
      <c r="AB318" s="1815">
        <f>SUM(AB316:AB317)</f>
        <v/>
      </c>
      <c r="AC318" s="1815">
        <f>SUM(AC316:AC317)</f>
        <v/>
      </c>
      <c r="AD318" s="1815">
        <f>SUM(AD316:AD317)</f>
        <v/>
      </c>
      <c r="AE318" s="1815">
        <f>SUM(AE316:AE317)</f>
        <v/>
      </c>
      <c r="AF318" s="1814">
        <f>SUM(AF316:AF317)</f>
        <v/>
      </c>
      <c r="AG318" s="1815">
        <f>SUM(AG316:AG317)</f>
        <v/>
      </c>
      <c r="AH318" s="1815">
        <f>SUM(AH316:AH317)</f>
        <v/>
      </c>
      <c r="AI318" s="1815">
        <f>SUM(AI316:AI317)</f>
        <v/>
      </c>
      <c r="AJ318" s="1815">
        <f>SUM(AJ316:AJ317)</f>
        <v/>
      </c>
      <c r="AK318" s="1814">
        <f>SUM(AK316:AK317)</f>
        <v/>
      </c>
      <c r="AL318" s="1815">
        <f>SUM(AL316:AL317)</f>
        <v/>
      </c>
      <c r="AM318" s="1815">
        <f>SUM(AM316:AM317)</f>
        <v/>
      </c>
      <c r="AN318" s="1815">
        <f>SUM(AN316:AN317)</f>
        <v/>
      </c>
      <c r="AO318" s="1815">
        <f>SUM(AO316:AO317)</f>
        <v/>
      </c>
      <c r="AP318" s="1814">
        <f>SUM(AP316:AP317)</f>
        <v/>
      </c>
      <c r="AQ318" s="1815">
        <f>SUM(AQ316:AQ317)</f>
        <v/>
      </c>
      <c r="AR318" s="1815">
        <f>SUM(AR316:AR317)</f>
        <v/>
      </c>
      <c r="AS318" s="1815">
        <f>SUM(AS316:AS317)</f>
        <v/>
      </c>
      <c r="AT318" s="1815">
        <f>SUM(AT316:AT317)</f>
        <v/>
      </c>
      <c r="AU318" s="1814">
        <f>SUM(AU316:AU317)</f>
        <v/>
      </c>
      <c r="AV318" s="1815">
        <f>SUM(AV316:AV317)</f>
        <v/>
      </c>
      <c r="AW318" s="1815">
        <f>SUM(AW316:AW317)</f>
        <v/>
      </c>
      <c r="AX318" s="1815">
        <f>SUM(AX316:AX317)</f>
        <v/>
      </c>
      <c r="AY318" s="1815">
        <f>SUM(AY316:AY317)</f>
        <v/>
      </c>
      <c r="AZ318" s="1814">
        <f>SUM(AZ316:AZ317)</f>
        <v/>
      </c>
      <c r="BA318" s="1815">
        <f>SUM(BA316:BA317)</f>
        <v/>
      </c>
      <c r="BB318" s="1815">
        <f>SUM(BB316:BB317)</f>
        <v/>
      </c>
      <c r="BC318" s="1815">
        <f>SUM(BC316:BC317)</f>
        <v/>
      </c>
      <c r="BD318" s="1815">
        <f>SUM(BD316:BD317)</f>
        <v/>
      </c>
      <c r="BE318" s="1814">
        <f>SUM(BE316:BE317)</f>
        <v/>
      </c>
      <c r="BF318" s="1815">
        <f>SUM(BF316:BF317)</f>
        <v/>
      </c>
      <c r="BG318" s="1815">
        <f>SUM(BG316:BG317)</f>
        <v/>
      </c>
      <c r="BH318" s="1815">
        <f>SUM(BH316:BH317)</f>
        <v/>
      </c>
      <c r="BI318" s="1815">
        <f>SUM(BI316:BI317)</f>
        <v/>
      </c>
      <c r="BJ318" s="1814">
        <f>SUM(BJ316:BJ317)</f>
        <v/>
      </c>
      <c r="BK318" s="1815">
        <f>SUM(BK316:BK317)</f>
        <v/>
      </c>
      <c r="BL318" s="1815">
        <f>SUM(BL316:BL317)</f>
        <v/>
      </c>
      <c r="BM318" s="1815">
        <f>SUM(BM316:BM317)</f>
        <v/>
      </c>
      <c r="BN318" s="1815">
        <f>SUM(BN316:BN317)</f>
        <v/>
      </c>
      <c r="BO318" s="1816">
        <f>SUM(BO316:BO317)</f>
        <v/>
      </c>
      <c r="BP318" s="1817" t="n"/>
      <c r="BQ318" s="1817" t="n"/>
      <c r="BR318" s="1817" t="n"/>
      <c r="BS318" s="1817" t="n"/>
      <c r="BT318" s="1818" t="n"/>
      <c r="BU318" s="1817" t="n"/>
      <c r="BV318" s="1817" t="n"/>
      <c r="BW318" s="1817" t="n"/>
      <c r="BX318" s="1817" t="n"/>
      <c r="BY318" s="1818" t="n"/>
      <c r="BZ318" s="1818" t="n"/>
      <c r="CA318" s="1818" t="n"/>
      <c r="CB318" s="1818" t="n"/>
      <c r="CC318" s="1634" t="n"/>
    </row>
    <row r="319" hidden="1" outlineLevel="1" ht="15" customFormat="1" customHeight="1" s="1628">
      <c r="A319" s="1819" t="n"/>
      <c r="B319" s="1793" t="n"/>
      <c r="C319" s="1820" t="n"/>
      <c r="D319" s="1820" t="n"/>
      <c r="E319" s="1820" t="n"/>
      <c r="F319" s="1820" t="n"/>
      <c r="G319" s="1820" t="n"/>
      <c r="H319" s="1821" t="n"/>
      <c r="I319" s="1821" t="n"/>
      <c r="J319" s="1821" t="n"/>
      <c r="K319" s="1821" t="n"/>
      <c r="L319" s="1820" t="n"/>
      <c r="M319" s="1821" t="n"/>
      <c r="N319" s="1821" t="n"/>
      <c r="O319" s="1821" t="n"/>
      <c r="P319" s="1821" t="n"/>
      <c r="Q319" s="1820" t="n"/>
      <c r="R319" s="1821" t="n"/>
      <c r="S319" s="1642" t="n"/>
      <c r="T319" s="1821" t="n"/>
      <c r="U319" s="1821" t="n"/>
      <c r="V319" s="1820" t="n"/>
      <c r="W319" s="1821" t="n"/>
      <c r="X319" s="1642" t="n"/>
      <c r="Y319" s="1821" t="n"/>
      <c r="Z319" s="1821" t="n"/>
      <c r="AA319" s="1820" t="n"/>
      <c r="AB319" s="1821" t="n"/>
      <c r="AC319" s="1642" t="n"/>
      <c r="AD319" s="1821" t="n"/>
      <c r="AE319" s="1821" t="n"/>
      <c r="AF319" s="1820" t="n"/>
      <c r="AG319" s="1821" t="n"/>
      <c r="AH319" s="1642" t="n"/>
      <c r="AI319" s="1821" t="n"/>
      <c r="AJ319" s="1821" t="n"/>
      <c r="AK319" s="1820" t="n"/>
      <c r="AL319" s="1821" t="n"/>
      <c r="AM319" s="1642" t="n"/>
      <c r="AN319" s="1821" t="n"/>
      <c r="AO319" s="1821" t="n"/>
      <c r="AP319" s="1820" t="n"/>
      <c r="AQ319" s="1821" t="n"/>
      <c r="AR319" s="1642" t="n"/>
      <c r="AS319" s="1821" t="n"/>
      <c r="AT319" s="1821" t="n"/>
      <c r="AU319" s="1820" t="n"/>
      <c r="AV319" s="1821" t="n"/>
      <c r="AW319" s="1642" t="n"/>
      <c r="AX319" s="1821" t="n"/>
      <c r="AY319" s="1821" t="n"/>
      <c r="AZ319" s="1820" t="n"/>
      <c r="BA319" s="1821" t="n"/>
      <c r="BB319" s="1642" t="n"/>
      <c r="BC319" s="1821" t="n"/>
      <c r="BD319" s="1821" t="n"/>
      <c r="BE319" s="1820" t="n"/>
      <c r="BF319" s="1821" t="n"/>
      <c r="BG319" s="1642" t="n"/>
      <c r="BH319" s="1821" t="n"/>
      <c r="BI319" s="1821" t="n"/>
      <c r="BJ319" s="1820" t="n"/>
      <c r="BK319" s="1821" t="n"/>
      <c r="BL319" s="1642" t="n"/>
      <c r="BM319" s="1821" t="n"/>
      <c r="BN319" s="1821" t="n"/>
      <c r="BO319" s="1822" t="n"/>
      <c r="BP319" s="1642" t="n"/>
      <c r="BQ319" s="1642" t="n"/>
      <c r="BR319" s="1642" t="n"/>
      <c r="BS319" s="1642" t="n"/>
      <c r="BT319" s="1641" t="n"/>
      <c r="BU319" s="1642" t="n"/>
      <c r="BV319" s="1642" t="n"/>
      <c r="BW319" s="1642" t="n"/>
      <c r="BX319" s="1642" t="n"/>
      <c r="BY319" s="1641" t="n"/>
      <c r="BZ319" s="1641" t="n"/>
      <c r="CA319" s="1641" t="n"/>
      <c r="CB319" s="1641" t="n"/>
      <c r="CC319" s="1634" t="n"/>
    </row>
    <row r="320" hidden="1" outlineLevel="1" ht="15" customFormat="1" customHeight="1" s="1561">
      <c r="A320" s="1823" t="inlineStr">
        <is>
          <t>IS Check</t>
        </is>
      </c>
      <c r="B320" s="1823" t="n"/>
      <c r="C320" s="1824">
        <f>IF(ISBLANK(INDEX(MO_IS_FirstRow,0,COLUMN())),0,ROUND(C318-C526,6))</f>
        <v/>
      </c>
      <c r="D320" s="1824">
        <f>IF(ISBLANK(INDEX(MO_IS_FirstRow,0,COLUMN())),0,ROUND(D318-D526,6))</f>
        <v/>
      </c>
      <c r="E320" s="1824">
        <f>IF(ISBLANK(INDEX(MO_IS_FirstRow,0,COLUMN())),0,ROUND(E318-E526,6))</f>
        <v/>
      </c>
      <c r="F320" s="1824">
        <f>IF(ISBLANK(INDEX(MO_IS_FirstRow,0,COLUMN())),0,ROUND(F318-F526,6))</f>
        <v/>
      </c>
      <c r="G320" s="1824">
        <f>IF(ISBLANK(INDEX(MO_IS_FirstRow,0,COLUMN())),0,ROUND(G318-G526,6))</f>
        <v/>
      </c>
      <c r="H320" s="1824">
        <f>IF(ISBLANK(INDEX(MO_IS_FirstRow,0,COLUMN())),0,ROUND(H318-H526,6))</f>
        <v/>
      </c>
      <c r="I320" s="1824">
        <f>IF(ISBLANK(INDEX(MO_IS_FirstRow,0,COLUMN())),0,ROUND(I318-I526,6))</f>
        <v/>
      </c>
      <c r="J320" s="1824">
        <f>IF(ISBLANK(INDEX(MO_IS_FirstRow,0,COLUMN())),0,ROUND(J318-J526,6))</f>
        <v/>
      </c>
      <c r="K320" s="1824">
        <f>IF(ISBLANK(INDEX(MO_IS_FirstRow,0,COLUMN())),0,ROUND(K318-K526,6))</f>
        <v/>
      </c>
      <c r="L320" s="1824">
        <f>IF(ISBLANK(INDEX(MO_IS_FirstRow,0,COLUMN())),0,ROUND(L318-L526,6))</f>
        <v/>
      </c>
      <c r="M320" s="1824">
        <f>IF(ISBLANK(INDEX(MO_IS_FirstRow,0,COLUMN())),0,ROUND(M318-M526,6))</f>
        <v/>
      </c>
      <c r="N320" s="1824">
        <f>IF(ISBLANK(INDEX(MO_IS_FirstRow,0,COLUMN())),0,ROUND(N318-N526,6))</f>
        <v/>
      </c>
      <c r="O320" s="1824">
        <f>IF(ISBLANK(INDEX(MO_IS_FirstRow,0,COLUMN())),0,ROUND(O318-O526,6))</f>
        <v/>
      </c>
      <c r="P320" s="1824">
        <f>IF(ISBLANK(INDEX(MO_IS_FirstRow,0,COLUMN())),0,ROUND(P318-P526,6))</f>
        <v/>
      </c>
      <c r="Q320" s="1824">
        <f>IF(ISBLANK(INDEX(MO_IS_FirstRow,0,COLUMN())),0,ROUND(Q318-Q526,6))</f>
        <v/>
      </c>
      <c r="R320" s="1824">
        <f>IF(ISBLANK(INDEX(MO_IS_FirstRow,0,COLUMN())),0,ROUND(R318-R526,6))</f>
        <v/>
      </c>
      <c r="S320" s="1824">
        <f>IF(ISBLANK(INDEX(MO_IS_FirstRow,0,COLUMN())),0,ROUND(S318-S526,6))</f>
        <v/>
      </c>
      <c r="T320" s="1824">
        <f>IF(ISBLANK(INDEX(MO_IS_FirstRow,0,COLUMN())),0,ROUND(T318-T526,6))</f>
        <v/>
      </c>
      <c r="U320" s="1824">
        <f>IF(ISBLANK(INDEX(MO_IS_FirstRow,0,COLUMN())),0,ROUND(U318-U526,6))</f>
        <v/>
      </c>
      <c r="V320" s="1824">
        <f>IF(ISBLANK(INDEX(MO_IS_FirstRow,0,COLUMN())),0,ROUND(V318-V526,6))</f>
        <v/>
      </c>
      <c r="W320" s="1824">
        <f>IF(ISBLANK(INDEX(MO_IS_FirstRow,0,COLUMN())),0,ROUND(W318-W526,6))</f>
        <v/>
      </c>
      <c r="X320" s="1824">
        <f>IF(ISBLANK(INDEX(MO_IS_FirstRow,0,COLUMN())),0,ROUND(X318-X526,6))</f>
        <v/>
      </c>
      <c r="Y320" s="1824">
        <f>IF(ISBLANK(INDEX(MO_IS_FirstRow,0,COLUMN())),0,ROUND(Y318-Y526,6))</f>
        <v/>
      </c>
      <c r="Z320" s="1824">
        <f>IF(ISBLANK(INDEX(MO_IS_FirstRow,0,COLUMN())),0,ROUND(Z318-Z526,6))</f>
        <v/>
      </c>
      <c r="AA320" s="1824">
        <f>IF(ISBLANK(INDEX(MO_IS_FirstRow,0,COLUMN())),0,ROUND(AA318-AA526,6))</f>
        <v/>
      </c>
      <c r="AB320" s="1824">
        <f>IF(ISBLANK(INDEX(MO_IS_FirstRow,0,COLUMN())),0,ROUND(AB318-AB526,6))</f>
        <v/>
      </c>
      <c r="AC320" s="1824">
        <f>IF(ISBLANK(INDEX(MO_IS_FirstRow,0,COLUMN())),0,ROUND(AC318-AC526,6))</f>
        <v/>
      </c>
      <c r="AD320" s="1824">
        <f>IF(ISBLANK(INDEX(MO_IS_FirstRow,0,COLUMN())),0,ROUND(AD318-AD526,6))</f>
        <v/>
      </c>
      <c r="AE320" s="1824">
        <f>IF(ISBLANK(INDEX(MO_IS_FirstRow,0,COLUMN())),0,ROUND(AE318-AE526,6))</f>
        <v/>
      </c>
      <c r="AF320" s="1824">
        <f>IF(ISBLANK(INDEX(MO_IS_FirstRow,0,COLUMN())),0,ROUND(AF318-AF526,6))</f>
        <v/>
      </c>
      <c r="AG320" s="1824">
        <f>IF(ISBLANK(INDEX(MO_IS_FirstRow,0,COLUMN())),0,ROUND(AG318-AG526,6))</f>
        <v/>
      </c>
      <c r="AH320" s="1824">
        <f>IF(ISBLANK(INDEX(MO_IS_FirstRow,0,COLUMN())),0,ROUND(AH318-AH526,6))</f>
        <v/>
      </c>
      <c r="AI320" s="1824">
        <f>IF(ISBLANK(INDEX(MO_IS_FirstRow,0,COLUMN())),0,ROUND(AI318-AI526,6))</f>
        <v/>
      </c>
      <c r="AJ320" s="1824">
        <f>IF(ISBLANK(INDEX(MO_IS_FirstRow,0,COLUMN())),0,ROUND(AJ318-AJ526,6))</f>
        <v/>
      </c>
      <c r="AK320" s="1824">
        <f>IF(ISBLANK(INDEX(MO_IS_FirstRow,0,COLUMN())),0,ROUND(AK318-AK526,6))</f>
        <v/>
      </c>
      <c r="AL320" s="1824">
        <f>IF(ISBLANK(INDEX(MO_IS_FirstRow,0,COLUMN())),0,ROUND(AL318-AL526,6))</f>
        <v/>
      </c>
      <c r="AM320" s="1824">
        <f>IF(ISBLANK(INDEX(MO_IS_FirstRow,0,COLUMN())),0,ROUND(AM318-AM526,6))</f>
        <v/>
      </c>
      <c r="AN320" s="1824">
        <f>IF(ISBLANK(INDEX(MO_IS_FirstRow,0,COLUMN())),0,ROUND(AN318-AN526,6))</f>
        <v/>
      </c>
      <c r="AO320" s="1824">
        <f>IF(ISBLANK(INDEX(MO_IS_FirstRow,0,COLUMN())),0,ROUND(AO318-AO526,6))</f>
        <v/>
      </c>
      <c r="AP320" s="1824">
        <f>IF(ISBLANK(INDEX(MO_IS_FirstRow,0,COLUMN())),0,ROUND(AP318-AP526,6))</f>
        <v/>
      </c>
      <c r="AQ320" s="1824">
        <f>IF(ISBLANK(INDEX(MO_IS_FirstRow,0,COLUMN())),0,ROUND(AQ318-AQ526,6))</f>
        <v/>
      </c>
      <c r="AR320" s="1824">
        <f>IF(ISBLANK(INDEX(MO_IS_FirstRow,0,COLUMN())),0,ROUND(AR318-AR526,6))</f>
        <v/>
      </c>
      <c r="AS320" s="1824">
        <f>IF(ISBLANK(INDEX(MO_IS_FirstRow,0,COLUMN())),0,ROUND(AS318-AS526,6))</f>
        <v/>
      </c>
      <c r="AT320" s="1824">
        <f>IF(ISBLANK(INDEX(MO_IS_FirstRow,0,COLUMN())),0,ROUND(AT318-AT526,6))</f>
        <v/>
      </c>
      <c r="AU320" s="1824">
        <f>IF(ISBLANK(INDEX(MO_IS_FirstRow,0,COLUMN())),0,ROUND(AU318-AU526,6))</f>
        <v/>
      </c>
      <c r="AV320" s="1824">
        <f>IF(ISBLANK(INDEX(MO_IS_FirstRow,0,COLUMN())),0,ROUND(AV318-AV526,6))</f>
        <v/>
      </c>
      <c r="AW320" s="1824">
        <f>IF(ISBLANK(INDEX(MO_IS_FirstRow,0,COLUMN())),0,ROUND(AW318-AW526,6))</f>
        <v/>
      </c>
      <c r="AX320" s="1824">
        <f>IF(ISBLANK(INDEX(MO_IS_FirstRow,0,COLUMN())),0,ROUND(AX318-AX526,6))</f>
        <v/>
      </c>
      <c r="AY320" s="1824">
        <f>IF(ISBLANK(INDEX(MO_IS_FirstRow,0,COLUMN())),0,ROUND(AY318-AY526,6))</f>
        <v/>
      </c>
      <c r="AZ320" s="1824">
        <f>IF(ISBLANK(INDEX(MO_IS_FirstRow,0,COLUMN())),0,ROUND(AZ318-AZ526,6))</f>
        <v/>
      </c>
      <c r="BA320" s="1824">
        <f>IF(ISBLANK(INDEX(MO_IS_FirstRow,0,COLUMN())),0,ROUND(BA318-BA526,6))</f>
        <v/>
      </c>
      <c r="BB320" s="1824">
        <f>IF(ISBLANK(INDEX(MO_IS_FirstRow,0,COLUMN())),0,ROUND(BB318-BB526,6))</f>
        <v/>
      </c>
      <c r="BC320" s="1824">
        <f>IF(ISBLANK(INDEX(MO_IS_FirstRow,0,COLUMN())),0,ROUND(BC318-BC526,6))</f>
        <v/>
      </c>
      <c r="BD320" s="1824">
        <f>IF(ISBLANK(INDEX(MO_IS_FirstRow,0,COLUMN())),0,ROUND(BD318-BD526,6))</f>
        <v/>
      </c>
      <c r="BE320" s="1824">
        <f>IF(ISBLANK(INDEX(MO_IS_FirstRow,0,COLUMN())),0,ROUND(BE318-BE526,6))</f>
        <v/>
      </c>
      <c r="BF320" s="1824">
        <f>IF(ISBLANK(INDEX(MO_IS_FirstRow,0,COLUMN())),0,ROUND(BF318-BF526,6))</f>
        <v/>
      </c>
      <c r="BG320" s="1824">
        <f>IF(ISBLANK(INDEX(MO_IS_FirstRow,0,COLUMN())),0,ROUND(BG318-BG526,6))</f>
        <v/>
      </c>
      <c r="BH320" s="1824">
        <f>IF(ISBLANK(INDEX(MO_IS_FirstRow,0,COLUMN())),0,ROUND(BH318-BH526,6))</f>
        <v/>
      </c>
      <c r="BI320" s="1824">
        <f>IF(ISBLANK(INDEX(MO_IS_FirstRow,0,COLUMN())),0,ROUND(BI318-BI526,6))</f>
        <v/>
      </c>
      <c r="BJ320" s="1824">
        <f>IF(ISBLANK(INDEX(MO_IS_FirstRow,0,COLUMN())),0,ROUND(BJ318-BJ526,6))</f>
        <v/>
      </c>
      <c r="BK320" s="1824">
        <f>IF(ISBLANK(INDEX(MO_IS_FirstRow,0,COLUMN())),0,ROUND(BK318-BK526,6))</f>
        <v/>
      </c>
      <c r="BL320" s="1824">
        <f>IF(ISBLANK(INDEX(MO_IS_FirstRow,0,COLUMN())),0,ROUND(BL318-BL526,6))</f>
        <v/>
      </c>
      <c r="BM320" s="1824">
        <f>IF(ISBLANK(INDEX(MO_IS_FirstRow,0,COLUMN())),0,ROUND(BM318-BM526,6))</f>
        <v/>
      </c>
      <c r="BN320" s="1824">
        <f>IF(ISBLANK(INDEX(MO_IS_FirstRow,0,COLUMN())),0,ROUND(BN318-BN526,6))</f>
        <v/>
      </c>
      <c r="BO320" s="1825">
        <f>IF(ISBLANK(INDEX(MO_IS_FirstRow,0,COLUMN())),0,ROUND(BO318-BO526,6))</f>
        <v/>
      </c>
      <c r="BP320" s="1824">
        <f>IF(ISBLANK(INDEX(MO_IS_FirstRow,0,COLUMN())),0,ROUND(BP318-BP526,6))</f>
        <v/>
      </c>
      <c r="BQ320" s="1824">
        <f>IF(ISBLANK(INDEX(MO_IS_FirstRow,0,COLUMN())),0,ROUND(BQ318-BQ526,6))</f>
        <v/>
      </c>
      <c r="BR320" s="1824">
        <f>IF(ISBLANK(INDEX(MO_IS_FirstRow,0,COLUMN())),0,ROUND(BR318-BR526,6))</f>
        <v/>
      </c>
      <c r="BS320" s="1824">
        <f>IF(ISBLANK(INDEX(MO_IS_FirstRow,0,COLUMN())),0,ROUND(BS318-BS526,6))</f>
        <v/>
      </c>
      <c r="BT320" s="1824">
        <f>IF(ISBLANK(INDEX(MO_IS_FirstRow,0,COLUMN())),0,ROUND(BT318-BT526,6))</f>
        <v/>
      </c>
      <c r="BU320" s="1824">
        <f>IF(ISBLANK(INDEX(MO_IS_FirstRow,0,COLUMN())),0,ROUND(BU318-BU526,6))</f>
        <v/>
      </c>
      <c r="BV320" s="1824">
        <f>IF(ISBLANK(INDEX(MO_IS_FirstRow,0,COLUMN())),0,ROUND(BV318-BV526,6))</f>
        <v/>
      </c>
      <c r="BW320" s="1824">
        <f>IF(ISBLANK(INDEX(MO_IS_FirstRow,0,COLUMN())),0,ROUND(BW318-BW526,6))</f>
        <v/>
      </c>
      <c r="BX320" s="1824">
        <f>IF(ISBLANK(INDEX(MO_IS_FirstRow,0,COLUMN())),0,ROUND(BX318-BX526,6))</f>
        <v/>
      </c>
      <c r="BY320" s="1824">
        <f>IF(ISBLANK(INDEX(MO_IS_FirstRow,0,COLUMN())),0,ROUND(BY318-BY526,6))</f>
        <v/>
      </c>
      <c r="BZ320" s="1824">
        <f>IF(ISBLANK(INDEX(MO_IS_FirstRow,0,COLUMN())),0,ROUND(BZ318-BZ526,6))</f>
        <v/>
      </c>
      <c r="CA320" s="1824">
        <f>IF(ISBLANK(INDEX(MO_IS_FirstRow,0,COLUMN())),0,ROUND(CA318-CA526,6))</f>
        <v/>
      </c>
      <c r="CB320" s="1824">
        <f>IF(ISBLANK(INDEX(MO_IS_FirstRow,0,COLUMN())),0,ROUND(CB318-CB526,6))</f>
        <v/>
      </c>
      <c r="CC320" s="1564" t="n"/>
    </row>
    <row r="321" collapsed="1" ht="15" customFormat="1" customHeight="1" s="1628">
      <c r="A321" s="1622" t="n"/>
      <c r="B321" s="1717" t="n"/>
      <c r="C321" s="1637" t="n"/>
      <c r="D321" s="1637" t="n"/>
      <c r="E321" s="1637" t="n"/>
      <c r="F321" s="1637" t="n"/>
      <c r="G321" s="1637" t="n"/>
      <c r="H321" s="1562" t="n"/>
      <c r="I321" s="1562" t="n"/>
      <c r="J321" s="1562" t="n"/>
      <c r="K321" s="1562" t="n"/>
      <c r="L321" s="1637" t="n"/>
      <c r="M321" s="1562" t="n"/>
      <c r="N321" s="1562" t="n"/>
      <c r="O321" s="1562" t="n"/>
      <c r="P321" s="1562" t="n"/>
      <c r="Q321" s="1637" t="n"/>
      <c r="R321" s="1562" t="n"/>
      <c r="S321" s="1719" t="n"/>
      <c r="T321" s="1562" t="n"/>
      <c r="U321" s="1562" t="n"/>
      <c r="V321" s="1637" t="n"/>
      <c r="W321" s="1562" t="n"/>
      <c r="X321" s="1719" t="n"/>
      <c r="Y321" s="1562" t="n"/>
      <c r="Z321" s="1562" t="n"/>
      <c r="AA321" s="1637" t="n"/>
      <c r="AB321" s="1562" t="n"/>
      <c r="AC321" s="1719" t="n"/>
      <c r="AD321" s="1562" t="n"/>
      <c r="AE321" s="1562" t="n"/>
      <c r="AF321" s="1637" t="n"/>
      <c r="AG321" s="1562" t="n"/>
      <c r="AH321" s="1719" t="n"/>
      <c r="AI321" s="1562" t="n"/>
      <c r="AJ321" s="1562" t="n"/>
      <c r="AK321" s="1637" t="n"/>
      <c r="AL321" s="1562" t="n"/>
      <c r="AM321" s="1719" t="n"/>
      <c r="AN321" s="1562" t="n"/>
      <c r="AO321" s="1562" t="n"/>
      <c r="AP321" s="1637" t="n"/>
      <c r="AQ321" s="1562" t="n"/>
      <c r="AR321" s="1719" t="n"/>
      <c r="AS321" s="1562" t="n"/>
      <c r="AT321" s="1562" t="n"/>
      <c r="AU321" s="1637" t="n"/>
      <c r="AV321" s="1562" t="n"/>
      <c r="AW321" s="1719" t="n"/>
      <c r="AX321" s="1562" t="n"/>
      <c r="AY321" s="1562" t="n"/>
      <c r="AZ321" s="1637" t="n"/>
      <c r="BA321" s="1562" t="n"/>
      <c r="BB321" s="1719" t="n"/>
      <c r="BC321" s="1562" t="n"/>
      <c r="BD321" s="1562" t="n"/>
      <c r="BE321" s="1637" t="n"/>
      <c r="BF321" s="1562" t="n"/>
      <c r="BG321" s="1719" t="n"/>
      <c r="BH321" s="1562" t="n"/>
      <c r="BI321" s="1562" t="n"/>
      <c r="BJ321" s="1637" t="n"/>
      <c r="BK321" s="1562" t="n"/>
      <c r="BL321" s="1719" t="n"/>
      <c r="BM321" s="1562" t="n"/>
      <c r="BN321" s="1562" t="n"/>
      <c r="BO321" s="1638" t="n"/>
      <c r="BP321" s="1719" t="n"/>
      <c r="BQ321" s="1719" t="n"/>
      <c r="BR321" s="1719" t="n"/>
      <c r="BS321" s="1719" t="n"/>
      <c r="BT321" s="1718" t="n"/>
      <c r="BU321" s="1719" t="n"/>
      <c r="BV321" s="1719" t="n"/>
      <c r="BW321" s="1719" t="n"/>
      <c r="BX321" s="1719" t="n"/>
      <c r="BY321" s="1718" t="n"/>
      <c r="BZ321" s="1718" t="n"/>
      <c r="CA321" s="1718" t="n"/>
      <c r="CB321" s="1718" t="n"/>
      <c r="CC321" s="1634" t="n"/>
    </row>
    <row r="322" ht="15" customFormat="1" customHeight="1" s="1628">
      <c r="A322" s="1786" t="inlineStr">
        <is>
          <t>Adjusted Numbers - As Reported</t>
        </is>
      </c>
      <c r="B322" s="1786" t="n"/>
      <c r="C322" s="1786" t="n"/>
      <c r="D322" s="1786" t="n"/>
      <c r="E322" s="1786" t="n"/>
      <c r="F322" s="1786" t="n"/>
      <c r="G322" s="1786" t="n"/>
      <c r="H322" s="1786" t="n"/>
      <c r="I322" s="1786" t="n"/>
      <c r="J322" s="1786" t="n"/>
      <c r="K322" s="1786" t="n"/>
      <c r="L322" s="1786" t="n"/>
      <c r="M322" s="1786" t="n"/>
      <c r="N322" s="1786" t="n"/>
      <c r="O322" s="1786" t="n"/>
      <c r="P322" s="1786" t="n"/>
      <c r="Q322" s="1786" t="n"/>
      <c r="R322" s="1786" t="n"/>
      <c r="S322" s="1786" t="n"/>
      <c r="T322" s="1786" t="n"/>
      <c r="U322" s="1786" t="n"/>
      <c r="V322" s="1786" t="n"/>
      <c r="W322" s="1786" t="n"/>
      <c r="X322" s="1786" t="n"/>
      <c r="Y322" s="1786" t="n"/>
      <c r="Z322" s="1786" t="n"/>
      <c r="AA322" s="1786" t="n"/>
      <c r="AB322" s="1786" t="n"/>
      <c r="AC322" s="1786" t="n"/>
      <c r="AD322" s="1786" t="n"/>
      <c r="AE322" s="1786" t="n"/>
      <c r="AF322" s="1786" t="n"/>
      <c r="AG322" s="1786" t="n"/>
      <c r="AH322" s="1786" t="n"/>
      <c r="AI322" s="1786" t="n"/>
      <c r="AJ322" s="1786" t="n"/>
      <c r="AK322" s="1679" t="n"/>
      <c r="AL322" s="1786" t="n"/>
      <c r="AM322" s="1786" t="n"/>
      <c r="AN322" s="1786" t="n"/>
      <c r="AO322" s="1786" t="n"/>
      <c r="AP322" s="1679" t="n"/>
      <c r="AQ322" s="1786" t="n"/>
      <c r="AR322" s="1786" t="n"/>
      <c r="AS322" s="1786" t="n"/>
      <c r="AT322" s="1786" t="n"/>
      <c r="AU322" s="1679" t="n"/>
      <c r="AV322" s="1786" t="n"/>
      <c r="AW322" s="1786" t="n"/>
      <c r="AX322" s="1786" t="n"/>
      <c r="AY322" s="1786" t="n"/>
      <c r="AZ322" s="1679" t="n"/>
      <c r="BA322" s="1786" t="n"/>
      <c r="BB322" s="1786" t="n"/>
      <c r="BC322" s="1786" t="n"/>
      <c r="BD322" s="1786" t="n"/>
      <c r="BE322" s="1679" t="n"/>
      <c r="BF322" s="1786" t="n"/>
      <c r="BG322" s="1786" t="n"/>
      <c r="BH322" s="1786" t="n"/>
      <c r="BI322" s="1786" t="n"/>
      <c r="BJ322" s="1679" t="n"/>
      <c r="BK322" s="1786" t="n"/>
      <c r="BL322" s="1786" t="n"/>
      <c r="BM322" s="1786" t="n"/>
      <c r="BN322" s="1786" t="n"/>
      <c r="BO322" s="1680" t="n"/>
      <c r="BP322" s="1786" t="n"/>
      <c r="BQ322" s="1786" t="n"/>
      <c r="BR322" s="1786" t="n"/>
      <c r="BS322" s="1786" t="n"/>
      <c r="BT322" s="1786" t="n"/>
      <c r="BU322" s="1786" t="n"/>
      <c r="BV322" s="1786" t="n"/>
      <c r="BW322" s="1786" t="n"/>
      <c r="BX322" s="1786" t="n"/>
      <c r="BY322" s="1786" t="n"/>
      <c r="BZ322" s="1786" t="n"/>
      <c r="CA322" s="1786" t="n"/>
      <c r="CB322" s="1786" t="n"/>
      <c r="CC322" s="1634" t="n"/>
    </row>
    <row r="323" hidden="1" outlineLevel="1" ht="15" customFormat="1" customHeight="1" s="1628">
      <c r="A323" s="1703" t="inlineStr">
        <is>
          <t>CFO</t>
        </is>
      </c>
      <c r="B323" s="1717" t="n"/>
      <c r="C323" s="1718">
        <f>C546</f>
        <v/>
      </c>
      <c r="D323" s="1718">
        <f>D546</f>
        <v/>
      </c>
      <c r="E323" s="1718">
        <f>E546</f>
        <v/>
      </c>
      <c r="F323" s="1718">
        <f>F546</f>
        <v/>
      </c>
      <c r="G323" s="1718">
        <f>G546</f>
        <v/>
      </c>
      <c r="H323" s="1719">
        <f>H546</f>
        <v/>
      </c>
      <c r="I323" s="1719">
        <f>I546</f>
        <v/>
      </c>
      <c r="J323" s="1719">
        <f>J546</f>
        <v/>
      </c>
      <c r="K323" s="1719">
        <f>K546</f>
        <v/>
      </c>
      <c r="L323" s="1718">
        <f>L546</f>
        <v/>
      </c>
      <c r="M323" s="1719">
        <f>M546</f>
        <v/>
      </c>
      <c r="N323" s="1719">
        <f>N546</f>
        <v/>
      </c>
      <c r="O323" s="1719">
        <f>O546</f>
        <v/>
      </c>
      <c r="P323" s="1719">
        <f>P546</f>
        <v/>
      </c>
      <c r="Q323" s="1718">
        <f>Q546</f>
        <v/>
      </c>
      <c r="R323" s="1719">
        <f>R546</f>
        <v/>
      </c>
      <c r="S323" s="1719">
        <f>S546</f>
        <v/>
      </c>
      <c r="T323" s="1719">
        <f>T546</f>
        <v/>
      </c>
      <c r="U323" s="1719">
        <f>U546</f>
        <v/>
      </c>
      <c r="V323" s="1718">
        <f>V546</f>
        <v/>
      </c>
      <c r="W323" s="1719">
        <f>W546</f>
        <v/>
      </c>
      <c r="X323" s="1719">
        <f>X546</f>
        <v/>
      </c>
      <c r="Y323" s="1719">
        <f>Y546</f>
        <v/>
      </c>
      <c r="Z323" s="1719">
        <f>Z546</f>
        <v/>
      </c>
      <c r="AA323" s="1718">
        <f>AA546</f>
        <v/>
      </c>
      <c r="AB323" s="1719">
        <f>AB546</f>
        <v/>
      </c>
      <c r="AC323" s="1719">
        <f>AC546</f>
        <v/>
      </c>
      <c r="AD323" s="1719">
        <f>AD546</f>
        <v/>
      </c>
      <c r="AE323" s="1719">
        <f>AE546</f>
        <v/>
      </c>
      <c r="AF323" s="1718">
        <f>AF546</f>
        <v/>
      </c>
      <c r="AG323" s="1719">
        <f>AG546</f>
        <v/>
      </c>
      <c r="AH323" s="1719">
        <f>AH546</f>
        <v/>
      </c>
      <c r="AI323" s="1719">
        <f>AI546</f>
        <v/>
      </c>
      <c r="AJ323" s="1719">
        <f>AJ546</f>
        <v/>
      </c>
      <c r="AK323" s="1718">
        <f>AK546</f>
        <v/>
      </c>
      <c r="AL323" s="1719">
        <f>AL546</f>
        <v/>
      </c>
      <c r="AM323" s="1719">
        <f>AM546</f>
        <v/>
      </c>
      <c r="AN323" s="1719">
        <f>AN546</f>
        <v/>
      </c>
      <c r="AO323" s="1719">
        <f>AO546</f>
        <v/>
      </c>
      <c r="AP323" s="1718">
        <f>AP546</f>
        <v/>
      </c>
      <c r="AQ323" s="1719">
        <f>AQ546</f>
        <v/>
      </c>
      <c r="AR323" s="1719">
        <f>AR546</f>
        <v/>
      </c>
      <c r="AS323" s="1719">
        <f>AS546</f>
        <v/>
      </c>
      <c r="AT323" s="1719">
        <f>AT546</f>
        <v/>
      </c>
      <c r="AU323" s="1718">
        <f>AU546</f>
        <v/>
      </c>
      <c r="AV323" s="1719">
        <f>AV546</f>
        <v/>
      </c>
      <c r="AW323" s="1719">
        <f>AW546</f>
        <v/>
      </c>
      <c r="AX323" s="1719">
        <f>AX546</f>
        <v/>
      </c>
      <c r="AY323" s="1719">
        <f>AY546</f>
        <v/>
      </c>
      <c r="AZ323" s="1718">
        <f>AZ546</f>
        <v/>
      </c>
      <c r="BA323" s="1719">
        <f>BA546</f>
        <v/>
      </c>
      <c r="BB323" s="1719">
        <f>BB546</f>
        <v/>
      </c>
      <c r="BC323" s="1719">
        <f>BC546</f>
        <v/>
      </c>
      <c r="BD323" s="1719">
        <f>BD546</f>
        <v/>
      </c>
      <c r="BE323" s="1718">
        <f>BE546</f>
        <v/>
      </c>
      <c r="BF323" s="1719">
        <f>BF546</f>
        <v/>
      </c>
      <c r="BG323" s="1719">
        <f>BG546</f>
        <v/>
      </c>
      <c r="BH323" s="1719">
        <f>BH546</f>
        <v/>
      </c>
      <c r="BI323" s="1719">
        <f>BI546</f>
        <v/>
      </c>
      <c r="BJ323" s="1718">
        <f>BJ546</f>
        <v/>
      </c>
      <c r="BK323" s="1719">
        <f>BK546</f>
        <v/>
      </c>
      <c r="BL323" s="1719">
        <f>BL546</f>
        <v/>
      </c>
      <c r="BM323" s="1719">
        <f>BM546</f>
        <v/>
      </c>
      <c r="BN323" s="1719">
        <f>BN546</f>
        <v/>
      </c>
      <c r="BO323" s="1720">
        <f>BO546</f>
        <v/>
      </c>
      <c r="BP323" s="1719" t="n"/>
      <c r="BQ323" s="1719" t="n"/>
      <c r="BR323" s="1719" t="n"/>
      <c r="BS323" s="1719" t="n"/>
      <c r="BT323" s="1718" t="n"/>
      <c r="BU323" s="1719" t="n"/>
      <c r="BV323" s="1719" t="n"/>
      <c r="BW323" s="1719" t="n"/>
      <c r="BX323" s="1719" t="n"/>
      <c r="BY323" s="1718" t="n"/>
      <c r="BZ323" s="1718" t="n"/>
      <c r="CA323" s="1718" t="n"/>
      <c r="CB323" s="1718" t="n"/>
      <c r="CC323" s="1634" t="n"/>
    </row>
    <row r="324" hidden="1" outlineLevel="1" ht="15" customFormat="1" customHeight="1" s="1561">
      <c r="A324" s="1622">
        <f>A549</f>
        <v/>
      </c>
      <c r="B324" s="1705" t="n"/>
      <c r="C324" s="1637">
        <f>C549</f>
        <v/>
      </c>
      <c r="D324" s="1637">
        <f>D549</f>
        <v/>
      </c>
      <c r="E324" s="1637">
        <f>E549</f>
        <v/>
      </c>
      <c r="F324" s="1637">
        <f>F549</f>
        <v/>
      </c>
      <c r="G324" s="1637">
        <f>G549</f>
        <v/>
      </c>
      <c r="H324" s="1562">
        <f>H549</f>
        <v/>
      </c>
      <c r="I324" s="1562">
        <f>I549</f>
        <v/>
      </c>
      <c r="J324" s="1562">
        <f>J549</f>
        <v/>
      </c>
      <c r="K324" s="1562">
        <f>K549</f>
        <v/>
      </c>
      <c r="L324" s="1637">
        <f>L549</f>
        <v/>
      </c>
      <c r="M324" s="1562">
        <f>M549</f>
        <v/>
      </c>
      <c r="N324" s="1562">
        <f>N549</f>
        <v/>
      </c>
      <c r="O324" s="1562">
        <f>O549</f>
        <v/>
      </c>
      <c r="P324" s="1562">
        <f>P549</f>
        <v/>
      </c>
      <c r="Q324" s="1637">
        <f>Q549</f>
        <v/>
      </c>
      <c r="R324" s="1562">
        <f>R549</f>
        <v/>
      </c>
      <c r="S324" s="1562">
        <f>S549</f>
        <v/>
      </c>
      <c r="T324" s="1562">
        <f>T549</f>
        <v/>
      </c>
      <c r="U324" s="1562">
        <f>U549</f>
        <v/>
      </c>
      <c r="V324" s="1637">
        <f>V549</f>
        <v/>
      </c>
      <c r="W324" s="1562">
        <f>W549</f>
        <v/>
      </c>
      <c r="X324" s="1562">
        <f>X549</f>
        <v/>
      </c>
      <c r="Y324" s="1562">
        <f>Y549</f>
        <v/>
      </c>
      <c r="Z324" s="1562">
        <f>Z549</f>
        <v/>
      </c>
      <c r="AA324" s="1637">
        <f>AA549</f>
        <v/>
      </c>
      <c r="AB324" s="1562">
        <f>AB549</f>
        <v/>
      </c>
      <c r="AC324" s="1562">
        <f>AC549</f>
        <v/>
      </c>
      <c r="AD324" s="1562">
        <f>AD549</f>
        <v/>
      </c>
      <c r="AE324" s="1562">
        <f>AE549</f>
        <v/>
      </c>
      <c r="AF324" s="1637">
        <f>AF549</f>
        <v/>
      </c>
      <c r="AG324" s="1562">
        <f>AG549</f>
        <v/>
      </c>
      <c r="AH324" s="1562">
        <f>AH549</f>
        <v/>
      </c>
      <c r="AI324" s="1562">
        <f>AI549</f>
        <v/>
      </c>
      <c r="AJ324" s="1562">
        <f>AJ549</f>
        <v/>
      </c>
      <c r="AK324" s="1637">
        <f>AK549</f>
        <v/>
      </c>
      <c r="AL324" s="1562">
        <f>AL549</f>
        <v/>
      </c>
      <c r="AM324" s="1562">
        <f>AM549</f>
        <v/>
      </c>
      <c r="AN324" s="1562">
        <f>AN549</f>
        <v/>
      </c>
      <c r="AO324" s="1562">
        <f>AO549</f>
        <v/>
      </c>
      <c r="AP324" s="1637">
        <f>AP549</f>
        <v/>
      </c>
      <c r="AQ324" s="1562">
        <f>AQ549</f>
        <v/>
      </c>
      <c r="AR324" s="1562">
        <f>AR549</f>
        <v/>
      </c>
      <c r="AS324" s="1562">
        <f>AS549</f>
        <v/>
      </c>
      <c r="AT324" s="1562">
        <f>AT549</f>
        <v/>
      </c>
      <c r="AU324" s="1637">
        <f>AU549</f>
        <v/>
      </c>
      <c r="AV324" s="1562">
        <f>AV549</f>
        <v/>
      </c>
      <c r="AW324" s="1562">
        <f>AW549</f>
        <v/>
      </c>
      <c r="AX324" s="1562">
        <f>AX549</f>
        <v/>
      </c>
      <c r="AY324" s="1562">
        <f>AY549</f>
        <v/>
      </c>
      <c r="AZ324" s="1637">
        <f>AZ549</f>
        <v/>
      </c>
      <c r="BA324" s="1562">
        <f>BA549</f>
        <v/>
      </c>
      <c r="BB324" s="1562">
        <f>BB549</f>
        <v/>
      </c>
      <c r="BC324" s="1562">
        <f>BC549</f>
        <v/>
      </c>
      <c r="BD324" s="1562">
        <f>BD549</f>
        <v/>
      </c>
      <c r="BE324" s="1637">
        <f>BE549</f>
        <v/>
      </c>
      <c r="BF324" s="1562">
        <f>BF549</f>
        <v/>
      </c>
      <c r="BG324" s="1562">
        <f>BG549</f>
        <v/>
      </c>
      <c r="BH324" s="1562">
        <f>BH549</f>
        <v/>
      </c>
      <c r="BI324" s="1562">
        <f>BI549</f>
        <v/>
      </c>
      <c r="BJ324" s="1637">
        <f>BJ549</f>
        <v/>
      </c>
      <c r="BK324" s="1562">
        <f>BK549</f>
        <v/>
      </c>
      <c r="BL324" s="1562">
        <f>BL549</f>
        <v/>
      </c>
      <c r="BM324" s="1562">
        <f>BM549</f>
        <v/>
      </c>
      <c r="BN324" s="1562">
        <f>BN549</f>
        <v/>
      </c>
      <c r="BO324" s="1638">
        <f>BO549</f>
        <v/>
      </c>
      <c r="BP324" s="1562" t="n"/>
      <c r="BQ324" s="1562" t="n"/>
      <c r="BR324" s="1562" t="n"/>
      <c r="BS324" s="1562" t="n"/>
      <c r="BT324" s="1637" t="n"/>
      <c r="BU324" s="1562" t="n"/>
      <c r="BV324" s="1562" t="n"/>
      <c r="BW324" s="1562" t="n"/>
      <c r="BX324" s="1562" t="n"/>
      <c r="BY324" s="1637" t="n"/>
      <c r="BZ324" s="1637" t="n"/>
      <c r="CA324" s="1637" t="n"/>
      <c r="CB324" s="1637" t="n"/>
      <c r="CC324" s="1564" t="n"/>
    </row>
    <row r="325" hidden="1" outlineLevel="1" ht="15" customFormat="1" customHeight="1" s="1561">
      <c r="A325" s="1702">
        <f>A550</f>
        <v/>
      </c>
      <c r="B325" s="1708" t="n"/>
      <c r="C325" s="1712">
        <f>C550</f>
        <v/>
      </c>
      <c r="D325" s="1712">
        <f>D550</f>
        <v/>
      </c>
      <c r="E325" s="1712">
        <f>E550</f>
        <v/>
      </c>
      <c r="F325" s="1712">
        <f>F550</f>
        <v/>
      </c>
      <c r="G325" s="1712">
        <f>G550</f>
        <v/>
      </c>
      <c r="H325" s="1710">
        <f>H550</f>
        <v/>
      </c>
      <c r="I325" s="1710">
        <f>I550</f>
        <v/>
      </c>
      <c r="J325" s="1710">
        <f>J550</f>
        <v/>
      </c>
      <c r="K325" s="1710">
        <f>K550</f>
        <v/>
      </c>
      <c r="L325" s="1712">
        <f>L550</f>
        <v/>
      </c>
      <c r="M325" s="1710">
        <f>M550</f>
        <v/>
      </c>
      <c r="N325" s="1710">
        <f>N550</f>
        <v/>
      </c>
      <c r="O325" s="1710">
        <f>O550</f>
        <v/>
      </c>
      <c r="P325" s="1710">
        <f>P550</f>
        <v/>
      </c>
      <c r="Q325" s="1712">
        <f>Q550</f>
        <v/>
      </c>
      <c r="R325" s="1710">
        <f>R550</f>
        <v/>
      </c>
      <c r="S325" s="1710">
        <f>S550</f>
        <v/>
      </c>
      <c r="T325" s="1710">
        <f>T550</f>
        <v/>
      </c>
      <c r="U325" s="1710">
        <f>U550</f>
        <v/>
      </c>
      <c r="V325" s="1712">
        <f>V550</f>
        <v/>
      </c>
      <c r="W325" s="1710">
        <f>W550</f>
        <v/>
      </c>
      <c r="X325" s="1710">
        <f>X550</f>
        <v/>
      </c>
      <c r="Y325" s="1710">
        <f>Y550</f>
        <v/>
      </c>
      <c r="Z325" s="1710">
        <f>Z550</f>
        <v/>
      </c>
      <c r="AA325" s="1712">
        <f>AA550</f>
        <v/>
      </c>
      <c r="AB325" s="1710">
        <f>AB550</f>
        <v/>
      </c>
      <c r="AC325" s="1710">
        <f>AC550</f>
        <v/>
      </c>
      <c r="AD325" s="1710">
        <f>AD550</f>
        <v/>
      </c>
      <c r="AE325" s="1710">
        <f>AE550</f>
        <v/>
      </c>
      <c r="AF325" s="1712">
        <f>AF550</f>
        <v/>
      </c>
      <c r="AG325" s="1710">
        <f>AG550</f>
        <v/>
      </c>
      <c r="AH325" s="1710">
        <f>AH550</f>
        <v/>
      </c>
      <c r="AI325" s="1710">
        <f>AI550</f>
        <v/>
      </c>
      <c r="AJ325" s="1710">
        <f>AJ550</f>
        <v/>
      </c>
      <c r="AK325" s="1712">
        <f>AK550</f>
        <v/>
      </c>
      <c r="AL325" s="1710">
        <f>AL550</f>
        <v/>
      </c>
      <c r="AM325" s="1710">
        <f>AM550</f>
        <v/>
      </c>
      <c r="AN325" s="1710">
        <f>AN550</f>
        <v/>
      </c>
      <c r="AO325" s="1710">
        <f>AO550</f>
        <v/>
      </c>
      <c r="AP325" s="1712">
        <f>AP550</f>
        <v/>
      </c>
      <c r="AQ325" s="1710">
        <f>AQ550</f>
        <v/>
      </c>
      <c r="AR325" s="1710">
        <f>AR550</f>
        <v/>
      </c>
      <c r="AS325" s="1710">
        <f>AS550</f>
        <v/>
      </c>
      <c r="AT325" s="1710">
        <f>AT550</f>
        <v/>
      </c>
      <c r="AU325" s="1712">
        <f>AU550</f>
        <v/>
      </c>
      <c r="AV325" s="1710">
        <f>AV550</f>
        <v/>
      </c>
      <c r="AW325" s="1710">
        <f>AW550</f>
        <v/>
      </c>
      <c r="AX325" s="1710">
        <f>AX550</f>
        <v/>
      </c>
      <c r="AY325" s="1710">
        <f>AY550</f>
        <v/>
      </c>
      <c r="AZ325" s="1712">
        <f>AZ550</f>
        <v/>
      </c>
      <c r="BA325" s="1710">
        <f>BA550</f>
        <v/>
      </c>
      <c r="BB325" s="1710">
        <f>BB550</f>
        <v/>
      </c>
      <c r="BC325" s="1710">
        <f>BC550</f>
        <v/>
      </c>
      <c r="BD325" s="1710">
        <f>BD550</f>
        <v/>
      </c>
      <c r="BE325" s="1712">
        <f>BE550</f>
        <v/>
      </c>
      <c r="BF325" s="1710">
        <f>BF550</f>
        <v/>
      </c>
      <c r="BG325" s="1710">
        <f>BG550</f>
        <v/>
      </c>
      <c r="BH325" s="1710">
        <f>BH550</f>
        <v/>
      </c>
      <c r="BI325" s="1710">
        <f>BI550</f>
        <v/>
      </c>
      <c r="BJ325" s="1712">
        <f>BJ550</f>
        <v/>
      </c>
      <c r="BK325" s="1710">
        <f>BK550</f>
        <v/>
      </c>
      <c r="BL325" s="1710">
        <f>BL550</f>
        <v/>
      </c>
      <c r="BM325" s="1710">
        <f>BM550</f>
        <v/>
      </c>
      <c r="BN325" s="1710">
        <f>BN550</f>
        <v/>
      </c>
      <c r="BO325" s="1711">
        <f>BO550</f>
        <v/>
      </c>
      <c r="BP325" s="1710" t="n"/>
      <c r="BQ325" s="1710" t="n"/>
      <c r="BR325" s="1710" t="n"/>
      <c r="BS325" s="1710" t="n"/>
      <c r="BT325" s="1712" t="n"/>
      <c r="BU325" s="1710" t="n"/>
      <c r="BV325" s="1710" t="n"/>
      <c r="BW325" s="1710" t="n"/>
      <c r="BX325" s="1710" t="n"/>
      <c r="BY325" s="1712" t="n"/>
      <c r="BZ325" s="1712" t="n"/>
      <c r="CA325" s="1712" t="n"/>
      <c r="CB325" s="1712" t="n"/>
      <c r="CC325" s="1564" t="n"/>
    </row>
    <row r="326" hidden="1" outlineLevel="1" ht="15" customFormat="1" customHeight="1" s="1628">
      <c r="A326" s="1703" t="inlineStr">
        <is>
          <t>FCF</t>
        </is>
      </c>
      <c r="B326" s="1717" t="n"/>
      <c r="C326" s="1718">
        <f>SUM(C323:C325)</f>
        <v/>
      </c>
      <c r="D326" s="1718">
        <f>SUM(D323:D325)</f>
        <v/>
      </c>
      <c r="E326" s="1718">
        <f>SUM(E323:E325)</f>
        <v/>
      </c>
      <c r="F326" s="1718">
        <f>SUM(F323:F325)</f>
        <v/>
      </c>
      <c r="G326" s="1718">
        <f>SUM(G323:G325)</f>
        <v/>
      </c>
      <c r="H326" s="1719">
        <f>SUM(H323:H325)</f>
        <v/>
      </c>
      <c r="I326" s="1719">
        <f>SUM(I323:I325)</f>
        <v/>
      </c>
      <c r="J326" s="1719">
        <f>SUM(J323:J325)</f>
        <v/>
      </c>
      <c r="K326" s="1719">
        <f>SUM(K323:K325)</f>
        <v/>
      </c>
      <c r="L326" s="1718">
        <f>SUM(L323:L325)</f>
        <v/>
      </c>
      <c r="M326" s="1719">
        <f>SUM(M323:M325)</f>
        <v/>
      </c>
      <c r="N326" s="1719">
        <f>SUM(N323:N325)</f>
        <v/>
      </c>
      <c r="O326" s="1719">
        <f>SUM(O323:O325)</f>
        <v/>
      </c>
      <c r="P326" s="1719">
        <f>SUM(P323:P325)</f>
        <v/>
      </c>
      <c r="Q326" s="1718">
        <f>SUM(Q323:Q325)</f>
        <v/>
      </c>
      <c r="R326" s="1719">
        <f>SUM(R323:R325)</f>
        <v/>
      </c>
      <c r="S326" s="1719">
        <f>SUM(S323:S325)</f>
        <v/>
      </c>
      <c r="T326" s="1719">
        <f>SUM(T323:T325)</f>
        <v/>
      </c>
      <c r="U326" s="1719">
        <f>SUM(U323:U325)</f>
        <v/>
      </c>
      <c r="V326" s="1718">
        <f>SUM(V323:V325)</f>
        <v/>
      </c>
      <c r="W326" s="1719">
        <f>SUM(W323:W325)</f>
        <v/>
      </c>
      <c r="X326" s="1719">
        <f>SUM(X323:X325)</f>
        <v/>
      </c>
      <c r="Y326" s="1719">
        <f>SUM(Y323:Y325)</f>
        <v/>
      </c>
      <c r="Z326" s="1719">
        <f>SUM(Z323:Z325)</f>
        <v/>
      </c>
      <c r="AA326" s="1718">
        <f>SUM(AA323:AA325)</f>
        <v/>
      </c>
      <c r="AB326" s="1719">
        <f>SUM(AB323:AB325)</f>
        <v/>
      </c>
      <c r="AC326" s="1719">
        <f>SUM(AC323:AC325)</f>
        <v/>
      </c>
      <c r="AD326" s="1719">
        <f>SUM(AD323:AD325)</f>
        <v/>
      </c>
      <c r="AE326" s="1719">
        <f>SUM(AE323:AE325)</f>
        <v/>
      </c>
      <c r="AF326" s="1718">
        <f>SUM(AF323:AF325)</f>
        <v/>
      </c>
      <c r="AG326" s="1719">
        <f>SUM(AG323:AG325)</f>
        <v/>
      </c>
      <c r="AH326" s="1719">
        <f>SUM(AH323:AH325)</f>
        <v/>
      </c>
      <c r="AI326" s="1719">
        <f>SUM(AI323:AI325)</f>
        <v/>
      </c>
      <c r="AJ326" s="1719">
        <f>SUM(AJ323:AJ325)</f>
        <v/>
      </c>
      <c r="AK326" s="1718">
        <f>SUM(AK323:AK325)</f>
        <v/>
      </c>
      <c r="AL326" s="1719">
        <f>SUM(AL323:AL325)</f>
        <v/>
      </c>
      <c r="AM326" s="1719">
        <f>SUM(AM323:AM325)</f>
        <v/>
      </c>
      <c r="AN326" s="1719">
        <f>SUM(AN323:AN325)</f>
        <v/>
      </c>
      <c r="AO326" s="1719">
        <f>SUM(AO323:AO325)</f>
        <v/>
      </c>
      <c r="AP326" s="1718">
        <f>SUM(AP323:AP325)</f>
        <v/>
      </c>
      <c r="AQ326" s="1719">
        <f>SUM(AQ323:AQ325)</f>
        <v/>
      </c>
      <c r="AR326" s="1719">
        <f>SUM(AR323:AR325)</f>
        <v/>
      </c>
      <c r="AS326" s="1719">
        <f>SUM(AS323:AS325)</f>
        <v/>
      </c>
      <c r="AT326" s="1719">
        <f>SUM(AT323:AT325)</f>
        <v/>
      </c>
      <c r="AU326" s="1718">
        <f>SUM(AU323:AU325)</f>
        <v/>
      </c>
      <c r="AV326" s="1719">
        <f>SUM(AV323:AV325)</f>
        <v/>
      </c>
      <c r="AW326" s="1719">
        <f>SUM(AW323:AW325)</f>
        <v/>
      </c>
      <c r="AX326" s="1719">
        <f>SUM(AX323:AX325)</f>
        <v/>
      </c>
      <c r="AY326" s="1719">
        <f>SUM(AY323:AY325)</f>
        <v/>
      </c>
      <c r="AZ326" s="1718">
        <f>SUM(AZ323:AZ325)</f>
        <v/>
      </c>
      <c r="BA326" s="1719">
        <f>SUM(BA323:BA325)</f>
        <v/>
      </c>
      <c r="BB326" s="1719">
        <f>SUM(BB323:BB325)</f>
        <v/>
      </c>
      <c r="BC326" s="1719">
        <f>SUM(BC323:BC325)</f>
        <v/>
      </c>
      <c r="BD326" s="1719">
        <f>SUM(BD323:BD325)</f>
        <v/>
      </c>
      <c r="BE326" s="1718">
        <f>SUM(BE323:BE325)</f>
        <v/>
      </c>
      <c r="BF326" s="1719">
        <f>SUM(BF323:BF325)</f>
        <v/>
      </c>
      <c r="BG326" s="1719">
        <f>SUM(BG323:BG325)</f>
        <v/>
      </c>
      <c r="BH326" s="1719">
        <f>SUM(BH323:BH325)</f>
        <v/>
      </c>
      <c r="BI326" s="1719">
        <f>SUM(BI323:BI325)</f>
        <v/>
      </c>
      <c r="BJ326" s="1718">
        <f>SUM(BJ323:BJ325)</f>
        <v/>
      </c>
      <c r="BK326" s="1719">
        <f>SUM(BK323:BK325)</f>
        <v/>
      </c>
      <c r="BL326" s="1719">
        <f>SUM(BL323:BL325)</f>
        <v/>
      </c>
      <c r="BM326" s="1719">
        <f>SUM(BM323:BM325)</f>
        <v/>
      </c>
      <c r="BN326" s="1719">
        <f>SUM(BN323:BN325)</f>
        <v/>
      </c>
      <c r="BO326" s="1720">
        <f>SUM(BO323:BO325)</f>
        <v/>
      </c>
      <c r="BP326" s="1719" t="n"/>
      <c r="BQ326" s="1719" t="n"/>
      <c r="BR326" s="1719" t="n"/>
      <c r="BS326" s="1719" t="n"/>
      <c r="BT326" s="1718" t="n"/>
      <c r="BU326" s="1719" t="n"/>
      <c r="BV326" s="1719" t="n"/>
      <c r="BW326" s="1719" t="n"/>
      <c r="BX326" s="1719" t="n"/>
      <c r="BY326" s="1718" t="n"/>
      <c r="BZ326" s="1718" t="n"/>
      <c r="CA326" s="1718" t="n"/>
      <c r="CB326" s="1718" t="n"/>
      <c r="CC326" s="1634" t="n"/>
    </row>
    <row r="327" collapsed="1" ht="15" customFormat="1" customHeight="1" s="1628">
      <c r="A327" s="1622" t="n"/>
      <c r="B327" s="1717" t="n"/>
      <c r="C327" s="1637" t="n"/>
      <c r="D327" s="1637" t="n"/>
      <c r="E327" s="1637" t="n"/>
      <c r="F327" s="1637" t="n"/>
      <c r="G327" s="1637" t="n"/>
      <c r="H327" s="1562" t="n"/>
      <c r="I327" s="1562" t="n"/>
      <c r="J327" s="1562" t="n"/>
      <c r="K327" s="1562" t="n"/>
      <c r="L327" s="1637" t="n"/>
      <c r="M327" s="1562" t="n"/>
      <c r="N327" s="1562" t="n"/>
      <c r="O327" s="1562" t="n"/>
      <c r="P327" s="1562" t="n"/>
      <c r="Q327" s="1637" t="n"/>
      <c r="R327" s="1562" t="n"/>
      <c r="S327" s="1719" t="n"/>
      <c r="T327" s="1562" t="n"/>
      <c r="U327" s="1562" t="n"/>
      <c r="V327" s="1637" t="n"/>
      <c r="W327" s="1562" t="n"/>
      <c r="X327" s="1719" t="n"/>
      <c r="Y327" s="1562" t="n"/>
      <c r="Z327" s="1562" t="n"/>
      <c r="AA327" s="1637" t="n"/>
      <c r="AB327" s="1562" t="n"/>
      <c r="AC327" s="1719" t="n"/>
      <c r="AD327" s="1562" t="n"/>
      <c r="AE327" s="1562" t="n"/>
      <c r="AF327" s="1637" t="n"/>
      <c r="AG327" s="1562" t="n"/>
      <c r="AH327" s="1719" t="n"/>
      <c r="AI327" s="1562" t="n"/>
      <c r="AJ327" s="1562" t="n"/>
      <c r="AK327" s="1637" t="n"/>
      <c r="AL327" s="1562" t="n"/>
      <c r="AM327" s="1719" t="n"/>
      <c r="AN327" s="1562" t="n"/>
      <c r="AO327" s="1562" t="n"/>
      <c r="AP327" s="1637" t="n"/>
      <c r="AQ327" s="1562" t="n"/>
      <c r="AR327" s="1719" t="n"/>
      <c r="AS327" s="1562" t="n"/>
      <c r="AT327" s="1562" t="n"/>
      <c r="AU327" s="1637" t="n"/>
      <c r="AV327" s="1562" t="n"/>
      <c r="AW327" s="1719" t="n"/>
      <c r="AX327" s="1562" t="n"/>
      <c r="AY327" s="1562" t="n"/>
      <c r="AZ327" s="1637" t="n"/>
      <c r="BA327" s="1562" t="n"/>
      <c r="BB327" s="1719" t="n"/>
      <c r="BC327" s="1562" t="n"/>
      <c r="BD327" s="1562" t="n"/>
      <c r="BE327" s="1637" t="n"/>
      <c r="BF327" s="1562" t="n"/>
      <c r="BG327" s="1719" t="n"/>
      <c r="BH327" s="1562" t="n"/>
      <c r="BI327" s="1562" t="n"/>
      <c r="BJ327" s="1637" t="n"/>
      <c r="BK327" s="1562" t="n"/>
      <c r="BL327" s="1719" t="n"/>
      <c r="BM327" s="1562" t="n"/>
      <c r="BN327" s="1562" t="n"/>
      <c r="BO327" s="1638" t="n"/>
      <c r="BP327" s="1719" t="n"/>
      <c r="BQ327" s="1719" t="n"/>
      <c r="BR327" s="1719" t="n"/>
      <c r="BS327" s="1719" t="n"/>
      <c r="BT327" s="1718" t="n"/>
      <c r="BU327" s="1719" t="n"/>
      <c r="BV327" s="1719" t="n"/>
      <c r="BW327" s="1719" t="n"/>
      <c r="BX327" s="1719" t="n"/>
      <c r="BY327" s="1718" t="n"/>
      <c r="BZ327" s="1718" t="n"/>
      <c r="CA327" s="1718" t="n"/>
      <c r="CB327" s="1718" t="n"/>
      <c r="CC327" s="1634" t="n"/>
    </row>
    <row r="328" ht="15" customFormat="1" customHeight="1" s="1628">
      <c r="A328" s="1786" t="inlineStr">
        <is>
          <t>Revised Income Statement</t>
        </is>
      </c>
      <c r="B328" s="1786" t="n"/>
      <c r="C328" s="1786" t="n"/>
      <c r="D328" s="1786" t="n"/>
      <c r="E328" s="1786" t="n"/>
      <c r="F328" s="1786" t="n"/>
      <c r="G328" s="1786" t="n"/>
      <c r="H328" s="1786" t="n"/>
      <c r="I328" s="1786" t="n"/>
      <c r="J328" s="1786" t="n"/>
      <c r="K328" s="1786" t="n"/>
      <c r="L328" s="1786" t="n"/>
      <c r="M328" s="1786" t="n"/>
      <c r="N328" s="1786" t="n"/>
      <c r="O328" s="1786" t="n"/>
      <c r="P328" s="1786" t="n"/>
      <c r="Q328" s="1786" t="n"/>
      <c r="R328" s="1786" t="n"/>
      <c r="S328" s="1786" t="n"/>
      <c r="T328" s="1786" t="n"/>
      <c r="U328" s="1786" t="n"/>
      <c r="V328" s="1786" t="n"/>
      <c r="W328" s="1786" t="n"/>
      <c r="X328" s="1786" t="n"/>
      <c r="Y328" s="1786" t="n"/>
      <c r="Z328" s="1786" t="n"/>
      <c r="AA328" s="1786" t="n"/>
      <c r="AB328" s="1786" t="n"/>
      <c r="AC328" s="1786" t="n"/>
      <c r="AD328" s="1786" t="n"/>
      <c r="AE328" s="1786" t="n"/>
      <c r="AF328" s="1786" t="n"/>
      <c r="AG328" s="1786" t="n"/>
      <c r="AH328" s="1786" t="n"/>
      <c r="AI328" s="1786" t="n"/>
      <c r="AJ328" s="1786" t="n"/>
      <c r="AK328" s="1786" t="n"/>
      <c r="AL328" s="1786" t="n"/>
      <c r="AM328" s="1786" t="n"/>
      <c r="AN328" s="1786" t="n"/>
      <c r="AO328" s="1786" t="n"/>
      <c r="AP328" s="1786" t="n"/>
      <c r="AQ328" s="1786" t="n"/>
      <c r="AR328" s="1786" t="n"/>
      <c r="AS328" s="1786" t="n"/>
      <c r="AT328" s="1786" t="n"/>
      <c r="AU328" s="1786" t="n"/>
      <c r="AV328" s="1786" t="n"/>
      <c r="AW328" s="1786" t="n"/>
      <c r="AX328" s="1786" t="n"/>
      <c r="AY328" s="1786" t="n"/>
      <c r="AZ328" s="1786" t="n"/>
      <c r="BA328" s="1786" t="n"/>
      <c r="BB328" s="1786" t="n"/>
      <c r="BC328" s="1786" t="n"/>
      <c r="BD328" s="1786" t="n"/>
      <c r="BE328" s="1786" t="n"/>
      <c r="BF328" s="1786" t="n"/>
      <c r="BG328" s="1786" t="n"/>
      <c r="BH328" s="1786" t="n"/>
      <c r="BI328" s="1786" t="n"/>
      <c r="BJ328" s="1786" t="n"/>
      <c r="BK328" s="1786" t="n"/>
      <c r="BL328" s="1786" t="n"/>
      <c r="BM328" s="1786" t="n"/>
      <c r="BN328" s="1786" t="n"/>
      <c r="BO328" s="1826" t="n"/>
      <c r="BP328" s="1786" t="n"/>
      <c r="BQ328" s="1786" t="n"/>
      <c r="BR328" s="1786" t="n"/>
      <c r="BS328" s="1786" t="n"/>
      <c r="BT328" s="1786" t="n"/>
      <c r="BU328" s="1786" t="n"/>
      <c r="BV328" s="1786" t="n"/>
      <c r="BW328" s="1786" t="n"/>
      <c r="BX328" s="1786" t="n"/>
      <c r="BY328" s="1786" t="n"/>
      <c r="BZ328" s="1786" t="n"/>
      <c r="CA328" s="1786" t="n"/>
      <c r="CB328" s="1786" t="n"/>
      <c r="CC328" s="1634" t="n"/>
    </row>
    <row r="329" ht="15" customFormat="1" customHeight="1" s="1628">
      <c r="A329" s="1703" t="inlineStr">
        <is>
          <t>Net Revenue</t>
        </is>
      </c>
      <c r="B329" s="1717" t="n"/>
      <c r="C329" s="1718">
        <f>C300</f>
        <v/>
      </c>
      <c r="D329" s="1718">
        <f>D300</f>
        <v/>
      </c>
      <c r="E329" s="1718">
        <f>E300</f>
        <v/>
      </c>
      <c r="F329" s="1718">
        <f>F300</f>
        <v/>
      </c>
      <c r="G329" s="1718">
        <f>G300</f>
        <v/>
      </c>
      <c r="H329" s="1719">
        <f>H300</f>
        <v/>
      </c>
      <c r="I329" s="1719">
        <f>I300</f>
        <v/>
      </c>
      <c r="J329" s="1719">
        <f>J300</f>
        <v/>
      </c>
      <c r="K329" s="1719">
        <f>K300</f>
        <v/>
      </c>
      <c r="L329" s="1718">
        <f>L300</f>
        <v/>
      </c>
      <c r="M329" s="1719">
        <f>M300</f>
        <v/>
      </c>
      <c r="N329" s="1719">
        <f>N300</f>
        <v/>
      </c>
      <c r="O329" s="1719">
        <f>O300</f>
        <v/>
      </c>
      <c r="P329" s="1719">
        <f>P300</f>
        <v/>
      </c>
      <c r="Q329" s="1718">
        <f>Q300</f>
        <v/>
      </c>
      <c r="R329" s="1719">
        <f>R300</f>
        <v/>
      </c>
      <c r="S329" s="1719">
        <f>S300</f>
        <v/>
      </c>
      <c r="T329" s="1719">
        <f>T300</f>
        <v/>
      </c>
      <c r="U329" s="1719">
        <f>U300</f>
        <v/>
      </c>
      <c r="V329" s="1718">
        <f>V300</f>
        <v/>
      </c>
      <c r="W329" s="1719">
        <f>W300</f>
        <v/>
      </c>
      <c r="X329" s="1719">
        <f>X300</f>
        <v/>
      </c>
      <c r="Y329" s="1719">
        <f>Y300</f>
        <v/>
      </c>
      <c r="Z329" s="1719">
        <f>Z300</f>
        <v/>
      </c>
      <c r="AA329" s="1718">
        <f>AA300</f>
        <v/>
      </c>
      <c r="AB329" s="1719">
        <f>AB300</f>
        <v/>
      </c>
      <c r="AC329" s="1719">
        <f>AC300</f>
        <v/>
      </c>
      <c r="AD329" s="1719">
        <f>AD300</f>
        <v/>
      </c>
      <c r="AE329" s="1719">
        <f>AE300</f>
        <v/>
      </c>
      <c r="AF329" s="1718">
        <f>AF300</f>
        <v/>
      </c>
      <c r="AG329" s="1719">
        <f>AG300</f>
        <v/>
      </c>
      <c r="AH329" s="1719">
        <f>AH300</f>
        <v/>
      </c>
      <c r="AI329" s="1719">
        <f>AI300</f>
        <v/>
      </c>
      <c r="AJ329" s="1719">
        <f>AJ300</f>
        <v/>
      </c>
      <c r="AK329" s="1718">
        <f>AK300</f>
        <v/>
      </c>
      <c r="AL329" s="1719">
        <f>AL300</f>
        <v/>
      </c>
      <c r="AM329" s="1719">
        <f>AM300</f>
        <v/>
      </c>
      <c r="AN329" s="1719">
        <f>AN300</f>
        <v/>
      </c>
      <c r="AO329" s="1719">
        <f>AO300</f>
        <v/>
      </c>
      <c r="AP329" s="1718">
        <f>AP300</f>
        <v/>
      </c>
      <c r="AQ329" s="1719">
        <f>AQ300</f>
        <v/>
      </c>
      <c r="AR329" s="1719">
        <f>AR300</f>
        <v/>
      </c>
      <c r="AS329" s="1719">
        <f>AS300</f>
        <v/>
      </c>
      <c r="AT329" s="1719">
        <f>AT300</f>
        <v/>
      </c>
      <c r="AU329" s="1718">
        <f>AU300</f>
        <v/>
      </c>
      <c r="AV329" s="1719">
        <f>AV300</f>
        <v/>
      </c>
      <c r="AW329" s="1719">
        <f>AW300</f>
        <v/>
      </c>
      <c r="AX329" s="1719">
        <f>AX300</f>
        <v/>
      </c>
      <c r="AY329" s="1719">
        <f>AY300</f>
        <v/>
      </c>
      <c r="AZ329" s="1718">
        <f>AZ300</f>
        <v/>
      </c>
      <c r="BA329" s="1719">
        <f>BA300</f>
        <v/>
      </c>
      <c r="BB329" s="1719">
        <f>BB300</f>
        <v/>
      </c>
      <c r="BC329" s="1719">
        <f>BC300</f>
        <v/>
      </c>
      <c r="BD329" s="1719">
        <f>BD300</f>
        <v/>
      </c>
      <c r="BE329" s="1718">
        <f>BE300</f>
        <v/>
      </c>
      <c r="BF329" s="1719">
        <f>BF300</f>
        <v/>
      </c>
      <c r="BG329" s="1719">
        <f>BG300</f>
        <v/>
      </c>
      <c r="BH329" s="1719">
        <f>BH300</f>
        <v/>
      </c>
      <c r="BI329" s="1719">
        <f>BI300</f>
        <v/>
      </c>
      <c r="BJ329" s="1718">
        <f>BJ300</f>
        <v/>
      </c>
      <c r="BK329" s="1719">
        <f>BK300</f>
        <v/>
      </c>
      <c r="BL329" s="1719">
        <f>BL300</f>
        <v/>
      </c>
      <c r="BM329" s="1719">
        <f>BM300</f>
        <v/>
      </c>
      <c r="BN329" s="1719">
        <f>BN300</f>
        <v/>
      </c>
      <c r="BO329" s="1720">
        <f>BO300</f>
        <v/>
      </c>
      <c r="BP329" s="1719">
        <f>BP41</f>
        <v/>
      </c>
      <c r="BQ329" s="1719">
        <f>BQ41</f>
        <v/>
      </c>
      <c r="BR329" s="1719">
        <f>BR41</f>
        <v/>
      </c>
      <c r="BS329" s="1719">
        <f>BS41</f>
        <v/>
      </c>
      <c r="BT329" s="1718">
        <f>BT41</f>
        <v/>
      </c>
      <c r="BU329" s="1719">
        <f>BU41</f>
        <v/>
      </c>
      <c r="BV329" s="1719">
        <f>BV41</f>
        <v/>
      </c>
      <c r="BW329" s="1719">
        <f>BW41</f>
        <v/>
      </c>
      <c r="BX329" s="1719">
        <f>BX41</f>
        <v/>
      </c>
      <c r="BY329" s="1718">
        <f>BY41</f>
        <v/>
      </c>
      <c r="BZ329" s="1718">
        <f>BZ41</f>
        <v/>
      </c>
      <c r="CA329" s="1718">
        <f>CA41</f>
        <v/>
      </c>
      <c r="CB329" s="1718">
        <f>CB41</f>
        <v/>
      </c>
      <c r="CC329" s="1634" t="n"/>
    </row>
    <row r="330" ht="15" customFormat="1" customHeight="1" s="1827">
      <c r="A330" s="1828">
        <f>CONCATENATE("Consensus Estimates - ",IFERROR(LEFT(A329,FIND("(",A329)-1),A329))</f>
        <v/>
      </c>
      <c r="B330" s="1829" t="n"/>
      <c r="C330" s="1830" t="n"/>
      <c r="D330" s="1830" t="n"/>
      <c r="E330" s="1830" t="n"/>
      <c r="F330" s="1830" t="n"/>
      <c r="G330" s="1830" t="n"/>
      <c r="H330" s="1831" t="n"/>
      <c r="I330" s="1831" t="n"/>
      <c r="J330" s="1831" t="n"/>
      <c r="K330" s="1831" t="n"/>
      <c r="L330" s="1830" t="n"/>
      <c r="M330" s="1831" t="n"/>
      <c r="N330" s="1831" t="n"/>
      <c r="O330" s="1831" t="n"/>
      <c r="P330" s="1831" t="n"/>
      <c r="Q330" s="1830" t="n"/>
      <c r="R330" s="1831" t="n"/>
      <c r="S330" s="1832" t="n"/>
      <c r="T330" s="1831" t="n"/>
      <c r="U330" s="1831" t="n"/>
      <c r="V330" s="1830" t="n"/>
      <c r="W330" s="1831" t="n"/>
      <c r="X330" s="1832" t="n"/>
      <c r="Y330" s="1831" t="n"/>
      <c r="Z330" s="1831" t="n"/>
      <c r="AA330" s="1830" t="n"/>
      <c r="AB330" s="1831" t="n"/>
      <c r="AC330" s="1832" t="n"/>
      <c r="AD330" s="1831" t="n"/>
      <c r="AE330" s="1831" t="n"/>
      <c r="AF330" s="1830" t="n"/>
      <c r="AG330" s="1831" t="n"/>
      <c r="AH330" s="1832" t="n"/>
      <c r="AI330" s="1831" t="n"/>
      <c r="AJ330" s="1831" t="n"/>
      <c r="AK330" s="1830" t="n"/>
      <c r="AL330" s="1831" t="n"/>
      <c r="AM330" s="1832" t="n"/>
      <c r="AN330" s="1831" t="n"/>
      <c r="AO330" s="1831" t="n"/>
      <c r="AP330" s="1830" t="n"/>
      <c r="AQ330" s="1831" t="n"/>
      <c r="AR330" s="1832" t="n"/>
      <c r="AS330" s="1831" t="n"/>
      <c r="AT330" s="1831" t="n"/>
      <c r="AU330" s="1830" t="n"/>
      <c r="AV330" s="1831" t="n"/>
      <c r="AW330" s="1832" t="n"/>
      <c r="AX330" s="1831" t="n"/>
      <c r="AY330" s="1831" t="n"/>
      <c r="AZ330" s="1830" t="n"/>
      <c r="BA330" s="1831" t="n"/>
      <c r="BB330" s="1832" t="n"/>
      <c r="BC330" s="1831" t="n"/>
      <c r="BD330" s="1831" t="n"/>
      <c r="BE330" s="1830" t="n"/>
      <c r="BF330" s="1831" t="n"/>
      <c r="BG330" s="1832" t="n"/>
      <c r="BH330" s="1831" t="n"/>
      <c r="BI330" s="1831" t="n"/>
      <c r="BJ330" s="1830" t="n"/>
      <c r="BK330" s="1831" t="n"/>
      <c r="BL330" s="1832" t="n"/>
      <c r="BM330" s="1831" t="n"/>
      <c r="BN330" s="1831" t="n"/>
      <c r="BO330" s="1833" t="n"/>
      <c r="BP330" s="1699">
        <f>IFERROR(VLOOKUP($A330,tb_ConsensusEstimate,MATCH(BP$5,OFFSET(tb_ConsensusEstimate,0,0,1,COLUMNS(tb_ConsensusEstimate)),0),FALSE),"-")</f>
        <v/>
      </c>
      <c r="BQ330" s="1699">
        <f>IFERROR(VLOOKUP($A330,tb_ConsensusEstimate,MATCH(BQ$5,OFFSET(tb_ConsensusEstimate,0,0,1,COLUMNS(tb_ConsensusEstimate)),0),FALSE),"-")</f>
        <v/>
      </c>
      <c r="BR330" s="1699">
        <f>IFERROR(VLOOKUP($A330,tb_ConsensusEstimate,MATCH(BR$5,OFFSET(tb_ConsensusEstimate,0,0,1,COLUMNS(tb_ConsensusEstimate)),0),FALSE),"-")</f>
        <v/>
      </c>
      <c r="BS330" s="1699">
        <f>IFERROR(VLOOKUP($A330,tb_ConsensusEstimate,MATCH(BS$5,OFFSET(tb_ConsensusEstimate,0,0,1,COLUMNS(tb_ConsensusEstimate)),0),FALSE),"-")</f>
        <v/>
      </c>
      <c r="BT330" s="1698">
        <f>IFERROR(VLOOKUP($A330,tb_ConsensusEstimate,MATCH(BT$5,OFFSET(tb_ConsensusEstimate,0,0,1,COLUMNS(tb_ConsensusEstimate)),0),FALSE),"-")</f>
        <v/>
      </c>
      <c r="BU330" s="1699">
        <f>IFERROR(VLOOKUP($A330,tb_ConsensusEstimate,MATCH(BU$5,OFFSET(tb_ConsensusEstimate,0,0,1,COLUMNS(tb_ConsensusEstimate)),0),FALSE),"-")</f>
        <v/>
      </c>
      <c r="BV330" s="1699">
        <f>IFERROR(VLOOKUP($A330,tb_ConsensusEstimate,MATCH(BV$5,OFFSET(tb_ConsensusEstimate,0,0,1,COLUMNS(tb_ConsensusEstimate)),0),FALSE),"-")</f>
        <v/>
      </c>
      <c r="BW330" s="1699">
        <f>IFERROR(VLOOKUP($A330,tb_ConsensusEstimate,MATCH(BW$5,OFFSET(tb_ConsensusEstimate,0,0,1,COLUMNS(tb_ConsensusEstimate)),0),FALSE),"-")</f>
        <v/>
      </c>
      <c r="BX330" s="1699">
        <f>IFERROR(VLOOKUP($A330,tb_ConsensusEstimate,MATCH(BX$5,OFFSET(tb_ConsensusEstimate,0,0,1,COLUMNS(tb_ConsensusEstimate)),0),FALSE),"-")</f>
        <v/>
      </c>
      <c r="BY330" s="1698">
        <f>IFERROR(VLOOKUP($A330,tb_ConsensusEstimate,MATCH(BY$5,OFFSET(tb_ConsensusEstimate,0,0,1,COLUMNS(tb_ConsensusEstimate)),0),FALSE),"-")</f>
        <v/>
      </c>
      <c r="BZ330" s="1698">
        <f>IFERROR(VLOOKUP($A330,tb_ConsensusEstimate,MATCH(BZ$5,OFFSET(tb_ConsensusEstimate,0,0,1,COLUMNS(tb_ConsensusEstimate)),0),FALSE),"-")</f>
        <v/>
      </c>
      <c r="CA330" s="1698">
        <f>IFERROR(VLOOKUP($A330,tb_ConsensusEstimate,MATCH(CA$5,OFFSET(tb_ConsensusEstimate,0,0,1,COLUMNS(tb_ConsensusEstimate)),0),FALSE),"-")</f>
        <v/>
      </c>
      <c r="CB330" s="1698">
        <f>IFERROR(VLOOKUP($A330,tb_ConsensusEstimate,MATCH(CB$5,OFFSET(tb_ConsensusEstimate,0,0,1,COLUMNS(tb_ConsensusEstimate)),0),FALSE),"-")</f>
        <v/>
      </c>
      <c r="CC330" s="1831" t="n"/>
    </row>
    <row r="331" ht="15" customFormat="1" customHeight="1" s="1628">
      <c r="A331" s="1703" t="n"/>
      <c r="B331" s="1717" t="n"/>
      <c r="C331" s="1718" t="n"/>
      <c r="D331" s="1718" t="n"/>
      <c r="E331" s="1718" t="n"/>
      <c r="F331" s="1718" t="n"/>
      <c r="G331" s="1718" t="n"/>
      <c r="H331" s="1719" t="n"/>
      <c r="I331" s="1719" t="n"/>
      <c r="J331" s="1719" t="n"/>
      <c r="K331" s="1719" t="n"/>
      <c r="L331" s="1718" t="n"/>
      <c r="M331" s="1719" t="n"/>
      <c r="N331" s="1719" t="n"/>
      <c r="O331" s="1719" t="n"/>
      <c r="P331" s="1719" t="n"/>
      <c r="Q331" s="1718" t="n"/>
      <c r="R331" s="1719" t="n"/>
      <c r="S331" s="1719" t="n"/>
      <c r="T331" s="1719" t="n"/>
      <c r="U331" s="1719" t="n"/>
      <c r="V331" s="1718" t="n"/>
      <c r="W331" s="1719" t="n"/>
      <c r="X331" s="1719" t="n"/>
      <c r="Y331" s="1719" t="n"/>
      <c r="Z331" s="1719" t="n"/>
      <c r="AA331" s="1718" t="n"/>
      <c r="AB331" s="1719" t="n"/>
      <c r="AC331" s="1719" t="n"/>
      <c r="AD331" s="1719" t="n"/>
      <c r="AE331" s="1719" t="n"/>
      <c r="AF331" s="1718" t="n"/>
      <c r="AG331" s="1719" t="n"/>
      <c r="AH331" s="1719" t="n"/>
      <c r="AI331" s="1719" t="n"/>
      <c r="AJ331" s="1719" t="n"/>
      <c r="AK331" s="1718" t="n"/>
      <c r="AL331" s="1719" t="n"/>
      <c r="AM331" s="1719" t="n"/>
      <c r="AN331" s="1719" t="n"/>
      <c r="AO331" s="1719" t="n"/>
      <c r="AP331" s="1718" t="n"/>
      <c r="AQ331" s="1719" t="n"/>
      <c r="AR331" s="1719" t="n"/>
      <c r="AS331" s="1719" t="n"/>
      <c r="AT331" s="1719" t="n"/>
      <c r="AU331" s="1718" t="n"/>
      <c r="AV331" s="1719" t="n"/>
      <c r="AW331" s="1719" t="n"/>
      <c r="AX331" s="1719" t="n"/>
      <c r="AY331" s="1719" t="n"/>
      <c r="AZ331" s="1718" t="n"/>
      <c r="BA331" s="1719" t="n"/>
      <c r="BB331" s="1719" t="n"/>
      <c r="BC331" s="1719" t="n"/>
      <c r="BD331" s="1719" t="n"/>
      <c r="BE331" s="1718" t="n"/>
      <c r="BF331" s="1719" t="n"/>
      <c r="BG331" s="1719" t="n"/>
      <c r="BH331" s="1719" t="n"/>
      <c r="BI331" s="1719" t="n"/>
      <c r="BJ331" s="1718" t="n"/>
      <c r="BK331" s="1719" t="n"/>
      <c r="BL331" s="1719" t="n"/>
      <c r="BM331" s="1719" t="n"/>
      <c r="BN331" s="1719" t="n"/>
      <c r="BO331" s="1720" t="n"/>
      <c r="BP331" s="1719" t="n"/>
      <c r="BQ331" s="1719" t="n"/>
      <c r="BR331" s="1719" t="n"/>
      <c r="BS331" s="1719" t="n"/>
      <c r="BT331" s="1718" t="n"/>
      <c r="BU331" s="1719" t="n"/>
      <c r="BV331" s="1719" t="n"/>
      <c r="BW331" s="1719" t="n"/>
      <c r="BX331" s="1719" t="n"/>
      <c r="BY331" s="1718" t="n"/>
      <c r="BZ331" s="1718" t="n"/>
      <c r="CA331" s="1718" t="n"/>
      <c r="CB331" s="1718" t="n"/>
      <c r="CC331" s="1634" t="n"/>
    </row>
    <row r="332" ht="15" customFormat="1" customHeight="1" s="1561">
      <c r="A332" s="1702" t="inlineStr">
        <is>
          <t>COGS</t>
        </is>
      </c>
      <c r="B332" s="1708" t="n"/>
      <c r="C332" s="1712">
        <f>-C303</f>
        <v/>
      </c>
      <c r="D332" s="1712">
        <f>-D303</f>
        <v/>
      </c>
      <c r="E332" s="1712">
        <f>-E303</f>
        <v/>
      </c>
      <c r="F332" s="1712">
        <f>-F303</f>
        <v/>
      </c>
      <c r="G332" s="1712">
        <f>-G303</f>
        <v/>
      </c>
      <c r="H332" s="1710">
        <f>-H303</f>
        <v/>
      </c>
      <c r="I332" s="1710">
        <f>-I303</f>
        <v/>
      </c>
      <c r="J332" s="1710">
        <f>-J303</f>
        <v/>
      </c>
      <c r="K332" s="1710">
        <f>-K303</f>
        <v/>
      </c>
      <c r="L332" s="1712">
        <f>-L303</f>
        <v/>
      </c>
      <c r="M332" s="1710">
        <f>-M303</f>
        <v/>
      </c>
      <c r="N332" s="1710">
        <f>-N303</f>
        <v/>
      </c>
      <c r="O332" s="1710">
        <f>-O303</f>
        <v/>
      </c>
      <c r="P332" s="1710">
        <f>-P303</f>
        <v/>
      </c>
      <c r="Q332" s="1712">
        <f>-Q303</f>
        <v/>
      </c>
      <c r="R332" s="1710">
        <f>-R303</f>
        <v/>
      </c>
      <c r="S332" s="1710">
        <f>-S303</f>
        <v/>
      </c>
      <c r="T332" s="1710">
        <f>-T303</f>
        <v/>
      </c>
      <c r="U332" s="1710">
        <f>-U303</f>
        <v/>
      </c>
      <c r="V332" s="1712">
        <f>-V303</f>
        <v/>
      </c>
      <c r="W332" s="1710">
        <f>-W303</f>
        <v/>
      </c>
      <c r="X332" s="1710">
        <f>-X303</f>
        <v/>
      </c>
      <c r="Y332" s="1710">
        <f>-Y303</f>
        <v/>
      </c>
      <c r="Z332" s="1710">
        <f>-Z303</f>
        <v/>
      </c>
      <c r="AA332" s="1712">
        <f>-AA303</f>
        <v/>
      </c>
      <c r="AB332" s="1710">
        <f>-AB303</f>
        <v/>
      </c>
      <c r="AC332" s="1710">
        <f>-AC303</f>
        <v/>
      </c>
      <c r="AD332" s="1710">
        <f>-AD303</f>
        <v/>
      </c>
      <c r="AE332" s="1710">
        <f>-AE303</f>
        <v/>
      </c>
      <c r="AF332" s="1712">
        <f>-AF303</f>
        <v/>
      </c>
      <c r="AG332" s="1710">
        <f>-AG303</f>
        <v/>
      </c>
      <c r="AH332" s="1710">
        <f>-AH303</f>
        <v/>
      </c>
      <c r="AI332" s="1710">
        <f>-AI303</f>
        <v/>
      </c>
      <c r="AJ332" s="1710">
        <f>-AJ303</f>
        <v/>
      </c>
      <c r="AK332" s="1712">
        <f>-AK303</f>
        <v/>
      </c>
      <c r="AL332" s="1710">
        <f>-AL303</f>
        <v/>
      </c>
      <c r="AM332" s="1710">
        <f>-AM303</f>
        <v/>
      </c>
      <c r="AN332" s="1710">
        <f>-AN303</f>
        <v/>
      </c>
      <c r="AO332" s="1710">
        <f>-AO303</f>
        <v/>
      </c>
      <c r="AP332" s="1712">
        <f>-AP303</f>
        <v/>
      </c>
      <c r="AQ332" s="1710">
        <f>-AQ303</f>
        <v/>
      </c>
      <c r="AR332" s="1710">
        <f>-AR303</f>
        <v/>
      </c>
      <c r="AS332" s="1710">
        <f>-AS303</f>
        <v/>
      </c>
      <c r="AT332" s="1710">
        <f>-AT303</f>
        <v/>
      </c>
      <c r="AU332" s="1712">
        <f>-AU303</f>
        <v/>
      </c>
      <c r="AV332" s="1710">
        <f>-AV303</f>
        <v/>
      </c>
      <c r="AW332" s="1710">
        <f>-AW303</f>
        <v/>
      </c>
      <c r="AX332" s="1710">
        <f>-AX303</f>
        <v/>
      </c>
      <c r="AY332" s="1710">
        <f>-AY303</f>
        <v/>
      </c>
      <c r="AZ332" s="1712">
        <f>-AZ303</f>
        <v/>
      </c>
      <c r="BA332" s="1710">
        <f>-BA303</f>
        <v/>
      </c>
      <c r="BB332" s="1710">
        <f>-BB303</f>
        <v/>
      </c>
      <c r="BC332" s="1710">
        <f>-BC303</f>
        <v/>
      </c>
      <c r="BD332" s="1710">
        <f>-BD303</f>
        <v/>
      </c>
      <c r="BE332" s="1712">
        <f>-BE303</f>
        <v/>
      </c>
      <c r="BF332" s="1710">
        <f>-BF303</f>
        <v/>
      </c>
      <c r="BG332" s="1710">
        <f>-BG303</f>
        <v/>
      </c>
      <c r="BH332" s="1710">
        <f>-BH303</f>
        <v/>
      </c>
      <c r="BI332" s="1710">
        <f>-BI303</f>
        <v/>
      </c>
      <c r="BJ332" s="1712">
        <f>-BJ303</f>
        <v/>
      </c>
      <c r="BK332" s="1710">
        <f>-BK303</f>
        <v/>
      </c>
      <c r="BL332" s="1710">
        <f>-BL303</f>
        <v/>
      </c>
      <c r="BM332" s="1710">
        <f>-BM303</f>
        <v/>
      </c>
      <c r="BN332" s="1710">
        <f>-BN303</f>
        <v/>
      </c>
      <c r="BO332" s="1711">
        <f>-BO303</f>
        <v/>
      </c>
      <c r="BP332" s="1710">
        <f>BP329-BP333</f>
        <v/>
      </c>
      <c r="BQ332" s="1710">
        <f>BQ329-BQ333</f>
        <v/>
      </c>
      <c r="BR332" s="1710">
        <f>BR329-BR333</f>
        <v/>
      </c>
      <c r="BS332" s="1710">
        <f>BS329-BS333</f>
        <v/>
      </c>
      <c r="BT332" s="1712">
        <f>SUM(BP332,BQ332,BR332,BS332)</f>
        <v/>
      </c>
      <c r="BU332" s="1710">
        <f>BU329-BU333</f>
        <v/>
      </c>
      <c r="BV332" s="1710">
        <f>BV329-BV333</f>
        <v/>
      </c>
      <c r="BW332" s="1710">
        <f>BW329-BW333</f>
        <v/>
      </c>
      <c r="BX332" s="1710">
        <f>BX329-BX333</f>
        <v/>
      </c>
      <c r="BY332" s="1712">
        <f>SUM(BU332,BV332,BW332,BX332)</f>
        <v/>
      </c>
      <c r="BZ332" s="1712">
        <f>BZ329-BZ333</f>
        <v/>
      </c>
      <c r="CA332" s="1712">
        <f>CA329-CA333</f>
        <v/>
      </c>
      <c r="CB332" s="1712">
        <f>CB329-CB333</f>
        <v/>
      </c>
      <c r="CC332" s="1564" t="n"/>
    </row>
    <row r="333" ht="15" customFormat="1" customHeight="1" s="1628">
      <c r="A333" s="1695" t="inlineStr">
        <is>
          <t>Gross Profit</t>
        </is>
      </c>
      <c r="B333" s="1793" t="n"/>
      <c r="C333" s="1779">
        <f>C329-C332</f>
        <v/>
      </c>
      <c r="D333" s="1779">
        <f>D329-D332</f>
        <v/>
      </c>
      <c r="E333" s="1779">
        <f>E329-E332</f>
        <v/>
      </c>
      <c r="F333" s="1779">
        <f>F329-F332</f>
        <v/>
      </c>
      <c r="G333" s="1779">
        <f>G329-G332</f>
        <v/>
      </c>
      <c r="H333" s="1795">
        <f>H329-H332</f>
        <v/>
      </c>
      <c r="I333" s="1795">
        <f>I329-I332</f>
        <v/>
      </c>
      <c r="J333" s="1795">
        <f>J329-J332</f>
        <v/>
      </c>
      <c r="K333" s="1795">
        <f>K329-K332</f>
        <v/>
      </c>
      <c r="L333" s="1779">
        <f>L329-L332</f>
        <v/>
      </c>
      <c r="M333" s="1795">
        <f>M329-M332</f>
        <v/>
      </c>
      <c r="N333" s="1795">
        <f>N329-N332</f>
        <v/>
      </c>
      <c r="O333" s="1795">
        <f>O329-O332</f>
        <v/>
      </c>
      <c r="P333" s="1795">
        <f>P329-P332</f>
        <v/>
      </c>
      <c r="Q333" s="1779">
        <f>Q329-Q332</f>
        <v/>
      </c>
      <c r="R333" s="1795">
        <f>R329-R332</f>
        <v/>
      </c>
      <c r="S333" s="1795">
        <f>S329-S332</f>
        <v/>
      </c>
      <c r="T333" s="1795">
        <f>T329-T332</f>
        <v/>
      </c>
      <c r="U333" s="1795">
        <f>U329-U332</f>
        <v/>
      </c>
      <c r="V333" s="1779">
        <f>V329-V332</f>
        <v/>
      </c>
      <c r="W333" s="1795">
        <f>W329-W332</f>
        <v/>
      </c>
      <c r="X333" s="1795">
        <f>X329-X332</f>
        <v/>
      </c>
      <c r="Y333" s="1795">
        <f>Y329-Y332</f>
        <v/>
      </c>
      <c r="Z333" s="1795">
        <f>Z329-Z332</f>
        <v/>
      </c>
      <c r="AA333" s="1779">
        <f>AA329-AA332</f>
        <v/>
      </c>
      <c r="AB333" s="1795">
        <f>AB329-AB332</f>
        <v/>
      </c>
      <c r="AC333" s="1795">
        <f>AC329-AC332</f>
        <v/>
      </c>
      <c r="AD333" s="1795">
        <f>AD329-AD332</f>
        <v/>
      </c>
      <c r="AE333" s="1795">
        <f>AE329-AE332</f>
        <v/>
      </c>
      <c r="AF333" s="1779">
        <f>AF329-AF332</f>
        <v/>
      </c>
      <c r="AG333" s="1795">
        <f>AG329-AG332</f>
        <v/>
      </c>
      <c r="AH333" s="1795">
        <f>AH329-AH332</f>
        <v/>
      </c>
      <c r="AI333" s="1795">
        <f>AI329-AI332</f>
        <v/>
      </c>
      <c r="AJ333" s="1795">
        <f>AJ329-AJ332</f>
        <v/>
      </c>
      <c r="AK333" s="1779">
        <f>AK329-AK332</f>
        <v/>
      </c>
      <c r="AL333" s="1795">
        <f>AL329-AL332</f>
        <v/>
      </c>
      <c r="AM333" s="1795">
        <f>AM329-AM332</f>
        <v/>
      </c>
      <c r="AN333" s="1795">
        <f>AN329-AN332</f>
        <v/>
      </c>
      <c r="AO333" s="1795">
        <f>AO329-AO332</f>
        <v/>
      </c>
      <c r="AP333" s="1779">
        <f>AP329-AP332</f>
        <v/>
      </c>
      <c r="AQ333" s="1795">
        <f>AQ329-AQ332</f>
        <v/>
      </c>
      <c r="AR333" s="1795">
        <f>AR329-AR332</f>
        <v/>
      </c>
      <c r="AS333" s="1795">
        <f>AS329-AS332</f>
        <v/>
      </c>
      <c r="AT333" s="1795">
        <f>AT329-AT332</f>
        <v/>
      </c>
      <c r="AU333" s="1779">
        <f>AU329-AU332</f>
        <v/>
      </c>
      <c r="AV333" s="1795">
        <f>AV329-AV332</f>
        <v/>
      </c>
      <c r="AW333" s="1795">
        <f>AW329-AW332</f>
        <v/>
      </c>
      <c r="AX333" s="1795">
        <f>AX329-AX332</f>
        <v/>
      </c>
      <c r="AY333" s="1795">
        <f>AY329-AY332</f>
        <v/>
      </c>
      <c r="AZ333" s="1779">
        <f>AZ329-AZ332</f>
        <v/>
      </c>
      <c r="BA333" s="1795">
        <f>BA329-BA332</f>
        <v/>
      </c>
      <c r="BB333" s="1795">
        <f>BB329-BB332</f>
        <v/>
      </c>
      <c r="BC333" s="1795">
        <f>BC329-BC332</f>
        <v/>
      </c>
      <c r="BD333" s="1795">
        <f>BD329-BD332</f>
        <v/>
      </c>
      <c r="BE333" s="1779">
        <f>BE329-BE332</f>
        <v/>
      </c>
      <c r="BF333" s="1795">
        <f>BF329-BF332</f>
        <v/>
      </c>
      <c r="BG333" s="1795">
        <f>BG329-BG332</f>
        <v/>
      </c>
      <c r="BH333" s="1795">
        <f>BH329-BH332</f>
        <v/>
      </c>
      <c r="BI333" s="1795">
        <f>BI329-BI332</f>
        <v/>
      </c>
      <c r="BJ333" s="1779">
        <f>BJ329-BJ332</f>
        <v/>
      </c>
      <c r="BK333" s="1795">
        <f>BK329-BK332</f>
        <v/>
      </c>
      <c r="BL333" s="1795">
        <f>BL329-BL332</f>
        <v/>
      </c>
      <c r="BM333" s="1795">
        <f>BM329-BM332</f>
        <v/>
      </c>
      <c r="BN333" s="1795">
        <f>BN329-BN332</f>
        <v/>
      </c>
      <c r="BO333" s="1796">
        <f>BO329-BO332</f>
        <v/>
      </c>
      <c r="BP333" s="1642">
        <f>BP72</f>
        <v/>
      </c>
      <c r="BQ333" s="1642">
        <f>BQ72</f>
        <v/>
      </c>
      <c r="BR333" s="1642">
        <f>BR72</f>
        <v/>
      </c>
      <c r="BS333" s="1642">
        <f>BS72</f>
        <v/>
      </c>
      <c r="BT333" s="1641">
        <f>BT329-BT332</f>
        <v/>
      </c>
      <c r="BU333" s="1642">
        <f>BU72</f>
        <v/>
      </c>
      <c r="BV333" s="1642">
        <f>BV72</f>
        <v/>
      </c>
      <c r="BW333" s="1642">
        <f>BW72</f>
        <v/>
      </c>
      <c r="BX333" s="1642">
        <f>BX72</f>
        <v/>
      </c>
      <c r="BY333" s="1641">
        <f>BY329-BY332</f>
        <v/>
      </c>
      <c r="BZ333" s="1641">
        <f>BZ72</f>
        <v/>
      </c>
      <c r="CA333" s="1641">
        <f>CA72</f>
        <v/>
      </c>
      <c r="CB333" s="1641">
        <f>CB72</f>
        <v/>
      </c>
      <c r="CC333" s="1634" t="n"/>
    </row>
    <row r="334" ht="15" customFormat="1" customHeight="1" s="1628">
      <c r="A334" s="1703" t="n"/>
      <c r="B334" s="1717" t="n"/>
      <c r="C334" s="1718" t="n"/>
      <c r="D334" s="1718" t="n"/>
      <c r="E334" s="1718" t="n"/>
      <c r="F334" s="1718" t="n"/>
      <c r="G334" s="1718" t="n"/>
      <c r="H334" s="1719" t="n"/>
      <c r="I334" s="1719" t="n"/>
      <c r="J334" s="1719" t="n"/>
      <c r="K334" s="1719" t="n"/>
      <c r="L334" s="1718" t="n"/>
      <c r="M334" s="1719" t="n"/>
      <c r="N334" s="1719" t="n"/>
      <c r="O334" s="1719" t="n"/>
      <c r="P334" s="1719" t="n"/>
      <c r="Q334" s="1718" t="n"/>
      <c r="R334" s="1719" t="n"/>
      <c r="S334" s="1719" t="n"/>
      <c r="T334" s="1719" t="n"/>
      <c r="U334" s="1719" t="n"/>
      <c r="V334" s="1718" t="n"/>
      <c r="W334" s="1719" t="n"/>
      <c r="X334" s="1719" t="n"/>
      <c r="Y334" s="1719" t="n"/>
      <c r="Z334" s="1719" t="n"/>
      <c r="AA334" s="1718" t="n"/>
      <c r="AB334" s="1719" t="n"/>
      <c r="AC334" s="1719" t="n"/>
      <c r="AD334" s="1719" t="n"/>
      <c r="AE334" s="1719" t="n"/>
      <c r="AF334" s="1718" t="n"/>
      <c r="AG334" s="1719" t="n"/>
      <c r="AH334" s="1719" t="n"/>
      <c r="AI334" s="1719" t="n"/>
      <c r="AJ334" s="1719" t="n"/>
      <c r="AK334" s="1718" t="n"/>
      <c r="AL334" s="1719" t="n"/>
      <c r="AM334" s="1719" t="n"/>
      <c r="AN334" s="1719" t="n"/>
      <c r="AO334" s="1719" t="n"/>
      <c r="AP334" s="1718" t="n"/>
      <c r="AQ334" s="1719" t="n"/>
      <c r="AR334" s="1719" t="n"/>
      <c r="AS334" s="1719" t="n"/>
      <c r="AT334" s="1719" t="n"/>
      <c r="AU334" s="1718" t="n"/>
      <c r="AV334" s="1719" t="n"/>
      <c r="AW334" s="1719" t="n"/>
      <c r="AX334" s="1719" t="n"/>
      <c r="AY334" s="1719" t="n"/>
      <c r="AZ334" s="1718" t="n"/>
      <c r="BA334" s="1719" t="n"/>
      <c r="BB334" s="1719" t="n"/>
      <c r="BC334" s="1719" t="n"/>
      <c r="BD334" s="1719" t="n"/>
      <c r="BE334" s="1718" t="n"/>
      <c r="BF334" s="1719" t="n"/>
      <c r="BG334" s="1719" t="n"/>
      <c r="BH334" s="1719" t="n"/>
      <c r="BI334" s="1719" t="n"/>
      <c r="BJ334" s="1718" t="n"/>
      <c r="BK334" s="1719" t="n"/>
      <c r="BL334" s="1719" t="n"/>
      <c r="BM334" s="1719" t="n"/>
      <c r="BN334" s="1719" t="n"/>
      <c r="BO334" s="1720" t="n"/>
      <c r="BP334" s="1719" t="n"/>
      <c r="BQ334" s="1719" t="n"/>
      <c r="BR334" s="1719" t="n"/>
      <c r="BS334" s="1719" t="n"/>
      <c r="BT334" s="1718" t="n"/>
      <c r="BU334" s="1719" t="n"/>
      <c r="BV334" s="1719" t="n"/>
      <c r="BW334" s="1719" t="n"/>
      <c r="BX334" s="1719" t="n"/>
      <c r="BY334" s="1718" t="n"/>
      <c r="BZ334" s="1718" t="n"/>
      <c r="CA334" s="1718" t="n"/>
      <c r="CB334" s="1718" t="n"/>
      <c r="CC334" s="1634" t="n"/>
    </row>
    <row r="335" ht="15" customFormat="1" customHeight="1" s="1561">
      <c r="A335" s="1721" t="inlineStr">
        <is>
          <t>R&amp;D</t>
        </is>
      </c>
      <c r="B335" s="1705" t="n"/>
      <c r="C335" s="1713">
        <f>-C306</f>
        <v/>
      </c>
      <c r="D335" s="1713">
        <f>-D306</f>
        <v/>
      </c>
      <c r="E335" s="1713">
        <f>-E306</f>
        <v/>
      </c>
      <c r="F335" s="1713">
        <f>-F306</f>
        <v/>
      </c>
      <c r="G335" s="1713">
        <f>-G306</f>
        <v/>
      </c>
      <c r="H335" s="1564">
        <f>-H306</f>
        <v/>
      </c>
      <c r="I335" s="1564">
        <f>-I306</f>
        <v/>
      </c>
      <c r="J335" s="1564">
        <f>-J306</f>
        <v/>
      </c>
      <c r="K335" s="1564">
        <f>-K306</f>
        <v/>
      </c>
      <c r="L335" s="1713">
        <f>-L306</f>
        <v/>
      </c>
      <c r="M335" s="1564">
        <f>-M306</f>
        <v/>
      </c>
      <c r="N335" s="1564">
        <f>-N306</f>
        <v/>
      </c>
      <c r="O335" s="1564">
        <f>-O306</f>
        <v/>
      </c>
      <c r="P335" s="1564">
        <f>-P306</f>
        <v/>
      </c>
      <c r="Q335" s="1713">
        <f>-Q306</f>
        <v/>
      </c>
      <c r="R335" s="1564">
        <f>-R306</f>
        <v/>
      </c>
      <c r="S335" s="1564">
        <f>-S306</f>
        <v/>
      </c>
      <c r="T335" s="1564">
        <f>-T306</f>
        <v/>
      </c>
      <c r="U335" s="1564">
        <f>-U306</f>
        <v/>
      </c>
      <c r="V335" s="1713">
        <f>-V306</f>
        <v/>
      </c>
      <c r="W335" s="1564">
        <f>-W306</f>
        <v/>
      </c>
      <c r="X335" s="1564">
        <f>-X306</f>
        <v/>
      </c>
      <c r="Y335" s="1564">
        <f>-Y306</f>
        <v/>
      </c>
      <c r="Z335" s="1564">
        <f>-Z306</f>
        <v/>
      </c>
      <c r="AA335" s="1713">
        <f>-AA306</f>
        <v/>
      </c>
      <c r="AB335" s="1564">
        <f>-AB306</f>
        <v/>
      </c>
      <c r="AC335" s="1564">
        <f>-AC306</f>
        <v/>
      </c>
      <c r="AD335" s="1564">
        <f>-AD306</f>
        <v/>
      </c>
      <c r="AE335" s="1564">
        <f>-AE306</f>
        <v/>
      </c>
      <c r="AF335" s="1713">
        <f>-AF306</f>
        <v/>
      </c>
      <c r="AG335" s="1564">
        <f>-AG306</f>
        <v/>
      </c>
      <c r="AH335" s="1564">
        <f>-AH306</f>
        <v/>
      </c>
      <c r="AI335" s="1564">
        <f>-AI306</f>
        <v/>
      </c>
      <c r="AJ335" s="1564">
        <f>-AJ306</f>
        <v/>
      </c>
      <c r="AK335" s="1713">
        <f>-AK306</f>
        <v/>
      </c>
      <c r="AL335" s="1564">
        <f>-AL306</f>
        <v/>
      </c>
      <c r="AM335" s="1564">
        <f>-AM306</f>
        <v/>
      </c>
      <c r="AN335" s="1564">
        <f>-AN306</f>
        <v/>
      </c>
      <c r="AO335" s="1564">
        <f>-AO306</f>
        <v/>
      </c>
      <c r="AP335" s="1713">
        <f>-AP306</f>
        <v/>
      </c>
      <c r="AQ335" s="1564">
        <f>-AQ306</f>
        <v/>
      </c>
      <c r="AR335" s="1564">
        <f>-AR306</f>
        <v/>
      </c>
      <c r="AS335" s="1564">
        <f>-AS306</f>
        <v/>
      </c>
      <c r="AT335" s="1564">
        <f>-AT306</f>
        <v/>
      </c>
      <c r="AU335" s="1713">
        <f>-AU306</f>
        <v/>
      </c>
      <c r="AV335" s="1564">
        <f>-AV306</f>
        <v/>
      </c>
      <c r="AW335" s="1564">
        <f>-AW306</f>
        <v/>
      </c>
      <c r="AX335" s="1564">
        <f>-AX306</f>
        <v/>
      </c>
      <c r="AY335" s="1564">
        <f>-AY306</f>
        <v/>
      </c>
      <c r="AZ335" s="1713">
        <f>-AZ306</f>
        <v/>
      </c>
      <c r="BA335" s="1564">
        <f>-BA306</f>
        <v/>
      </c>
      <c r="BB335" s="1564">
        <f>-BB306</f>
        <v/>
      </c>
      <c r="BC335" s="1564">
        <f>-BC306</f>
        <v/>
      </c>
      <c r="BD335" s="1564">
        <f>-BD306</f>
        <v/>
      </c>
      <c r="BE335" s="1713">
        <f>-BE306</f>
        <v/>
      </c>
      <c r="BF335" s="1564">
        <f>-BF306</f>
        <v/>
      </c>
      <c r="BG335" s="1564">
        <f>-BG306</f>
        <v/>
      </c>
      <c r="BH335" s="1564">
        <f>-BH306</f>
        <v/>
      </c>
      <c r="BI335" s="1564">
        <f>-BI306</f>
        <v/>
      </c>
      <c r="BJ335" s="1713">
        <f>-BJ306</f>
        <v/>
      </c>
      <c r="BK335" s="1564">
        <f>-BK306</f>
        <v/>
      </c>
      <c r="BL335" s="1564">
        <f>-BL306</f>
        <v/>
      </c>
      <c r="BM335" s="1564">
        <f>-BM306</f>
        <v/>
      </c>
      <c r="BN335" s="1564">
        <f>-BN306</f>
        <v/>
      </c>
      <c r="BO335" s="1715">
        <f>-BO306</f>
        <v/>
      </c>
      <c r="BP335" s="1562">
        <f>BP78</f>
        <v/>
      </c>
      <c r="BQ335" s="1562">
        <f>BQ78</f>
        <v/>
      </c>
      <c r="BR335" s="1562">
        <f>BR78</f>
        <v/>
      </c>
      <c r="BS335" s="1562">
        <f>BS78</f>
        <v/>
      </c>
      <c r="BT335" s="1637">
        <f>SUM(BP335,BQ335,BR335,BS335)</f>
        <v/>
      </c>
      <c r="BU335" s="1562">
        <f>BU78</f>
        <v/>
      </c>
      <c r="BV335" s="1562">
        <f>BV78</f>
        <v/>
      </c>
      <c r="BW335" s="1562">
        <f>BW78</f>
        <v/>
      </c>
      <c r="BX335" s="1562">
        <f>BX78</f>
        <v/>
      </c>
      <c r="BY335" s="1637">
        <f>SUM(BU335,BV335,BW335,BX335)</f>
        <v/>
      </c>
      <c r="BZ335" s="1637">
        <f>BZ78</f>
        <v/>
      </c>
      <c r="CA335" s="1637">
        <f>CA78</f>
        <v/>
      </c>
      <c r="CB335" s="1637">
        <f>CB78</f>
        <v/>
      </c>
      <c r="CC335" s="1564" t="n"/>
    </row>
    <row r="336" ht="15" customFormat="1" customHeight="1" s="1561">
      <c r="A336" s="1721" t="inlineStr">
        <is>
          <t>SG&amp;A</t>
        </is>
      </c>
      <c r="B336" s="1705" t="n"/>
      <c r="C336" s="1713">
        <f>-C307</f>
        <v/>
      </c>
      <c r="D336" s="1713">
        <f>-D307</f>
        <v/>
      </c>
      <c r="E336" s="1713">
        <f>-E307</f>
        <v/>
      </c>
      <c r="F336" s="1713">
        <f>-F307</f>
        <v/>
      </c>
      <c r="G336" s="1713">
        <f>-G307</f>
        <v/>
      </c>
      <c r="H336" s="1564">
        <f>-H307</f>
        <v/>
      </c>
      <c r="I336" s="1564">
        <f>-I307</f>
        <v/>
      </c>
      <c r="J336" s="1564">
        <f>-J307</f>
        <v/>
      </c>
      <c r="K336" s="1564">
        <f>-K307</f>
        <v/>
      </c>
      <c r="L336" s="1713">
        <f>-L307</f>
        <v/>
      </c>
      <c r="M336" s="1564">
        <f>-M307</f>
        <v/>
      </c>
      <c r="N336" s="1564">
        <f>-N307</f>
        <v/>
      </c>
      <c r="O336" s="1564">
        <f>-O307</f>
        <v/>
      </c>
      <c r="P336" s="1564">
        <f>-P307</f>
        <v/>
      </c>
      <c r="Q336" s="1713">
        <f>-Q307</f>
        <v/>
      </c>
      <c r="R336" s="1564">
        <f>-R307</f>
        <v/>
      </c>
      <c r="S336" s="1564">
        <f>-S307</f>
        <v/>
      </c>
      <c r="T336" s="1564">
        <f>-T307</f>
        <v/>
      </c>
      <c r="U336" s="1564">
        <f>-U307</f>
        <v/>
      </c>
      <c r="V336" s="1713">
        <f>-V307</f>
        <v/>
      </c>
      <c r="W336" s="1564">
        <f>-W307</f>
        <v/>
      </c>
      <c r="X336" s="1564">
        <f>-X307</f>
        <v/>
      </c>
      <c r="Y336" s="1564">
        <f>-Y307</f>
        <v/>
      </c>
      <c r="Z336" s="1564">
        <f>-Z307</f>
        <v/>
      </c>
      <c r="AA336" s="1713">
        <f>-AA307</f>
        <v/>
      </c>
      <c r="AB336" s="1564">
        <f>-AB307</f>
        <v/>
      </c>
      <c r="AC336" s="1564">
        <f>-AC307</f>
        <v/>
      </c>
      <c r="AD336" s="1564">
        <f>-AD307</f>
        <v/>
      </c>
      <c r="AE336" s="1564">
        <f>-AE307</f>
        <v/>
      </c>
      <c r="AF336" s="1713">
        <f>-AF307</f>
        <v/>
      </c>
      <c r="AG336" s="1564">
        <f>-AG307</f>
        <v/>
      </c>
      <c r="AH336" s="1564">
        <f>-AH307</f>
        <v/>
      </c>
      <c r="AI336" s="1564">
        <f>-AI307</f>
        <v/>
      </c>
      <c r="AJ336" s="1564">
        <f>-AJ307</f>
        <v/>
      </c>
      <c r="AK336" s="1713">
        <f>-AK307</f>
        <v/>
      </c>
      <c r="AL336" s="1564">
        <f>-AL307</f>
        <v/>
      </c>
      <c r="AM336" s="1564">
        <f>-AM307</f>
        <v/>
      </c>
      <c r="AN336" s="1564">
        <f>-AN307</f>
        <v/>
      </c>
      <c r="AO336" s="1564">
        <f>-AO307</f>
        <v/>
      </c>
      <c r="AP336" s="1713">
        <f>-AP307</f>
        <v/>
      </c>
      <c r="AQ336" s="1564">
        <f>-AQ307</f>
        <v/>
      </c>
      <c r="AR336" s="1564">
        <f>-AR307</f>
        <v/>
      </c>
      <c r="AS336" s="1564">
        <f>-AS307</f>
        <v/>
      </c>
      <c r="AT336" s="1564">
        <f>-AT307</f>
        <v/>
      </c>
      <c r="AU336" s="1713">
        <f>-AU307</f>
        <v/>
      </c>
      <c r="AV336" s="1564">
        <f>-AV307</f>
        <v/>
      </c>
      <c r="AW336" s="1564">
        <f>-AW307</f>
        <v/>
      </c>
      <c r="AX336" s="1564">
        <f>-AX307</f>
        <v/>
      </c>
      <c r="AY336" s="1564">
        <f>-AY307</f>
        <v/>
      </c>
      <c r="AZ336" s="1713">
        <f>-AZ307</f>
        <v/>
      </c>
      <c r="BA336" s="1564">
        <f>-BA307</f>
        <v/>
      </c>
      <c r="BB336" s="1564">
        <f>-BB307</f>
        <v/>
      </c>
      <c r="BC336" s="1564">
        <f>-BC307</f>
        <v/>
      </c>
      <c r="BD336" s="1564">
        <f>-BD307</f>
        <v/>
      </c>
      <c r="BE336" s="1713">
        <f>-BE307</f>
        <v/>
      </c>
      <c r="BF336" s="1564">
        <f>-BF307</f>
        <v/>
      </c>
      <c r="BG336" s="1564">
        <f>-BG307</f>
        <v/>
      </c>
      <c r="BH336" s="1564">
        <f>-BH307</f>
        <v/>
      </c>
      <c r="BI336" s="1564">
        <f>-BI307</f>
        <v/>
      </c>
      <c r="BJ336" s="1713">
        <f>-BJ307</f>
        <v/>
      </c>
      <c r="BK336" s="1564">
        <f>-BK307</f>
        <v/>
      </c>
      <c r="BL336" s="1564">
        <f>-BL307</f>
        <v/>
      </c>
      <c r="BM336" s="1564">
        <f>-BM307</f>
        <v/>
      </c>
      <c r="BN336" s="1564">
        <f>-BN307</f>
        <v/>
      </c>
      <c r="BO336" s="1715">
        <f>-BO307</f>
        <v/>
      </c>
      <c r="BP336" s="1562">
        <f>BP83</f>
        <v/>
      </c>
      <c r="BQ336" s="1562">
        <f>BQ83</f>
        <v/>
      </c>
      <c r="BR336" s="1562">
        <f>BR83</f>
        <v/>
      </c>
      <c r="BS336" s="1562">
        <f>BS83</f>
        <v/>
      </c>
      <c r="BT336" s="1637">
        <f>SUM(BP336,BQ336,BR336,BS336)</f>
        <v/>
      </c>
      <c r="BU336" s="1562">
        <f>BU83</f>
        <v/>
      </c>
      <c r="BV336" s="1562">
        <f>BV83</f>
        <v/>
      </c>
      <c r="BW336" s="1562">
        <f>BW83</f>
        <v/>
      </c>
      <c r="BX336" s="1562">
        <f>BX83</f>
        <v/>
      </c>
      <c r="BY336" s="1637">
        <f>SUM(BU336,BV336,BW336,BX336)</f>
        <v/>
      </c>
      <c r="BZ336" s="1637">
        <f>BZ83</f>
        <v/>
      </c>
      <c r="CA336" s="1637">
        <f>CA83</f>
        <v/>
      </c>
      <c r="CB336" s="1637">
        <f>CB83</f>
        <v/>
      </c>
      <c r="CC336" s="1564" t="n"/>
    </row>
    <row r="337" ht="15" customFormat="1" customHeight="1" s="1561">
      <c r="A337" s="1721" t="inlineStr">
        <is>
          <t>Other</t>
        </is>
      </c>
      <c r="B337" s="1705" t="n"/>
      <c r="C337" s="1713">
        <f>-C305</f>
        <v/>
      </c>
      <c r="D337" s="1713">
        <f>-D305</f>
        <v/>
      </c>
      <c r="E337" s="1713">
        <f>-E305</f>
        <v/>
      </c>
      <c r="F337" s="1713">
        <f>-F305</f>
        <v/>
      </c>
      <c r="G337" s="1713">
        <f>-G305</f>
        <v/>
      </c>
      <c r="H337" s="1564">
        <f>-H305</f>
        <v/>
      </c>
      <c r="I337" s="1564">
        <f>-I305</f>
        <v/>
      </c>
      <c r="J337" s="1564">
        <f>-J305</f>
        <v/>
      </c>
      <c r="K337" s="1564">
        <f>-K305</f>
        <v/>
      </c>
      <c r="L337" s="1713">
        <f>-L305</f>
        <v/>
      </c>
      <c r="M337" s="1564">
        <f>-M305</f>
        <v/>
      </c>
      <c r="N337" s="1564">
        <f>-N305</f>
        <v/>
      </c>
      <c r="O337" s="1564">
        <f>-O305</f>
        <v/>
      </c>
      <c r="P337" s="1564">
        <f>-P305</f>
        <v/>
      </c>
      <c r="Q337" s="1713">
        <f>-Q305</f>
        <v/>
      </c>
      <c r="R337" s="1564">
        <f>-R305</f>
        <v/>
      </c>
      <c r="S337" s="1564">
        <f>-S305</f>
        <v/>
      </c>
      <c r="T337" s="1564">
        <f>-T305</f>
        <v/>
      </c>
      <c r="U337" s="1564">
        <f>-U305</f>
        <v/>
      </c>
      <c r="V337" s="1713">
        <f>-V305</f>
        <v/>
      </c>
      <c r="W337" s="1564">
        <f>-W305</f>
        <v/>
      </c>
      <c r="X337" s="1564">
        <f>-X305</f>
        <v/>
      </c>
      <c r="Y337" s="1564">
        <f>-Y305</f>
        <v/>
      </c>
      <c r="Z337" s="1564">
        <f>-Z305</f>
        <v/>
      </c>
      <c r="AA337" s="1713">
        <f>-AA305</f>
        <v/>
      </c>
      <c r="AB337" s="1564">
        <f>-AB305</f>
        <v/>
      </c>
      <c r="AC337" s="1564">
        <f>-AC305</f>
        <v/>
      </c>
      <c r="AD337" s="1564">
        <f>-AD305</f>
        <v/>
      </c>
      <c r="AE337" s="1564">
        <f>-AE305</f>
        <v/>
      </c>
      <c r="AF337" s="1713">
        <f>-AF305</f>
        <v/>
      </c>
      <c r="AG337" s="1564">
        <f>-AG305</f>
        <v/>
      </c>
      <c r="AH337" s="1564">
        <f>-AH305</f>
        <v/>
      </c>
      <c r="AI337" s="1564">
        <f>-AI305</f>
        <v/>
      </c>
      <c r="AJ337" s="1564">
        <f>-AJ305</f>
        <v/>
      </c>
      <c r="AK337" s="1713">
        <f>-AK305</f>
        <v/>
      </c>
      <c r="AL337" s="1564">
        <f>-AL305</f>
        <v/>
      </c>
      <c r="AM337" s="1564">
        <f>-AM305</f>
        <v/>
      </c>
      <c r="AN337" s="1564">
        <f>-AN305</f>
        <v/>
      </c>
      <c r="AO337" s="1564">
        <f>-AO305</f>
        <v/>
      </c>
      <c r="AP337" s="1713">
        <f>-AP305</f>
        <v/>
      </c>
      <c r="AQ337" s="1564">
        <f>-AQ305</f>
        <v/>
      </c>
      <c r="AR337" s="1564">
        <f>-AR305</f>
        <v/>
      </c>
      <c r="AS337" s="1564">
        <f>-AS305</f>
        <v/>
      </c>
      <c r="AT337" s="1564">
        <f>-AT305</f>
        <v/>
      </c>
      <c r="AU337" s="1713">
        <f>-AU305</f>
        <v/>
      </c>
      <c r="AV337" s="1564">
        <f>-AV305</f>
        <v/>
      </c>
      <c r="AW337" s="1564">
        <f>-AW305</f>
        <v/>
      </c>
      <c r="AX337" s="1564">
        <f>-AX305</f>
        <v/>
      </c>
      <c r="AY337" s="1564">
        <f>-AY305</f>
        <v/>
      </c>
      <c r="AZ337" s="1713">
        <f>-AZ305</f>
        <v/>
      </c>
      <c r="BA337" s="1564">
        <f>-BA305</f>
        <v/>
      </c>
      <c r="BB337" s="1564">
        <f>-BB305</f>
        <v/>
      </c>
      <c r="BC337" s="1564">
        <f>-BC305</f>
        <v/>
      </c>
      <c r="BD337" s="1564">
        <f>-BD305</f>
        <v/>
      </c>
      <c r="BE337" s="1713">
        <f>-BE305</f>
        <v/>
      </c>
      <c r="BF337" s="1564">
        <f>-BF305</f>
        <v/>
      </c>
      <c r="BG337" s="1564">
        <f>-BG305</f>
        <v/>
      </c>
      <c r="BH337" s="1564">
        <f>-BH305</f>
        <v/>
      </c>
      <c r="BI337" s="1564">
        <f>-BI305</f>
        <v/>
      </c>
      <c r="BJ337" s="1713">
        <f>-BJ305</f>
        <v/>
      </c>
      <c r="BK337" s="1564">
        <f>-BK305</f>
        <v/>
      </c>
      <c r="BL337" s="1564">
        <f>-BL305</f>
        <v/>
      </c>
      <c r="BM337" s="1564">
        <f>-BM305</f>
        <v/>
      </c>
      <c r="BN337" s="1564">
        <f>-BN305</f>
        <v/>
      </c>
      <c r="BO337" s="1715">
        <f>-BO305</f>
        <v/>
      </c>
      <c r="BP337" s="1562">
        <f>BP88</f>
        <v/>
      </c>
      <c r="BQ337" s="1562">
        <f>BQ88</f>
        <v/>
      </c>
      <c r="BR337" s="1562">
        <f>BR88</f>
        <v/>
      </c>
      <c r="BS337" s="1562">
        <f>BS88</f>
        <v/>
      </c>
      <c r="BT337" s="1637">
        <f>SUM(BP337,BQ337,BR337,BS337)</f>
        <v/>
      </c>
      <c r="BU337" s="1562">
        <f>BU88</f>
        <v/>
      </c>
      <c r="BV337" s="1562">
        <f>BV88</f>
        <v/>
      </c>
      <c r="BW337" s="1562">
        <f>BW88</f>
        <v/>
      </c>
      <c r="BX337" s="1562">
        <f>BX88</f>
        <v/>
      </c>
      <c r="BY337" s="1637">
        <f>SUM(BU337,BV337,BW337,BX337)</f>
        <v/>
      </c>
      <c r="BZ337" s="1637">
        <f>BZ88</f>
        <v/>
      </c>
      <c r="CA337" s="1637">
        <f>CA88</f>
        <v/>
      </c>
      <c r="CB337" s="1637">
        <f>CB88</f>
        <v/>
      </c>
      <c r="CC337" s="1564" t="n"/>
    </row>
    <row r="338" ht="15" customFormat="1" customHeight="1" s="1628">
      <c r="A338" s="1695" t="inlineStr">
        <is>
          <t>EBIT</t>
        </is>
      </c>
      <c r="B338" s="1793" t="n"/>
      <c r="C338" s="1779">
        <f>C333-SUM(C335:C337)</f>
        <v/>
      </c>
      <c r="D338" s="1779">
        <f>D333-SUM(D335:D337)</f>
        <v/>
      </c>
      <c r="E338" s="1779">
        <f>E333-SUM(E335:E337)</f>
        <v/>
      </c>
      <c r="F338" s="1779">
        <f>F333-SUM(F335:F337)</f>
        <v/>
      </c>
      <c r="G338" s="1779">
        <f>G333-SUM(G335:G337)</f>
        <v/>
      </c>
      <c r="H338" s="1795">
        <f>H333-SUM(H335:H337)</f>
        <v/>
      </c>
      <c r="I338" s="1795">
        <f>I333-SUM(I335:I337)</f>
        <v/>
      </c>
      <c r="J338" s="1795">
        <f>J333-SUM(J335:J337)</f>
        <v/>
      </c>
      <c r="K338" s="1795">
        <f>K333-SUM(K335:K337)</f>
        <v/>
      </c>
      <c r="L338" s="1779">
        <f>L333-SUM(L335:L337)</f>
        <v/>
      </c>
      <c r="M338" s="1795">
        <f>M333-SUM(M335:M337)</f>
        <v/>
      </c>
      <c r="N338" s="1795">
        <f>N333-SUM(N335:N337)</f>
        <v/>
      </c>
      <c r="O338" s="1795">
        <f>O333-SUM(O335:O337)</f>
        <v/>
      </c>
      <c r="P338" s="1795">
        <f>P333-SUM(P335:P337)</f>
        <v/>
      </c>
      <c r="Q338" s="1779">
        <f>Q333-SUM(Q335:Q337)</f>
        <v/>
      </c>
      <c r="R338" s="1795">
        <f>R333-SUM(R335:R337)</f>
        <v/>
      </c>
      <c r="S338" s="1795">
        <f>S333-SUM(S335:S337)</f>
        <v/>
      </c>
      <c r="T338" s="1795">
        <f>T333-SUM(T335:T337)</f>
        <v/>
      </c>
      <c r="U338" s="1795">
        <f>U333-SUM(U335:U337)</f>
        <v/>
      </c>
      <c r="V338" s="1779">
        <f>V333-SUM(V335:V337)</f>
        <v/>
      </c>
      <c r="W338" s="1795">
        <f>W333-SUM(W335:W337)</f>
        <v/>
      </c>
      <c r="X338" s="1795">
        <f>X333-SUM(X335:X337)</f>
        <v/>
      </c>
      <c r="Y338" s="1795">
        <f>Y333-SUM(Y335:Y337)</f>
        <v/>
      </c>
      <c r="Z338" s="1795">
        <f>Z333-SUM(Z335:Z337)</f>
        <v/>
      </c>
      <c r="AA338" s="1779">
        <f>AA333-SUM(AA335:AA337)</f>
        <v/>
      </c>
      <c r="AB338" s="1795">
        <f>AB333-SUM(AB335:AB337)</f>
        <v/>
      </c>
      <c r="AC338" s="1795">
        <f>AC333-SUM(AC335:AC337)</f>
        <v/>
      </c>
      <c r="AD338" s="1795">
        <f>AD333-SUM(AD335:AD337)</f>
        <v/>
      </c>
      <c r="AE338" s="1795">
        <f>AE333-SUM(AE335:AE337)</f>
        <v/>
      </c>
      <c r="AF338" s="1779">
        <f>AF333-SUM(AF335:AF337)</f>
        <v/>
      </c>
      <c r="AG338" s="1795">
        <f>AG333-SUM(AG335:AG337)</f>
        <v/>
      </c>
      <c r="AH338" s="1795">
        <f>AH333-SUM(AH335:AH337)</f>
        <v/>
      </c>
      <c r="AI338" s="1795">
        <f>AI333-SUM(AI335:AI337)</f>
        <v/>
      </c>
      <c r="AJ338" s="1795">
        <f>AJ333-SUM(AJ335:AJ337)</f>
        <v/>
      </c>
      <c r="AK338" s="1779">
        <f>AK333-SUM(AK335:AK337)</f>
        <v/>
      </c>
      <c r="AL338" s="1795">
        <f>AL333-SUM(AL335:AL337)</f>
        <v/>
      </c>
      <c r="AM338" s="1795">
        <f>AM333-SUM(AM335:AM337)</f>
        <v/>
      </c>
      <c r="AN338" s="1795">
        <f>AN333-SUM(AN335:AN337)</f>
        <v/>
      </c>
      <c r="AO338" s="1795">
        <f>AO333-SUM(AO335:AO337)</f>
        <v/>
      </c>
      <c r="AP338" s="1779">
        <f>AP333-SUM(AP335:AP337)</f>
        <v/>
      </c>
      <c r="AQ338" s="1795">
        <f>AQ333-SUM(AQ335:AQ337)</f>
        <v/>
      </c>
      <c r="AR338" s="1795">
        <f>AR333-SUM(AR335:AR337)</f>
        <v/>
      </c>
      <c r="AS338" s="1795">
        <f>AS333-SUM(AS335:AS337)</f>
        <v/>
      </c>
      <c r="AT338" s="1795">
        <f>AT333-SUM(AT335:AT337)</f>
        <v/>
      </c>
      <c r="AU338" s="1779">
        <f>AU333-SUM(AU335:AU337)</f>
        <v/>
      </c>
      <c r="AV338" s="1795">
        <f>AV333-SUM(AV335:AV337)</f>
        <v/>
      </c>
      <c r="AW338" s="1795">
        <f>AW333-SUM(AW335:AW337)</f>
        <v/>
      </c>
      <c r="AX338" s="1795">
        <f>AX333-SUM(AX335:AX337)</f>
        <v/>
      </c>
      <c r="AY338" s="1795">
        <f>AY333-SUM(AY335:AY337)</f>
        <v/>
      </c>
      <c r="AZ338" s="1779">
        <f>AZ333-SUM(AZ335:AZ337)</f>
        <v/>
      </c>
      <c r="BA338" s="1795">
        <f>BA333-SUM(BA335:BA337)</f>
        <v/>
      </c>
      <c r="BB338" s="1795">
        <f>BB333-SUM(BB335:BB337)</f>
        <v/>
      </c>
      <c r="BC338" s="1795">
        <f>BC333-SUM(BC335:BC337)</f>
        <v/>
      </c>
      <c r="BD338" s="1795">
        <f>BD333-SUM(BD335:BD337)</f>
        <v/>
      </c>
      <c r="BE338" s="1779">
        <f>BE333-SUM(BE335:BE337)</f>
        <v/>
      </c>
      <c r="BF338" s="1795">
        <f>BF333-SUM(BF335:BF337)</f>
        <v/>
      </c>
      <c r="BG338" s="1795">
        <f>BG333-SUM(BG335:BG337)</f>
        <v/>
      </c>
      <c r="BH338" s="1795">
        <f>BH333-SUM(BH335:BH337)</f>
        <v/>
      </c>
      <c r="BI338" s="1795">
        <f>BI333-SUM(BI335:BI337)</f>
        <v/>
      </c>
      <c r="BJ338" s="1779">
        <f>BJ333-SUM(BJ335:BJ337)</f>
        <v/>
      </c>
      <c r="BK338" s="1795">
        <f>BK333-SUM(BK335:BK337)</f>
        <v/>
      </c>
      <c r="BL338" s="1795">
        <f>BL333-SUM(BL335:BL337)</f>
        <v/>
      </c>
      <c r="BM338" s="1795">
        <f>BM333-SUM(BM335:BM337)</f>
        <v/>
      </c>
      <c r="BN338" s="1795">
        <f>BN333-SUM(BN335:BN337)</f>
        <v/>
      </c>
      <c r="BO338" s="1796">
        <f>BO333-SUM(BO335:BO337)</f>
        <v/>
      </c>
      <c r="BP338" s="1642">
        <f>BP333-SUM(BP335:BP337)</f>
        <v/>
      </c>
      <c r="BQ338" s="1642">
        <f>BQ333-SUM(BQ335:BQ337)</f>
        <v/>
      </c>
      <c r="BR338" s="1642">
        <f>BR333-SUM(BR335:BR337)</f>
        <v/>
      </c>
      <c r="BS338" s="1642">
        <f>BS333-SUM(BS335:BS337)</f>
        <v/>
      </c>
      <c r="BT338" s="1641">
        <f>BT333-SUM(BT335:BT337)</f>
        <v/>
      </c>
      <c r="BU338" s="1642">
        <f>BU333-SUM(BU335:BU337)</f>
        <v/>
      </c>
      <c r="BV338" s="1642">
        <f>BV333-SUM(BV335:BV337)</f>
        <v/>
      </c>
      <c r="BW338" s="1642">
        <f>BW333-SUM(BW335:BW337)</f>
        <v/>
      </c>
      <c r="BX338" s="1642">
        <f>BX333-SUM(BX335:BX337)</f>
        <v/>
      </c>
      <c r="BY338" s="1641">
        <f>BY333-SUM(BY335:BY337)</f>
        <v/>
      </c>
      <c r="BZ338" s="1641">
        <f>BZ333-SUM(BZ335:BZ337)</f>
        <v/>
      </c>
      <c r="CA338" s="1641">
        <f>CA333-SUM(CA335:CA337)</f>
        <v/>
      </c>
      <c r="CB338" s="1641">
        <f>CB333-SUM(CB335:CB337)</f>
        <v/>
      </c>
      <c r="CC338" s="1634" t="n"/>
    </row>
    <row r="339" ht="15" customFormat="1" customHeight="1" s="1628">
      <c r="A339" s="1681">
        <f>CONCATENATE("Adjusted ",A338,IF(AND(ROUND(SUM(C338:CC338)-SUM(C339:CC339),6)=0)," (No Adjustments)",""))</f>
        <v/>
      </c>
      <c r="B339" s="1717" t="n"/>
      <c r="C339" s="1802">
        <f>C338</f>
        <v/>
      </c>
      <c r="D339" s="1802">
        <f>D338</f>
        <v/>
      </c>
      <c r="E339" s="1802">
        <f>E338</f>
        <v/>
      </c>
      <c r="F339" s="1802">
        <f>F338</f>
        <v/>
      </c>
      <c r="G339" s="1802">
        <f>G338</f>
        <v/>
      </c>
      <c r="H339" s="1634">
        <f>H338</f>
        <v/>
      </c>
      <c r="I339" s="1634">
        <f>I338</f>
        <v/>
      </c>
      <c r="J339" s="1634">
        <f>J338</f>
        <v/>
      </c>
      <c r="K339" s="1634">
        <f>K338</f>
        <v/>
      </c>
      <c r="L339" s="1802">
        <f>L338</f>
        <v/>
      </c>
      <c r="M339" s="1634">
        <f>M338</f>
        <v/>
      </c>
      <c r="N339" s="1634">
        <f>N338</f>
        <v/>
      </c>
      <c r="O339" s="1634">
        <f>O338</f>
        <v/>
      </c>
      <c r="P339" s="1634">
        <f>P338</f>
        <v/>
      </c>
      <c r="Q339" s="1802">
        <f>Q338</f>
        <v/>
      </c>
      <c r="R339" s="1634">
        <f>R338</f>
        <v/>
      </c>
      <c r="S339" s="1634">
        <f>S338</f>
        <v/>
      </c>
      <c r="T339" s="1634">
        <f>T338</f>
        <v/>
      </c>
      <c r="U339" s="1634">
        <f>U338</f>
        <v/>
      </c>
      <c r="V339" s="1802">
        <f>V338</f>
        <v/>
      </c>
      <c r="W339" s="1634">
        <f>W338</f>
        <v/>
      </c>
      <c r="X339" s="1634">
        <f>X338</f>
        <v/>
      </c>
      <c r="Y339" s="1634">
        <f>Y338</f>
        <v/>
      </c>
      <c r="Z339" s="1634">
        <f>Z338</f>
        <v/>
      </c>
      <c r="AA339" s="1802">
        <f>AA338</f>
        <v/>
      </c>
      <c r="AB339" s="1634">
        <f>AB338</f>
        <v/>
      </c>
      <c r="AC339" s="1634">
        <f>AC338</f>
        <v/>
      </c>
      <c r="AD339" s="1634">
        <f>AD338</f>
        <v/>
      </c>
      <c r="AE339" s="1634">
        <f>AE338</f>
        <v/>
      </c>
      <c r="AF339" s="1802">
        <f>AF338</f>
        <v/>
      </c>
      <c r="AG339" s="1634">
        <f>AG338</f>
        <v/>
      </c>
      <c r="AH339" s="1634">
        <f>AH338</f>
        <v/>
      </c>
      <c r="AI339" s="1634">
        <f>AI338</f>
        <v/>
      </c>
      <c r="AJ339" s="1634">
        <f>AJ338</f>
        <v/>
      </c>
      <c r="AK339" s="1802">
        <f>AK338</f>
        <v/>
      </c>
      <c r="AL339" s="1634">
        <f>AL338</f>
        <v/>
      </c>
      <c r="AM339" s="1634">
        <f>AM338</f>
        <v/>
      </c>
      <c r="AN339" s="1634">
        <f>AN338</f>
        <v/>
      </c>
      <c r="AO339" s="1634">
        <f>AO338</f>
        <v/>
      </c>
      <c r="AP339" s="1802">
        <f>AP338</f>
        <v/>
      </c>
      <c r="AQ339" s="1634">
        <f>AQ338</f>
        <v/>
      </c>
      <c r="AR339" s="1634">
        <f>AR338</f>
        <v/>
      </c>
      <c r="AS339" s="1634">
        <f>AS338</f>
        <v/>
      </c>
      <c r="AT339" s="1634">
        <f>AT338</f>
        <v/>
      </c>
      <c r="AU339" s="1802">
        <f>AU338</f>
        <v/>
      </c>
      <c r="AV339" s="1634">
        <f>AV338</f>
        <v/>
      </c>
      <c r="AW339" s="1634">
        <f>AW338</f>
        <v/>
      </c>
      <c r="AX339" s="1634">
        <f>AX338</f>
        <v/>
      </c>
      <c r="AY339" s="1634">
        <f>AY338</f>
        <v/>
      </c>
      <c r="AZ339" s="1802">
        <f>AZ338</f>
        <v/>
      </c>
      <c r="BA339" s="1634">
        <f>BA338</f>
        <v/>
      </c>
      <c r="BB339" s="1634">
        <f>BB338</f>
        <v/>
      </c>
      <c r="BC339" s="1634">
        <f>BC338</f>
        <v/>
      </c>
      <c r="BD339" s="1634">
        <f>BD338</f>
        <v/>
      </c>
      <c r="BE339" s="1802">
        <f>BE338</f>
        <v/>
      </c>
      <c r="BF339" s="1634">
        <f>BF338</f>
        <v/>
      </c>
      <c r="BG339" s="1634">
        <f>BG338</f>
        <v/>
      </c>
      <c r="BH339" s="1634">
        <f>BH338</f>
        <v/>
      </c>
      <c r="BI339" s="1634">
        <f>BI338</f>
        <v/>
      </c>
      <c r="BJ339" s="1802">
        <f>BJ338</f>
        <v/>
      </c>
      <c r="BK339" s="1634">
        <f>BK338</f>
        <v/>
      </c>
      <c r="BL339" s="1634">
        <f>BL338</f>
        <v/>
      </c>
      <c r="BM339" s="1634">
        <f>BM338</f>
        <v/>
      </c>
      <c r="BN339" s="1634">
        <f>BN338</f>
        <v/>
      </c>
      <c r="BO339" s="1803">
        <f>BO338</f>
        <v/>
      </c>
      <c r="BP339" s="1719">
        <f>BP338</f>
        <v/>
      </c>
      <c r="BQ339" s="1719">
        <f>BQ338</f>
        <v/>
      </c>
      <c r="BR339" s="1719">
        <f>BR338</f>
        <v/>
      </c>
      <c r="BS339" s="1719">
        <f>BS338</f>
        <v/>
      </c>
      <c r="BT339" s="1718">
        <f>BT338</f>
        <v/>
      </c>
      <c r="BU339" s="1719">
        <f>BU338</f>
        <v/>
      </c>
      <c r="BV339" s="1719">
        <f>BV338</f>
        <v/>
      </c>
      <c r="BW339" s="1719">
        <f>BW338</f>
        <v/>
      </c>
      <c r="BX339" s="1719">
        <f>BX338</f>
        <v/>
      </c>
      <c r="BY339" s="1718">
        <f>BY338</f>
        <v/>
      </c>
      <c r="BZ339" s="1718">
        <f>BZ338</f>
        <v/>
      </c>
      <c r="CA339" s="1718">
        <f>CA338</f>
        <v/>
      </c>
      <c r="CB339" s="1718">
        <f>CB338</f>
        <v/>
      </c>
      <c r="CC339" s="1634" t="n"/>
    </row>
    <row r="340" ht="15" customFormat="1" customHeight="1" s="1628">
      <c r="A340" s="1697" t="inlineStr">
        <is>
          <t>Consensus Estimates - Adjusted EBIT</t>
        </is>
      </c>
      <c r="B340" s="1829" t="n"/>
      <c r="C340" s="1830" t="n"/>
      <c r="D340" s="1830" t="n"/>
      <c r="E340" s="1830" t="n"/>
      <c r="F340" s="1830" t="n"/>
      <c r="G340" s="1830" t="n"/>
      <c r="H340" s="1831" t="n"/>
      <c r="I340" s="1831" t="n"/>
      <c r="J340" s="1831" t="n"/>
      <c r="K340" s="1831" t="n"/>
      <c r="L340" s="1830" t="n"/>
      <c r="M340" s="1831" t="n"/>
      <c r="N340" s="1831" t="n"/>
      <c r="O340" s="1831" t="n"/>
      <c r="P340" s="1831" t="n"/>
      <c r="Q340" s="1830" t="n"/>
      <c r="R340" s="1831" t="n"/>
      <c r="S340" s="1831" t="n"/>
      <c r="T340" s="1831" t="n"/>
      <c r="U340" s="1831" t="n"/>
      <c r="V340" s="1830" t="n"/>
      <c r="W340" s="1831" t="n"/>
      <c r="X340" s="1831" t="n"/>
      <c r="Y340" s="1831" t="n"/>
      <c r="Z340" s="1831" t="n"/>
      <c r="AA340" s="1830" t="n"/>
      <c r="AB340" s="1831" t="n"/>
      <c r="AC340" s="1831" t="n"/>
      <c r="AD340" s="1831" t="n"/>
      <c r="AE340" s="1831" t="n"/>
      <c r="AF340" s="1830" t="n"/>
      <c r="AG340" s="1831" t="n"/>
      <c r="AH340" s="1831" t="n"/>
      <c r="AI340" s="1831" t="n"/>
      <c r="AJ340" s="1831" t="n"/>
      <c r="AK340" s="1830" t="n"/>
      <c r="AL340" s="1831" t="n"/>
      <c r="AM340" s="1831" t="n"/>
      <c r="AN340" s="1831" t="n"/>
      <c r="AO340" s="1831" t="n"/>
      <c r="AP340" s="1830" t="n"/>
      <c r="AQ340" s="1831" t="n"/>
      <c r="AR340" s="1831" t="n"/>
      <c r="AS340" s="1831" t="n"/>
      <c r="AT340" s="1831" t="n"/>
      <c r="AU340" s="1830" t="n"/>
      <c r="AV340" s="1831" t="n"/>
      <c r="AW340" s="1831" t="n"/>
      <c r="AX340" s="1831" t="n"/>
      <c r="AY340" s="1831" t="n"/>
      <c r="AZ340" s="1830" t="n"/>
      <c r="BA340" s="1831" t="n"/>
      <c r="BB340" s="1831" t="n"/>
      <c r="BC340" s="1831" t="n"/>
      <c r="BD340" s="1831" t="n"/>
      <c r="BE340" s="1830" t="n"/>
      <c r="BF340" s="1831" t="n"/>
      <c r="BG340" s="1831" t="n"/>
      <c r="BH340" s="1831" t="n"/>
      <c r="BI340" s="1831" t="n"/>
      <c r="BJ340" s="1830" t="n"/>
      <c r="BK340" s="1831" t="n"/>
      <c r="BL340" s="1831" t="n"/>
      <c r="BM340" s="1831" t="n"/>
      <c r="BN340" s="1831" t="n"/>
      <c r="BO340" s="1833" t="n"/>
      <c r="BP340" s="1699">
        <f>IFERROR(VLOOKUP($A340,tb_ConsensusEstimate,MATCH(BP$5,OFFSET(tb_ConsensusEstimate,0,0,1,COLUMNS(tb_ConsensusEstimate)),0),FALSE),"-")</f>
        <v/>
      </c>
      <c r="BQ340" s="1699">
        <f>IFERROR(VLOOKUP($A340,tb_ConsensusEstimate,MATCH(BQ$5,OFFSET(tb_ConsensusEstimate,0,0,1,COLUMNS(tb_ConsensusEstimate)),0),FALSE),"-")</f>
        <v/>
      </c>
      <c r="BR340" s="1699">
        <f>IFERROR(VLOOKUP($A340,tb_ConsensusEstimate,MATCH(BR$5,OFFSET(tb_ConsensusEstimate,0,0,1,COLUMNS(tb_ConsensusEstimate)),0),FALSE),"-")</f>
        <v/>
      </c>
      <c r="BS340" s="1699">
        <f>IFERROR(VLOOKUP($A340,tb_ConsensusEstimate,MATCH(BS$5,OFFSET(tb_ConsensusEstimate,0,0,1,COLUMNS(tb_ConsensusEstimate)),0),FALSE),"-")</f>
        <v/>
      </c>
      <c r="BT340" s="1698">
        <f>IFERROR(VLOOKUP($A340,tb_ConsensusEstimate,MATCH(BT$5,OFFSET(tb_ConsensusEstimate,0,0,1,COLUMNS(tb_ConsensusEstimate)),0),FALSE),"-")</f>
        <v/>
      </c>
      <c r="BU340" s="1699">
        <f>IFERROR(VLOOKUP($A340,tb_ConsensusEstimate,MATCH(BU$5,OFFSET(tb_ConsensusEstimate,0,0,1,COLUMNS(tb_ConsensusEstimate)),0),FALSE),"-")</f>
        <v/>
      </c>
      <c r="BV340" s="1699">
        <f>IFERROR(VLOOKUP($A340,tb_ConsensusEstimate,MATCH(BV$5,OFFSET(tb_ConsensusEstimate,0,0,1,COLUMNS(tb_ConsensusEstimate)),0),FALSE),"-")</f>
        <v/>
      </c>
      <c r="BW340" s="1699">
        <f>IFERROR(VLOOKUP($A340,tb_ConsensusEstimate,MATCH(BW$5,OFFSET(tb_ConsensusEstimate,0,0,1,COLUMNS(tb_ConsensusEstimate)),0),FALSE),"-")</f>
        <v/>
      </c>
      <c r="BX340" s="1699">
        <f>IFERROR(VLOOKUP($A340,tb_ConsensusEstimate,MATCH(BX$5,OFFSET(tb_ConsensusEstimate,0,0,1,COLUMNS(tb_ConsensusEstimate)),0),FALSE),"-")</f>
        <v/>
      </c>
      <c r="BY340" s="1698">
        <f>IFERROR(VLOOKUP($A340,tb_ConsensusEstimate,MATCH(BY$5,OFFSET(tb_ConsensusEstimate,0,0,1,COLUMNS(tb_ConsensusEstimate)),0),FALSE),"-")</f>
        <v/>
      </c>
      <c r="BZ340" s="1698">
        <f>IFERROR(VLOOKUP($A340,tb_ConsensusEstimate,MATCH(BZ$5,OFFSET(tb_ConsensusEstimate,0,0,1,COLUMNS(tb_ConsensusEstimate)),0),FALSE),"-")</f>
        <v/>
      </c>
      <c r="CA340" s="1698">
        <f>IFERROR(VLOOKUP($A340,tb_ConsensusEstimate,MATCH(CA$5,OFFSET(tb_ConsensusEstimate,0,0,1,COLUMNS(tb_ConsensusEstimate)),0),FALSE),"-")</f>
        <v/>
      </c>
      <c r="CB340" s="1698">
        <f>IFERROR(VLOOKUP($A340,tb_ConsensusEstimate,MATCH(CB$5,OFFSET(tb_ConsensusEstimate,0,0,1,COLUMNS(tb_ConsensusEstimate)),0),FALSE),"-")</f>
        <v/>
      </c>
      <c r="CC340" s="1634" t="n"/>
    </row>
    <row r="341" ht="15" customFormat="1" customHeight="1" s="1561">
      <c r="A341" s="1622" t="n"/>
      <c r="B341" s="1705" t="n"/>
      <c r="C341" s="1637" t="n"/>
      <c r="D341" s="1637" t="n"/>
      <c r="E341" s="1637" t="n"/>
      <c r="F341" s="1637" t="n"/>
      <c r="G341" s="1637" t="n"/>
      <c r="H341" s="1562" t="n"/>
      <c r="I341" s="1562" t="n"/>
      <c r="J341" s="1562" t="n"/>
      <c r="K341" s="1562" t="n"/>
      <c r="L341" s="1637" t="n"/>
      <c r="M341" s="1562" t="n"/>
      <c r="N341" s="1562" t="n"/>
      <c r="O341" s="1562" t="n"/>
      <c r="P341" s="1562" t="n"/>
      <c r="Q341" s="1637" t="n"/>
      <c r="R341" s="1562" t="n"/>
      <c r="S341" s="1562" t="n"/>
      <c r="T341" s="1562" t="n"/>
      <c r="U341" s="1562" t="n"/>
      <c r="V341" s="1637" t="n"/>
      <c r="W341" s="1562" t="n"/>
      <c r="X341" s="1562" t="n"/>
      <c r="Y341" s="1562" t="n"/>
      <c r="Z341" s="1562" t="n"/>
      <c r="AA341" s="1637" t="n"/>
      <c r="AB341" s="1562" t="n"/>
      <c r="AC341" s="1562" t="n"/>
      <c r="AD341" s="1562" t="n"/>
      <c r="AE341" s="1562" t="n"/>
      <c r="AF341" s="1637" t="n"/>
      <c r="AG341" s="1562" t="n"/>
      <c r="AH341" s="1562" t="n"/>
      <c r="AI341" s="1562" t="n"/>
      <c r="AJ341" s="1562" t="n"/>
      <c r="AK341" s="1637" t="n"/>
      <c r="AL341" s="1562" t="n"/>
      <c r="AM341" s="1562" t="n"/>
      <c r="AN341" s="1562" t="n"/>
      <c r="AO341" s="1562" t="n"/>
      <c r="AP341" s="1637" t="n"/>
      <c r="AQ341" s="1562" t="n"/>
      <c r="AR341" s="1562" t="n"/>
      <c r="AS341" s="1562" t="n"/>
      <c r="AT341" s="1562" t="n"/>
      <c r="AU341" s="1637" t="n"/>
      <c r="AV341" s="1562" t="n"/>
      <c r="AW341" s="1562" t="n"/>
      <c r="AX341" s="1562" t="n"/>
      <c r="AY341" s="1562" t="n"/>
      <c r="AZ341" s="1637" t="n"/>
      <c r="BA341" s="1562" t="n"/>
      <c r="BB341" s="1562" t="n"/>
      <c r="BC341" s="1562" t="n"/>
      <c r="BD341" s="1562" t="n"/>
      <c r="BE341" s="1637" t="n"/>
      <c r="BF341" s="1562" t="n"/>
      <c r="BG341" s="1562" t="n"/>
      <c r="BH341" s="1562" t="n"/>
      <c r="BI341" s="1562" t="n"/>
      <c r="BJ341" s="1637" t="n"/>
      <c r="BK341" s="1562" t="n"/>
      <c r="BL341" s="1562" t="n"/>
      <c r="BM341" s="1562" t="n"/>
      <c r="BN341" s="1562" t="n"/>
      <c r="BO341" s="1638" t="n"/>
      <c r="BP341" s="1562" t="n"/>
      <c r="BQ341" s="1562" t="n"/>
      <c r="BR341" s="1562" t="n"/>
      <c r="BS341" s="1562" t="n"/>
      <c r="BT341" s="1637" t="n"/>
      <c r="BU341" s="1562" t="n"/>
      <c r="BV341" s="1562" t="n"/>
      <c r="BW341" s="1562" t="n"/>
      <c r="BX341" s="1562" t="n"/>
      <c r="BY341" s="1637" t="n"/>
      <c r="BZ341" s="1637" t="n"/>
      <c r="CA341" s="1637" t="n"/>
      <c r="CB341" s="1637" t="n"/>
      <c r="CC341" s="1564" t="n"/>
    </row>
    <row r="342" ht="15" customFormat="1" customHeight="1" s="1561">
      <c r="A342" s="1622" t="inlineStr">
        <is>
          <t>Add back: D&amp;A</t>
        </is>
      </c>
      <c r="B342" s="1705" t="n"/>
      <c r="C342" s="1637">
        <f>C527</f>
        <v/>
      </c>
      <c r="D342" s="1637">
        <f>D527</f>
        <v/>
      </c>
      <c r="E342" s="1637">
        <f>E527</f>
        <v/>
      </c>
      <c r="F342" s="1637">
        <f>F527</f>
        <v/>
      </c>
      <c r="G342" s="1637">
        <f>G527</f>
        <v/>
      </c>
      <c r="H342" s="1562">
        <f>H527</f>
        <v/>
      </c>
      <c r="I342" s="1562">
        <f>I527</f>
        <v/>
      </c>
      <c r="J342" s="1562">
        <f>J527</f>
        <v/>
      </c>
      <c r="K342" s="1562">
        <f>K527</f>
        <v/>
      </c>
      <c r="L342" s="1637">
        <f>L527</f>
        <v/>
      </c>
      <c r="M342" s="1562">
        <f>M527</f>
        <v/>
      </c>
      <c r="N342" s="1562">
        <f>N527</f>
        <v/>
      </c>
      <c r="O342" s="1562">
        <f>O527</f>
        <v/>
      </c>
      <c r="P342" s="1562">
        <f>P527</f>
        <v/>
      </c>
      <c r="Q342" s="1637">
        <f>Q527</f>
        <v/>
      </c>
      <c r="R342" s="1562">
        <f>R527</f>
        <v/>
      </c>
      <c r="S342" s="1562">
        <f>S527</f>
        <v/>
      </c>
      <c r="T342" s="1562">
        <f>T527</f>
        <v/>
      </c>
      <c r="U342" s="1562">
        <f>U527</f>
        <v/>
      </c>
      <c r="V342" s="1637">
        <f>V527</f>
        <v/>
      </c>
      <c r="W342" s="1562">
        <f>W527</f>
        <v/>
      </c>
      <c r="X342" s="1562">
        <f>X527</f>
        <v/>
      </c>
      <c r="Y342" s="1562">
        <f>Y527</f>
        <v/>
      </c>
      <c r="Z342" s="1562">
        <f>Z527</f>
        <v/>
      </c>
      <c r="AA342" s="1637">
        <f>AA527</f>
        <v/>
      </c>
      <c r="AB342" s="1562">
        <f>AB527</f>
        <v/>
      </c>
      <c r="AC342" s="1562">
        <f>AC527</f>
        <v/>
      </c>
      <c r="AD342" s="1562">
        <f>AD527</f>
        <v/>
      </c>
      <c r="AE342" s="1562">
        <f>AE527</f>
        <v/>
      </c>
      <c r="AF342" s="1637">
        <f>AF527</f>
        <v/>
      </c>
      <c r="AG342" s="1562">
        <f>AG527</f>
        <v/>
      </c>
      <c r="AH342" s="1562">
        <f>AH527</f>
        <v/>
      </c>
      <c r="AI342" s="1562">
        <f>AI527</f>
        <v/>
      </c>
      <c r="AJ342" s="1562">
        <f>AJ527</f>
        <v/>
      </c>
      <c r="AK342" s="1637">
        <f>AK527</f>
        <v/>
      </c>
      <c r="AL342" s="1562">
        <f>AL527</f>
        <v/>
      </c>
      <c r="AM342" s="1562">
        <f>AM527</f>
        <v/>
      </c>
      <c r="AN342" s="1562">
        <f>AN527</f>
        <v/>
      </c>
      <c r="AO342" s="1562">
        <f>AO527</f>
        <v/>
      </c>
      <c r="AP342" s="1637">
        <f>AP527</f>
        <v/>
      </c>
      <c r="AQ342" s="1562">
        <f>AQ527</f>
        <v/>
      </c>
      <c r="AR342" s="1562">
        <f>AR527</f>
        <v/>
      </c>
      <c r="AS342" s="1562">
        <f>AS527</f>
        <v/>
      </c>
      <c r="AT342" s="1562">
        <f>AT527</f>
        <v/>
      </c>
      <c r="AU342" s="1637">
        <f>AU527</f>
        <v/>
      </c>
      <c r="AV342" s="1562">
        <f>AV527</f>
        <v/>
      </c>
      <c r="AW342" s="1562">
        <f>AW527</f>
        <v/>
      </c>
      <c r="AX342" s="1562">
        <f>AX527</f>
        <v/>
      </c>
      <c r="AY342" s="1562">
        <f>AY527</f>
        <v/>
      </c>
      <c r="AZ342" s="1637">
        <f>AZ527</f>
        <v/>
      </c>
      <c r="BA342" s="1562">
        <f>BA527</f>
        <v/>
      </c>
      <c r="BB342" s="1562">
        <f>BB527</f>
        <v/>
      </c>
      <c r="BC342" s="1562">
        <f>BC527</f>
        <v/>
      </c>
      <c r="BD342" s="1562">
        <f>BD527</f>
        <v/>
      </c>
      <c r="BE342" s="1637">
        <f>BE527</f>
        <v/>
      </c>
      <c r="BF342" s="1562">
        <f>BF527</f>
        <v/>
      </c>
      <c r="BG342" s="1562">
        <f>BG527</f>
        <v/>
      </c>
      <c r="BH342" s="1562">
        <f>BH527</f>
        <v/>
      </c>
      <c r="BI342" s="1562">
        <f>BI527</f>
        <v/>
      </c>
      <c r="BJ342" s="1637">
        <f>BJ527</f>
        <v/>
      </c>
      <c r="BK342" s="1562">
        <f>BK527</f>
        <v/>
      </c>
      <c r="BL342" s="1562">
        <f>BL527</f>
        <v/>
      </c>
      <c r="BM342" s="1562">
        <f>BM527</f>
        <v/>
      </c>
      <c r="BN342" s="1562">
        <f>BN527</f>
        <v/>
      </c>
      <c r="BO342" s="1638">
        <f>BO527</f>
        <v/>
      </c>
      <c r="BP342" s="1562">
        <f>BP113</f>
        <v/>
      </c>
      <c r="BQ342" s="1562">
        <f>BQ113</f>
        <v/>
      </c>
      <c r="BR342" s="1562">
        <f>BR113</f>
        <v/>
      </c>
      <c r="BS342" s="1562">
        <f>BS113</f>
        <v/>
      </c>
      <c r="BT342" s="1637">
        <f>SUM(BP342,BQ342,BR342,BS342)</f>
        <v/>
      </c>
      <c r="BU342" s="1562">
        <f>BU113</f>
        <v/>
      </c>
      <c r="BV342" s="1562">
        <f>BV113</f>
        <v/>
      </c>
      <c r="BW342" s="1562">
        <f>BW113</f>
        <v/>
      </c>
      <c r="BX342" s="1562">
        <f>BX113</f>
        <v/>
      </c>
      <c r="BY342" s="1637">
        <f>SUM(BU342,BV342,BW342,BX342)</f>
        <v/>
      </c>
      <c r="BZ342" s="1637">
        <f>BZ113</f>
        <v/>
      </c>
      <c r="CA342" s="1637">
        <f>CA113</f>
        <v/>
      </c>
      <c r="CB342" s="1637">
        <f>CB113</f>
        <v/>
      </c>
      <c r="CC342" s="1564" t="n"/>
    </row>
    <row r="343" ht="15" customFormat="1" customHeight="1" s="1561">
      <c r="A343" s="1702" t="inlineStr">
        <is>
          <t>Add back: SBC</t>
        </is>
      </c>
      <c r="B343" s="1708" t="n"/>
      <c r="C343" s="1712">
        <f>C530</f>
        <v/>
      </c>
      <c r="D343" s="1712">
        <f>D530</f>
        <v/>
      </c>
      <c r="E343" s="1712">
        <f>E530</f>
        <v/>
      </c>
      <c r="F343" s="1712">
        <f>F530</f>
        <v/>
      </c>
      <c r="G343" s="1712">
        <f>G530</f>
        <v/>
      </c>
      <c r="H343" s="1710">
        <f>H530</f>
        <v/>
      </c>
      <c r="I343" s="1710">
        <f>I530</f>
        <v/>
      </c>
      <c r="J343" s="1710">
        <f>J530</f>
        <v/>
      </c>
      <c r="K343" s="1710">
        <f>K530</f>
        <v/>
      </c>
      <c r="L343" s="1712">
        <f>L530</f>
        <v/>
      </c>
      <c r="M343" s="1710">
        <f>M530</f>
        <v/>
      </c>
      <c r="N343" s="1710">
        <f>N530</f>
        <v/>
      </c>
      <c r="O343" s="1710">
        <f>O530</f>
        <v/>
      </c>
      <c r="P343" s="1710">
        <f>P530</f>
        <v/>
      </c>
      <c r="Q343" s="1712">
        <f>Q530</f>
        <v/>
      </c>
      <c r="R343" s="1710">
        <f>R530</f>
        <v/>
      </c>
      <c r="S343" s="1710">
        <f>S530</f>
        <v/>
      </c>
      <c r="T343" s="1710">
        <f>T530</f>
        <v/>
      </c>
      <c r="U343" s="1710">
        <f>U530</f>
        <v/>
      </c>
      <c r="V343" s="1712">
        <f>V530</f>
        <v/>
      </c>
      <c r="W343" s="1710">
        <f>W530</f>
        <v/>
      </c>
      <c r="X343" s="1710">
        <f>X530</f>
        <v/>
      </c>
      <c r="Y343" s="1710">
        <f>Y530</f>
        <v/>
      </c>
      <c r="Z343" s="1710">
        <f>Z530</f>
        <v/>
      </c>
      <c r="AA343" s="1712">
        <f>AA530</f>
        <v/>
      </c>
      <c r="AB343" s="1710">
        <f>AB530</f>
        <v/>
      </c>
      <c r="AC343" s="1710">
        <f>AC530</f>
        <v/>
      </c>
      <c r="AD343" s="1710">
        <f>AD530</f>
        <v/>
      </c>
      <c r="AE343" s="1710">
        <f>AE530</f>
        <v/>
      </c>
      <c r="AF343" s="1712">
        <f>AF530</f>
        <v/>
      </c>
      <c r="AG343" s="1710">
        <f>AG530</f>
        <v/>
      </c>
      <c r="AH343" s="1710">
        <f>AH530</f>
        <v/>
      </c>
      <c r="AI343" s="1710">
        <f>AI530</f>
        <v/>
      </c>
      <c r="AJ343" s="1710">
        <f>AJ530</f>
        <v/>
      </c>
      <c r="AK343" s="1712">
        <f>AK530</f>
        <v/>
      </c>
      <c r="AL343" s="1710">
        <f>AL530</f>
        <v/>
      </c>
      <c r="AM343" s="1710">
        <f>AM530</f>
        <v/>
      </c>
      <c r="AN343" s="1710">
        <f>AN530</f>
        <v/>
      </c>
      <c r="AO343" s="1710">
        <f>AO530</f>
        <v/>
      </c>
      <c r="AP343" s="1712">
        <f>AP530</f>
        <v/>
      </c>
      <c r="AQ343" s="1710">
        <f>AQ530</f>
        <v/>
      </c>
      <c r="AR343" s="1710">
        <f>AR530</f>
        <v/>
      </c>
      <c r="AS343" s="1710">
        <f>AS530</f>
        <v/>
      </c>
      <c r="AT343" s="1710">
        <f>AT530</f>
        <v/>
      </c>
      <c r="AU343" s="1712">
        <f>AU530</f>
        <v/>
      </c>
      <c r="AV343" s="1710">
        <f>AV530</f>
        <v/>
      </c>
      <c r="AW343" s="1710">
        <f>AW530</f>
        <v/>
      </c>
      <c r="AX343" s="1710">
        <f>AX530</f>
        <v/>
      </c>
      <c r="AY343" s="1710">
        <f>AY530</f>
        <v/>
      </c>
      <c r="AZ343" s="1712">
        <f>AZ530</f>
        <v/>
      </c>
      <c r="BA343" s="1710">
        <f>BA530</f>
        <v/>
      </c>
      <c r="BB343" s="1710">
        <f>BB530</f>
        <v/>
      </c>
      <c r="BC343" s="1710">
        <f>BC530</f>
        <v/>
      </c>
      <c r="BD343" s="1710">
        <f>BD530</f>
        <v/>
      </c>
      <c r="BE343" s="1712">
        <f>BE530</f>
        <v/>
      </c>
      <c r="BF343" s="1710">
        <f>BF530</f>
        <v/>
      </c>
      <c r="BG343" s="1710">
        <f>BG530</f>
        <v/>
      </c>
      <c r="BH343" s="1710">
        <f>BH530</f>
        <v/>
      </c>
      <c r="BI343" s="1710">
        <f>BI530</f>
        <v/>
      </c>
      <c r="BJ343" s="1712">
        <f>BJ530</f>
        <v/>
      </c>
      <c r="BK343" s="1710">
        <f>BK530</f>
        <v/>
      </c>
      <c r="BL343" s="1710">
        <f>BL530</f>
        <v/>
      </c>
      <c r="BM343" s="1710">
        <f>BM530</f>
        <v/>
      </c>
      <c r="BN343" s="1710">
        <f>BN530</f>
        <v/>
      </c>
      <c r="BO343" s="1711">
        <f>BO530</f>
        <v/>
      </c>
      <c r="BP343" s="1710">
        <f>BP97</f>
        <v/>
      </c>
      <c r="BQ343" s="1710">
        <f>BQ97</f>
        <v/>
      </c>
      <c r="BR343" s="1710">
        <f>BR97</f>
        <v/>
      </c>
      <c r="BS343" s="1710">
        <f>BS97</f>
        <v/>
      </c>
      <c r="BT343" s="1712">
        <f>SUM(BP343,BQ343,BR343,BS343)</f>
        <v/>
      </c>
      <c r="BU343" s="1710">
        <f>BU97</f>
        <v/>
      </c>
      <c r="BV343" s="1710">
        <f>BV97</f>
        <v/>
      </c>
      <c r="BW343" s="1710">
        <f>BW97</f>
        <v/>
      </c>
      <c r="BX343" s="1710">
        <f>BX97</f>
        <v/>
      </c>
      <c r="BY343" s="1712">
        <f>SUM(BU343,BV343,BW343,BX343)</f>
        <v/>
      </c>
      <c r="BZ343" s="1712">
        <f>BZ97</f>
        <v/>
      </c>
      <c r="CA343" s="1712">
        <f>CA97</f>
        <v/>
      </c>
      <c r="CB343" s="1712">
        <f>CB97</f>
        <v/>
      </c>
      <c r="CC343" s="1564" t="n"/>
    </row>
    <row r="344" ht="15" customFormat="1" customHeight="1" s="1628">
      <c r="A344" s="1695" t="inlineStr">
        <is>
          <t>EBITDA</t>
        </is>
      </c>
      <c r="B344" s="1793" t="n"/>
      <c r="C344" s="1779">
        <f>C338+SUM(C342:C343)</f>
        <v/>
      </c>
      <c r="D344" s="1779">
        <f>D338+SUM(D342:D343)</f>
        <v/>
      </c>
      <c r="E344" s="1779">
        <f>E338+SUM(E342:E343)</f>
        <v/>
      </c>
      <c r="F344" s="1779">
        <f>F338+SUM(F342:F343)</f>
        <v/>
      </c>
      <c r="G344" s="1779">
        <f>G338+SUM(G342:G343)</f>
        <v/>
      </c>
      <c r="H344" s="1795">
        <f>H338+SUM(H342:H343)</f>
        <v/>
      </c>
      <c r="I344" s="1795">
        <f>I338+SUM(I342:I343)</f>
        <v/>
      </c>
      <c r="J344" s="1795">
        <f>J338+SUM(J342:J343)</f>
        <v/>
      </c>
      <c r="K344" s="1795">
        <f>K338+SUM(K342:K343)</f>
        <v/>
      </c>
      <c r="L344" s="1779">
        <f>L338+SUM(L342:L343)</f>
        <v/>
      </c>
      <c r="M344" s="1795">
        <f>M338+SUM(M342:M343)</f>
        <v/>
      </c>
      <c r="N344" s="1795">
        <f>N338+SUM(N342:N343)</f>
        <v/>
      </c>
      <c r="O344" s="1795">
        <f>O338+SUM(O342:O343)</f>
        <v/>
      </c>
      <c r="P344" s="1795">
        <f>P338+SUM(P342:P343)</f>
        <v/>
      </c>
      <c r="Q344" s="1779">
        <f>Q338+SUM(Q342:Q343)</f>
        <v/>
      </c>
      <c r="R344" s="1795">
        <f>R338+SUM(R342:R343)</f>
        <v/>
      </c>
      <c r="S344" s="1795">
        <f>S338+SUM(S342:S343)</f>
        <v/>
      </c>
      <c r="T344" s="1795">
        <f>T338+SUM(T342:T343)</f>
        <v/>
      </c>
      <c r="U344" s="1795">
        <f>U338+SUM(U342:U343)</f>
        <v/>
      </c>
      <c r="V344" s="1779">
        <f>V338+SUM(V342:V343)</f>
        <v/>
      </c>
      <c r="W344" s="1795">
        <f>W338+SUM(W342:W343)</f>
        <v/>
      </c>
      <c r="X344" s="1795">
        <f>X338+SUM(X342:X343)</f>
        <v/>
      </c>
      <c r="Y344" s="1795">
        <f>Y338+SUM(Y342:Y343)</f>
        <v/>
      </c>
      <c r="Z344" s="1795">
        <f>Z338+SUM(Z342:Z343)</f>
        <v/>
      </c>
      <c r="AA344" s="1779">
        <f>AA338+SUM(AA342:AA343)</f>
        <v/>
      </c>
      <c r="AB344" s="1795">
        <f>AB338+SUM(AB342:AB343)</f>
        <v/>
      </c>
      <c r="AC344" s="1795">
        <f>AC338+SUM(AC342:AC343)</f>
        <v/>
      </c>
      <c r="AD344" s="1795">
        <f>AD338+SUM(AD342:AD343)</f>
        <v/>
      </c>
      <c r="AE344" s="1795">
        <f>AE338+SUM(AE342:AE343)</f>
        <v/>
      </c>
      <c r="AF344" s="1779">
        <f>AF338+SUM(AF342:AF343)</f>
        <v/>
      </c>
      <c r="AG344" s="1795">
        <f>AG338+SUM(AG342:AG343)</f>
        <v/>
      </c>
      <c r="AH344" s="1795">
        <f>AH338+SUM(AH342:AH343)</f>
        <v/>
      </c>
      <c r="AI344" s="1795">
        <f>AI338+SUM(AI342:AI343)</f>
        <v/>
      </c>
      <c r="AJ344" s="1795">
        <f>AJ338+SUM(AJ342:AJ343)</f>
        <v/>
      </c>
      <c r="AK344" s="1779">
        <f>AK338+SUM(AK342:AK343)</f>
        <v/>
      </c>
      <c r="AL344" s="1795">
        <f>AL338+SUM(AL342:AL343)</f>
        <v/>
      </c>
      <c r="AM344" s="1795">
        <f>AM338+SUM(AM342:AM343)</f>
        <v/>
      </c>
      <c r="AN344" s="1795">
        <f>AN338+SUM(AN342:AN343)</f>
        <v/>
      </c>
      <c r="AO344" s="1795">
        <f>AO338+SUM(AO342:AO343)</f>
        <v/>
      </c>
      <c r="AP344" s="1779">
        <f>AP338+SUM(AP342:AP343)</f>
        <v/>
      </c>
      <c r="AQ344" s="1795">
        <f>AQ338+SUM(AQ342:AQ343)</f>
        <v/>
      </c>
      <c r="AR344" s="1795">
        <f>AR338+SUM(AR342:AR343)</f>
        <v/>
      </c>
      <c r="AS344" s="1795">
        <f>AS338+SUM(AS342:AS343)</f>
        <v/>
      </c>
      <c r="AT344" s="1795">
        <f>AT338+SUM(AT342:AT343)</f>
        <v/>
      </c>
      <c r="AU344" s="1779">
        <f>AU338+SUM(AU342:AU343)</f>
        <v/>
      </c>
      <c r="AV344" s="1795">
        <f>AV338+SUM(AV342:AV343)</f>
        <v/>
      </c>
      <c r="AW344" s="1795">
        <f>AW338+SUM(AW342:AW343)</f>
        <v/>
      </c>
      <c r="AX344" s="1795">
        <f>AX338+SUM(AX342:AX343)</f>
        <v/>
      </c>
      <c r="AY344" s="1795">
        <f>AY338+SUM(AY342:AY343)</f>
        <v/>
      </c>
      <c r="AZ344" s="1779">
        <f>AZ338+SUM(AZ342:AZ343)</f>
        <v/>
      </c>
      <c r="BA344" s="1795">
        <f>BA338+SUM(BA342:BA343)</f>
        <v/>
      </c>
      <c r="BB344" s="1795">
        <f>BB338+SUM(BB342:BB343)</f>
        <v/>
      </c>
      <c r="BC344" s="1795">
        <f>BC338+SUM(BC342:BC343)</f>
        <v/>
      </c>
      <c r="BD344" s="1795">
        <f>BD338+SUM(BD342:BD343)</f>
        <v/>
      </c>
      <c r="BE344" s="1779">
        <f>BE338+SUM(BE342:BE343)</f>
        <v/>
      </c>
      <c r="BF344" s="1795">
        <f>BF338+SUM(BF342:BF343)</f>
        <v/>
      </c>
      <c r="BG344" s="1795">
        <f>BG338+SUM(BG342:BG343)</f>
        <v/>
      </c>
      <c r="BH344" s="1795">
        <f>BH338+SUM(BH342:BH343)</f>
        <v/>
      </c>
      <c r="BI344" s="1795">
        <f>BI338+SUM(BI342:BI343)</f>
        <v/>
      </c>
      <c r="BJ344" s="1779">
        <f>BJ338+SUM(BJ342:BJ343)</f>
        <v/>
      </c>
      <c r="BK344" s="1795">
        <f>BK338+SUM(BK342:BK343)</f>
        <v/>
      </c>
      <c r="BL344" s="1795">
        <f>BL338+SUM(BL342:BL343)</f>
        <v/>
      </c>
      <c r="BM344" s="1795">
        <f>BM338+SUM(BM342:BM343)</f>
        <v/>
      </c>
      <c r="BN344" s="1795">
        <f>BN338+SUM(BN342:BN343)</f>
        <v/>
      </c>
      <c r="BO344" s="1796">
        <f>BO338+SUM(BO342:BO343)</f>
        <v/>
      </c>
      <c r="BP344" s="1642">
        <f>BP338+SUM(BP342:BP343)</f>
        <v/>
      </c>
      <c r="BQ344" s="1642">
        <f>BQ338+SUM(BQ342:BQ343)</f>
        <v/>
      </c>
      <c r="BR344" s="1642">
        <f>BR338+SUM(BR342:BR343)</f>
        <v/>
      </c>
      <c r="BS344" s="1642">
        <f>BS338+SUM(BS342:BS343)</f>
        <v/>
      </c>
      <c r="BT344" s="1641">
        <f>BT338+SUM(BT342:BT343)</f>
        <v/>
      </c>
      <c r="BU344" s="1642">
        <f>BU338+SUM(BU342:BU343)</f>
        <v/>
      </c>
      <c r="BV344" s="1642">
        <f>BV338+SUM(BV342:BV343)</f>
        <v/>
      </c>
      <c r="BW344" s="1642">
        <f>BW338+SUM(BW342:BW343)</f>
        <v/>
      </c>
      <c r="BX344" s="1642">
        <f>BX338+SUM(BX342:BX343)</f>
        <v/>
      </c>
      <c r="BY344" s="1641">
        <f>BY338+SUM(BY342:BY343)</f>
        <v/>
      </c>
      <c r="BZ344" s="1641">
        <f>BZ338+SUM(BZ342:BZ343)</f>
        <v/>
      </c>
      <c r="CA344" s="1641">
        <f>CA338+SUM(CA342:CA343)</f>
        <v/>
      </c>
      <c r="CB344" s="1641">
        <f>CB338+SUM(CB342:CB343)</f>
        <v/>
      </c>
      <c r="CC344" s="1634" t="n"/>
    </row>
    <row r="345" ht="15" customFormat="1" customHeight="1" s="1628">
      <c r="A345" s="1681">
        <f>CONCATENATE("Adjusted ",A344,IF(AND(ROUND(SUM(C344:CC344)-SUM(C345:CC345),6)=0)," (No Adjustments)",""))</f>
        <v/>
      </c>
      <c r="B345" s="1717" t="n"/>
      <c r="C345" s="1802">
        <f>C344</f>
        <v/>
      </c>
      <c r="D345" s="1802">
        <f>D344</f>
        <v/>
      </c>
      <c r="E345" s="1802">
        <f>E344</f>
        <v/>
      </c>
      <c r="F345" s="1802">
        <f>F344</f>
        <v/>
      </c>
      <c r="G345" s="1802">
        <f>G344</f>
        <v/>
      </c>
      <c r="H345" s="1634">
        <f>H344</f>
        <v/>
      </c>
      <c r="I345" s="1634">
        <f>I344</f>
        <v/>
      </c>
      <c r="J345" s="1634">
        <f>J344</f>
        <v/>
      </c>
      <c r="K345" s="1634">
        <f>K344</f>
        <v/>
      </c>
      <c r="L345" s="1802">
        <f>L344</f>
        <v/>
      </c>
      <c r="M345" s="1634">
        <f>M344</f>
        <v/>
      </c>
      <c r="N345" s="1634">
        <f>N344</f>
        <v/>
      </c>
      <c r="O345" s="1634">
        <f>O344</f>
        <v/>
      </c>
      <c r="P345" s="1634">
        <f>P344</f>
        <v/>
      </c>
      <c r="Q345" s="1802">
        <f>Q344</f>
        <v/>
      </c>
      <c r="R345" s="1634">
        <f>R344</f>
        <v/>
      </c>
      <c r="S345" s="1634">
        <f>S344</f>
        <v/>
      </c>
      <c r="T345" s="1634">
        <f>T344</f>
        <v/>
      </c>
      <c r="U345" s="1634">
        <f>U344</f>
        <v/>
      </c>
      <c r="V345" s="1802">
        <f>V344</f>
        <v/>
      </c>
      <c r="W345" s="1634">
        <f>W344</f>
        <v/>
      </c>
      <c r="X345" s="1634">
        <f>X344</f>
        <v/>
      </c>
      <c r="Y345" s="1634">
        <f>Y344</f>
        <v/>
      </c>
      <c r="Z345" s="1634">
        <f>Z344</f>
        <v/>
      </c>
      <c r="AA345" s="1802">
        <f>AA344</f>
        <v/>
      </c>
      <c r="AB345" s="1634">
        <f>AB344</f>
        <v/>
      </c>
      <c r="AC345" s="1634">
        <f>AC344</f>
        <v/>
      </c>
      <c r="AD345" s="1634">
        <f>AD344</f>
        <v/>
      </c>
      <c r="AE345" s="1634">
        <f>AE344</f>
        <v/>
      </c>
      <c r="AF345" s="1802">
        <f>AF344</f>
        <v/>
      </c>
      <c r="AG345" s="1634">
        <f>AG344</f>
        <v/>
      </c>
      <c r="AH345" s="1634">
        <f>AH344</f>
        <v/>
      </c>
      <c r="AI345" s="1634">
        <f>AI344</f>
        <v/>
      </c>
      <c r="AJ345" s="1634">
        <f>AJ344</f>
        <v/>
      </c>
      <c r="AK345" s="1802">
        <f>AK344</f>
        <v/>
      </c>
      <c r="AL345" s="1634">
        <f>AL344</f>
        <v/>
      </c>
      <c r="AM345" s="1634">
        <f>AM344</f>
        <v/>
      </c>
      <c r="AN345" s="1634">
        <f>AN344</f>
        <v/>
      </c>
      <c r="AO345" s="1634">
        <f>AO344</f>
        <v/>
      </c>
      <c r="AP345" s="1802">
        <f>AP344</f>
        <v/>
      </c>
      <c r="AQ345" s="1634">
        <f>AQ344</f>
        <v/>
      </c>
      <c r="AR345" s="1634">
        <f>AR344</f>
        <v/>
      </c>
      <c r="AS345" s="1634">
        <f>AS344</f>
        <v/>
      </c>
      <c r="AT345" s="1634">
        <f>AT344</f>
        <v/>
      </c>
      <c r="AU345" s="1802">
        <f>AU344</f>
        <v/>
      </c>
      <c r="AV345" s="1634">
        <f>AV344</f>
        <v/>
      </c>
      <c r="AW345" s="1634">
        <f>AW344</f>
        <v/>
      </c>
      <c r="AX345" s="1634">
        <f>AX344</f>
        <v/>
      </c>
      <c r="AY345" s="1634">
        <f>AY344</f>
        <v/>
      </c>
      <c r="AZ345" s="1802">
        <f>AZ344</f>
        <v/>
      </c>
      <c r="BA345" s="1634">
        <f>BA344</f>
        <v/>
      </c>
      <c r="BB345" s="1634">
        <f>BB344</f>
        <v/>
      </c>
      <c r="BC345" s="1634">
        <f>BC344</f>
        <v/>
      </c>
      <c r="BD345" s="1634">
        <f>BD344</f>
        <v/>
      </c>
      <c r="BE345" s="1802">
        <f>BE344</f>
        <v/>
      </c>
      <c r="BF345" s="1634">
        <f>BF344</f>
        <v/>
      </c>
      <c r="BG345" s="1634">
        <f>BG344</f>
        <v/>
      </c>
      <c r="BH345" s="1634">
        <f>BH344</f>
        <v/>
      </c>
      <c r="BI345" s="1634">
        <f>BI344</f>
        <v/>
      </c>
      <c r="BJ345" s="1802">
        <f>BJ344</f>
        <v/>
      </c>
      <c r="BK345" s="1634">
        <f>BK344</f>
        <v/>
      </c>
      <c r="BL345" s="1634">
        <f>BL344</f>
        <v/>
      </c>
      <c r="BM345" s="1634">
        <f>BM344</f>
        <v/>
      </c>
      <c r="BN345" s="1634">
        <f>BN344</f>
        <v/>
      </c>
      <c r="BO345" s="1803">
        <f>BO344</f>
        <v/>
      </c>
      <c r="BP345" s="1719">
        <f>BP344</f>
        <v/>
      </c>
      <c r="BQ345" s="1719">
        <f>BQ344</f>
        <v/>
      </c>
      <c r="BR345" s="1719">
        <f>BR344</f>
        <v/>
      </c>
      <c r="BS345" s="1719">
        <f>BS344</f>
        <v/>
      </c>
      <c r="BT345" s="1718">
        <f>SUM(BP345,BQ345,BR345,BS345)</f>
        <v/>
      </c>
      <c r="BU345" s="1719">
        <f>BU344</f>
        <v/>
      </c>
      <c r="BV345" s="1719">
        <f>BV344</f>
        <v/>
      </c>
      <c r="BW345" s="1719">
        <f>BW344</f>
        <v/>
      </c>
      <c r="BX345" s="1719">
        <f>BX344</f>
        <v/>
      </c>
      <c r="BY345" s="1718">
        <f>SUM(BU345,BV345,BW345,BX345)</f>
        <v/>
      </c>
      <c r="BZ345" s="1718">
        <f>BZ344</f>
        <v/>
      </c>
      <c r="CA345" s="1718">
        <f>CA344</f>
        <v/>
      </c>
      <c r="CB345" s="1718">
        <f>CB344</f>
        <v/>
      </c>
      <c r="CC345" s="1634" t="n"/>
    </row>
    <row r="346" ht="15" customFormat="1" customHeight="1" s="1827">
      <c r="A346" s="1828">
        <f>CONCATENATE("Consensus Estimates - ",IFERROR(LEFT(A345,FIND("(",A345)-1),A345))</f>
        <v/>
      </c>
      <c r="B346" s="1829" t="n"/>
      <c r="C346" s="1830" t="n"/>
      <c r="D346" s="1830" t="n"/>
      <c r="E346" s="1830" t="n"/>
      <c r="F346" s="1830" t="n"/>
      <c r="G346" s="1830" t="n"/>
      <c r="H346" s="1831" t="n"/>
      <c r="I346" s="1831" t="n"/>
      <c r="J346" s="1831" t="n"/>
      <c r="K346" s="1831" t="n"/>
      <c r="L346" s="1830" t="n"/>
      <c r="M346" s="1831" t="n"/>
      <c r="N346" s="1831" t="n"/>
      <c r="O346" s="1831" t="n"/>
      <c r="P346" s="1831" t="n"/>
      <c r="Q346" s="1830" t="n"/>
      <c r="R346" s="1831" t="n"/>
      <c r="S346" s="1832" t="n"/>
      <c r="T346" s="1831" t="n"/>
      <c r="U346" s="1831" t="n"/>
      <c r="V346" s="1830" t="n"/>
      <c r="W346" s="1831" t="n"/>
      <c r="X346" s="1832" t="n"/>
      <c r="Y346" s="1831" t="n"/>
      <c r="Z346" s="1831" t="n"/>
      <c r="AA346" s="1830" t="n"/>
      <c r="AB346" s="1831" t="n"/>
      <c r="AC346" s="1832" t="n"/>
      <c r="AD346" s="1831" t="n"/>
      <c r="AE346" s="1831" t="n"/>
      <c r="AF346" s="1830" t="n"/>
      <c r="AG346" s="1831" t="n"/>
      <c r="AH346" s="1832" t="n"/>
      <c r="AI346" s="1831" t="n"/>
      <c r="AJ346" s="1831" t="n"/>
      <c r="AK346" s="1830" t="n"/>
      <c r="AL346" s="1831" t="n"/>
      <c r="AM346" s="1832" t="n"/>
      <c r="AN346" s="1831" t="n"/>
      <c r="AO346" s="1831" t="n"/>
      <c r="AP346" s="1830" t="n"/>
      <c r="AQ346" s="1831" t="n"/>
      <c r="AR346" s="1832" t="n"/>
      <c r="AS346" s="1831" t="n"/>
      <c r="AT346" s="1831" t="n"/>
      <c r="AU346" s="1830" t="n"/>
      <c r="AV346" s="1831" t="n"/>
      <c r="AW346" s="1832" t="n"/>
      <c r="AX346" s="1831" t="n"/>
      <c r="AY346" s="1831" t="n"/>
      <c r="AZ346" s="1830" t="n"/>
      <c r="BA346" s="1831" t="n"/>
      <c r="BB346" s="1832" t="n"/>
      <c r="BC346" s="1831" t="n"/>
      <c r="BD346" s="1831" t="n"/>
      <c r="BE346" s="1830" t="n"/>
      <c r="BF346" s="1831" t="n"/>
      <c r="BG346" s="1832" t="n"/>
      <c r="BH346" s="1831" t="n"/>
      <c r="BI346" s="1831" t="n"/>
      <c r="BJ346" s="1830" t="n"/>
      <c r="BK346" s="1831" t="n"/>
      <c r="BL346" s="1832" t="n"/>
      <c r="BM346" s="1831" t="n"/>
      <c r="BN346" s="1831" t="n"/>
      <c r="BO346" s="1833" t="n"/>
      <c r="BP346" s="1699">
        <f>IFERROR(VLOOKUP($A346,tb_ConsensusEstimate,MATCH(BP$5,OFFSET(tb_ConsensusEstimate,0,0,1,COLUMNS(tb_ConsensusEstimate)),0),FALSE),"-")</f>
        <v/>
      </c>
      <c r="BQ346" s="1699">
        <f>IFERROR(VLOOKUP($A346,tb_ConsensusEstimate,MATCH(BQ$5,OFFSET(tb_ConsensusEstimate,0,0,1,COLUMNS(tb_ConsensusEstimate)),0),FALSE),"-")</f>
        <v/>
      </c>
      <c r="BR346" s="1699">
        <f>IFERROR(VLOOKUP($A346,tb_ConsensusEstimate,MATCH(BR$5,OFFSET(tb_ConsensusEstimate,0,0,1,COLUMNS(tb_ConsensusEstimate)),0),FALSE),"-")</f>
        <v/>
      </c>
      <c r="BS346" s="1699">
        <f>IFERROR(VLOOKUP($A346,tb_ConsensusEstimate,MATCH(BS$5,OFFSET(tb_ConsensusEstimate,0,0,1,COLUMNS(tb_ConsensusEstimate)),0),FALSE),"-")</f>
        <v/>
      </c>
      <c r="BT346" s="1698">
        <f>IFERROR(VLOOKUP($A346,tb_ConsensusEstimate,MATCH(BT$5,OFFSET(tb_ConsensusEstimate,0,0,1,COLUMNS(tb_ConsensusEstimate)),0),FALSE),"-")</f>
        <v/>
      </c>
      <c r="BU346" s="1699">
        <f>IFERROR(VLOOKUP($A346,tb_ConsensusEstimate,MATCH(BU$5,OFFSET(tb_ConsensusEstimate,0,0,1,COLUMNS(tb_ConsensusEstimate)),0),FALSE),"-")</f>
        <v/>
      </c>
      <c r="BV346" s="1699">
        <f>IFERROR(VLOOKUP($A346,tb_ConsensusEstimate,MATCH(BV$5,OFFSET(tb_ConsensusEstimate,0,0,1,COLUMNS(tb_ConsensusEstimate)),0),FALSE),"-")</f>
        <v/>
      </c>
      <c r="BW346" s="1699">
        <f>IFERROR(VLOOKUP($A346,tb_ConsensusEstimate,MATCH(BW$5,OFFSET(tb_ConsensusEstimate,0,0,1,COLUMNS(tb_ConsensusEstimate)),0),FALSE),"-")</f>
        <v/>
      </c>
      <c r="BX346" s="1699">
        <f>IFERROR(VLOOKUP($A346,tb_ConsensusEstimate,MATCH(BX$5,OFFSET(tb_ConsensusEstimate,0,0,1,COLUMNS(tb_ConsensusEstimate)),0),FALSE),"-")</f>
        <v/>
      </c>
      <c r="BY346" s="1698">
        <f>IFERROR(VLOOKUP($A346,tb_ConsensusEstimate,MATCH(BY$5,OFFSET(tb_ConsensusEstimate,0,0,1,COLUMNS(tb_ConsensusEstimate)),0),FALSE),"-")</f>
        <v/>
      </c>
      <c r="BZ346" s="1698">
        <f>IFERROR(VLOOKUP($A346,tb_ConsensusEstimate,MATCH(BZ$5,OFFSET(tb_ConsensusEstimate,0,0,1,COLUMNS(tb_ConsensusEstimate)),0),FALSE),"-")</f>
        <v/>
      </c>
      <c r="CA346" s="1698">
        <f>IFERROR(VLOOKUP($A346,tb_ConsensusEstimate,MATCH(CA$5,OFFSET(tb_ConsensusEstimate,0,0,1,COLUMNS(tb_ConsensusEstimate)),0),FALSE),"-")</f>
        <v/>
      </c>
      <c r="CB346" s="1698">
        <f>IFERROR(VLOOKUP($A346,tb_ConsensusEstimate,MATCH(CB$5,OFFSET(tb_ConsensusEstimate,0,0,1,COLUMNS(tb_ConsensusEstimate)),0),FALSE),"-")</f>
        <v/>
      </c>
      <c r="CC346" s="1831" t="n"/>
    </row>
    <row r="347" ht="15" customFormat="1" customHeight="1" s="1561">
      <c r="A347" s="1828" t="n"/>
      <c r="B347" s="1705" t="n"/>
      <c r="C347" s="1637" t="n"/>
      <c r="D347" s="1637" t="n"/>
      <c r="E347" s="1637" t="n"/>
      <c r="F347" s="1637" t="n"/>
      <c r="G347" s="1637" t="n"/>
      <c r="H347" s="1562" t="n"/>
      <c r="I347" s="1562" t="n"/>
      <c r="J347" s="1562" t="n"/>
      <c r="K347" s="1562" t="n"/>
      <c r="L347" s="1637" t="n"/>
      <c r="M347" s="1562" t="n"/>
      <c r="N347" s="1562" t="n"/>
      <c r="O347" s="1562" t="n"/>
      <c r="P347" s="1562" t="n"/>
      <c r="Q347" s="1637" t="n"/>
      <c r="R347" s="1562" t="n"/>
      <c r="S347" s="1832" t="n"/>
      <c r="T347" s="1562" t="n"/>
      <c r="U347" s="1562" t="n"/>
      <c r="V347" s="1637" t="n"/>
      <c r="W347" s="1562" t="n"/>
      <c r="X347" s="1832" t="n"/>
      <c r="Y347" s="1562" t="n"/>
      <c r="Z347" s="1562" t="n"/>
      <c r="AA347" s="1637" t="n"/>
      <c r="AB347" s="1562" t="n"/>
      <c r="AC347" s="1832" t="n"/>
      <c r="AD347" s="1562" t="n"/>
      <c r="AE347" s="1562" t="n"/>
      <c r="AF347" s="1637" t="n"/>
      <c r="AG347" s="1562" t="n"/>
      <c r="AH347" s="1832" t="n"/>
      <c r="AI347" s="1562" t="n"/>
      <c r="AJ347" s="1562" t="n"/>
      <c r="AK347" s="1637" t="n"/>
      <c r="AL347" s="1562" t="n"/>
      <c r="AM347" s="1832" t="n"/>
      <c r="AN347" s="1562" t="n"/>
      <c r="AO347" s="1562" t="n"/>
      <c r="AP347" s="1637" t="n"/>
      <c r="AQ347" s="1562" t="n"/>
      <c r="AR347" s="1832" t="n"/>
      <c r="AS347" s="1562" t="n"/>
      <c r="AT347" s="1562" t="n"/>
      <c r="AU347" s="1637" t="n"/>
      <c r="AV347" s="1562" t="n"/>
      <c r="AW347" s="1832" t="n"/>
      <c r="AX347" s="1562" t="n"/>
      <c r="AY347" s="1562" t="n"/>
      <c r="AZ347" s="1637" t="n"/>
      <c r="BA347" s="1562" t="n"/>
      <c r="BB347" s="1832" t="n"/>
      <c r="BC347" s="1562" t="n"/>
      <c r="BD347" s="1562" t="n"/>
      <c r="BE347" s="1637" t="n"/>
      <c r="BF347" s="1562" t="n"/>
      <c r="BG347" s="1832" t="n"/>
      <c r="BH347" s="1562" t="n"/>
      <c r="BI347" s="1562" t="n"/>
      <c r="BJ347" s="1637" t="n"/>
      <c r="BK347" s="1562" t="n"/>
      <c r="BL347" s="1832" t="n"/>
      <c r="BM347" s="1562" t="n"/>
      <c r="BN347" s="1562" t="n"/>
      <c r="BO347" s="1638" t="n"/>
      <c r="BP347" s="1831" t="n"/>
      <c r="BQ347" s="1831" t="n"/>
      <c r="BR347" s="1831" t="n"/>
      <c r="BS347" s="1831" t="n"/>
      <c r="BT347" s="1834" t="n"/>
      <c r="BU347" s="1831" t="n"/>
      <c r="BV347" s="1831" t="n"/>
      <c r="BW347" s="1831" t="n"/>
      <c r="BX347" s="1831" t="n"/>
      <c r="BY347" s="1834" t="n"/>
      <c r="BZ347" s="1834" t="n"/>
      <c r="CA347" s="1834" t="n"/>
      <c r="CB347" s="1834" t="n"/>
      <c r="CC347" s="1564" t="n"/>
    </row>
    <row r="348" ht="15" customFormat="1" customHeight="1" s="1561">
      <c r="A348" s="1622" t="inlineStr">
        <is>
          <t>Net interest expense</t>
        </is>
      </c>
      <c r="B348" s="1705" t="n"/>
      <c r="C348" s="1637">
        <f>-C311</f>
        <v/>
      </c>
      <c r="D348" s="1637">
        <f>-D311</f>
        <v/>
      </c>
      <c r="E348" s="1637">
        <f>-E311</f>
        <v/>
      </c>
      <c r="F348" s="1637">
        <f>-F311</f>
        <v/>
      </c>
      <c r="G348" s="1637">
        <f>-G311</f>
        <v/>
      </c>
      <c r="H348" s="1562">
        <f>-H311</f>
        <v/>
      </c>
      <c r="I348" s="1562">
        <f>-I311</f>
        <v/>
      </c>
      <c r="J348" s="1562">
        <f>-J311</f>
        <v/>
      </c>
      <c r="K348" s="1562">
        <f>-K311</f>
        <v/>
      </c>
      <c r="L348" s="1637">
        <f>-L311</f>
        <v/>
      </c>
      <c r="M348" s="1562">
        <f>-M311</f>
        <v/>
      </c>
      <c r="N348" s="1562">
        <f>-N311</f>
        <v/>
      </c>
      <c r="O348" s="1562">
        <f>-O311</f>
        <v/>
      </c>
      <c r="P348" s="1562">
        <f>-P311</f>
        <v/>
      </c>
      <c r="Q348" s="1637">
        <f>-Q311</f>
        <v/>
      </c>
      <c r="R348" s="1562">
        <f>-R311</f>
        <v/>
      </c>
      <c r="S348" s="1562">
        <f>-S311</f>
        <v/>
      </c>
      <c r="T348" s="1562">
        <f>-T311</f>
        <v/>
      </c>
      <c r="U348" s="1562">
        <f>-U311</f>
        <v/>
      </c>
      <c r="V348" s="1637">
        <f>-V311</f>
        <v/>
      </c>
      <c r="W348" s="1562">
        <f>-W311</f>
        <v/>
      </c>
      <c r="X348" s="1562">
        <f>-X311</f>
        <v/>
      </c>
      <c r="Y348" s="1562">
        <f>-Y311</f>
        <v/>
      </c>
      <c r="Z348" s="1562">
        <f>-Z311</f>
        <v/>
      </c>
      <c r="AA348" s="1637">
        <f>-AA311</f>
        <v/>
      </c>
      <c r="AB348" s="1562">
        <f>-AB311</f>
        <v/>
      </c>
      <c r="AC348" s="1562">
        <f>-AC311</f>
        <v/>
      </c>
      <c r="AD348" s="1562">
        <f>-AD311</f>
        <v/>
      </c>
      <c r="AE348" s="1562">
        <f>-AE311</f>
        <v/>
      </c>
      <c r="AF348" s="1637">
        <f>-AF311</f>
        <v/>
      </c>
      <c r="AG348" s="1562">
        <f>-AG311</f>
        <v/>
      </c>
      <c r="AH348" s="1562">
        <f>-AH311</f>
        <v/>
      </c>
      <c r="AI348" s="1562">
        <f>-AI311</f>
        <v/>
      </c>
      <c r="AJ348" s="1562">
        <f>-AJ311</f>
        <v/>
      </c>
      <c r="AK348" s="1637">
        <f>-AK311</f>
        <v/>
      </c>
      <c r="AL348" s="1562">
        <f>-AL311</f>
        <v/>
      </c>
      <c r="AM348" s="1562">
        <f>-AM311</f>
        <v/>
      </c>
      <c r="AN348" s="1562">
        <f>-AN311</f>
        <v/>
      </c>
      <c r="AO348" s="1562">
        <f>-AO311</f>
        <v/>
      </c>
      <c r="AP348" s="1637">
        <f>-AP311</f>
        <v/>
      </c>
      <c r="AQ348" s="1562">
        <f>-AQ311</f>
        <v/>
      </c>
      <c r="AR348" s="1562">
        <f>-AR311</f>
        <v/>
      </c>
      <c r="AS348" s="1562">
        <f>-AS311</f>
        <v/>
      </c>
      <c r="AT348" s="1562">
        <f>-AT311</f>
        <v/>
      </c>
      <c r="AU348" s="1637">
        <f>-AU311</f>
        <v/>
      </c>
      <c r="AV348" s="1562">
        <f>-AV311</f>
        <v/>
      </c>
      <c r="AW348" s="1562">
        <f>-AW311</f>
        <v/>
      </c>
      <c r="AX348" s="1562">
        <f>-AX311</f>
        <v/>
      </c>
      <c r="AY348" s="1562">
        <f>-AY311</f>
        <v/>
      </c>
      <c r="AZ348" s="1637">
        <f>-AZ311</f>
        <v/>
      </c>
      <c r="BA348" s="1562">
        <f>-BA311</f>
        <v/>
      </c>
      <c r="BB348" s="1562">
        <f>-BB311</f>
        <v/>
      </c>
      <c r="BC348" s="1562">
        <f>-BC311</f>
        <v/>
      </c>
      <c r="BD348" s="1562">
        <f>-BD311</f>
        <v/>
      </c>
      <c r="BE348" s="1637">
        <f>-BE311</f>
        <v/>
      </c>
      <c r="BF348" s="1562">
        <f>-BF311</f>
        <v/>
      </c>
      <c r="BG348" s="1562">
        <f>-BG311</f>
        <v/>
      </c>
      <c r="BH348" s="1562">
        <f>-BH311</f>
        <v/>
      </c>
      <c r="BI348" s="1562">
        <f>-BI311</f>
        <v/>
      </c>
      <c r="BJ348" s="1637">
        <f>-BJ311</f>
        <v/>
      </c>
      <c r="BK348" s="1562">
        <f>-BK311</f>
        <v/>
      </c>
      <c r="BL348" s="1562">
        <f>-BL311</f>
        <v/>
      </c>
      <c r="BM348" s="1562">
        <f>-BM311</f>
        <v/>
      </c>
      <c r="BN348" s="1562">
        <f>-BN311</f>
        <v/>
      </c>
      <c r="BO348" s="1638">
        <f>-BO311</f>
        <v/>
      </c>
      <c r="BP348" s="1562">
        <f>BP433</f>
        <v/>
      </c>
      <c r="BQ348" s="1562">
        <f>BQ433</f>
        <v/>
      </c>
      <c r="BR348" s="1562">
        <f>BR433</f>
        <v/>
      </c>
      <c r="BS348" s="1562">
        <f>BS433</f>
        <v/>
      </c>
      <c r="BT348" s="1637">
        <f>SUM(BP348,BQ348,BR348,BS348)</f>
        <v/>
      </c>
      <c r="BU348" s="1562">
        <f>BU433</f>
        <v/>
      </c>
      <c r="BV348" s="1562">
        <f>BV433</f>
        <v/>
      </c>
      <c r="BW348" s="1562">
        <f>BW433</f>
        <v/>
      </c>
      <c r="BX348" s="1562">
        <f>BX433</f>
        <v/>
      </c>
      <c r="BY348" s="1637">
        <f>SUM(BU348,BV348,BW348,BX348)</f>
        <v/>
      </c>
      <c r="BZ348" s="1637">
        <f>BZ433</f>
        <v/>
      </c>
      <c r="CA348" s="1637">
        <f>CA433</f>
        <v/>
      </c>
      <c r="CB348" s="1637">
        <f>CB433</f>
        <v/>
      </c>
      <c r="CC348" s="1564" t="n"/>
    </row>
    <row r="349" ht="15" customFormat="1" customHeight="1" s="1561">
      <c r="A349" s="1622" t="inlineStr">
        <is>
          <t>Income from equity method investments</t>
        </is>
      </c>
      <c r="B349" s="1705" t="n"/>
      <c r="C349" s="1637">
        <f>-C317</f>
        <v/>
      </c>
      <c r="D349" s="1637">
        <f>-D317</f>
        <v/>
      </c>
      <c r="E349" s="1637">
        <f>-E317</f>
        <v/>
      </c>
      <c r="F349" s="1637">
        <f>-F317</f>
        <v/>
      </c>
      <c r="G349" s="1637">
        <f>-G317</f>
        <v/>
      </c>
      <c r="H349" s="1562">
        <f>-H317</f>
        <v/>
      </c>
      <c r="I349" s="1562">
        <f>-I317</f>
        <v/>
      </c>
      <c r="J349" s="1562">
        <f>-J317</f>
        <v/>
      </c>
      <c r="K349" s="1562">
        <f>-K317</f>
        <v/>
      </c>
      <c r="L349" s="1637">
        <f>-L317</f>
        <v/>
      </c>
      <c r="M349" s="1562">
        <f>-M317</f>
        <v/>
      </c>
      <c r="N349" s="1562">
        <f>-N317</f>
        <v/>
      </c>
      <c r="O349" s="1562">
        <f>-O317</f>
        <v/>
      </c>
      <c r="P349" s="1562">
        <f>-P317</f>
        <v/>
      </c>
      <c r="Q349" s="1637">
        <f>-Q317</f>
        <v/>
      </c>
      <c r="R349" s="1562">
        <f>-R317</f>
        <v/>
      </c>
      <c r="S349" s="1562">
        <f>-S317</f>
        <v/>
      </c>
      <c r="T349" s="1562">
        <f>-T317</f>
        <v/>
      </c>
      <c r="U349" s="1562">
        <f>-U317</f>
        <v/>
      </c>
      <c r="V349" s="1637">
        <f>-V317</f>
        <v/>
      </c>
      <c r="W349" s="1562">
        <f>-W317</f>
        <v/>
      </c>
      <c r="X349" s="1562">
        <f>-X317</f>
        <v/>
      </c>
      <c r="Y349" s="1562">
        <f>-Y317</f>
        <v/>
      </c>
      <c r="Z349" s="1562">
        <f>-Z317</f>
        <v/>
      </c>
      <c r="AA349" s="1637">
        <f>-AA317</f>
        <v/>
      </c>
      <c r="AB349" s="1562">
        <f>-AB317</f>
        <v/>
      </c>
      <c r="AC349" s="1562">
        <f>-AC317</f>
        <v/>
      </c>
      <c r="AD349" s="1562">
        <f>-AD317</f>
        <v/>
      </c>
      <c r="AE349" s="1562">
        <f>-AE317</f>
        <v/>
      </c>
      <c r="AF349" s="1637">
        <f>-AF317</f>
        <v/>
      </c>
      <c r="AG349" s="1562">
        <f>-AG317</f>
        <v/>
      </c>
      <c r="AH349" s="1562">
        <f>-AH317</f>
        <v/>
      </c>
      <c r="AI349" s="1562">
        <f>-AI317</f>
        <v/>
      </c>
      <c r="AJ349" s="1562">
        <f>-AJ317</f>
        <v/>
      </c>
      <c r="AK349" s="1637">
        <f>-AK317</f>
        <v/>
      </c>
      <c r="AL349" s="1562">
        <f>-AL317</f>
        <v/>
      </c>
      <c r="AM349" s="1562">
        <f>-AM317</f>
        <v/>
      </c>
      <c r="AN349" s="1562">
        <f>-AN317</f>
        <v/>
      </c>
      <c r="AO349" s="1562">
        <f>-AO317</f>
        <v/>
      </c>
      <c r="AP349" s="1637">
        <f>-AP317</f>
        <v/>
      </c>
      <c r="AQ349" s="1562">
        <f>-AQ317</f>
        <v/>
      </c>
      <c r="AR349" s="1562">
        <f>-AR317</f>
        <v/>
      </c>
      <c r="AS349" s="1562">
        <f>-AS317</f>
        <v/>
      </c>
      <c r="AT349" s="1562">
        <f>-AT317</f>
        <v/>
      </c>
      <c r="AU349" s="1637">
        <f>-AU317</f>
        <v/>
      </c>
      <c r="AV349" s="1562">
        <f>-AV317</f>
        <v/>
      </c>
      <c r="AW349" s="1562">
        <f>-AW317</f>
        <v/>
      </c>
      <c r="AX349" s="1562">
        <f>-AX317</f>
        <v/>
      </c>
      <c r="AY349" s="1562">
        <f>-AY317</f>
        <v/>
      </c>
      <c r="AZ349" s="1637">
        <f>-AZ317</f>
        <v/>
      </c>
      <c r="BA349" s="1562">
        <f>-BA317</f>
        <v/>
      </c>
      <c r="BB349" s="1562">
        <f>-BB317</f>
        <v/>
      </c>
      <c r="BC349" s="1562">
        <f>-BC317</f>
        <v/>
      </c>
      <c r="BD349" s="1562">
        <f>-BD317</f>
        <v/>
      </c>
      <c r="BE349" s="1637">
        <f>-BE317</f>
        <v/>
      </c>
      <c r="BF349" s="1562">
        <f>-BF317</f>
        <v/>
      </c>
      <c r="BG349" s="1562">
        <f>-BG317</f>
        <v/>
      </c>
      <c r="BH349" s="1562">
        <f>-BH317</f>
        <v/>
      </c>
      <c r="BI349" s="1562">
        <f>-BI317</f>
        <v/>
      </c>
      <c r="BJ349" s="1637">
        <f>-BJ317</f>
        <v/>
      </c>
      <c r="BK349" s="1562">
        <f>-BK317</f>
        <v/>
      </c>
      <c r="BL349" s="1562">
        <f>-BL317</f>
        <v/>
      </c>
      <c r="BM349" s="1562">
        <f>-BM317</f>
        <v/>
      </c>
      <c r="BN349" s="1562">
        <f>-BN317</f>
        <v/>
      </c>
      <c r="BO349" s="1638">
        <f>-BO317</f>
        <v/>
      </c>
      <c r="BP349" s="1714" t="n">
        <v>-20</v>
      </c>
      <c r="BQ349" s="1714" t="n">
        <v>-20</v>
      </c>
      <c r="BR349" s="1714" t="n">
        <v>-20</v>
      </c>
      <c r="BS349" s="1714" t="n">
        <v>-20</v>
      </c>
      <c r="BT349" s="1637">
        <f>SUM(BP349,BQ349,BR349,BS349)</f>
        <v/>
      </c>
      <c r="BU349" s="1714" t="n">
        <v>-20</v>
      </c>
      <c r="BV349" s="1714" t="n">
        <v>-20</v>
      </c>
      <c r="BW349" s="1714" t="n">
        <v>-20</v>
      </c>
      <c r="BX349" s="1714" t="n">
        <v>-20</v>
      </c>
      <c r="BY349" s="1637">
        <f>SUM(BU349,BV349,BW349,BX349)</f>
        <v/>
      </c>
      <c r="BZ349" s="1706" t="n">
        <v>-80</v>
      </c>
      <c r="CA349" s="1706" t="n">
        <v>-80</v>
      </c>
      <c r="CB349" s="1706" t="n">
        <v>-80</v>
      </c>
      <c r="CC349" s="1564" t="n"/>
    </row>
    <row r="350" ht="15" customFormat="1" customHeight="1" s="1561">
      <c r="A350" s="1622" t="inlineStr">
        <is>
          <t>Other items</t>
        </is>
      </c>
      <c r="B350" s="1705" t="n"/>
      <c r="C350" s="1637" t="n"/>
      <c r="D350" s="1637" t="n"/>
      <c r="E350" s="1637" t="n"/>
      <c r="F350" s="1637" t="n"/>
      <c r="G350" s="1637" t="n"/>
      <c r="H350" s="1562" t="n"/>
      <c r="I350" s="1562" t="n"/>
      <c r="J350" s="1562" t="n"/>
      <c r="K350" s="1562" t="n"/>
      <c r="L350" s="1637" t="n"/>
      <c r="M350" s="1562" t="n"/>
      <c r="N350" s="1562" t="n"/>
      <c r="O350" s="1562" t="n"/>
      <c r="P350" s="1562" t="n"/>
      <c r="Q350" s="1637" t="n"/>
      <c r="R350" s="1562" t="n"/>
      <c r="S350" s="1562" t="n"/>
      <c r="T350" s="1562" t="n"/>
      <c r="U350" s="1562" t="n"/>
      <c r="V350" s="1637" t="n"/>
      <c r="W350" s="1562" t="n"/>
      <c r="X350" s="1562" t="n"/>
      <c r="Y350" s="1562" t="n"/>
      <c r="Z350" s="1562" t="n"/>
      <c r="AA350" s="1637" t="n"/>
      <c r="AB350" s="1562" t="n"/>
      <c r="AC350" s="1562" t="n"/>
      <c r="AD350" s="1562" t="n"/>
      <c r="AE350" s="1562" t="n"/>
      <c r="AF350" s="1637" t="n"/>
      <c r="AG350" s="1562" t="n"/>
      <c r="AH350" s="1562" t="n"/>
      <c r="AI350" s="1562" t="n"/>
      <c r="AJ350" s="1562" t="n"/>
      <c r="AK350" s="1637" t="n"/>
      <c r="AL350" s="1562" t="n"/>
      <c r="AM350" s="1562" t="n"/>
      <c r="AN350" s="1562" t="n"/>
      <c r="AO350" s="1562" t="n"/>
      <c r="AP350" s="1637" t="n"/>
      <c r="AQ350" s="1562" t="n"/>
      <c r="AR350" s="1562" t="n"/>
      <c r="AS350" s="1562" t="n"/>
      <c r="AT350" s="1562" t="n"/>
      <c r="AU350" s="1637" t="n"/>
      <c r="AV350" s="1562" t="n"/>
      <c r="AW350" s="1562" t="n"/>
      <c r="AX350" s="1562" t="n"/>
      <c r="AY350" s="1562" t="n"/>
      <c r="AZ350" s="1637" t="n"/>
      <c r="BA350" s="1562" t="n"/>
      <c r="BB350" s="1562" t="n"/>
      <c r="BC350" s="1562" t="n"/>
      <c r="BD350" s="1562" t="n"/>
      <c r="BE350" s="1637" t="n"/>
      <c r="BF350" s="1562" t="n"/>
      <c r="BG350" s="1562" t="n"/>
      <c r="BH350" s="1562" t="n"/>
      <c r="BI350" s="1562" t="n"/>
      <c r="BJ350" s="1637" t="n"/>
      <c r="BK350" s="1562" t="n"/>
      <c r="BL350" s="1562" t="n"/>
      <c r="BM350" s="1562" t="n"/>
      <c r="BN350" s="1562" t="n"/>
      <c r="BO350" s="1638" t="n"/>
      <c r="BP350" s="1714" t="n">
        <v>0</v>
      </c>
      <c r="BQ350" s="1714" t="n">
        <v>0</v>
      </c>
      <c r="BR350" s="1714" t="n">
        <v>0</v>
      </c>
      <c r="BS350" s="1714" t="n">
        <v>0</v>
      </c>
      <c r="BT350" s="1637">
        <f>SUM(BP350,BQ350,BR350,BS350)</f>
        <v/>
      </c>
      <c r="BU350" s="1714" t="n">
        <v>0</v>
      </c>
      <c r="BV350" s="1714" t="n">
        <v>0</v>
      </c>
      <c r="BW350" s="1714" t="n">
        <v>0</v>
      </c>
      <c r="BX350" s="1714" t="n">
        <v>0</v>
      </c>
      <c r="BY350" s="1637">
        <f>SUM(BU350,BV350,BW350,BX350)</f>
        <v/>
      </c>
      <c r="BZ350" s="1706" t="n">
        <v>0</v>
      </c>
      <c r="CA350" s="1706" t="n">
        <v>0</v>
      </c>
      <c r="CB350" s="1706" t="n">
        <v>0</v>
      </c>
      <c r="CC350" s="1564" t="n"/>
    </row>
    <row r="351" ht="15" customFormat="1" customHeight="1" s="1561">
      <c r="A351" s="1702" t="inlineStr">
        <is>
          <t>One-time item</t>
        </is>
      </c>
      <c r="B351" s="1708" t="n"/>
      <c r="C351" s="1712" t="n"/>
      <c r="D351" s="1712" t="n"/>
      <c r="E351" s="1712" t="n"/>
      <c r="F351" s="1712" t="n"/>
      <c r="G351" s="1712" t="n"/>
      <c r="H351" s="1710" t="n"/>
      <c r="I351" s="1710" t="n"/>
      <c r="J351" s="1710" t="n"/>
      <c r="K351" s="1710" t="n"/>
      <c r="L351" s="1712" t="n"/>
      <c r="M351" s="1710" t="n"/>
      <c r="N351" s="1710" t="n"/>
      <c r="O351" s="1710" t="n"/>
      <c r="P351" s="1710" t="n"/>
      <c r="Q351" s="1712" t="n"/>
      <c r="R351" s="1710" t="n"/>
      <c r="S351" s="1710" t="n"/>
      <c r="T351" s="1710" t="n"/>
      <c r="U351" s="1710" t="n"/>
      <c r="V351" s="1712" t="n"/>
      <c r="W351" s="1710" t="n"/>
      <c r="X351" s="1710" t="n"/>
      <c r="Y351" s="1710" t="n"/>
      <c r="Z351" s="1710" t="n"/>
      <c r="AA351" s="1712" t="n"/>
      <c r="AB351" s="1710" t="n"/>
      <c r="AC351" s="1710" t="n"/>
      <c r="AD351" s="1710" t="n"/>
      <c r="AE351" s="1710" t="n"/>
      <c r="AF351" s="1712" t="n"/>
      <c r="AG351" s="1710" t="n"/>
      <c r="AH351" s="1710" t="n"/>
      <c r="AI351" s="1710" t="n"/>
      <c r="AJ351" s="1710" t="n"/>
      <c r="AK351" s="1712" t="n"/>
      <c r="AL351" s="1710" t="n"/>
      <c r="AM351" s="1710" t="n"/>
      <c r="AN351" s="1710" t="n"/>
      <c r="AO351" s="1710" t="n"/>
      <c r="AP351" s="1712" t="n"/>
      <c r="AQ351" s="1710" t="n"/>
      <c r="AR351" s="1710" t="n"/>
      <c r="AS351" s="1710" t="n"/>
      <c r="AT351" s="1710" t="n"/>
      <c r="AU351" s="1712" t="n"/>
      <c r="AV351" s="1710" t="n"/>
      <c r="AW351" s="1710" t="n"/>
      <c r="AX351" s="1710" t="n"/>
      <c r="AY351" s="1710" t="n"/>
      <c r="AZ351" s="1712" t="n"/>
      <c r="BA351" s="1710" t="n"/>
      <c r="BB351" s="1710" t="n"/>
      <c r="BC351" s="1710" t="n"/>
      <c r="BD351" s="1710" t="n"/>
      <c r="BE351" s="1712" t="n"/>
      <c r="BF351" s="1710" t="n"/>
      <c r="BG351" s="1710" t="n"/>
      <c r="BH351" s="1710" t="n"/>
      <c r="BI351" s="1710" t="n"/>
      <c r="BJ351" s="1712" t="n"/>
      <c r="BK351" s="1710" t="n"/>
      <c r="BL351" s="1710" t="n"/>
      <c r="BM351" s="1710" t="n"/>
      <c r="BN351" s="1710" t="n"/>
      <c r="BO351" s="1711" t="n"/>
      <c r="BP351" s="1710" t="n"/>
      <c r="BQ351" s="1710" t="n"/>
      <c r="BR351" s="1710" t="n"/>
      <c r="BS351" s="1710" t="n"/>
      <c r="BT351" s="1712">
        <f>SUM(BP351,BQ351,BR351,BS351)</f>
        <v/>
      </c>
      <c r="BU351" s="1710" t="n"/>
      <c r="BV351" s="1710" t="n"/>
      <c r="BW351" s="1710" t="n"/>
      <c r="BX351" s="1710" t="n"/>
      <c r="BY351" s="1712">
        <f>SUM(BU351,BV351,BW351,BX351)</f>
        <v/>
      </c>
      <c r="BZ351" s="1712" t="n"/>
      <c r="CA351" s="1712" t="n"/>
      <c r="CB351" s="1712" t="n"/>
      <c r="CC351" s="1564" t="n"/>
    </row>
    <row r="352" ht="15" customFormat="1" customHeight="1" s="1628">
      <c r="A352" s="1695" t="inlineStr">
        <is>
          <t>EBT</t>
        </is>
      </c>
      <c r="B352" s="1793" t="n"/>
      <c r="C352" s="1779">
        <f>C338-SUM(C348:C351)</f>
        <v/>
      </c>
      <c r="D352" s="1779">
        <f>D338-SUM(D348:D351)</f>
        <v/>
      </c>
      <c r="E352" s="1779">
        <f>E338-SUM(E348:E351)</f>
        <v/>
      </c>
      <c r="F352" s="1779">
        <f>F338-SUM(F348:F351)</f>
        <v/>
      </c>
      <c r="G352" s="1779">
        <f>G338-SUM(G348:G351)</f>
        <v/>
      </c>
      <c r="H352" s="1795">
        <f>H338-SUM(H348:H351)</f>
        <v/>
      </c>
      <c r="I352" s="1795">
        <f>I338-SUM(I348:I351)</f>
        <v/>
      </c>
      <c r="J352" s="1795">
        <f>J338-SUM(J348:J351)</f>
        <v/>
      </c>
      <c r="K352" s="1795">
        <f>K338-SUM(K348:K351)</f>
        <v/>
      </c>
      <c r="L352" s="1779">
        <f>L338-SUM(L348:L351)</f>
        <v/>
      </c>
      <c r="M352" s="1795">
        <f>M338-SUM(M348:M351)</f>
        <v/>
      </c>
      <c r="N352" s="1795">
        <f>N338-SUM(N348:N351)</f>
        <v/>
      </c>
      <c r="O352" s="1795">
        <f>O338-SUM(O348:O351)</f>
        <v/>
      </c>
      <c r="P352" s="1795">
        <f>P338-SUM(P348:P351)</f>
        <v/>
      </c>
      <c r="Q352" s="1779">
        <f>Q338-SUM(Q348:Q351)</f>
        <v/>
      </c>
      <c r="R352" s="1795">
        <f>R338-SUM(R348:R351)</f>
        <v/>
      </c>
      <c r="S352" s="1795">
        <f>S338-SUM(S348:S351)</f>
        <v/>
      </c>
      <c r="T352" s="1795">
        <f>T338-SUM(T348:T351)</f>
        <v/>
      </c>
      <c r="U352" s="1795">
        <f>U338-SUM(U348:U351)</f>
        <v/>
      </c>
      <c r="V352" s="1779">
        <f>V338-SUM(V348:V351)</f>
        <v/>
      </c>
      <c r="W352" s="1795">
        <f>W338-SUM(W348:W351)</f>
        <v/>
      </c>
      <c r="X352" s="1795">
        <f>X338-SUM(X348:X351)</f>
        <v/>
      </c>
      <c r="Y352" s="1795">
        <f>Y338-SUM(Y348:Y351)</f>
        <v/>
      </c>
      <c r="Z352" s="1795">
        <f>Z338-SUM(Z348:Z351)</f>
        <v/>
      </c>
      <c r="AA352" s="1779">
        <f>AA338-SUM(AA348:AA351)</f>
        <v/>
      </c>
      <c r="AB352" s="1795">
        <f>AB338-SUM(AB348:AB351)</f>
        <v/>
      </c>
      <c r="AC352" s="1795">
        <f>AC338-SUM(AC348:AC351)</f>
        <v/>
      </c>
      <c r="AD352" s="1795">
        <f>AD338-SUM(AD348:AD351)</f>
        <v/>
      </c>
      <c r="AE352" s="1795">
        <f>AE338-SUM(AE348:AE351)</f>
        <v/>
      </c>
      <c r="AF352" s="1779">
        <f>AF338-SUM(AF348:AF351)</f>
        <v/>
      </c>
      <c r="AG352" s="1795">
        <f>AG338-SUM(AG348:AG351)</f>
        <v/>
      </c>
      <c r="AH352" s="1795">
        <f>AH338-SUM(AH348:AH351)</f>
        <v/>
      </c>
      <c r="AI352" s="1795">
        <f>AI338-SUM(AI348:AI351)</f>
        <v/>
      </c>
      <c r="AJ352" s="1795">
        <f>AJ338-SUM(AJ348:AJ351)</f>
        <v/>
      </c>
      <c r="AK352" s="1779">
        <f>AK338-SUM(AK348:AK351)</f>
        <v/>
      </c>
      <c r="AL352" s="1795">
        <f>AL338-SUM(AL348:AL351)</f>
        <v/>
      </c>
      <c r="AM352" s="1795">
        <f>AM338-SUM(AM348:AM351)</f>
        <v/>
      </c>
      <c r="AN352" s="1795">
        <f>AN338-SUM(AN348:AN351)</f>
        <v/>
      </c>
      <c r="AO352" s="1795">
        <f>AO338-SUM(AO348:AO351)</f>
        <v/>
      </c>
      <c r="AP352" s="1779">
        <f>AP338-SUM(AP348:AP351)</f>
        <v/>
      </c>
      <c r="AQ352" s="1795">
        <f>AQ338-SUM(AQ348:AQ351)</f>
        <v/>
      </c>
      <c r="AR352" s="1795">
        <f>AR338-SUM(AR348:AR351)</f>
        <v/>
      </c>
      <c r="AS352" s="1795">
        <f>AS338-SUM(AS348:AS351)</f>
        <v/>
      </c>
      <c r="AT352" s="1795">
        <f>AT338-SUM(AT348:AT351)</f>
        <v/>
      </c>
      <c r="AU352" s="1779">
        <f>AU338-SUM(AU348:AU351)</f>
        <v/>
      </c>
      <c r="AV352" s="1795">
        <f>AV338-SUM(AV348:AV351)</f>
        <v/>
      </c>
      <c r="AW352" s="1795">
        <f>AW338-SUM(AW348:AW351)</f>
        <v/>
      </c>
      <c r="AX352" s="1795">
        <f>AX338-SUM(AX348:AX351)</f>
        <v/>
      </c>
      <c r="AY352" s="1795">
        <f>AY338-SUM(AY348:AY351)</f>
        <v/>
      </c>
      <c r="AZ352" s="1779">
        <f>AZ338-SUM(AZ348:AZ351)</f>
        <v/>
      </c>
      <c r="BA352" s="1795">
        <f>BA338-SUM(BA348:BA351)</f>
        <v/>
      </c>
      <c r="BB352" s="1795">
        <f>BB338-SUM(BB348:BB351)</f>
        <v/>
      </c>
      <c r="BC352" s="1795">
        <f>BC338-SUM(BC348:BC351)</f>
        <v/>
      </c>
      <c r="BD352" s="1795">
        <f>BD338-SUM(BD348:BD351)</f>
        <v/>
      </c>
      <c r="BE352" s="1779">
        <f>BE338-SUM(BE348:BE351)</f>
        <v/>
      </c>
      <c r="BF352" s="1795">
        <f>BF338-SUM(BF348:BF351)</f>
        <v/>
      </c>
      <c r="BG352" s="1795">
        <f>BG338-SUM(BG348:BG351)</f>
        <v/>
      </c>
      <c r="BH352" s="1795">
        <f>BH338-SUM(BH348:BH351)</f>
        <v/>
      </c>
      <c r="BI352" s="1795">
        <f>BI338-SUM(BI348:BI351)</f>
        <v/>
      </c>
      <c r="BJ352" s="1779">
        <f>BJ338-SUM(BJ348:BJ351)</f>
        <v/>
      </c>
      <c r="BK352" s="1795">
        <f>BK338-SUM(BK348:BK351)</f>
        <v/>
      </c>
      <c r="BL352" s="1795">
        <f>BL338-SUM(BL348:BL351)</f>
        <v/>
      </c>
      <c r="BM352" s="1795">
        <f>BM338-SUM(BM348:BM351)</f>
        <v/>
      </c>
      <c r="BN352" s="1795">
        <f>BN338-SUM(BN348:BN351)</f>
        <v/>
      </c>
      <c r="BO352" s="1796">
        <f>BO338-SUM(BO348:BO351)</f>
        <v/>
      </c>
      <c r="BP352" s="1642">
        <f>BP338-SUM(BP348:BP351)</f>
        <v/>
      </c>
      <c r="BQ352" s="1642">
        <f>BQ338-SUM(BQ348:BQ351)</f>
        <v/>
      </c>
      <c r="BR352" s="1642">
        <f>BR338-SUM(BR348:BR351)</f>
        <v/>
      </c>
      <c r="BS352" s="1642">
        <f>BS338-SUM(BS348:BS351)</f>
        <v/>
      </c>
      <c r="BT352" s="1641">
        <f>BT338-SUM(BT348:BT351)</f>
        <v/>
      </c>
      <c r="BU352" s="1642">
        <f>BU338-SUM(BU348:BU351)</f>
        <v/>
      </c>
      <c r="BV352" s="1642">
        <f>BV338-SUM(BV348:BV351)</f>
        <v/>
      </c>
      <c r="BW352" s="1642">
        <f>BW338-SUM(BW348:BW351)</f>
        <v/>
      </c>
      <c r="BX352" s="1642">
        <f>BX338-SUM(BX348:BX351)</f>
        <v/>
      </c>
      <c r="BY352" s="1641">
        <f>BY338-SUM(BY348:BY351)</f>
        <v/>
      </c>
      <c r="BZ352" s="1641">
        <f>BZ338-SUM(BZ348:BZ351)</f>
        <v/>
      </c>
      <c r="CA352" s="1641">
        <f>CA338-SUM(CA348:CA351)</f>
        <v/>
      </c>
      <c r="CB352" s="1641">
        <f>CB338-SUM(CB348:CB351)</f>
        <v/>
      </c>
      <c r="CC352" s="1634" t="n"/>
    </row>
    <row r="353" ht="15" customFormat="1" customHeight="1" s="1628">
      <c r="A353" s="1835" t="n"/>
      <c r="B353" s="1717" t="n"/>
      <c r="C353" s="1718" t="n"/>
      <c r="D353" s="1718" t="n"/>
      <c r="E353" s="1718" t="n"/>
      <c r="F353" s="1718" t="n"/>
      <c r="G353" s="1718" t="n"/>
      <c r="H353" s="1719" t="n"/>
      <c r="I353" s="1719" t="n"/>
      <c r="J353" s="1719" t="n"/>
      <c r="K353" s="1719" t="n"/>
      <c r="L353" s="1718" t="n"/>
      <c r="M353" s="1719" t="n"/>
      <c r="N353" s="1719" t="n"/>
      <c r="O353" s="1719" t="n"/>
      <c r="P353" s="1719" t="n"/>
      <c r="Q353" s="1718" t="n"/>
      <c r="R353" s="1719" t="n"/>
      <c r="S353" s="1719" t="n"/>
      <c r="T353" s="1719" t="n"/>
      <c r="U353" s="1719" t="n"/>
      <c r="V353" s="1718" t="n"/>
      <c r="W353" s="1719" t="n"/>
      <c r="X353" s="1719" t="n"/>
      <c r="Y353" s="1719" t="n"/>
      <c r="Z353" s="1719" t="n"/>
      <c r="AA353" s="1718" t="n"/>
      <c r="AB353" s="1719" t="n"/>
      <c r="AC353" s="1719" t="n"/>
      <c r="AD353" s="1719" t="n"/>
      <c r="AE353" s="1719" t="n"/>
      <c r="AF353" s="1718" t="n"/>
      <c r="AG353" s="1719" t="n"/>
      <c r="AH353" s="1719" t="n"/>
      <c r="AI353" s="1719" t="n"/>
      <c r="AJ353" s="1719" t="n"/>
      <c r="AK353" s="1718" t="n"/>
      <c r="AL353" s="1719" t="n"/>
      <c r="AM353" s="1719" t="n"/>
      <c r="AN353" s="1719" t="n"/>
      <c r="AO353" s="1719" t="n"/>
      <c r="AP353" s="1718" t="n"/>
      <c r="AQ353" s="1719" t="n"/>
      <c r="AR353" s="1719" t="n"/>
      <c r="AS353" s="1719" t="n"/>
      <c r="AT353" s="1719" t="n"/>
      <c r="AU353" s="1718" t="n"/>
      <c r="AV353" s="1719" t="n"/>
      <c r="AW353" s="1719" t="n"/>
      <c r="AX353" s="1719" t="n"/>
      <c r="AY353" s="1719" t="n"/>
      <c r="AZ353" s="1718" t="n"/>
      <c r="BA353" s="1719" t="n"/>
      <c r="BB353" s="1719" t="n"/>
      <c r="BC353" s="1719" t="n"/>
      <c r="BD353" s="1719" t="n"/>
      <c r="BE353" s="1718" t="n"/>
      <c r="BF353" s="1719" t="n"/>
      <c r="BG353" s="1719" t="n"/>
      <c r="BH353" s="1719" t="n"/>
      <c r="BI353" s="1719" t="n"/>
      <c r="BJ353" s="1718" t="n"/>
      <c r="BK353" s="1719" t="n"/>
      <c r="BL353" s="1719" t="n"/>
      <c r="BM353" s="1719" t="n"/>
      <c r="BN353" s="1719" t="n"/>
      <c r="BO353" s="1720" t="n"/>
      <c r="BP353" s="1719" t="n"/>
      <c r="BQ353" s="1719" t="n"/>
      <c r="BR353" s="1719" t="n"/>
      <c r="BS353" s="1719" t="n"/>
      <c r="BT353" s="1718" t="n"/>
      <c r="BU353" s="1719" t="n"/>
      <c r="BV353" s="1719" t="n"/>
      <c r="BW353" s="1719" t="n"/>
      <c r="BX353" s="1719" t="n"/>
      <c r="BY353" s="1718" t="n"/>
      <c r="BZ353" s="1718" t="n"/>
      <c r="CA353" s="1718" t="n"/>
      <c r="CB353" s="1718" t="n"/>
      <c r="CC353" s="1634" t="n"/>
    </row>
    <row r="354" ht="15" customFormat="1" customHeight="1" s="1561">
      <c r="A354" s="1721" t="inlineStr">
        <is>
          <t>Current tax</t>
        </is>
      </c>
      <c r="B354" s="1705" t="n"/>
      <c r="C354" s="1713">
        <f>-C315-C355</f>
        <v/>
      </c>
      <c r="D354" s="1713">
        <f>-D315-D355</f>
        <v/>
      </c>
      <c r="E354" s="1713">
        <f>-E315-E355</f>
        <v/>
      </c>
      <c r="F354" s="1713">
        <f>-F315-F355</f>
        <v/>
      </c>
      <c r="G354" s="1713">
        <f>-G315-G355</f>
        <v/>
      </c>
      <c r="H354" s="1564">
        <f>-H315-H355</f>
        <v/>
      </c>
      <c r="I354" s="1564">
        <f>-I315-I355</f>
        <v/>
      </c>
      <c r="J354" s="1564">
        <f>-J315-J355</f>
        <v/>
      </c>
      <c r="K354" s="1564">
        <f>-K315-K355</f>
        <v/>
      </c>
      <c r="L354" s="1713">
        <f>-L315-L355</f>
        <v/>
      </c>
      <c r="M354" s="1564">
        <f>-M315-M355</f>
        <v/>
      </c>
      <c r="N354" s="1564">
        <f>-N315-N355</f>
        <v/>
      </c>
      <c r="O354" s="1564">
        <f>-O315-O355</f>
        <v/>
      </c>
      <c r="P354" s="1564">
        <f>-P315-P355</f>
        <v/>
      </c>
      <c r="Q354" s="1713">
        <f>-Q315-Q355</f>
        <v/>
      </c>
      <c r="R354" s="1564">
        <f>-R315-R355</f>
        <v/>
      </c>
      <c r="S354" s="1564">
        <f>-S315-S355</f>
        <v/>
      </c>
      <c r="T354" s="1564">
        <f>-T315-T355</f>
        <v/>
      </c>
      <c r="U354" s="1564">
        <f>-U315-U355</f>
        <v/>
      </c>
      <c r="V354" s="1713">
        <f>-V315-V355</f>
        <v/>
      </c>
      <c r="W354" s="1564">
        <f>-W315-W355</f>
        <v/>
      </c>
      <c r="X354" s="1564">
        <f>-X315-X355</f>
        <v/>
      </c>
      <c r="Y354" s="1564">
        <f>-Y315-Y355</f>
        <v/>
      </c>
      <c r="Z354" s="1564">
        <f>-Z315-Z355</f>
        <v/>
      </c>
      <c r="AA354" s="1713">
        <f>-AA315-AA355</f>
        <v/>
      </c>
      <c r="AB354" s="1564">
        <f>-AB315-AB355</f>
        <v/>
      </c>
      <c r="AC354" s="1564">
        <f>-AC315-AC355</f>
        <v/>
      </c>
      <c r="AD354" s="1564">
        <f>-AD315-AD355</f>
        <v/>
      </c>
      <c r="AE354" s="1564">
        <f>-AE315-AE355</f>
        <v/>
      </c>
      <c r="AF354" s="1713">
        <f>-AF315-AF355</f>
        <v/>
      </c>
      <c r="AG354" s="1564">
        <f>-AG315-AG355</f>
        <v/>
      </c>
      <c r="AH354" s="1564">
        <f>-AH315-AH355</f>
        <v/>
      </c>
      <c r="AI354" s="1564">
        <f>-AI315-AI355</f>
        <v/>
      </c>
      <c r="AJ354" s="1564">
        <f>-AJ315-AJ355</f>
        <v/>
      </c>
      <c r="AK354" s="1713">
        <f>-AK315-AK355</f>
        <v/>
      </c>
      <c r="AL354" s="1564">
        <f>-AL315-AL355</f>
        <v/>
      </c>
      <c r="AM354" s="1564">
        <f>-AM315-AM355</f>
        <v/>
      </c>
      <c r="AN354" s="1564">
        <f>-AN315-AN355</f>
        <v/>
      </c>
      <c r="AO354" s="1564">
        <f>-AO315-AO355</f>
        <v/>
      </c>
      <c r="AP354" s="1713">
        <f>-AP315-AP355</f>
        <v/>
      </c>
      <c r="AQ354" s="1564">
        <f>-AQ315-AQ355</f>
        <v/>
      </c>
      <c r="AR354" s="1564">
        <f>-AR315-AR355</f>
        <v/>
      </c>
      <c r="AS354" s="1564">
        <f>-AS315-AS355</f>
        <v/>
      </c>
      <c r="AT354" s="1564">
        <f>-AT315-AT355</f>
        <v/>
      </c>
      <c r="AU354" s="1713">
        <f>-AU315-AU355</f>
        <v/>
      </c>
      <c r="AV354" s="1564">
        <f>-AV315-AV355</f>
        <v/>
      </c>
      <c r="AW354" s="1564">
        <f>-AW315-AW355</f>
        <v/>
      </c>
      <c r="AX354" s="1564">
        <f>-AX315-AX355</f>
        <v/>
      </c>
      <c r="AY354" s="1564">
        <f>-AY315-AY355</f>
        <v/>
      </c>
      <c r="AZ354" s="1713">
        <f>-AZ315-AZ355</f>
        <v/>
      </c>
      <c r="BA354" s="1564">
        <f>-BA315-BA355</f>
        <v/>
      </c>
      <c r="BB354" s="1564">
        <f>-BB315-BB355</f>
        <v/>
      </c>
      <c r="BC354" s="1564">
        <f>-BC315-BC355</f>
        <v/>
      </c>
      <c r="BD354" s="1564">
        <f>-BD315-BD355</f>
        <v/>
      </c>
      <c r="BE354" s="1713">
        <f>-BE315-BE355</f>
        <v/>
      </c>
      <c r="BF354" s="1564">
        <f>-BF315-BF355</f>
        <v/>
      </c>
      <c r="BG354" s="1564">
        <f>-BG315-BG355</f>
        <v/>
      </c>
      <c r="BH354" s="1564">
        <f>-BH315-BH355</f>
        <v/>
      </c>
      <c r="BI354" s="1564">
        <f>-BI315-BI355</f>
        <v/>
      </c>
      <c r="BJ354" s="1713">
        <f>-BJ315-BJ355</f>
        <v/>
      </c>
      <c r="BK354" s="1564">
        <f>-BK315-BK355</f>
        <v/>
      </c>
      <c r="BL354" s="1564">
        <f>-BL315-BL355</f>
        <v/>
      </c>
      <c r="BM354" s="1564">
        <f>-BM315-BM355</f>
        <v/>
      </c>
      <c r="BN354" s="1564">
        <f>-BN315-BN355</f>
        <v/>
      </c>
      <c r="BO354" s="1715">
        <f>-BO315-BO355</f>
        <v/>
      </c>
      <c r="BP354" s="1562">
        <f>BP367*BP$352</f>
        <v/>
      </c>
      <c r="BQ354" s="1562">
        <f>BQ367*BQ$352</f>
        <v/>
      </c>
      <c r="BR354" s="1562">
        <f>BR367*BR$352</f>
        <v/>
      </c>
      <c r="BS354" s="1562">
        <f>BS367*BS$352</f>
        <v/>
      </c>
      <c r="BT354" s="1637">
        <f>SUM(BP354,BQ354,BR354,BS354)</f>
        <v/>
      </c>
      <c r="BU354" s="1562">
        <f>BU367*BU$352</f>
        <v/>
      </c>
      <c r="BV354" s="1562">
        <f>BV367*BV$352</f>
        <v/>
      </c>
      <c r="BW354" s="1562">
        <f>BW367*BW$352</f>
        <v/>
      </c>
      <c r="BX354" s="1562">
        <f>BX367*BX$352</f>
        <v/>
      </c>
      <c r="BY354" s="1637">
        <f>SUM(BU354,BV354,BW354,BX354)</f>
        <v/>
      </c>
      <c r="BZ354" s="1637">
        <f>BZ367*BZ352</f>
        <v/>
      </c>
      <c r="CA354" s="1637">
        <f>CA367*CA352</f>
        <v/>
      </c>
      <c r="CB354" s="1637">
        <f>CB367*CB352</f>
        <v/>
      </c>
      <c r="CC354" s="1564" t="n"/>
    </row>
    <row r="355" ht="15" customFormat="1" customHeight="1" s="1561">
      <c r="A355" s="1686" t="inlineStr">
        <is>
          <t>Deferred tax</t>
        </is>
      </c>
      <c r="B355" s="1708" t="n"/>
      <c r="C355" s="1808">
        <f>C534</f>
        <v/>
      </c>
      <c r="D355" s="1808">
        <f>D534</f>
        <v/>
      </c>
      <c r="E355" s="1808">
        <f>E534</f>
        <v/>
      </c>
      <c r="F355" s="1808">
        <f>F534</f>
        <v/>
      </c>
      <c r="G355" s="1808">
        <f>G534</f>
        <v/>
      </c>
      <c r="H355" s="1791">
        <f>H534</f>
        <v/>
      </c>
      <c r="I355" s="1791">
        <f>I534</f>
        <v/>
      </c>
      <c r="J355" s="1791">
        <f>J534</f>
        <v/>
      </c>
      <c r="K355" s="1791">
        <f>K534</f>
        <v/>
      </c>
      <c r="L355" s="1808">
        <f>L534</f>
        <v/>
      </c>
      <c r="M355" s="1791">
        <f>M534</f>
        <v/>
      </c>
      <c r="N355" s="1791">
        <f>N534</f>
        <v/>
      </c>
      <c r="O355" s="1791">
        <f>O534</f>
        <v/>
      </c>
      <c r="P355" s="1791">
        <f>P534</f>
        <v/>
      </c>
      <c r="Q355" s="1808">
        <f>Q534</f>
        <v/>
      </c>
      <c r="R355" s="1791">
        <f>R534</f>
        <v/>
      </c>
      <c r="S355" s="1791">
        <f>S534</f>
        <v/>
      </c>
      <c r="T355" s="1791">
        <f>T534</f>
        <v/>
      </c>
      <c r="U355" s="1791">
        <f>U534</f>
        <v/>
      </c>
      <c r="V355" s="1808">
        <f>V534</f>
        <v/>
      </c>
      <c r="W355" s="1791">
        <f>W534</f>
        <v/>
      </c>
      <c r="X355" s="1791">
        <f>X534</f>
        <v/>
      </c>
      <c r="Y355" s="1791">
        <f>Y534</f>
        <v/>
      </c>
      <c r="Z355" s="1791">
        <f>Z534</f>
        <v/>
      </c>
      <c r="AA355" s="1808">
        <f>AA534</f>
        <v/>
      </c>
      <c r="AB355" s="1791">
        <f>AB534</f>
        <v/>
      </c>
      <c r="AC355" s="1791">
        <f>AC534</f>
        <v/>
      </c>
      <c r="AD355" s="1791">
        <f>AD534</f>
        <v/>
      </c>
      <c r="AE355" s="1791">
        <f>AE534</f>
        <v/>
      </c>
      <c r="AF355" s="1808">
        <f>AF534</f>
        <v/>
      </c>
      <c r="AG355" s="1791">
        <f>AG534</f>
        <v/>
      </c>
      <c r="AH355" s="1791">
        <f>AH534</f>
        <v/>
      </c>
      <c r="AI355" s="1791">
        <f>AI534</f>
        <v/>
      </c>
      <c r="AJ355" s="1791">
        <f>AJ534</f>
        <v/>
      </c>
      <c r="AK355" s="1808">
        <f>AK534</f>
        <v/>
      </c>
      <c r="AL355" s="1791">
        <f>AL534</f>
        <v/>
      </c>
      <c r="AM355" s="1791">
        <f>AM534</f>
        <v/>
      </c>
      <c r="AN355" s="1791">
        <f>AN534</f>
        <v/>
      </c>
      <c r="AO355" s="1791">
        <f>AO534</f>
        <v/>
      </c>
      <c r="AP355" s="1808">
        <f>AP534</f>
        <v/>
      </c>
      <c r="AQ355" s="1791">
        <f>AQ534</f>
        <v/>
      </c>
      <c r="AR355" s="1791">
        <f>AR534</f>
        <v/>
      </c>
      <c r="AS355" s="1791">
        <f>AS534</f>
        <v/>
      </c>
      <c r="AT355" s="1791">
        <f>AT534</f>
        <v/>
      </c>
      <c r="AU355" s="1808">
        <f>AU534</f>
        <v/>
      </c>
      <c r="AV355" s="1791">
        <f>AV534</f>
        <v/>
      </c>
      <c r="AW355" s="1791">
        <f>AW534</f>
        <v/>
      </c>
      <c r="AX355" s="1791">
        <f>AX534</f>
        <v/>
      </c>
      <c r="AY355" s="1791">
        <f>AY534</f>
        <v/>
      </c>
      <c r="AZ355" s="1808">
        <f>AZ534</f>
        <v/>
      </c>
      <c r="BA355" s="1791">
        <f>BA534</f>
        <v/>
      </c>
      <c r="BB355" s="1791">
        <f>BB534</f>
        <v/>
      </c>
      <c r="BC355" s="1791">
        <f>BC534</f>
        <v/>
      </c>
      <c r="BD355" s="1791">
        <f>BD534</f>
        <v/>
      </c>
      <c r="BE355" s="1808">
        <f>BE534</f>
        <v/>
      </c>
      <c r="BF355" s="1791">
        <f>BF534</f>
        <v/>
      </c>
      <c r="BG355" s="1791">
        <f>BG534</f>
        <v/>
      </c>
      <c r="BH355" s="1791">
        <f>BH534</f>
        <v/>
      </c>
      <c r="BI355" s="1791">
        <f>BI534</f>
        <v/>
      </c>
      <c r="BJ355" s="1808">
        <f>BJ534</f>
        <v/>
      </c>
      <c r="BK355" s="1791">
        <f>BK534</f>
        <v/>
      </c>
      <c r="BL355" s="1791">
        <f>BL534</f>
        <v/>
      </c>
      <c r="BM355" s="1791">
        <f>BM534</f>
        <v/>
      </c>
      <c r="BN355" s="1791">
        <f>BN534</f>
        <v/>
      </c>
      <c r="BO355" s="1809">
        <f>BO534</f>
        <v/>
      </c>
      <c r="BP355" s="1710">
        <f>BP368*BP$352</f>
        <v/>
      </c>
      <c r="BQ355" s="1710">
        <f>BQ368*BQ$352</f>
        <v/>
      </c>
      <c r="BR355" s="1710">
        <f>BR368*BR$352</f>
        <v/>
      </c>
      <c r="BS355" s="1710">
        <f>BS368*BS$352</f>
        <v/>
      </c>
      <c r="BT355" s="1712">
        <f>SUM(BP355,BQ355,BR355,BS355)</f>
        <v/>
      </c>
      <c r="BU355" s="1710">
        <f>BU368*BU$352</f>
        <v/>
      </c>
      <c r="BV355" s="1710">
        <f>BV368*BV$352</f>
        <v/>
      </c>
      <c r="BW355" s="1710">
        <f>BW368*BW$352</f>
        <v/>
      </c>
      <c r="BX355" s="1710">
        <f>BX368*BX$352</f>
        <v/>
      </c>
      <c r="BY355" s="1712">
        <f>SUM(BU355,BV355,BW355,BX355)</f>
        <v/>
      </c>
      <c r="BZ355" s="1712">
        <f>BZ368*BZ352</f>
        <v/>
      </c>
      <c r="CA355" s="1712">
        <f>CA368*CA352</f>
        <v/>
      </c>
      <c r="CB355" s="1712">
        <f>CB368*CB352</f>
        <v/>
      </c>
      <c r="CC355" s="1564" t="n"/>
    </row>
    <row r="356" ht="15" customFormat="1" customHeight="1" s="1628">
      <c r="A356" s="1695" t="inlineStr">
        <is>
          <t>Net Income from Continued Operation</t>
        </is>
      </c>
      <c r="B356" s="1793" t="n"/>
      <c r="C356" s="1779">
        <f>C352-SUM(C354:C355)</f>
        <v/>
      </c>
      <c r="D356" s="1779">
        <f>D352-SUM(D354:D355)</f>
        <v/>
      </c>
      <c r="E356" s="1779">
        <f>E352-SUM(E354:E355)</f>
        <v/>
      </c>
      <c r="F356" s="1779">
        <f>F352-SUM(F354:F355)</f>
        <v/>
      </c>
      <c r="G356" s="1779">
        <f>G352-SUM(G354:G355)</f>
        <v/>
      </c>
      <c r="H356" s="1795">
        <f>H352-SUM(H354:H355)</f>
        <v/>
      </c>
      <c r="I356" s="1795">
        <f>I352-SUM(I354:I355)</f>
        <v/>
      </c>
      <c r="J356" s="1795">
        <f>J352-SUM(J354:J355)</f>
        <v/>
      </c>
      <c r="K356" s="1795">
        <f>K352-SUM(K354:K355)</f>
        <v/>
      </c>
      <c r="L356" s="1779">
        <f>L352-SUM(L354:L355)</f>
        <v/>
      </c>
      <c r="M356" s="1795">
        <f>M352-SUM(M354:M355)</f>
        <v/>
      </c>
      <c r="N356" s="1795">
        <f>N352-SUM(N354:N355)</f>
        <v/>
      </c>
      <c r="O356" s="1795">
        <f>O352-SUM(O354:O355)</f>
        <v/>
      </c>
      <c r="P356" s="1795">
        <f>P352-SUM(P354:P355)</f>
        <v/>
      </c>
      <c r="Q356" s="1779">
        <f>Q352-SUM(Q354:Q355)</f>
        <v/>
      </c>
      <c r="R356" s="1795">
        <f>R352-SUM(R354:R355)</f>
        <v/>
      </c>
      <c r="S356" s="1795">
        <f>S352-SUM(S354:S355)</f>
        <v/>
      </c>
      <c r="T356" s="1795">
        <f>T352-SUM(T354:T355)</f>
        <v/>
      </c>
      <c r="U356" s="1795">
        <f>U352-SUM(U354:U355)</f>
        <v/>
      </c>
      <c r="V356" s="1779">
        <f>V352-SUM(V354:V355)</f>
        <v/>
      </c>
      <c r="W356" s="1795">
        <f>W352-SUM(W354:W355)</f>
        <v/>
      </c>
      <c r="X356" s="1795">
        <f>X352-SUM(X354:X355)</f>
        <v/>
      </c>
      <c r="Y356" s="1795">
        <f>Y352-SUM(Y354:Y355)</f>
        <v/>
      </c>
      <c r="Z356" s="1795">
        <f>Z352-SUM(Z354:Z355)</f>
        <v/>
      </c>
      <c r="AA356" s="1779">
        <f>AA352-SUM(AA354:AA355)</f>
        <v/>
      </c>
      <c r="AB356" s="1795">
        <f>AB352-SUM(AB354:AB355)</f>
        <v/>
      </c>
      <c r="AC356" s="1795">
        <f>AC352-SUM(AC354:AC355)</f>
        <v/>
      </c>
      <c r="AD356" s="1795">
        <f>AD352-SUM(AD354:AD355)</f>
        <v/>
      </c>
      <c r="AE356" s="1795">
        <f>AE352-SUM(AE354:AE355)</f>
        <v/>
      </c>
      <c r="AF356" s="1779">
        <f>AF352-SUM(AF354:AF355)</f>
        <v/>
      </c>
      <c r="AG356" s="1795">
        <f>AG352-SUM(AG354:AG355)</f>
        <v/>
      </c>
      <c r="AH356" s="1795">
        <f>AH352-SUM(AH354:AH355)</f>
        <v/>
      </c>
      <c r="AI356" s="1795">
        <f>AI352-SUM(AI354:AI355)</f>
        <v/>
      </c>
      <c r="AJ356" s="1795">
        <f>AJ352-SUM(AJ354:AJ355)</f>
        <v/>
      </c>
      <c r="AK356" s="1779">
        <f>AK352-SUM(AK354:AK355)</f>
        <v/>
      </c>
      <c r="AL356" s="1795">
        <f>AL352-SUM(AL354:AL355)</f>
        <v/>
      </c>
      <c r="AM356" s="1795">
        <f>AM352-SUM(AM354:AM355)</f>
        <v/>
      </c>
      <c r="AN356" s="1795">
        <f>AN352-SUM(AN354:AN355)</f>
        <v/>
      </c>
      <c r="AO356" s="1795">
        <f>AO352-SUM(AO354:AO355)</f>
        <v/>
      </c>
      <c r="AP356" s="1779">
        <f>AP352-SUM(AP354:AP355)</f>
        <v/>
      </c>
      <c r="AQ356" s="1795">
        <f>AQ352-SUM(AQ354:AQ355)</f>
        <v/>
      </c>
      <c r="AR356" s="1795">
        <f>AR352-SUM(AR354:AR355)</f>
        <v/>
      </c>
      <c r="AS356" s="1795">
        <f>AS352-SUM(AS354:AS355)</f>
        <v/>
      </c>
      <c r="AT356" s="1795">
        <f>AT352-SUM(AT354:AT355)</f>
        <v/>
      </c>
      <c r="AU356" s="1779">
        <f>AU352-SUM(AU354:AU355)</f>
        <v/>
      </c>
      <c r="AV356" s="1795">
        <f>AV352-SUM(AV354:AV355)</f>
        <v/>
      </c>
      <c r="AW356" s="1795">
        <f>AW352-SUM(AW354:AW355)</f>
        <v/>
      </c>
      <c r="AX356" s="1795">
        <f>AX352-SUM(AX354:AX355)</f>
        <v/>
      </c>
      <c r="AY356" s="1795">
        <f>AY352-SUM(AY354:AY355)</f>
        <v/>
      </c>
      <c r="AZ356" s="1779">
        <f>AZ352-SUM(AZ354:AZ355)</f>
        <v/>
      </c>
      <c r="BA356" s="1795">
        <f>BA352-SUM(BA354:BA355)</f>
        <v/>
      </c>
      <c r="BB356" s="1795">
        <f>BB352-SUM(BB354:BB355)</f>
        <v/>
      </c>
      <c r="BC356" s="1795">
        <f>BC352-SUM(BC354:BC355)</f>
        <v/>
      </c>
      <c r="BD356" s="1795">
        <f>BD352-SUM(BD354:BD355)</f>
        <v/>
      </c>
      <c r="BE356" s="1779">
        <f>BE352-SUM(BE354:BE355)</f>
        <v/>
      </c>
      <c r="BF356" s="1795">
        <f>BF352-SUM(BF354:BF355)</f>
        <v/>
      </c>
      <c r="BG356" s="1795">
        <f>BG352-SUM(BG354:BG355)</f>
        <v/>
      </c>
      <c r="BH356" s="1795">
        <f>BH352-SUM(BH354:BH355)</f>
        <v/>
      </c>
      <c r="BI356" s="1795">
        <f>BI352-SUM(BI354:BI355)</f>
        <v/>
      </c>
      <c r="BJ356" s="1779">
        <f>BJ352-SUM(BJ354:BJ355)</f>
        <v/>
      </c>
      <c r="BK356" s="1795">
        <f>BK352-SUM(BK354:BK355)</f>
        <v/>
      </c>
      <c r="BL356" s="1795">
        <f>BL352-SUM(BL354:BL355)</f>
        <v/>
      </c>
      <c r="BM356" s="1795">
        <f>BM352-SUM(BM354:BM355)</f>
        <v/>
      </c>
      <c r="BN356" s="1795">
        <f>BN352-SUM(BN354:BN355)</f>
        <v/>
      </c>
      <c r="BO356" s="1796">
        <f>BO352-SUM(BO354:BO355)</f>
        <v/>
      </c>
      <c r="BP356" s="1642">
        <f>BP352-SUM(BP354:BP355)</f>
        <v/>
      </c>
      <c r="BQ356" s="1642">
        <f>BQ352-SUM(BQ354:BQ355)</f>
        <v/>
      </c>
      <c r="BR356" s="1642">
        <f>BR352-SUM(BR354:BR355)</f>
        <v/>
      </c>
      <c r="BS356" s="1642">
        <f>BS352-SUM(BS354:BS355)</f>
        <v/>
      </c>
      <c r="BT356" s="1641">
        <f>BT352-SUM(BT354:BT355)</f>
        <v/>
      </c>
      <c r="BU356" s="1642">
        <f>BU352-SUM(BU354:BU355)</f>
        <v/>
      </c>
      <c r="BV356" s="1642">
        <f>BV352-SUM(BV354:BV355)</f>
        <v/>
      </c>
      <c r="BW356" s="1642">
        <f>BW352-SUM(BW354:BW355)</f>
        <v/>
      </c>
      <c r="BX356" s="1642">
        <f>BX352-SUM(BX354:BX355)</f>
        <v/>
      </c>
      <c r="BY356" s="1641">
        <f>BY352-SUM(BY354:BY355)</f>
        <v/>
      </c>
      <c r="BZ356" s="1641">
        <f>BZ352-SUM(BZ354:BZ355)</f>
        <v/>
      </c>
      <c r="CA356" s="1641">
        <f>CA352-SUM(CA354:CA355)</f>
        <v/>
      </c>
      <c r="CB356" s="1641">
        <f>CB352-SUM(CB354:CB355)</f>
        <v/>
      </c>
      <c r="CC356" s="1634" t="n"/>
    </row>
    <row r="357" ht="15" customFormat="1" customHeight="1" s="1561">
      <c r="A357" s="1622" t="inlineStr">
        <is>
          <t>Discontinued Operations</t>
        </is>
      </c>
      <c r="B357" s="1705" t="n"/>
      <c r="C357" s="1637" t="n"/>
      <c r="D357" s="1637" t="n"/>
      <c r="E357" s="1637" t="n"/>
      <c r="F357" s="1637" t="n"/>
      <c r="G357" s="1637" t="n"/>
      <c r="H357" s="1562" t="n"/>
      <c r="I357" s="1562" t="n"/>
      <c r="J357" s="1562" t="n"/>
      <c r="K357" s="1562" t="n"/>
      <c r="L357" s="1637" t="n"/>
      <c r="M357" s="1562" t="n"/>
      <c r="N357" s="1562" t="n"/>
      <c r="O357" s="1562" t="n"/>
      <c r="P357" s="1562" t="n"/>
      <c r="Q357" s="1637" t="n"/>
      <c r="R357" s="1562" t="n"/>
      <c r="S357" s="1562" t="n"/>
      <c r="T357" s="1562" t="n"/>
      <c r="U357" s="1562" t="n"/>
      <c r="V357" s="1637" t="n"/>
      <c r="W357" s="1562" t="n"/>
      <c r="X357" s="1562" t="n"/>
      <c r="Y357" s="1562" t="n"/>
      <c r="Z357" s="1562" t="n"/>
      <c r="AA357" s="1637" t="n"/>
      <c r="AB357" s="1562" t="n"/>
      <c r="AC357" s="1562" t="n"/>
      <c r="AD357" s="1562" t="n"/>
      <c r="AE357" s="1562" t="n"/>
      <c r="AF357" s="1637" t="n"/>
      <c r="AG357" s="1562" t="n"/>
      <c r="AH357" s="1562" t="n"/>
      <c r="AI357" s="1562" t="n"/>
      <c r="AJ357" s="1562" t="n"/>
      <c r="AK357" s="1637" t="n"/>
      <c r="AL357" s="1562" t="n"/>
      <c r="AM357" s="1562" t="n"/>
      <c r="AN357" s="1562" t="n"/>
      <c r="AO357" s="1562" t="n"/>
      <c r="AP357" s="1637" t="n"/>
      <c r="AQ357" s="1562" t="n"/>
      <c r="AR357" s="1562" t="n"/>
      <c r="AS357" s="1562" t="n"/>
      <c r="AT357" s="1562" t="n"/>
      <c r="AU357" s="1637" t="n"/>
      <c r="AV357" s="1562" t="n"/>
      <c r="AW357" s="1562" t="n"/>
      <c r="AX357" s="1562" t="n"/>
      <c r="AY357" s="1562" t="n"/>
      <c r="AZ357" s="1637" t="n"/>
      <c r="BA357" s="1562" t="n"/>
      <c r="BB357" s="1562" t="n"/>
      <c r="BC357" s="1562" t="n"/>
      <c r="BD357" s="1562" t="n"/>
      <c r="BE357" s="1637" t="n"/>
      <c r="BF357" s="1562" t="n"/>
      <c r="BG357" s="1562" t="n"/>
      <c r="BH357" s="1562" t="n"/>
      <c r="BI357" s="1562" t="n"/>
      <c r="BJ357" s="1637" t="n"/>
      <c r="BK357" s="1562" t="n"/>
      <c r="BL357" s="1562" t="n"/>
      <c r="BM357" s="1562" t="n"/>
      <c r="BN357" s="1562" t="n"/>
      <c r="BO357" s="1638" t="n"/>
      <c r="BP357" s="1562" t="n"/>
      <c r="BQ357" s="1562" t="n"/>
      <c r="BR357" s="1562" t="n"/>
      <c r="BS357" s="1562" t="n"/>
      <c r="BT357" s="1637">
        <f>SUM(BP357,BQ357,BR357,BS357)</f>
        <v/>
      </c>
      <c r="BU357" s="1562" t="n"/>
      <c r="BV357" s="1562" t="n"/>
      <c r="BW357" s="1562" t="n"/>
      <c r="BX357" s="1562" t="n"/>
      <c r="BY357" s="1637">
        <f>SUM(BU357,BV357,BW357,BX357)</f>
        <v/>
      </c>
      <c r="BZ357" s="1637" t="n"/>
      <c r="CA357" s="1637" t="n"/>
      <c r="CB357" s="1637" t="n"/>
      <c r="CC357" s="1564" t="n"/>
    </row>
    <row r="358" ht="15" customFormat="1" customHeight="1" s="1561">
      <c r="A358" s="1622" t="inlineStr">
        <is>
          <t>Net Income to NCI</t>
        </is>
      </c>
      <c r="B358" s="1705" t="n"/>
      <c r="C358" s="1637" t="n"/>
      <c r="D358" s="1637" t="n"/>
      <c r="E358" s="1637" t="n"/>
      <c r="F358" s="1637" t="n"/>
      <c r="G358" s="1637" t="n"/>
      <c r="H358" s="1562" t="n"/>
      <c r="I358" s="1562" t="n"/>
      <c r="J358" s="1562" t="n"/>
      <c r="K358" s="1562" t="n"/>
      <c r="L358" s="1637" t="n"/>
      <c r="M358" s="1562" t="n"/>
      <c r="N358" s="1562" t="n"/>
      <c r="O358" s="1562" t="n"/>
      <c r="P358" s="1562" t="n"/>
      <c r="Q358" s="1637" t="n"/>
      <c r="R358" s="1562" t="n"/>
      <c r="S358" s="1562" t="n"/>
      <c r="T358" s="1562" t="n"/>
      <c r="U358" s="1562" t="n"/>
      <c r="V358" s="1637" t="n"/>
      <c r="W358" s="1562" t="n"/>
      <c r="X358" s="1562" t="n"/>
      <c r="Y358" s="1562" t="n"/>
      <c r="Z358" s="1562" t="n"/>
      <c r="AA358" s="1637" t="n"/>
      <c r="AB358" s="1562" t="n"/>
      <c r="AC358" s="1562" t="n"/>
      <c r="AD358" s="1562" t="n"/>
      <c r="AE358" s="1562" t="n"/>
      <c r="AF358" s="1637" t="n"/>
      <c r="AG358" s="1562" t="n"/>
      <c r="AH358" s="1562" t="n"/>
      <c r="AI358" s="1562" t="n"/>
      <c r="AJ358" s="1562" t="n"/>
      <c r="AK358" s="1637" t="n"/>
      <c r="AL358" s="1562" t="n"/>
      <c r="AM358" s="1562" t="n"/>
      <c r="AN358" s="1562" t="n"/>
      <c r="AO358" s="1562" t="n"/>
      <c r="AP358" s="1637" t="n"/>
      <c r="AQ358" s="1562" t="n"/>
      <c r="AR358" s="1562" t="n"/>
      <c r="AS358" s="1562" t="n"/>
      <c r="AT358" s="1562" t="n"/>
      <c r="AU358" s="1637" t="n"/>
      <c r="AV358" s="1562" t="n"/>
      <c r="AW358" s="1562" t="n"/>
      <c r="AX358" s="1562" t="n"/>
      <c r="AY358" s="1562" t="n"/>
      <c r="AZ358" s="1637" t="n"/>
      <c r="BA358" s="1562" t="n"/>
      <c r="BB358" s="1562" t="n"/>
      <c r="BC358" s="1562" t="n"/>
      <c r="BD358" s="1562" t="n"/>
      <c r="BE358" s="1637" t="n"/>
      <c r="BF358" s="1562" t="n"/>
      <c r="BG358" s="1562" t="n"/>
      <c r="BH358" s="1562" t="n"/>
      <c r="BI358" s="1562" t="n"/>
      <c r="BJ358" s="1637" t="n"/>
      <c r="BK358" s="1562" t="n"/>
      <c r="BL358" s="1562" t="n"/>
      <c r="BM358" s="1562" t="n"/>
      <c r="BN358" s="1562" t="n"/>
      <c r="BO358" s="1638" t="n"/>
      <c r="BP358" s="1562" t="n"/>
      <c r="BQ358" s="1562" t="n"/>
      <c r="BR358" s="1562" t="n"/>
      <c r="BS358" s="1562" t="n"/>
      <c r="BT358" s="1637">
        <f>SUM(BP358,BQ358,BR358,BS358)</f>
        <v/>
      </c>
      <c r="BU358" s="1562" t="n"/>
      <c r="BV358" s="1562" t="n"/>
      <c r="BW358" s="1562" t="n"/>
      <c r="BX358" s="1562" t="n"/>
      <c r="BY358" s="1637">
        <f>SUM(BU358,BV358,BW358,BX358)</f>
        <v/>
      </c>
      <c r="BZ358" s="1637" t="n"/>
      <c r="CA358" s="1637" t="n"/>
      <c r="CB358" s="1637" t="n"/>
      <c r="CC358" s="1564" t="n"/>
    </row>
    <row r="359" ht="15" customFormat="1" customHeight="1" s="1561">
      <c r="A359" s="1702" t="inlineStr">
        <is>
          <t>Earnings to Preferred and Other Securities</t>
        </is>
      </c>
      <c r="B359" s="1708" t="n"/>
      <c r="C359" s="1712" t="n"/>
      <c r="D359" s="1712" t="n"/>
      <c r="E359" s="1712" t="n"/>
      <c r="F359" s="1712" t="n"/>
      <c r="G359" s="1712" t="n"/>
      <c r="H359" s="1710" t="n"/>
      <c r="I359" s="1710" t="n"/>
      <c r="J359" s="1710" t="n"/>
      <c r="K359" s="1710" t="n"/>
      <c r="L359" s="1712" t="n"/>
      <c r="M359" s="1710" t="n"/>
      <c r="N359" s="1710" t="n"/>
      <c r="O359" s="1710" t="n"/>
      <c r="P359" s="1710" t="n"/>
      <c r="Q359" s="1712" t="n"/>
      <c r="R359" s="1710" t="n"/>
      <c r="S359" s="1710" t="n"/>
      <c r="T359" s="1710" t="n"/>
      <c r="U359" s="1710" t="n"/>
      <c r="V359" s="1712" t="n"/>
      <c r="W359" s="1710" t="n"/>
      <c r="X359" s="1710" t="n"/>
      <c r="Y359" s="1710" t="n"/>
      <c r="Z359" s="1710" t="n"/>
      <c r="AA359" s="1712" t="n"/>
      <c r="AB359" s="1710" t="n"/>
      <c r="AC359" s="1710" t="n"/>
      <c r="AD359" s="1710" t="n"/>
      <c r="AE359" s="1710" t="n"/>
      <c r="AF359" s="1712" t="n"/>
      <c r="AG359" s="1710" t="n"/>
      <c r="AH359" s="1710" t="n"/>
      <c r="AI359" s="1710" t="n"/>
      <c r="AJ359" s="1710" t="n"/>
      <c r="AK359" s="1712" t="n"/>
      <c r="AL359" s="1710" t="n"/>
      <c r="AM359" s="1710" t="n"/>
      <c r="AN359" s="1710" t="n"/>
      <c r="AO359" s="1710" t="n"/>
      <c r="AP359" s="1712" t="n"/>
      <c r="AQ359" s="1710" t="n"/>
      <c r="AR359" s="1710" t="n"/>
      <c r="AS359" s="1710" t="n"/>
      <c r="AT359" s="1710" t="n"/>
      <c r="AU359" s="1712" t="n"/>
      <c r="AV359" s="1710" t="n"/>
      <c r="AW359" s="1710" t="n"/>
      <c r="AX359" s="1710" t="n"/>
      <c r="AY359" s="1710" t="n"/>
      <c r="AZ359" s="1712" t="n"/>
      <c r="BA359" s="1710" t="n"/>
      <c r="BB359" s="1710" t="n"/>
      <c r="BC359" s="1710" t="n"/>
      <c r="BD359" s="1710" t="n"/>
      <c r="BE359" s="1712" t="n"/>
      <c r="BF359" s="1710" t="n"/>
      <c r="BG359" s="1710" t="n"/>
      <c r="BH359" s="1710" t="n"/>
      <c r="BI359" s="1710" t="n"/>
      <c r="BJ359" s="1712" t="n"/>
      <c r="BK359" s="1710" t="n"/>
      <c r="BL359" s="1710" t="n"/>
      <c r="BM359" s="1710" t="n"/>
      <c r="BN359" s="1710" t="n"/>
      <c r="BO359" s="1711" t="n"/>
      <c r="BP359" s="1710" t="n"/>
      <c r="BQ359" s="1710" t="n"/>
      <c r="BR359" s="1710" t="n"/>
      <c r="BS359" s="1710" t="n"/>
      <c r="BT359" s="1712">
        <f>SUM(BP359,BQ359,BR359,BS359)</f>
        <v/>
      </c>
      <c r="BU359" s="1710" t="n"/>
      <c r="BV359" s="1710" t="n"/>
      <c r="BW359" s="1710" t="n"/>
      <c r="BX359" s="1710" t="n"/>
      <c r="BY359" s="1712">
        <f>SUM(BU359,BV359,BW359,BX359)</f>
        <v/>
      </c>
      <c r="BZ359" s="1712" t="n"/>
      <c r="CA359" s="1712" t="n"/>
      <c r="CB359" s="1712" t="n"/>
      <c r="CC359" s="1564" t="n"/>
    </row>
    <row r="360" ht="15" customFormat="1" customHeight="1" s="1628">
      <c r="A360" s="1695" t="inlineStr">
        <is>
          <t>Net Income to Common Shareholders</t>
        </is>
      </c>
      <c r="B360" s="1793" t="n"/>
      <c r="C360" s="1779">
        <f>C356-SUM(C357:C359)</f>
        <v/>
      </c>
      <c r="D360" s="1779">
        <f>D356-SUM(D357:D359)</f>
        <v/>
      </c>
      <c r="E360" s="1779">
        <f>E356-SUM(E357:E359)</f>
        <v/>
      </c>
      <c r="F360" s="1779">
        <f>F356-SUM(F357:F359)</f>
        <v/>
      </c>
      <c r="G360" s="1779">
        <f>G356-SUM(G357:G359)</f>
        <v/>
      </c>
      <c r="H360" s="1795">
        <f>H356-SUM(H357:H359)</f>
        <v/>
      </c>
      <c r="I360" s="1795">
        <f>I356-SUM(I357:I359)</f>
        <v/>
      </c>
      <c r="J360" s="1795">
        <f>J356-SUM(J357:J359)</f>
        <v/>
      </c>
      <c r="K360" s="1795">
        <f>K356-SUM(K357:K359)</f>
        <v/>
      </c>
      <c r="L360" s="1779">
        <f>L356-SUM(L357:L359)</f>
        <v/>
      </c>
      <c r="M360" s="1795">
        <f>M356-SUM(M357:M359)</f>
        <v/>
      </c>
      <c r="N360" s="1795">
        <f>N356-SUM(N357:N359)</f>
        <v/>
      </c>
      <c r="O360" s="1795">
        <f>O356-SUM(O357:O359)</f>
        <v/>
      </c>
      <c r="P360" s="1795">
        <f>P356-SUM(P357:P359)</f>
        <v/>
      </c>
      <c r="Q360" s="1779">
        <f>Q356-SUM(Q357:Q359)</f>
        <v/>
      </c>
      <c r="R360" s="1795">
        <f>R356-SUM(R357:R359)</f>
        <v/>
      </c>
      <c r="S360" s="1795">
        <f>S356-SUM(S357:S359)</f>
        <v/>
      </c>
      <c r="T360" s="1795">
        <f>T356-SUM(T357:T359)</f>
        <v/>
      </c>
      <c r="U360" s="1795">
        <f>U356-SUM(U357:U359)</f>
        <v/>
      </c>
      <c r="V360" s="1779">
        <f>V356-SUM(V357:V359)</f>
        <v/>
      </c>
      <c r="W360" s="1795">
        <f>W356-SUM(W357:W359)</f>
        <v/>
      </c>
      <c r="X360" s="1795">
        <f>X356-SUM(X357:X359)</f>
        <v/>
      </c>
      <c r="Y360" s="1795">
        <f>Y356-SUM(Y357:Y359)</f>
        <v/>
      </c>
      <c r="Z360" s="1795">
        <f>Z356-SUM(Z357:Z359)</f>
        <v/>
      </c>
      <c r="AA360" s="1779">
        <f>AA356-SUM(AA357:AA359)</f>
        <v/>
      </c>
      <c r="AB360" s="1795">
        <f>AB356-SUM(AB357:AB359)</f>
        <v/>
      </c>
      <c r="AC360" s="1795">
        <f>AC356-SUM(AC357:AC359)</f>
        <v/>
      </c>
      <c r="AD360" s="1795">
        <f>AD356-SUM(AD357:AD359)</f>
        <v/>
      </c>
      <c r="AE360" s="1795">
        <f>AE356-SUM(AE357:AE359)</f>
        <v/>
      </c>
      <c r="AF360" s="1779">
        <f>AF356-SUM(AF357:AF359)</f>
        <v/>
      </c>
      <c r="AG360" s="1795">
        <f>AG356-SUM(AG357:AG359)</f>
        <v/>
      </c>
      <c r="AH360" s="1795">
        <f>AH356-SUM(AH357:AH359)</f>
        <v/>
      </c>
      <c r="AI360" s="1795">
        <f>AI356-SUM(AI357:AI359)</f>
        <v/>
      </c>
      <c r="AJ360" s="1795">
        <f>AJ356-SUM(AJ357:AJ359)</f>
        <v/>
      </c>
      <c r="AK360" s="1779">
        <f>AK356-SUM(AK357:AK359)</f>
        <v/>
      </c>
      <c r="AL360" s="1795">
        <f>AL356-SUM(AL357:AL359)</f>
        <v/>
      </c>
      <c r="AM360" s="1795">
        <f>AM356-SUM(AM357:AM359)</f>
        <v/>
      </c>
      <c r="AN360" s="1795">
        <f>AN356-SUM(AN357:AN359)</f>
        <v/>
      </c>
      <c r="AO360" s="1795">
        <f>AO356-SUM(AO357:AO359)</f>
        <v/>
      </c>
      <c r="AP360" s="1779">
        <f>AP356-SUM(AP357:AP359)</f>
        <v/>
      </c>
      <c r="AQ360" s="1795">
        <f>AQ356-SUM(AQ357:AQ359)</f>
        <v/>
      </c>
      <c r="AR360" s="1795">
        <f>AR356-SUM(AR357:AR359)</f>
        <v/>
      </c>
      <c r="AS360" s="1795">
        <f>AS356-SUM(AS357:AS359)</f>
        <v/>
      </c>
      <c r="AT360" s="1795">
        <f>AT356-SUM(AT357:AT359)</f>
        <v/>
      </c>
      <c r="AU360" s="1779">
        <f>AU356-SUM(AU357:AU359)</f>
        <v/>
      </c>
      <c r="AV360" s="1795">
        <f>AV356-SUM(AV357:AV359)</f>
        <v/>
      </c>
      <c r="AW360" s="1795">
        <f>AW356-SUM(AW357:AW359)</f>
        <v/>
      </c>
      <c r="AX360" s="1795">
        <f>AX356-SUM(AX357:AX359)</f>
        <v/>
      </c>
      <c r="AY360" s="1795">
        <f>AY356-SUM(AY357:AY359)</f>
        <v/>
      </c>
      <c r="AZ360" s="1779">
        <f>AZ356-SUM(AZ357:AZ359)</f>
        <v/>
      </c>
      <c r="BA360" s="1795">
        <f>BA356-SUM(BA357:BA359)</f>
        <v/>
      </c>
      <c r="BB360" s="1795">
        <f>BB356-SUM(BB357:BB359)</f>
        <v/>
      </c>
      <c r="BC360" s="1795">
        <f>BC356-SUM(BC357:BC359)</f>
        <v/>
      </c>
      <c r="BD360" s="1795">
        <f>BD356-SUM(BD357:BD359)</f>
        <v/>
      </c>
      <c r="BE360" s="1779">
        <f>BE356-SUM(BE357:BE359)</f>
        <v/>
      </c>
      <c r="BF360" s="1795">
        <f>BF356-SUM(BF357:BF359)</f>
        <v/>
      </c>
      <c r="BG360" s="1795">
        <f>BG356-SUM(BG357:BG359)</f>
        <v/>
      </c>
      <c r="BH360" s="1795">
        <f>BH356-SUM(BH357:BH359)</f>
        <v/>
      </c>
      <c r="BI360" s="1795">
        <f>BI356-SUM(BI357:BI359)</f>
        <v/>
      </c>
      <c r="BJ360" s="1779">
        <f>BJ356-SUM(BJ357:BJ359)</f>
        <v/>
      </c>
      <c r="BK360" s="1795">
        <f>BK356-SUM(BK357:BK359)</f>
        <v/>
      </c>
      <c r="BL360" s="1795">
        <f>BL356-SUM(BL357:BL359)</f>
        <v/>
      </c>
      <c r="BM360" s="1795">
        <f>BM356-SUM(BM357:BM359)</f>
        <v/>
      </c>
      <c r="BN360" s="1795">
        <f>BN356-SUM(BN357:BN359)</f>
        <v/>
      </c>
      <c r="BO360" s="1796">
        <f>BO356-SUM(BO357:BO359)</f>
        <v/>
      </c>
      <c r="BP360" s="1642">
        <f>BP356-SUM(BP357:BP359)</f>
        <v/>
      </c>
      <c r="BQ360" s="1642">
        <f>BQ356-SUM(BQ357:BQ359)</f>
        <v/>
      </c>
      <c r="BR360" s="1642">
        <f>BR356-SUM(BR357:BR359)</f>
        <v/>
      </c>
      <c r="BS360" s="1642">
        <f>BS356-SUM(BS357:BS359)</f>
        <v/>
      </c>
      <c r="BT360" s="1641">
        <f>BT356-SUM(BT357:BT359)</f>
        <v/>
      </c>
      <c r="BU360" s="1642">
        <f>BU356-SUM(BU357:BU359)</f>
        <v/>
      </c>
      <c r="BV360" s="1642">
        <f>BV356-SUM(BV357:BV359)</f>
        <v/>
      </c>
      <c r="BW360" s="1642">
        <f>BW356-SUM(BW357:BW359)</f>
        <v/>
      </c>
      <c r="BX360" s="1642">
        <f>BX356-SUM(BX357:BX359)</f>
        <v/>
      </c>
      <c r="BY360" s="1641">
        <f>BY356-SUM(BY357:BY359)</f>
        <v/>
      </c>
      <c r="BZ360" s="1641">
        <f>BZ356-SUM(BZ357:BZ359)</f>
        <v/>
      </c>
      <c r="CA360" s="1641">
        <f>CA356-SUM(CA357:CA359)</f>
        <v/>
      </c>
      <c r="CB360" s="1641">
        <f>CB356-SUM(CB357:CB359)</f>
        <v/>
      </c>
      <c r="CC360" s="1634" t="n"/>
    </row>
    <row r="361" ht="15" customFormat="1" customHeight="1" s="1561">
      <c r="A361" s="1836" t="inlineStr">
        <is>
          <t>Adjustments for Convertible Securities</t>
        </is>
      </c>
      <c r="B361" s="1837" t="n"/>
      <c r="C361" s="1838" t="n"/>
      <c r="D361" s="1838" t="n"/>
      <c r="E361" s="1838" t="n"/>
      <c r="F361" s="1838" t="n"/>
      <c r="G361" s="1838" t="n"/>
      <c r="H361" s="1839" t="n"/>
      <c r="I361" s="1839" t="n"/>
      <c r="J361" s="1839" t="n"/>
      <c r="K361" s="1839" t="n"/>
      <c r="L361" s="1838" t="n"/>
      <c r="M361" s="1839" t="n"/>
      <c r="N361" s="1839" t="n"/>
      <c r="O361" s="1839" t="n"/>
      <c r="P361" s="1839" t="n"/>
      <c r="Q361" s="1838" t="n"/>
      <c r="R361" s="1839" t="n"/>
      <c r="S361" s="1839" t="n"/>
      <c r="T361" s="1839" t="n"/>
      <c r="U361" s="1839" t="n"/>
      <c r="V361" s="1838" t="n"/>
      <c r="W361" s="1839" t="n"/>
      <c r="X361" s="1839" t="n"/>
      <c r="Y361" s="1839" t="n"/>
      <c r="Z361" s="1839" t="n"/>
      <c r="AA361" s="1838" t="n"/>
      <c r="AB361" s="1839" t="n"/>
      <c r="AC361" s="1839" t="n"/>
      <c r="AD361" s="1839" t="n"/>
      <c r="AE361" s="1839" t="n"/>
      <c r="AF361" s="1838" t="n"/>
      <c r="AG361" s="1839" t="n"/>
      <c r="AH361" s="1839" t="n"/>
      <c r="AI361" s="1839" t="n"/>
      <c r="AJ361" s="1839" t="n"/>
      <c r="AK361" s="1838" t="n"/>
      <c r="AL361" s="1839" t="n"/>
      <c r="AM361" s="1839" t="n"/>
      <c r="AN361" s="1839" t="n"/>
      <c r="AO361" s="1839" t="n"/>
      <c r="AP361" s="1838" t="n"/>
      <c r="AQ361" s="1839" t="n"/>
      <c r="AR361" s="1839" t="n"/>
      <c r="AS361" s="1839" t="n"/>
      <c r="AT361" s="1839" t="n"/>
      <c r="AU361" s="1838" t="n"/>
      <c r="AV361" s="1839" t="n"/>
      <c r="AW361" s="1839" t="n"/>
      <c r="AX361" s="1839" t="n"/>
      <c r="AY361" s="1839" t="n"/>
      <c r="AZ361" s="1838" t="n"/>
      <c r="BA361" s="1839" t="n"/>
      <c r="BB361" s="1839" t="n"/>
      <c r="BC361" s="1839" t="n"/>
      <c r="BD361" s="1839" t="n"/>
      <c r="BE361" s="1838" t="n"/>
      <c r="BF361" s="1839" t="n"/>
      <c r="BG361" s="1839" t="n"/>
      <c r="BH361" s="1839" t="n"/>
      <c r="BI361" s="1839" t="n"/>
      <c r="BJ361" s="1838" t="n"/>
      <c r="BK361" s="1839" t="n"/>
      <c r="BL361" s="1839" t="n"/>
      <c r="BM361" s="1839" t="n"/>
      <c r="BN361" s="1839" t="n"/>
      <c r="BO361" s="1840" t="n"/>
      <c r="BP361" s="1839" t="n"/>
      <c r="BQ361" s="1839" t="n"/>
      <c r="BR361" s="1839" t="n"/>
      <c r="BS361" s="1839" t="n"/>
      <c r="BT361" s="1838">
        <f>SUM(BP361,BQ361,BR361,BS361)</f>
        <v/>
      </c>
      <c r="BU361" s="1839" t="n"/>
      <c r="BV361" s="1839" t="n"/>
      <c r="BW361" s="1839" t="n"/>
      <c r="BX361" s="1839" t="n"/>
      <c r="BY361" s="1838">
        <f>SUM(BU361,BV361,BW361,BX361)</f>
        <v/>
      </c>
      <c r="BZ361" s="1838" t="n"/>
      <c r="CA361" s="1838" t="n"/>
      <c r="CB361" s="1838" t="n"/>
      <c r="CC361" s="1564" t="n"/>
    </row>
    <row r="362" ht="15" customFormat="1" customHeight="1" s="1628">
      <c r="A362" s="1695" t="inlineStr">
        <is>
          <t>Diluted Net Income to Common Shareholders</t>
        </is>
      </c>
      <c r="B362" s="1793" t="n"/>
      <c r="C362" s="1779">
        <f>C360-C361</f>
        <v/>
      </c>
      <c r="D362" s="1779">
        <f>D360-D361</f>
        <v/>
      </c>
      <c r="E362" s="1779">
        <f>E360-E361</f>
        <v/>
      </c>
      <c r="F362" s="1779">
        <f>F360-F361</f>
        <v/>
      </c>
      <c r="G362" s="1779">
        <f>G360-G361</f>
        <v/>
      </c>
      <c r="H362" s="1795">
        <f>H360-H361</f>
        <v/>
      </c>
      <c r="I362" s="1795">
        <f>I360-I361</f>
        <v/>
      </c>
      <c r="J362" s="1795">
        <f>J360-J361</f>
        <v/>
      </c>
      <c r="K362" s="1795">
        <f>K360-K361</f>
        <v/>
      </c>
      <c r="L362" s="1779">
        <f>L360-L361</f>
        <v/>
      </c>
      <c r="M362" s="1795">
        <f>M360-M361</f>
        <v/>
      </c>
      <c r="N362" s="1795">
        <f>N360-N361</f>
        <v/>
      </c>
      <c r="O362" s="1795">
        <f>O360-O361</f>
        <v/>
      </c>
      <c r="P362" s="1795">
        <f>P360-P361</f>
        <v/>
      </c>
      <c r="Q362" s="1779">
        <f>Q360-Q361</f>
        <v/>
      </c>
      <c r="R362" s="1795">
        <f>R360-R361</f>
        <v/>
      </c>
      <c r="S362" s="1795">
        <f>S360-S361</f>
        <v/>
      </c>
      <c r="T362" s="1795">
        <f>T360-T361</f>
        <v/>
      </c>
      <c r="U362" s="1795">
        <f>U360-U361</f>
        <v/>
      </c>
      <c r="V362" s="1779">
        <f>V360-V361</f>
        <v/>
      </c>
      <c r="W362" s="1795">
        <f>W360-W361</f>
        <v/>
      </c>
      <c r="X362" s="1795">
        <f>X360-X361</f>
        <v/>
      </c>
      <c r="Y362" s="1795">
        <f>Y360-Y361</f>
        <v/>
      </c>
      <c r="Z362" s="1795">
        <f>Z360-Z361</f>
        <v/>
      </c>
      <c r="AA362" s="1779">
        <f>AA360-AA361</f>
        <v/>
      </c>
      <c r="AB362" s="1795">
        <f>AB360-AB361</f>
        <v/>
      </c>
      <c r="AC362" s="1795">
        <f>AC360-AC361</f>
        <v/>
      </c>
      <c r="AD362" s="1795">
        <f>AD360-AD361</f>
        <v/>
      </c>
      <c r="AE362" s="1795">
        <f>AE360-AE361</f>
        <v/>
      </c>
      <c r="AF362" s="1779">
        <f>AF360-AF361</f>
        <v/>
      </c>
      <c r="AG362" s="1795">
        <f>AG360-AG361</f>
        <v/>
      </c>
      <c r="AH362" s="1795">
        <f>AH360-AH361</f>
        <v/>
      </c>
      <c r="AI362" s="1795">
        <f>AI360-AI361</f>
        <v/>
      </c>
      <c r="AJ362" s="1795">
        <f>AJ360-AJ361</f>
        <v/>
      </c>
      <c r="AK362" s="1779">
        <f>AK360-AK361</f>
        <v/>
      </c>
      <c r="AL362" s="1795">
        <f>AL360-AL361</f>
        <v/>
      </c>
      <c r="AM362" s="1795">
        <f>AM360-AM361</f>
        <v/>
      </c>
      <c r="AN362" s="1795">
        <f>AN360-AN361</f>
        <v/>
      </c>
      <c r="AO362" s="1795">
        <f>AO360-AO361</f>
        <v/>
      </c>
      <c r="AP362" s="1779">
        <f>AP360-AP361</f>
        <v/>
      </c>
      <c r="AQ362" s="1795">
        <f>AQ360-AQ361</f>
        <v/>
      </c>
      <c r="AR362" s="1795">
        <f>AR360-AR361</f>
        <v/>
      </c>
      <c r="AS362" s="1795">
        <f>AS360-AS361</f>
        <v/>
      </c>
      <c r="AT362" s="1795">
        <f>AT360-AT361</f>
        <v/>
      </c>
      <c r="AU362" s="1779">
        <f>AU360-AU361</f>
        <v/>
      </c>
      <c r="AV362" s="1795">
        <f>AV360-AV361</f>
        <v/>
      </c>
      <c r="AW362" s="1795">
        <f>AW360-AW361</f>
        <v/>
      </c>
      <c r="AX362" s="1795">
        <f>AX360-AX361</f>
        <v/>
      </c>
      <c r="AY362" s="1795">
        <f>AY360-AY361</f>
        <v/>
      </c>
      <c r="AZ362" s="1779">
        <f>AZ360-AZ361</f>
        <v/>
      </c>
      <c r="BA362" s="1795">
        <f>BA360-BA361</f>
        <v/>
      </c>
      <c r="BB362" s="1795">
        <f>BB360-BB361</f>
        <v/>
      </c>
      <c r="BC362" s="1795">
        <f>BC360-BC361</f>
        <v/>
      </c>
      <c r="BD362" s="1795">
        <f>BD360-BD361</f>
        <v/>
      </c>
      <c r="BE362" s="1779">
        <f>BE360-BE361</f>
        <v/>
      </c>
      <c r="BF362" s="1795">
        <f>BF360-BF361</f>
        <v/>
      </c>
      <c r="BG362" s="1795">
        <f>BG360-BG361</f>
        <v/>
      </c>
      <c r="BH362" s="1795">
        <f>BH360-BH361</f>
        <v/>
      </c>
      <c r="BI362" s="1795">
        <f>BI360-BI361</f>
        <v/>
      </c>
      <c r="BJ362" s="1779">
        <f>BJ360-BJ361</f>
        <v/>
      </c>
      <c r="BK362" s="1795">
        <f>BK360-BK361</f>
        <v/>
      </c>
      <c r="BL362" s="1795">
        <f>BL360-BL361</f>
        <v/>
      </c>
      <c r="BM362" s="1795">
        <f>BM360-BM361</f>
        <v/>
      </c>
      <c r="BN362" s="1795">
        <f>BN360-BN361</f>
        <v/>
      </c>
      <c r="BO362" s="1796">
        <f>BO360-BO361</f>
        <v/>
      </c>
      <c r="BP362" s="1642">
        <f>BP360-BP361</f>
        <v/>
      </c>
      <c r="BQ362" s="1642">
        <f>BQ360-BQ361</f>
        <v/>
      </c>
      <c r="BR362" s="1642">
        <f>BR360-BR361</f>
        <v/>
      </c>
      <c r="BS362" s="1642">
        <f>BS360-BS361</f>
        <v/>
      </c>
      <c r="BT362" s="1641">
        <f>BT360-BT361</f>
        <v/>
      </c>
      <c r="BU362" s="1642">
        <f>BU360-BU361</f>
        <v/>
      </c>
      <c r="BV362" s="1642">
        <f>BV360-BV361</f>
        <v/>
      </c>
      <c r="BW362" s="1642">
        <f>BW360-BW361</f>
        <v/>
      </c>
      <c r="BX362" s="1642">
        <f>BX360-BX361</f>
        <v/>
      </c>
      <c r="BY362" s="1641">
        <f>BY360-BY361</f>
        <v/>
      </c>
      <c r="BZ362" s="1641">
        <f>BZ360-BZ361</f>
        <v/>
      </c>
      <c r="CA362" s="1641">
        <f>CA360-CA361</f>
        <v/>
      </c>
      <c r="CB362" s="1641">
        <f>CB360-CB361</f>
        <v/>
      </c>
      <c r="CC362" s="1634" t="n"/>
    </row>
    <row r="363" ht="15" customFormat="1" customHeight="1" s="1561">
      <c r="A363" s="1841" t="inlineStr">
        <is>
          <t>Non-GAAP Adjustments</t>
        </is>
      </c>
      <c r="B363" s="1842" t="n"/>
      <c r="C363" s="1820" t="n"/>
      <c r="D363" s="1820" t="n"/>
      <c r="E363" s="1820" t="n"/>
      <c r="F363" s="1820" t="n"/>
      <c r="G363" s="1820" t="n"/>
      <c r="H363" s="1821" t="n"/>
      <c r="I363" s="1821" t="n"/>
      <c r="J363" s="1821" t="n"/>
      <c r="K363" s="1821" t="n"/>
      <c r="L363" s="1820" t="n"/>
      <c r="M363" s="1821" t="n"/>
      <c r="N363" s="1821" t="n"/>
      <c r="O363" s="1821" t="n"/>
      <c r="P363" s="1821" t="n"/>
      <c r="Q363" s="1820" t="n"/>
      <c r="R363" s="1821" t="n"/>
      <c r="S363" s="1821" t="n"/>
      <c r="T363" s="1821" t="n"/>
      <c r="U363" s="1821" t="n"/>
      <c r="V363" s="1820" t="n"/>
      <c r="W363" s="1821" t="n"/>
      <c r="X363" s="1821" t="n"/>
      <c r="Y363" s="1821" t="n"/>
      <c r="Z363" s="1821" t="n"/>
      <c r="AA363" s="1820" t="n"/>
      <c r="AB363" s="1821" t="n"/>
      <c r="AC363" s="1821" t="n"/>
      <c r="AD363" s="1821" t="n"/>
      <c r="AE363" s="1821" t="n"/>
      <c r="AF363" s="1820" t="n"/>
      <c r="AG363" s="1821" t="n"/>
      <c r="AH363" s="1821" t="n"/>
      <c r="AI363" s="1821" t="n"/>
      <c r="AJ363" s="1821" t="n"/>
      <c r="AK363" s="1820" t="n"/>
      <c r="AL363" s="1821" t="n"/>
      <c r="AM363" s="1821" t="n"/>
      <c r="AN363" s="1821" t="n"/>
      <c r="AO363" s="1821" t="n"/>
      <c r="AP363" s="1820" t="n"/>
      <c r="AQ363" s="1821" t="n"/>
      <c r="AR363" s="1821" t="n"/>
      <c r="AS363" s="1821" t="n"/>
      <c r="AT363" s="1821" t="n"/>
      <c r="AU363" s="1820" t="n"/>
      <c r="AV363" s="1821" t="n"/>
      <c r="AW363" s="1821" t="n"/>
      <c r="AX363" s="1821" t="n"/>
      <c r="AY363" s="1821" t="n"/>
      <c r="AZ363" s="1820" t="n"/>
      <c r="BA363" s="1821" t="n"/>
      <c r="BB363" s="1821" t="n"/>
      <c r="BC363" s="1821" t="n"/>
      <c r="BD363" s="1821" t="n"/>
      <c r="BE363" s="1820" t="n"/>
      <c r="BF363" s="1821" t="n"/>
      <c r="BG363" s="1821" t="n"/>
      <c r="BH363" s="1821" t="n"/>
      <c r="BI363" s="1821" t="n"/>
      <c r="BJ363" s="1820" t="n"/>
      <c r="BK363" s="1821" t="n"/>
      <c r="BL363" s="1821" t="n"/>
      <c r="BM363" s="1821" t="n"/>
      <c r="BN363" s="1821" t="n"/>
      <c r="BO363" s="1822" t="n"/>
      <c r="BP363" s="1821" t="n"/>
      <c r="BQ363" s="1821" t="n"/>
      <c r="BR363" s="1821" t="n"/>
      <c r="BS363" s="1821" t="n"/>
      <c r="BT363" s="1820">
        <f>SUM(BP363,BQ363,BR363,BS363)</f>
        <v/>
      </c>
      <c r="BU363" s="1821" t="n"/>
      <c r="BV363" s="1821" t="n"/>
      <c r="BW363" s="1821" t="n"/>
      <c r="BX363" s="1821" t="n"/>
      <c r="BY363" s="1820">
        <f>SUM(BU363,BV363,BW363,BX363)</f>
        <v/>
      </c>
      <c r="BZ363" s="1820" t="n"/>
      <c r="CA363" s="1820" t="n"/>
      <c r="CB363" s="1820" t="n"/>
      <c r="CC363" s="1564" t="n"/>
    </row>
    <row r="364" ht="15" customFormat="1" customHeight="1" s="1561">
      <c r="A364" s="1702" t="inlineStr">
        <is>
          <t>Non-GAAP Adjustments for Dilutive Securities</t>
        </is>
      </c>
      <c r="B364" s="1708" t="n"/>
      <c r="C364" s="1712" t="n"/>
      <c r="D364" s="1712" t="n"/>
      <c r="E364" s="1712" t="n"/>
      <c r="F364" s="1712" t="n"/>
      <c r="G364" s="1712" t="n"/>
      <c r="H364" s="1710" t="n"/>
      <c r="I364" s="1710" t="n"/>
      <c r="J364" s="1710" t="n"/>
      <c r="K364" s="1710" t="n"/>
      <c r="L364" s="1712" t="n"/>
      <c r="M364" s="1710" t="n"/>
      <c r="N364" s="1710" t="n"/>
      <c r="O364" s="1710" t="n"/>
      <c r="P364" s="1710" t="n"/>
      <c r="Q364" s="1712" t="n"/>
      <c r="R364" s="1710" t="n"/>
      <c r="S364" s="1710" t="n"/>
      <c r="T364" s="1710" t="n"/>
      <c r="U364" s="1710" t="n"/>
      <c r="V364" s="1712" t="n"/>
      <c r="W364" s="1710" t="n"/>
      <c r="X364" s="1710" t="n"/>
      <c r="Y364" s="1710" t="n"/>
      <c r="Z364" s="1710" t="n"/>
      <c r="AA364" s="1712" t="n"/>
      <c r="AB364" s="1710" t="n"/>
      <c r="AC364" s="1710" t="n"/>
      <c r="AD364" s="1710" t="n"/>
      <c r="AE364" s="1710" t="n"/>
      <c r="AF364" s="1712" t="n"/>
      <c r="AG364" s="1710" t="n"/>
      <c r="AH364" s="1710" t="n"/>
      <c r="AI364" s="1710" t="n"/>
      <c r="AJ364" s="1710" t="n"/>
      <c r="AK364" s="1712" t="n"/>
      <c r="AL364" s="1710" t="n"/>
      <c r="AM364" s="1710" t="n"/>
      <c r="AN364" s="1710" t="n"/>
      <c r="AO364" s="1710" t="n"/>
      <c r="AP364" s="1712" t="n"/>
      <c r="AQ364" s="1710" t="n"/>
      <c r="AR364" s="1710" t="n"/>
      <c r="AS364" s="1710" t="n"/>
      <c r="AT364" s="1710" t="n"/>
      <c r="AU364" s="1712" t="n"/>
      <c r="AV364" s="1710" t="n"/>
      <c r="AW364" s="1710" t="n"/>
      <c r="AX364" s="1710" t="n"/>
      <c r="AY364" s="1710" t="n"/>
      <c r="AZ364" s="1712" t="n"/>
      <c r="BA364" s="1710" t="n"/>
      <c r="BB364" s="1710" t="n"/>
      <c r="BC364" s="1710" t="n"/>
      <c r="BD364" s="1710" t="n"/>
      <c r="BE364" s="1712" t="n"/>
      <c r="BF364" s="1710" t="n"/>
      <c r="BG364" s="1710" t="n"/>
      <c r="BH364" s="1710" t="n"/>
      <c r="BI364" s="1710" t="n"/>
      <c r="BJ364" s="1712" t="n"/>
      <c r="BK364" s="1710" t="n"/>
      <c r="BL364" s="1710" t="n"/>
      <c r="BM364" s="1710" t="n"/>
      <c r="BN364" s="1710" t="n"/>
      <c r="BO364" s="1711" t="n"/>
      <c r="BP364" s="1710" t="n"/>
      <c r="BQ364" s="1710" t="n"/>
      <c r="BR364" s="1710" t="n"/>
      <c r="BS364" s="1710" t="n"/>
      <c r="BT364" s="1712">
        <f>SUM(BP364,BQ364,BR364,BS364)</f>
        <v/>
      </c>
      <c r="BU364" s="1710" t="n"/>
      <c r="BV364" s="1710" t="n"/>
      <c r="BW364" s="1710" t="n"/>
      <c r="BX364" s="1710" t="n"/>
      <c r="BY364" s="1712">
        <f>SUM(BU364,BV364,BW364,BX364)</f>
        <v/>
      </c>
      <c r="BZ364" s="1712" t="n"/>
      <c r="CA364" s="1712" t="n"/>
      <c r="CB364" s="1712" t="n"/>
      <c r="CC364" s="1564" t="n"/>
    </row>
    <row r="365" ht="15" customFormat="1" customHeight="1" s="1628">
      <c r="A365" s="1695" t="inlineStr">
        <is>
          <t>Adjusted Net Income</t>
        </is>
      </c>
      <c r="B365" s="1793" t="n"/>
      <c r="C365" s="1779">
        <f>C356-SUM(C363:C364)</f>
        <v/>
      </c>
      <c r="D365" s="1779">
        <f>D356-SUM(D363:D364)</f>
        <v/>
      </c>
      <c r="E365" s="1779">
        <f>E356-SUM(E363:E364)</f>
        <v/>
      </c>
      <c r="F365" s="1779">
        <f>F356-SUM(F363:F364)</f>
        <v/>
      </c>
      <c r="G365" s="1779">
        <f>G356-SUM(G363:G364)</f>
        <v/>
      </c>
      <c r="H365" s="1795">
        <f>H356-SUM(H363:H364)</f>
        <v/>
      </c>
      <c r="I365" s="1795">
        <f>I356-SUM(I363:I364)</f>
        <v/>
      </c>
      <c r="J365" s="1795">
        <f>J356-SUM(J363:J364)</f>
        <v/>
      </c>
      <c r="K365" s="1795">
        <f>K356-SUM(K363:K364)</f>
        <v/>
      </c>
      <c r="L365" s="1779">
        <f>L356-SUM(L363:L364)</f>
        <v/>
      </c>
      <c r="M365" s="1795">
        <f>M356-SUM(M363:M364)</f>
        <v/>
      </c>
      <c r="N365" s="1795">
        <f>N356-SUM(N363:N364)</f>
        <v/>
      </c>
      <c r="O365" s="1795">
        <f>O356-SUM(O363:O364)</f>
        <v/>
      </c>
      <c r="P365" s="1795">
        <f>P356-SUM(P363:P364)</f>
        <v/>
      </c>
      <c r="Q365" s="1779">
        <f>Q356-SUM(Q363:Q364)</f>
        <v/>
      </c>
      <c r="R365" s="1795">
        <f>R356-SUM(R363:R364)</f>
        <v/>
      </c>
      <c r="S365" s="1795">
        <f>S356-SUM(S363:S364)</f>
        <v/>
      </c>
      <c r="T365" s="1795">
        <f>T356-SUM(T363:T364)</f>
        <v/>
      </c>
      <c r="U365" s="1795">
        <f>U356-SUM(U363:U364)</f>
        <v/>
      </c>
      <c r="V365" s="1779">
        <f>V356-SUM(V363:V364)</f>
        <v/>
      </c>
      <c r="W365" s="1795">
        <f>W356-SUM(W363:W364)</f>
        <v/>
      </c>
      <c r="X365" s="1795">
        <f>X356-SUM(X363:X364)</f>
        <v/>
      </c>
      <c r="Y365" s="1795">
        <f>Y356-SUM(Y363:Y364)</f>
        <v/>
      </c>
      <c r="Z365" s="1795">
        <f>Z356-SUM(Z363:Z364)</f>
        <v/>
      </c>
      <c r="AA365" s="1779">
        <f>AA356-SUM(AA363:AA364)</f>
        <v/>
      </c>
      <c r="AB365" s="1795">
        <f>AB356-SUM(AB363:AB364)</f>
        <v/>
      </c>
      <c r="AC365" s="1795">
        <f>AC356-SUM(AC363:AC364)</f>
        <v/>
      </c>
      <c r="AD365" s="1795">
        <f>AD356-SUM(AD363:AD364)</f>
        <v/>
      </c>
      <c r="AE365" s="1795">
        <f>AE356-SUM(AE363:AE364)</f>
        <v/>
      </c>
      <c r="AF365" s="1779">
        <f>AF356-SUM(AF363:AF364)</f>
        <v/>
      </c>
      <c r="AG365" s="1795">
        <f>AG356-SUM(AG363:AG364)</f>
        <v/>
      </c>
      <c r="AH365" s="1795">
        <f>AH356-SUM(AH363:AH364)</f>
        <v/>
      </c>
      <c r="AI365" s="1795">
        <f>AI356-SUM(AI363:AI364)</f>
        <v/>
      </c>
      <c r="AJ365" s="1795">
        <f>AJ356-SUM(AJ363:AJ364)</f>
        <v/>
      </c>
      <c r="AK365" s="1779">
        <f>AK356-SUM(AK363:AK364)</f>
        <v/>
      </c>
      <c r="AL365" s="1795">
        <f>AL356-SUM(AL363:AL364)</f>
        <v/>
      </c>
      <c r="AM365" s="1795">
        <f>AM356-SUM(AM363:AM364)</f>
        <v/>
      </c>
      <c r="AN365" s="1795">
        <f>AN356-SUM(AN363:AN364)</f>
        <v/>
      </c>
      <c r="AO365" s="1795">
        <f>AO356-SUM(AO363:AO364)</f>
        <v/>
      </c>
      <c r="AP365" s="1779">
        <f>AP356-SUM(AP363:AP364)</f>
        <v/>
      </c>
      <c r="AQ365" s="1795">
        <f>AQ356-SUM(AQ363:AQ364)</f>
        <v/>
      </c>
      <c r="AR365" s="1795">
        <f>AR356-SUM(AR363:AR364)</f>
        <v/>
      </c>
      <c r="AS365" s="1795">
        <f>AS356-SUM(AS363:AS364)</f>
        <v/>
      </c>
      <c r="AT365" s="1795">
        <f>AT356-SUM(AT363:AT364)</f>
        <v/>
      </c>
      <c r="AU365" s="1779">
        <f>AU356-SUM(AU363:AU364)</f>
        <v/>
      </c>
      <c r="AV365" s="1795">
        <f>AV356-SUM(AV363:AV364)</f>
        <v/>
      </c>
      <c r="AW365" s="1795">
        <f>AW356-SUM(AW363:AW364)</f>
        <v/>
      </c>
      <c r="AX365" s="1795">
        <f>AX356-SUM(AX363:AX364)</f>
        <v/>
      </c>
      <c r="AY365" s="1795">
        <f>AY356-SUM(AY363:AY364)</f>
        <v/>
      </c>
      <c r="AZ365" s="1779">
        <f>AZ356-SUM(AZ363:AZ364)</f>
        <v/>
      </c>
      <c r="BA365" s="1795">
        <f>BA356-SUM(BA363:BA364)</f>
        <v/>
      </c>
      <c r="BB365" s="1795">
        <f>BB356-SUM(BB363:BB364)</f>
        <v/>
      </c>
      <c r="BC365" s="1795">
        <f>BC356-SUM(BC363:BC364)</f>
        <v/>
      </c>
      <c r="BD365" s="1795">
        <f>BD356-SUM(BD363:BD364)</f>
        <v/>
      </c>
      <c r="BE365" s="1779">
        <f>BE356-SUM(BE363:BE364)</f>
        <v/>
      </c>
      <c r="BF365" s="1795">
        <f>BF356-SUM(BF363:BF364)</f>
        <v/>
      </c>
      <c r="BG365" s="1795">
        <f>BG356-SUM(BG363:BG364)</f>
        <v/>
      </c>
      <c r="BH365" s="1795">
        <f>BH356-SUM(BH363:BH364)</f>
        <v/>
      </c>
      <c r="BI365" s="1795">
        <f>BI356-SUM(BI363:BI364)</f>
        <v/>
      </c>
      <c r="BJ365" s="1779">
        <f>BJ356-SUM(BJ363:BJ364)</f>
        <v/>
      </c>
      <c r="BK365" s="1795">
        <f>BK356-SUM(BK363:BK364)</f>
        <v/>
      </c>
      <c r="BL365" s="1795">
        <f>BL356-SUM(BL363:BL364)</f>
        <v/>
      </c>
      <c r="BM365" s="1795">
        <f>BM356-SUM(BM363:BM364)</f>
        <v/>
      </c>
      <c r="BN365" s="1795">
        <f>BN356-SUM(BN363:BN364)</f>
        <v/>
      </c>
      <c r="BO365" s="1796">
        <f>BO356-SUM(BO363:BO364)</f>
        <v/>
      </c>
      <c r="BP365" s="1642">
        <f>BP356-SUM(BP363:BP364)</f>
        <v/>
      </c>
      <c r="BQ365" s="1642">
        <f>BQ356-SUM(BQ363:BQ364)</f>
        <v/>
      </c>
      <c r="BR365" s="1642">
        <f>BR356-SUM(BR363:BR364)</f>
        <v/>
      </c>
      <c r="BS365" s="1642">
        <f>BS356-SUM(BS363:BS364)</f>
        <v/>
      </c>
      <c r="BT365" s="1641">
        <f>BT356-SUM(BT363:BT364)</f>
        <v/>
      </c>
      <c r="BU365" s="1642">
        <f>BU356-SUM(BU363:BU364)</f>
        <v/>
      </c>
      <c r="BV365" s="1642">
        <f>BV356-SUM(BV363:BV364)</f>
        <v/>
      </c>
      <c r="BW365" s="1642">
        <f>BW356-SUM(BW363:BW364)</f>
        <v/>
      </c>
      <c r="BX365" s="1642">
        <f>BX356-SUM(BX363:BX364)</f>
        <v/>
      </c>
      <c r="BY365" s="1641">
        <f>BY356-SUM(BY363:BY364)</f>
        <v/>
      </c>
      <c r="BZ365" s="1641">
        <f>BZ356-SUM(BZ363:BZ364)</f>
        <v/>
      </c>
      <c r="CA365" s="1641">
        <f>CA356-SUM(CA363:CA364)</f>
        <v/>
      </c>
      <c r="CB365" s="1641">
        <f>CB356-SUM(CB363:CB364)</f>
        <v/>
      </c>
      <c r="CC365" s="1634" t="n"/>
    </row>
    <row r="366" ht="15" customFormat="1" customHeight="1" s="1628">
      <c r="A366" s="1843" t="n"/>
      <c r="B366" s="1793" t="n"/>
      <c r="C366" s="1641" t="n"/>
      <c r="D366" s="1641" t="n"/>
      <c r="E366" s="1641" t="n"/>
      <c r="F366" s="1641" t="n"/>
      <c r="G366" s="1641" t="n"/>
      <c r="H366" s="1642" t="n"/>
      <c r="I366" s="1642" t="n"/>
      <c r="J366" s="1642" t="n"/>
      <c r="K366" s="1642" t="n"/>
      <c r="L366" s="1641" t="n"/>
      <c r="M366" s="1642" t="n"/>
      <c r="N366" s="1642" t="n"/>
      <c r="O366" s="1642" t="n"/>
      <c r="P366" s="1642" t="n"/>
      <c r="Q366" s="1641" t="n"/>
      <c r="R366" s="1642" t="n"/>
      <c r="S366" s="1642" t="n"/>
      <c r="T366" s="1642" t="n"/>
      <c r="U366" s="1642" t="n"/>
      <c r="V366" s="1641" t="n"/>
      <c r="W366" s="1642" t="n"/>
      <c r="X366" s="1642" t="n"/>
      <c r="Y366" s="1642" t="n"/>
      <c r="Z366" s="1642" t="n"/>
      <c r="AA366" s="1641" t="n"/>
      <c r="AB366" s="1642" t="n"/>
      <c r="AC366" s="1642" t="n"/>
      <c r="AD366" s="1642" t="n"/>
      <c r="AE366" s="1642" t="n"/>
      <c r="AF366" s="1641" t="n"/>
      <c r="AG366" s="1642" t="n"/>
      <c r="AH366" s="1642" t="n"/>
      <c r="AI366" s="1642" t="n"/>
      <c r="AJ366" s="1642" t="n"/>
      <c r="AK366" s="1641" t="n"/>
      <c r="AL366" s="1642" t="n"/>
      <c r="AM366" s="1642" t="n"/>
      <c r="AN366" s="1642" t="n"/>
      <c r="AO366" s="1642" t="n"/>
      <c r="AP366" s="1641" t="n"/>
      <c r="AQ366" s="1642" t="n"/>
      <c r="AR366" s="1642" t="n"/>
      <c r="AS366" s="1642" t="n"/>
      <c r="AT366" s="1642" t="n"/>
      <c r="AU366" s="1641" t="n"/>
      <c r="AV366" s="1642" t="n"/>
      <c r="AW366" s="1642" t="n"/>
      <c r="AX366" s="1642" t="n"/>
      <c r="AY366" s="1642" t="n"/>
      <c r="AZ366" s="1641" t="n"/>
      <c r="BA366" s="1642" t="n"/>
      <c r="BB366" s="1642" t="n"/>
      <c r="BC366" s="1642" t="n"/>
      <c r="BD366" s="1642" t="n"/>
      <c r="BE366" s="1641" t="n"/>
      <c r="BF366" s="1642" t="n"/>
      <c r="BG366" s="1642" t="n"/>
      <c r="BH366" s="1642" t="n"/>
      <c r="BI366" s="1642" t="n"/>
      <c r="BJ366" s="1641" t="n"/>
      <c r="BK366" s="1642" t="n"/>
      <c r="BL366" s="1642" t="n"/>
      <c r="BM366" s="1642" t="n"/>
      <c r="BN366" s="1642" t="n"/>
      <c r="BO366" s="1643" t="n"/>
      <c r="BP366" s="1642" t="n"/>
      <c r="BQ366" s="1642" t="n"/>
      <c r="BR366" s="1642" t="n"/>
      <c r="BS366" s="1642" t="n"/>
      <c r="BT366" s="1641" t="n"/>
      <c r="BU366" s="1642" t="n"/>
      <c r="BV366" s="1642" t="n"/>
      <c r="BW366" s="1642" t="n"/>
      <c r="BX366" s="1642" t="n"/>
      <c r="BY366" s="1641" t="n"/>
      <c r="BZ366" s="1641" t="n"/>
      <c r="CA366" s="1641" t="n"/>
      <c r="CB366" s="1641" t="n"/>
      <c r="CC366" s="1634" t="n"/>
    </row>
    <row r="367" ht="15" customFormat="1" customHeight="1" s="598">
      <c r="A367" s="709" t="inlineStr">
        <is>
          <t>Current tax rate</t>
        </is>
      </c>
      <c r="B367" s="85" t="n"/>
      <c r="C367" s="1400">
        <f>C354/C352</f>
        <v/>
      </c>
      <c r="D367" s="1400">
        <f>D354/D352</f>
        <v/>
      </c>
      <c r="E367" s="1400">
        <f>E354/E352</f>
        <v/>
      </c>
      <c r="F367" s="1400">
        <f>F354/F352</f>
        <v/>
      </c>
      <c r="G367" s="1400">
        <f>G354/G352</f>
        <v/>
      </c>
      <c r="H367" s="709">
        <f>H354/H352</f>
        <v/>
      </c>
      <c r="I367" s="709">
        <f>I354/I352</f>
        <v/>
      </c>
      <c r="J367" s="709">
        <f>J354/J352</f>
        <v/>
      </c>
      <c r="K367" s="709">
        <f>K354/K352</f>
        <v/>
      </c>
      <c r="L367" s="1400">
        <f>L354/L352</f>
        <v/>
      </c>
      <c r="M367" s="709">
        <f>M354/M352</f>
        <v/>
      </c>
      <c r="N367" s="709">
        <f>N354/N352</f>
        <v/>
      </c>
      <c r="O367" s="709">
        <f>O354/O352</f>
        <v/>
      </c>
      <c r="P367" s="709">
        <f>P354/P352</f>
        <v/>
      </c>
      <c r="Q367" s="1400">
        <f>Q354/Q352</f>
        <v/>
      </c>
      <c r="R367" s="709">
        <f>R354/R352</f>
        <v/>
      </c>
      <c r="S367" s="709">
        <f>S354/S352</f>
        <v/>
      </c>
      <c r="T367" s="709">
        <f>T354/T352</f>
        <v/>
      </c>
      <c r="U367" s="709">
        <f>U354/U352</f>
        <v/>
      </c>
      <c r="V367" s="1400">
        <f>V354/V352</f>
        <v/>
      </c>
      <c r="W367" s="709">
        <f>W354/W352</f>
        <v/>
      </c>
      <c r="X367" s="709">
        <f>X354/X352</f>
        <v/>
      </c>
      <c r="Y367" s="709">
        <f>Y354/Y352</f>
        <v/>
      </c>
      <c r="Z367" s="709">
        <f>Z354/Z352</f>
        <v/>
      </c>
      <c r="AA367" s="1400">
        <f>AA354/AA352</f>
        <v/>
      </c>
      <c r="AB367" s="709">
        <f>AB354/AB352</f>
        <v/>
      </c>
      <c r="AC367" s="709">
        <f>AC354/AC352</f>
        <v/>
      </c>
      <c r="AD367" s="709">
        <f>AD354/AD352</f>
        <v/>
      </c>
      <c r="AE367" s="709">
        <f>AE354/AE352</f>
        <v/>
      </c>
      <c r="AF367" s="1400">
        <f>AF354/AF352</f>
        <v/>
      </c>
      <c r="AG367" s="709">
        <f>AG354/AG352</f>
        <v/>
      </c>
      <c r="AH367" s="709">
        <f>AH354/AH352</f>
        <v/>
      </c>
      <c r="AI367" s="709">
        <f>AI354/AI352</f>
        <v/>
      </c>
      <c r="AJ367" s="709">
        <f>AJ354/AJ352</f>
        <v/>
      </c>
      <c r="AK367" s="1400">
        <f>AK354/AK352</f>
        <v/>
      </c>
      <c r="AL367" s="709">
        <f>AL354/AL352</f>
        <v/>
      </c>
      <c r="AM367" s="709">
        <f>AM354/AM352</f>
        <v/>
      </c>
      <c r="AN367" s="709">
        <f>AN354/AN352</f>
        <v/>
      </c>
      <c r="AO367" s="709">
        <f>AO354/AO352</f>
        <v/>
      </c>
      <c r="AP367" s="1400">
        <f>AP354/AP352</f>
        <v/>
      </c>
      <c r="AQ367" s="709">
        <f>AQ354/AQ352</f>
        <v/>
      </c>
      <c r="AR367" s="709">
        <f>AR354/AR352</f>
        <v/>
      </c>
      <c r="AS367" s="709">
        <f>AS354/AS352</f>
        <v/>
      </c>
      <c r="AT367" s="709">
        <f>AT354/AT352</f>
        <v/>
      </c>
      <c r="AU367" s="1400">
        <f>AU354/AU352</f>
        <v/>
      </c>
      <c r="AV367" s="709">
        <f>AV354/AV352</f>
        <v/>
      </c>
      <c r="AW367" s="709">
        <f>AW354/AW352</f>
        <v/>
      </c>
      <c r="AX367" s="709">
        <f>AX354/AX352</f>
        <v/>
      </c>
      <c r="AY367" s="709">
        <f>AY354/AY352</f>
        <v/>
      </c>
      <c r="AZ367" s="1400">
        <f>AZ354/AZ352</f>
        <v/>
      </c>
      <c r="BA367" s="709">
        <f>BA354/BA352</f>
        <v/>
      </c>
      <c r="BB367" s="709">
        <f>BB354/BB352</f>
        <v/>
      </c>
      <c r="BC367" s="709">
        <f>BC354/BC352</f>
        <v/>
      </c>
      <c r="BD367" s="709">
        <f>BD354/BD352</f>
        <v/>
      </c>
      <c r="BE367" s="1400">
        <f>BE354/BE352</f>
        <v/>
      </c>
      <c r="BF367" s="709">
        <f>BF354/BF352</f>
        <v/>
      </c>
      <c r="BG367" s="709">
        <f>BG354/BG352</f>
        <v/>
      </c>
      <c r="BH367" s="709">
        <f>BH354/BH352</f>
        <v/>
      </c>
      <c r="BI367" s="709">
        <f>BI354/BI352</f>
        <v/>
      </c>
      <c r="BJ367" s="1400">
        <f>BJ354/BJ352</f>
        <v/>
      </c>
      <c r="BK367" s="709">
        <f>BK354/BK352</f>
        <v/>
      </c>
      <c r="BL367" s="709">
        <f>BL354/BL352</f>
        <v/>
      </c>
      <c r="BM367" s="709">
        <f>BM354/BM352</f>
        <v/>
      </c>
      <c r="BN367" s="709">
        <f>BN354/BN352</f>
        <v/>
      </c>
      <c r="BO367" s="1399">
        <f>BO354/BO352</f>
        <v/>
      </c>
      <c r="BP367" s="1161" t="n">
        <v>0.21</v>
      </c>
      <c r="BQ367" s="1161" t="n">
        <v>0.21</v>
      </c>
      <c r="BR367" s="1161" t="n">
        <v>0.2</v>
      </c>
      <c r="BS367" s="1161" t="n">
        <v>0.2</v>
      </c>
      <c r="BT367" s="1400">
        <f>BT354/BT352</f>
        <v/>
      </c>
      <c r="BU367" s="1161" t="n">
        <v>0.21</v>
      </c>
      <c r="BV367" s="1161" t="n">
        <v>0.21</v>
      </c>
      <c r="BW367" s="1161" t="n">
        <v>0.2</v>
      </c>
      <c r="BX367" s="1161" t="n">
        <v>0.17</v>
      </c>
      <c r="BY367" s="1400">
        <f>BY354/BY352</f>
        <v/>
      </c>
      <c r="BZ367" s="1402" t="n">
        <v>0.21</v>
      </c>
      <c r="CA367" s="1402" t="n">
        <v>0.21</v>
      </c>
      <c r="CB367" s="1402" t="n">
        <v>0.21</v>
      </c>
      <c r="CC367" s="750" t="n"/>
    </row>
    <row r="368" ht="15" customFormat="1" customHeight="1" s="598">
      <c r="A368" s="709" t="inlineStr">
        <is>
          <t>Deferred tax rate</t>
        </is>
      </c>
      <c r="B368" s="85" t="n"/>
      <c r="C368" s="1400">
        <f>C355/C352</f>
        <v/>
      </c>
      <c r="D368" s="1400">
        <f>D355/D352</f>
        <v/>
      </c>
      <c r="E368" s="1400">
        <f>E355/E352</f>
        <v/>
      </c>
      <c r="F368" s="1400">
        <f>F355/F352</f>
        <v/>
      </c>
      <c r="G368" s="1400">
        <f>G355/G352</f>
        <v/>
      </c>
      <c r="H368" s="709">
        <f>H355/H352</f>
        <v/>
      </c>
      <c r="I368" s="709">
        <f>I355/I352</f>
        <v/>
      </c>
      <c r="J368" s="709">
        <f>J355/J352</f>
        <v/>
      </c>
      <c r="K368" s="709">
        <f>K355/K352</f>
        <v/>
      </c>
      <c r="L368" s="1400">
        <f>L355/L352</f>
        <v/>
      </c>
      <c r="M368" s="709">
        <f>M355/M352</f>
        <v/>
      </c>
      <c r="N368" s="709">
        <f>N355/N352</f>
        <v/>
      </c>
      <c r="O368" s="709">
        <f>O355/O352</f>
        <v/>
      </c>
      <c r="P368" s="709">
        <f>P355/P352</f>
        <v/>
      </c>
      <c r="Q368" s="1400">
        <f>Q355/Q352</f>
        <v/>
      </c>
      <c r="R368" s="709">
        <f>R355/R352</f>
        <v/>
      </c>
      <c r="S368" s="709">
        <f>S355/S352</f>
        <v/>
      </c>
      <c r="T368" s="709">
        <f>T355/T352</f>
        <v/>
      </c>
      <c r="U368" s="709">
        <f>U355/U352</f>
        <v/>
      </c>
      <c r="V368" s="1400">
        <f>V355/V352</f>
        <v/>
      </c>
      <c r="W368" s="709">
        <f>W355/W352</f>
        <v/>
      </c>
      <c r="X368" s="709">
        <f>X355/X352</f>
        <v/>
      </c>
      <c r="Y368" s="709">
        <f>Y355/Y352</f>
        <v/>
      </c>
      <c r="Z368" s="709">
        <f>Z355/Z352</f>
        <v/>
      </c>
      <c r="AA368" s="1400">
        <f>AA355/AA352</f>
        <v/>
      </c>
      <c r="AB368" s="709">
        <f>AB355/AB352</f>
        <v/>
      </c>
      <c r="AC368" s="709">
        <f>AC355/AC352</f>
        <v/>
      </c>
      <c r="AD368" s="709">
        <f>AD355/AD352</f>
        <v/>
      </c>
      <c r="AE368" s="709">
        <f>AE355/AE352</f>
        <v/>
      </c>
      <c r="AF368" s="1400">
        <f>AF355/AF352</f>
        <v/>
      </c>
      <c r="AG368" s="709">
        <f>AG355/AG352</f>
        <v/>
      </c>
      <c r="AH368" s="709">
        <f>AH355/AH352</f>
        <v/>
      </c>
      <c r="AI368" s="709">
        <f>AI355/AI352</f>
        <v/>
      </c>
      <c r="AJ368" s="709">
        <f>AJ355/AJ352</f>
        <v/>
      </c>
      <c r="AK368" s="1400">
        <f>AK355/AK352</f>
        <v/>
      </c>
      <c r="AL368" s="709">
        <f>AL355/AL352</f>
        <v/>
      </c>
      <c r="AM368" s="709">
        <f>AM355/AM352</f>
        <v/>
      </c>
      <c r="AN368" s="709">
        <f>AN355/AN352</f>
        <v/>
      </c>
      <c r="AO368" s="709">
        <f>AO355/AO352</f>
        <v/>
      </c>
      <c r="AP368" s="1400">
        <f>AP355/AP352</f>
        <v/>
      </c>
      <c r="AQ368" s="709">
        <f>AQ355/AQ352</f>
        <v/>
      </c>
      <c r="AR368" s="709">
        <f>AR355/AR352</f>
        <v/>
      </c>
      <c r="AS368" s="709">
        <f>AS355/AS352</f>
        <v/>
      </c>
      <c r="AT368" s="709">
        <f>AT355/AT352</f>
        <v/>
      </c>
      <c r="AU368" s="1400">
        <f>AU355/AU352</f>
        <v/>
      </c>
      <c r="AV368" s="709">
        <f>AV355/AV352</f>
        <v/>
      </c>
      <c r="AW368" s="709">
        <f>AW355/AW352</f>
        <v/>
      </c>
      <c r="AX368" s="709">
        <f>AX355/AX352</f>
        <v/>
      </c>
      <c r="AY368" s="709">
        <f>AY355/AY352</f>
        <v/>
      </c>
      <c r="AZ368" s="1400">
        <f>AZ355/AZ352</f>
        <v/>
      </c>
      <c r="BA368" s="709">
        <f>BA355/BA352</f>
        <v/>
      </c>
      <c r="BB368" s="709">
        <f>BB355/BB352</f>
        <v/>
      </c>
      <c r="BC368" s="709">
        <f>BC355/BC352</f>
        <v/>
      </c>
      <c r="BD368" s="709">
        <f>BD355/BD352</f>
        <v/>
      </c>
      <c r="BE368" s="1400">
        <f>BE355/BE352</f>
        <v/>
      </c>
      <c r="BF368" s="709">
        <f>BF355/BF352</f>
        <v/>
      </c>
      <c r="BG368" s="709">
        <f>BG355/BG352</f>
        <v/>
      </c>
      <c r="BH368" s="709">
        <f>BH355/BH352</f>
        <v/>
      </c>
      <c r="BI368" s="709">
        <f>BI355/BI352</f>
        <v/>
      </c>
      <c r="BJ368" s="1400">
        <f>BJ355/BJ352</f>
        <v/>
      </c>
      <c r="BK368" s="709">
        <f>BK355/BK352</f>
        <v/>
      </c>
      <c r="BL368" s="709">
        <f>BL355/BL352</f>
        <v/>
      </c>
      <c r="BM368" s="709">
        <f>BM355/BM352</f>
        <v/>
      </c>
      <c r="BN368" s="709">
        <f>BN355/BN352</f>
        <v/>
      </c>
      <c r="BO368" s="1399">
        <f>BO355/BO352</f>
        <v/>
      </c>
      <c r="BP368" s="1161" t="n">
        <v>-0.04</v>
      </c>
      <c r="BQ368" s="1161" t="n">
        <v>-0.04</v>
      </c>
      <c r="BR368" s="1161" t="n">
        <v>-0.04</v>
      </c>
      <c r="BS368" s="1161" t="n">
        <v>-0.025</v>
      </c>
      <c r="BT368" s="1400">
        <f>BT355/BT352</f>
        <v/>
      </c>
      <c r="BU368" s="1161" t="n">
        <v>-0.05</v>
      </c>
      <c r="BV368" s="1161" t="n">
        <v>-0.05</v>
      </c>
      <c r="BW368" s="1161" t="n">
        <v>-0.05</v>
      </c>
      <c r="BX368" s="1161" t="n">
        <v>-0.05</v>
      </c>
      <c r="BY368" s="1400">
        <f>BY355/BY352</f>
        <v/>
      </c>
      <c r="BZ368" s="1402" t="n">
        <v>-0.04999999999999999</v>
      </c>
      <c r="CA368" s="1402" t="n">
        <v>-0.04999999999999999</v>
      </c>
      <c r="CB368" s="1402" t="n">
        <v>-0.04999999999999999</v>
      </c>
      <c r="CC368" s="750" t="n"/>
    </row>
    <row r="369" ht="15" customFormat="1" customHeight="1" s="1561">
      <c r="A369" s="1562" t="n"/>
      <c r="B369" s="1705" t="n"/>
      <c r="C369" s="1637" t="n"/>
      <c r="D369" s="1637" t="n"/>
      <c r="E369" s="1637" t="n"/>
      <c r="F369" s="1637" t="n"/>
      <c r="G369" s="1637" t="n"/>
      <c r="H369" s="1562" t="n"/>
      <c r="I369" s="1562" t="n"/>
      <c r="J369" s="1562" t="n"/>
      <c r="K369" s="1562" t="n"/>
      <c r="L369" s="1637" t="n"/>
      <c r="M369" s="1562" t="n"/>
      <c r="N369" s="1562" t="n"/>
      <c r="O369" s="1562" t="n"/>
      <c r="P369" s="1562" t="n"/>
      <c r="Q369" s="1637" t="n"/>
      <c r="R369" s="1562" t="n"/>
      <c r="S369" s="1562" t="n"/>
      <c r="T369" s="1562" t="n"/>
      <c r="U369" s="1562" t="n"/>
      <c r="V369" s="1637" t="n"/>
      <c r="W369" s="1562" t="n"/>
      <c r="X369" s="1562" t="n"/>
      <c r="Y369" s="1562" t="n"/>
      <c r="Z369" s="1562" t="n"/>
      <c r="AA369" s="1637" t="n"/>
      <c r="AB369" s="1562" t="n"/>
      <c r="AC369" s="1562" t="n"/>
      <c r="AD369" s="1562" t="n"/>
      <c r="AE369" s="1562" t="n"/>
      <c r="AF369" s="1637" t="n"/>
      <c r="AG369" s="1562" t="n"/>
      <c r="AH369" s="1562" t="n"/>
      <c r="AI369" s="1562" t="n"/>
      <c r="AJ369" s="1562" t="n"/>
      <c r="AK369" s="1637" t="n"/>
      <c r="AL369" s="1562" t="n"/>
      <c r="AM369" s="1562" t="n"/>
      <c r="AN369" s="1562" t="n"/>
      <c r="AO369" s="1562" t="n"/>
      <c r="AP369" s="1637" t="n"/>
      <c r="AQ369" s="1562" t="n"/>
      <c r="AR369" s="1562" t="n"/>
      <c r="AS369" s="1562" t="n"/>
      <c r="AT369" s="1562" t="n"/>
      <c r="AU369" s="1637" t="n"/>
      <c r="AV369" s="1562" t="n"/>
      <c r="AW369" s="1562" t="n"/>
      <c r="AX369" s="1562" t="n"/>
      <c r="AY369" s="1562" t="n"/>
      <c r="AZ369" s="1637" t="n"/>
      <c r="BA369" s="1562" t="n"/>
      <c r="BB369" s="1562" t="n"/>
      <c r="BC369" s="1562" t="n"/>
      <c r="BD369" s="1562" t="n"/>
      <c r="BE369" s="1637" t="n"/>
      <c r="BF369" s="1562" t="n"/>
      <c r="BG369" s="1562" t="n"/>
      <c r="BH369" s="1562" t="n"/>
      <c r="BI369" s="1562" t="n"/>
      <c r="BJ369" s="1637" t="n"/>
      <c r="BK369" s="1562" t="n"/>
      <c r="BL369" s="1562" t="n"/>
      <c r="BM369" s="1562" t="n"/>
      <c r="BN369" s="1562" t="n"/>
      <c r="BO369" s="1638" t="n"/>
      <c r="BP369" s="1562" t="n"/>
      <c r="BQ369" s="1562" t="n"/>
      <c r="BR369" s="1562" t="n"/>
      <c r="BS369" s="1562" t="n"/>
      <c r="BT369" s="1637" t="n"/>
      <c r="BU369" s="1562" t="n"/>
      <c r="BV369" s="1562" t="n"/>
      <c r="BW369" s="1562" t="n"/>
      <c r="BX369" s="1562" t="n"/>
      <c r="BY369" s="1637" t="n"/>
      <c r="BZ369" s="1637" t="n"/>
      <c r="CA369" s="1637" t="n"/>
      <c r="CB369" s="1637" t="n"/>
      <c r="CC369" s="1564" t="n"/>
    </row>
    <row r="370" ht="15" customFormat="1" customHeight="1" s="1844">
      <c r="A370" s="1845" t="inlineStr">
        <is>
          <t>Earnings Per Share - WAB</t>
        </is>
      </c>
      <c r="B370" s="1846" t="n"/>
      <c r="C370" s="1847">
        <f>C$360/C375</f>
        <v/>
      </c>
      <c r="D370" s="1847">
        <f>D$360/D375</f>
        <v/>
      </c>
      <c r="E370" s="1847">
        <f>E$360/E375</f>
        <v/>
      </c>
      <c r="F370" s="1847">
        <f>F$360/F375</f>
        <v/>
      </c>
      <c r="G370" s="1847">
        <f>G$360/G375</f>
        <v/>
      </c>
      <c r="H370" s="1848">
        <f>H$360/H375</f>
        <v/>
      </c>
      <c r="I370" s="1848">
        <f>I$360/I375</f>
        <v/>
      </c>
      <c r="J370" s="1848">
        <f>J$360/J375</f>
        <v/>
      </c>
      <c r="K370" s="1848">
        <f>K$360/K375</f>
        <v/>
      </c>
      <c r="L370" s="1847">
        <f>L$360/L375</f>
        <v/>
      </c>
      <c r="M370" s="1848">
        <f>M$360/M375</f>
        <v/>
      </c>
      <c r="N370" s="1848">
        <f>N360/N375</f>
        <v/>
      </c>
      <c r="O370" s="1848">
        <f>O$360/O375</f>
        <v/>
      </c>
      <c r="P370" s="1848">
        <f>P$360/P375</f>
        <v/>
      </c>
      <c r="Q370" s="1847">
        <f>Q$360/Q375</f>
        <v/>
      </c>
      <c r="R370" s="1848">
        <f>R$360/R375</f>
        <v/>
      </c>
      <c r="S370" s="1848">
        <f>S360/S375</f>
        <v/>
      </c>
      <c r="T370" s="1848">
        <f>T$360/T375</f>
        <v/>
      </c>
      <c r="U370" s="1848">
        <f>U$360/U375</f>
        <v/>
      </c>
      <c r="V370" s="1847">
        <f>V$360/V375</f>
        <v/>
      </c>
      <c r="W370" s="1848">
        <f>W$360/W375</f>
        <v/>
      </c>
      <c r="X370" s="1848">
        <f>X360/X375</f>
        <v/>
      </c>
      <c r="Y370" s="1848">
        <f>Y$360/Y375</f>
        <v/>
      </c>
      <c r="Z370" s="1848">
        <f>Z$360/Z375</f>
        <v/>
      </c>
      <c r="AA370" s="1847">
        <f>AA$360/AA375</f>
        <v/>
      </c>
      <c r="AB370" s="1848">
        <f>AB$360/AB375</f>
        <v/>
      </c>
      <c r="AC370" s="1848">
        <f>AC360/AC375</f>
        <v/>
      </c>
      <c r="AD370" s="1848">
        <f>AD$360/AD375</f>
        <v/>
      </c>
      <c r="AE370" s="1848">
        <f>AE$360/AE375</f>
        <v/>
      </c>
      <c r="AF370" s="1847">
        <f>AF$360/AF375</f>
        <v/>
      </c>
      <c r="AG370" s="1848">
        <f>AG$360/AG375</f>
        <v/>
      </c>
      <c r="AH370" s="1848">
        <f>AH360/AH375</f>
        <v/>
      </c>
      <c r="AI370" s="1848">
        <f>AI$360/AI375</f>
        <v/>
      </c>
      <c r="AJ370" s="1848">
        <f>AJ$360/AJ375</f>
        <v/>
      </c>
      <c r="AK370" s="1847">
        <f>AK$360/AK375</f>
        <v/>
      </c>
      <c r="AL370" s="1848">
        <f>AL$360/AL375</f>
        <v/>
      </c>
      <c r="AM370" s="1848">
        <f>AM360/AM375</f>
        <v/>
      </c>
      <c r="AN370" s="1848">
        <f>AN$360/AN375</f>
        <v/>
      </c>
      <c r="AO370" s="1848">
        <f>AO$360/AO375</f>
        <v/>
      </c>
      <c r="AP370" s="1847">
        <f>AP$360/AP375</f>
        <v/>
      </c>
      <c r="AQ370" s="1848">
        <f>AQ$360/AQ375</f>
        <v/>
      </c>
      <c r="AR370" s="1848">
        <f>AR360/AR375</f>
        <v/>
      </c>
      <c r="AS370" s="1848">
        <f>AS$360/AS375</f>
        <v/>
      </c>
      <c r="AT370" s="1848">
        <f>AT$360/AT375</f>
        <v/>
      </c>
      <c r="AU370" s="1847">
        <f>AU$360/AU375</f>
        <v/>
      </c>
      <c r="AV370" s="1848">
        <f>AV$360/AV375</f>
        <v/>
      </c>
      <c r="AW370" s="1848">
        <f>AW360/AW375</f>
        <v/>
      </c>
      <c r="AX370" s="1848">
        <f>AX$360/AX375</f>
        <v/>
      </c>
      <c r="AY370" s="1848">
        <f>AY$360/AY375</f>
        <v/>
      </c>
      <c r="AZ370" s="1847">
        <f>AZ$360/AZ375</f>
        <v/>
      </c>
      <c r="BA370" s="1848">
        <f>BA$360/BA375</f>
        <v/>
      </c>
      <c r="BB370" s="1848">
        <f>BB360/BB375</f>
        <v/>
      </c>
      <c r="BC370" s="1848">
        <f>BC$360/BC375</f>
        <v/>
      </c>
      <c r="BD370" s="1848">
        <f>BD$360/BD375</f>
        <v/>
      </c>
      <c r="BE370" s="1847">
        <f>BE$360/BE375</f>
        <v/>
      </c>
      <c r="BF370" s="1848">
        <f>BF$360/BF375</f>
        <v/>
      </c>
      <c r="BG370" s="1848">
        <f>BG360/BG375</f>
        <v/>
      </c>
      <c r="BH370" s="1848">
        <f>BH$360/BH375</f>
        <v/>
      </c>
      <c r="BI370" s="1848">
        <f>BI$360/BI375</f>
        <v/>
      </c>
      <c r="BJ370" s="1847">
        <f>BJ$360/BJ375</f>
        <v/>
      </c>
      <c r="BK370" s="1848">
        <f>BK$360/BK375</f>
        <v/>
      </c>
      <c r="BL370" s="1848">
        <f>BL360/BL375</f>
        <v/>
      </c>
      <c r="BM370" s="1848">
        <f>BM$360/BM375</f>
        <v/>
      </c>
      <c r="BN370" s="1848">
        <f>BN$360/BN375</f>
        <v/>
      </c>
      <c r="BO370" s="1849">
        <f>BO$360/BO375</f>
        <v/>
      </c>
      <c r="BP370" s="1850">
        <f>BP360/BP375</f>
        <v/>
      </c>
      <c r="BQ370" s="1850">
        <f>BQ360/BQ375</f>
        <v/>
      </c>
      <c r="BR370" s="1850">
        <f>BR360/BR375</f>
        <v/>
      </c>
      <c r="BS370" s="1850">
        <f>BS360/BS375</f>
        <v/>
      </c>
      <c r="BT370" s="1851">
        <f>BT360/BT375</f>
        <v/>
      </c>
      <c r="BU370" s="1850">
        <f>BU360/BU375</f>
        <v/>
      </c>
      <c r="BV370" s="1850">
        <f>BV360/BV375</f>
        <v/>
      </c>
      <c r="BW370" s="1850">
        <f>BW360/BW375</f>
        <v/>
      </c>
      <c r="BX370" s="1850">
        <f>BX360/BX375</f>
        <v/>
      </c>
      <c r="BY370" s="1851">
        <f>BY360/BY375</f>
        <v/>
      </c>
      <c r="BZ370" s="1851">
        <f>BZ360/BZ375</f>
        <v/>
      </c>
      <c r="CA370" s="1851">
        <f>CA360/CA375</f>
        <v/>
      </c>
      <c r="CB370" s="1851">
        <f>CB360/CB375</f>
        <v/>
      </c>
      <c r="CC370" s="1848" t="n"/>
    </row>
    <row r="371" ht="15" customFormat="1" customHeight="1" s="1844">
      <c r="A371" s="1845" t="inlineStr">
        <is>
          <t>Earnings Per Share - WAD</t>
        </is>
      </c>
      <c r="B371" s="1846" t="n"/>
      <c r="C371" s="1847">
        <f>C362/C376</f>
        <v/>
      </c>
      <c r="D371" s="1847">
        <f>D362/D376</f>
        <v/>
      </c>
      <c r="E371" s="1847">
        <f>E362/E376</f>
        <v/>
      </c>
      <c r="F371" s="1847">
        <f>F362/F376</f>
        <v/>
      </c>
      <c r="G371" s="1847">
        <f>G362/G376</f>
        <v/>
      </c>
      <c r="H371" s="1848">
        <f>H362/H376</f>
        <v/>
      </c>
      <c r="I371" s="1848">
        <f>I362/I376</f>
        <v/>
      </c>
      <c r="J371" s="1848">
        <f>J362/J376</f>
        <v/>
      </c>
      <c r="K371" s="1848">
        <f>K362/K376</f>
        <v/>
      </c>
      <c r="L371" s="1847">
        <f>L362/L376</f>
        <v/>
      </c>
      <c r="M371" s="1848">
        <f>M362/M376</f>
        <v/>
      </c>
      <c r="N371" s="1848">
        <f>N362/N376</f>
        <v/>
      </c>
      <c r="O371" s="1848">
        <f>O362/O376</f>
        <v/>
      </c>
      <c r="P371" s="1848">
        <f>P362/P376</f>
        <v/>
      </c>
      <c r="Q371" s="1847">
        <f>Q362/Q376</f>
        <v/>
      </c>
      <c r="R371" s="1848">
        <f>R362/R376</f>
        <v/>
      </c>
      <c r="S371" s="1848">
        <f>S362/S376</f>
        <v/>
      </c>
      <c r="T371" s="1848">
        <f>T362/T376</f>
        <v/>
      </c>
      <c r="U371" s="1848">
        <f>U362/U376</f>
        <v/>
      </c>
      <c r="V371" s="1847">
        <f>V362/V376</f>
        <v/>
      </c>
      <c r="W371" s="1848">
        <f>W362/W376</f>
        <v/>
      </c>
      <c r="X371" s="1848">
        <f>X362/X376</f>
        <v/>
      </c>
      <c r="Y371" s="1848">
        <f>Y362/Y376</f>
        <v/>
      </c>
      <c r="Z371" s="1848">
        <f>Z362/Z376</f>
        <v/>
      </c>
      <c r="AA371" s="1847">
        <f>AA362/AA376</f>
        <v/>
      </c>
      <c r="AB371" s="1848">
        <f>AB362/AB376</f>
        <v/>
      </c>
      <c r="AC371" s="1848">
        <f>AC362/AC376</f>
        <v/>
      </c>
      <c r="AD371" s="1848">
        <f>AD362/AD376</f>
        <v/>
      </c>
      <c r="AE371" s="1848">
        <f>AE362/AE376</f>
        <v/>
      </c>
      <c r="AF371" s="1847">
        <f>AF362/AF376</f>
        <v/>
      </c>
      <c r="AG371" s="1848">
        <f>AG362/AG376</f>
        <v/>
      </c>
      <c r="AH371" s="1848">
        <f>AH362/AH376</f>
        <v/>
      </c>
      <c r="AI371" s="1848">
        <f>AI362/AI376</f>
        <v/>
      </c>
      <c r="AJ371" s="1848">
        <f>AJ362/AJ376</f>
        <v/>
      </c>
      <c r="AK371" s="1847">
        <f>AK362/AK376</f>
        <v/>
      </c>
      <c r="AL371" s="1848">
        <f>AL362/AL376</f>
        <v/>
      </c>
      <c r="AM371" s="1848">
        <f>AM362/AM376</f>
        <v/>
      </c>
      <c r="AN371" s="1848">
        <f>AN362/AN376</f>
        <v/>
      </c>
      <c r="AO371" s="1848">
        <f>AO362/AO376</f>
        <v/>
      </c>
      <c r="AP371" s="1847">
        <f>AP362/AP376</f>
        <v/>
      </c>
      <c r="AQ371" s="1848">
        <f>AQ362/AQ376</f>
        <v/>
      </c>
      <c r="AR371" s="1848">
        <f>AR362/AR376</f>
        <v/>
      </c>
      <c r="AS371" s="1848">
        <f>AS362/AS376</f>
        <v/>
      </c>
      <c r="AT371" s="1848">
        <f>AT362/AT376</f>
        <v/>
      </c>
      <c r="AU371" s="1847">
        <f>AU362/AU376</f>
        <v/>
      </c>
      <c r="AV371" s="1848">
        <f>AV362/AV376</f>
        <v/>
      </c>
      <c r="AW371" s="1848">
        <f>AW362/AW376</f>
        <v/>
      </c>
      <c r="AX371" s="1848">
        <f>AX362/AX376</f>
        <v/>
      </c>
      <c r="AY371" s="1848">
        <f>AY362/AY376</f>
        <v/>
      </c>
      <c r="AZ371" s="1847">
        <f>AZ362/AZ376</f>
        <v/>
      </c>
      <c r="BA371" s="1848">
        <f>BA362/BA376</f>
        <v/>
      </c>
      <c r="BB371" s="1848">
        <f>BB362/BB376</f>
        <v/>
      </c>
      <c r="BC371" s="1848">
        <f>BC362/BC376</f>
        <v/>
      </c>
      <c r="BD371" s="1848">
        <f>BD362/BD376</f>
        <v/>
      </c>
      <c r="BE371" s="1847">
        <f>BE362/BE376</f>
        <v/>
      </c>
      <c r="BF371" s="1848">
        <f>BF362/BF376</f>
        <v/>
      </c>
      <c r="BG371" s="1848">
        <f>BG362/BG376</f>
        <v/>
      </c>
      <c r="BH371" s="1848">
        <f>BH362/BH376</f>
        <v/>
      </c>
      <c r="BI371" s="1848">
        <f>BI362/BI376</f>
        <v/>
      </c>
      <c r="BJ371" s="1847">
        <f>BJ362/BJ376</f>
        <v/>
      </c>
      <c r="BK371" s="1848">
        <f>BK362/BK376</f>
        <v/>
      </c>
      <c r="BL371" s="1848">
        <f>BL362/BL376</f>
        <v/>
      </c>
      <c r="BM371" s="1848">
        <f>BM362/BM376</f>
        <v/>
      </c>
      <c r="BN371" s="1848">
        <f>BN362/BN376</f>
        <v/>
      </c>
      <c r="BO371" s="1849">
        <f>BO362/BO376</f>
        <v/>
      </c>
      <c r="BP371" s="1850">
        <f>BP362/BP376</f>
        <v/>
      </c>
      <c r="BQ371" s="1850">
        <f>BQ362/BQ376</f>
        <v/>
      </c>
      <c r="BR371" s="1850">
        <f>BR362/BR376</f>
        <v/>
      </c>
      <c r="BS371" s="1850">
        <f>BS362/BS376</f>
        <v/>
      </c>
      <c r="BT371" s="1851">
        <f>BT362/BT376</f>
        <v/>
      </c>
      <c r="BU371" s="1850">
        <f>BU362/BU376</f>
        <v/>
      </c>
      <c r="BV371" s="1850">
        <f>BV362/BV376</f>
        <v/>
      </c>
      <c r="BW371" s="1850">
        <f>BW362/BW376</f>
        <v/>
      </c>
      <c r="BX371" s="1850">
        <f>BX362/BX376</f>
        <v/>
      </c>
      <c r="BY371" s="1851">
        <f>BY362/BY376</f>
        <v/>
      </c>
      <c r="BZ371" s="1851">
        <f>BZ362/BZ376</f>
        <v/>
      </c>
      <c r="CA371" s="1851">
        <f>CA362/CA376</f>
        <v/>
      </c>
      <c r="CB371" s="1851">
        <f>CB362/CB376</f>
        <v/>
      </c>
      <c r="CC371" s="1848" t="n"/>
    </row>
    <row r="372" ht="15" customFormat="1" customHeight="1" s="1844">
      <c r="A372" s="1845" t="inlineStr">
        <is>
          <t>Adjusted Earnings Per Share - WAD (No Adjustments)</t>
        </is>
      </c>
      <c r="B372" s="1846" t="n"/>
      <c r="C372" s="1847">
        <f>C365/C377</f>
        <v/>
      </c>
      <c r="D372" s="1847">
        <f>D365/D377</f>
        <v/>
      </c>
      <c r="E372" s="1847">
        <f>E365/E377</f>
        <v/>
      </c>
      <c r="F372" s="1847">
        <f>F365/F377</f>
        <v/>
      </c>
      <c r="G372" s="1847">
        <f>G365/G377</f>
        <v/>
      </c>
      <c r="H372" s="1848">
        <f>H365/H377</f>
        <v/>
      </c>
      <c r="I372" s="1848">
        <f>I365/I377</f>
        <v/>
      </c>
      <c r="J372" s="1848">
        <f>J365/J377</f>
        <v/>
      </c>
      <c r="K372" s="1848">
        <f>K365/K377</f>
        <v/>
      </c>
      <c r="L372" s="1847">
        <f>L365/L377</f>
        <v/>
      </c>
      <c r="M372" s="1848">
        <f>M365/M377</f>
        <v/>
      </c>
      <c r="N372" s="1848">
        <f>N365/N377</f>
        <v/>
      </c>
      <c r="O372" s="1848">
        <f>O365/O377</f>
        <v/>
      </c>
      <c r="P372" s="1848">
        <f>P365/P377</f>
        <v/>
      </c>
      <c r="Q372" s="1847">
        <f>Q365/Q377</f>
        <v/>
      </c>
      <c r="R372" s="1848">
        <f>R365/R377</f>
        <v/>
      </c>
      <c r="S372" s="1848">
        <f>S365/S377</f>
        <v/>
      </c>
      <c r="T372" s="1848">
        <f>T365/T377</f>
        <v/>
      </c>
      <c r="U372" s="1848">
        <f>U365/U377</f>
        <v/>
      </c>
      <c r="V372" s="1847">
        <f>V365/V377</f>
        <v/>
      </c>
      <c r="W372" s="1848">
        <f>W365/W377</f>
        <v/>
      </c>
      <c r="X372" s="1848">
        <f>X365/X377</f>
        <v/>
      </c>
      <c r="Y372" s="1848">
        <f>Y365/Y377</f>
        <v/>
      </c>
      <c r="Z372" s="1848">
        <f>Z365/Z377</f>
        <v/>
      </c>
      <c r="AA372" s="1847">
        <f>AA365/AA377</f>
        <v/>
      </c>
      <c r="AB372" s="1848">
        <f>AB365/AB377</f>
        <v/>
      </c>
      <c r="AC372" s="1848">
        <f>AC365/AC377</f>
        <v/>
      </c>
      <c r="AD372" s="1848">
        <f>AD365/AD377</f>
        <v/>
      </c>
      <c r="AE372" s="1848">
        <f>AE365/AE377</f>
        <v/>
      </c>
      <c r="AF372" s="1847">
        <f>AF365/AF377</f>
        <v/>
      </c>
      <c r="AG372" s="1848">
        <f>AG365/AG377</f>
        <v/>
      </c>
      <c r="AH372" s="1848">
        <f>AH365/AH377</f>
        <v/>
      </c>
      <c r="AI372" s="1848">
        <f>AI365/AI377</f>
        <v/>
      </c>
      <c r="AJ372" s="1848">
        <f>AJ365/AJ377</f>
        <v/>
      </c>
      <c r="AK372" s="1847">
        <f>AK365/AK377</f>
        <v/>
      </c>
      <c r="AL372" s="1848">
        <f>AL365/AL377</f>
        <v/>
      </c>
      <c r="AM372" s="1848">
        <f>AM365/AM377</f>
        <v/>
      </c>
      <c r="AN372" s="1848">
        <f>AN365/AN377</f>
        <v/>
      </c>
      <c r="AO372" s="1848">
        <f>AO365/AO377</f>
        <v/>
      </c>
      <c r="AP372" s="1847">
        <f>AP365/AP377</f>
        <v/>
      </c>
      <c r="AQ372" s="1848">
        <f>AQ365/AQ377</f>
        <v/>
      </c>
      <c r="AR372" s="1848">
        <f>AR365/AR377</f>
        <v/>
      </c>
      <c r="AS372" s="1848">
        <f>AS365/AS377</f>
        <v/>
      </c>
      <c r="AT372" s="1848">
        <f>AT365/AT377</f>
        <v/>
      </c>
      <c r="AU372" s="1847">
        <f>AU365/AU377</f>
        <v/>
      </c>
      <c r="AV372" s="1848">
        <f>AV365/AV377</f>
        <v/>
      </c>
      <c r="AW372" s="1848">
        <f>AW365/AW377</f>
        <v/>
      </c>
      <c r="AX372" s="1848">
        <f>AX365/AX377</f>
        <v/>
      </c>
      <c r="AY372" s="1848">
        <f>AY365/AY377</f>
        <v/>
      </c>
      <c r="AZ372" s="1847">
        <f>AZ365/AZ377</f>
        <v/>
      </c>
      <c r="BA372" s="1848">
        <f>BA365/BA377</f>
        <v/>
      </c>
      <c r="BB372" s="1848">
        <f>BB365/BB377</f>
        <v/>
      </c>
      <c r="BC372" s="1848">
        <f>BC365/BC377</f>
        <v/>
      </c>
      <c r="BD372" s="1848">
        <f>BD365/BD377</f>
        <v/>
      </c>
      <c r="BE372" s="1847">
        <f>BE365/BE377</f>
        <v/>
      </c>
      <c r="BF372" s="1848">
        <f>BF365/BF377</f>
        <v/>
      </c>
      <c r="BG372" s="1848">
        <f>BG365/BG377</f>
        <v/>
      </c>
      <c r="BH372" s="1848">
        <f>BH365/BH377</f>
        <v/>
      </c>
      <c r="BI372" s="1848">
        <f>BI365/BI377</f>
        <v/>
      </c>
      <c r="BJ372" s="1847">
        <f>BJ365/BJ377</f>
        <v/>
      </c>
      <c r="BK372" s="1848">
        <f>BK365/BK377</f>
        <v/>
      </c>
      <c r="BL372" s="1848">
        <f>BL365/BL377</f>
        <v/>
      </c>
      <c r="BM372" s="1848">
        <f>BM365/BM377</f>
        <v/>
      </c>
      <c r="BN372" s="1848">
        <f>BN365/BN377</f>
        <v/>
      </c>
      <c r="BO372" s="1849">
        <f>BO365/BO377</f>
        <v/>
      </c>
      <c r="BP372" s="1850">
        <f>BP365/BP377</f>
        <v/>
      </c>
      <c r="BQ372" s="1850">
        <f>BQ365/BQ377</f>
        <v/>
      </c>
      <c r="BR372" s="1850">
        <f>BR365/BR377</f>
        <v/>
      </c>
      <c r="BS372" s="1850">
        <f>BS365/BS377</f>
        <v/>
      </c>
      <c r="BT372" s="1851">
        <f>BT365/BT377</f>
        <v/>
      </c>
      <c r="BU372" s="1850">
        <f>BU365/BU377</f>
        <v/>
      </c>
      <c r="BV372" s="1850">
        <f>BV365/BV377</f>
        <v/>
      </c>
      <c r="BW372" s="1850">
        <f>BW365/BW377</f>
        <v/>
      </c>
      <c r="BX372" s="1850">
        <f>BX365/BX377</f>
        <v/>
      </c>
      <c r="BY372" s="1851">
        <f>BY365/BY377</f>
        <v/>
      </c>
      <c r="BZ372" s="1851">
        <f>BZ365/BZ377</f>
        <v/>
      </c>
      <c r="CA372" s="1851">
        <f>CA365/CA377</f>
        <v/>
      </c>
      <c r="CB372" s="1851">
        <f>CB365/CB377</f>
        <v/>
      </c>
      <c r="CC372" s="1848" t="n"/>
    </row>
    <row r="373" ht="15" customFormat="1" customHeight="1" s="1852">
      <c r="A373" s="1853">
        <f>CONCATENATE("Consensus Estimates - ",IFERROR(LEFT(A372,FIND("(",A372)-1),A372))</f>
        <v/>
      </c>
      <c r="B373" s="1854" t="n"/>
      <c r="C373" s="1855" t="n"/>
      <c r="D373" s="1855" t="n"/>
      <c r="E373" s="1855" t="n"/>
      <c r="F373" s="1855" t="n"/>
      <c r="G373" s="1855" t="n"/>
      <c r="H373" s="1856" t="n"/>
      <c r="I373" s="1856" t="n"/>
      <c r="J373" s="1856" t="n"/>
      <c r="K373" s="1856" t="n"/>
      <c r="L373" s="1855" t="n"/>
      <c r="M373" s="1856" t="n"/>
      <c r="N373" s="1856" t="n"/>
      <c r="O373" s="1856" t="n"/>
      <c r="P373" s="1856" t="n"/>
      <c r="Q373" s="1855" t="n"/>
      <c r="R373" s="1856" t="n"/>
      <c r="S373" s="1857" t="n"/>
      <c r="T373" s="1856" t="n"/>
      <c r="U373" s="1856" t="n"/>
      <c r="V373" s="1855" t="n"/>
      <c r="W373" s="1856" t="n"/>
      <c r="X373" s="1857" t="n"/>
      <c r="Y373" s="1856" t="n"/>
      <c r="Z373" s="1856" t="n"/>
      <c r="AA373" s="1855" t="n"/>
      <c r="AB373" s="1856" t="n"/>
      <c r="AC373" s="1857" t="n"/>
      <c r="AD373" s="1856" t="n"/>
      <c r="AE373" s="1856" t="n"/>
      <c r="AF373" s="1855" t="n"/>
      <c r="AG373" s="1856" t="n"/>
      <c r="AH373" s="1857" t="n"/>
      <c r="AI373" s="1856" t="n"/>
      <c r="AJ373" s="1856" t="n"/>
      <c r="AK373" s="1855" t="n"/>
      <c r="AL373" s="1856" t="n"/>
      <c r="AM373" s="1857" t="n"/>
      <c r="AN373" s="1856" t="n"/>
      <c r="AO373" s="1856" t="n"/>
      <c r="AP373" s="1855" t="n"/>
      <c r="AQ373" s="1856" t="n"/>
      <c r="AR373" s="1857" t="n"/>
      <c r="AS373" s="1856" t="n"/>
      <c r="AT373" s="1856" t="n"/>
      <c r="AU373" s="1855" t="n"/>
      <c r="AV373" s="1856" t="n"/>
      <c r="AW373" s="1857" t="n"/>
      <c r="AX373" s="1856" t="n"/>
      <c r="AY373" s="1856" t="n"/>
      <c r="AZ373" s="1855" t="n"/>
      <c r="BA373" s="1856" t="n"/>
      <c r="BB373" s="1857" t="n"/>
      <c r="BC373" s="1856" t="n"/>
      <c r="BD373" s="1856" t="n"/>
      <c r="BE373" s="1855" t="n"/>
      <c r="BF373" s="1856" t="n"/>
      <c r="BG373" s="1857" t="n"/>
      <c r="BH373" s="1856" t="n"/>
      <c r="BI373" s="1856" t="n"/>
      <c r="BJ373" s="1855" t="n"/>
      <c r="BK373" s="1856" t="n"/>
      <c r="BL373" s="1857" t="n"/>
      <c r="BM373" s="1856" t="n"/>
      <c r="BN373" s="1856" t="n"/>
      <c r="BO373" s="1858" t="n"/>
      <c r="BP373" s="1859">
        <f>IFERROR(VLOOKUP($A373,tb_ConsensusEstimate,MATCH(BP$5,OFFSET(tb_ConsensusEstimate,0,0,1,COLUMNS(tb_ConsensusEstimate)),0),FALSE),"-")</f>
        <v/>
      </c>
      <c r="BQ373" s="1859">
        <f>IFERROR(VLOOKUP($A373,tb_ConsensusEstimate,MATCH(BQ$5,OFFSET(tb_ConsensusEstimate,0,0,1,COLUMNS(tb_ConsensusEstimate)),0),FALSE),"-")</f>
        <v/>
      </c>
      <c r="BR373" s="1859">
        <f>IFERROR(VLOOKUP($A373,tb_ConsensusEstimate,MATCH(BR$5,OFFSET(tb_ConsensusEstimate,0,0,1,COLUMNS(tb_ConsensusEstimate)),0),FALSE),"-")</f>
        <v/>
      </c>
      <c r="BS373" s="1859">
        <f>IFERROR(VLOOKUP($A373,tb_ConsensusEstimate,MATCH(BS$5,OFFSET(tb_ConsensusEstimate,0,0,1,COLUMNS(tb_ConsensusEstimate)),0),FALSE),"-")</f>
        <v/>
      </c>
      <c r="BT373" s="1860">
        <f>IFERROR(VLOOKUP($A373,tb_ConsensusEstimate,MATCH(BT$5,OFFSET(tb_ConsensusEstimate,0,0,1,COLUMNS(tb_ConsensusEstimate)),0),FALSE),"-")</f>
        <v/>
      </c>
      <c r="BU373" s="1859">
        <f>IFERROR(VLOOKUP($A373,tb_ConsensusEstimate,MATCH(BU$5,OFFSET(tb_ConsensusEstimate,0,0,1,COLUMNS(tb_ConsensusEstimate)),0),FALSE),"-")</f>
        <v/>
      </c>
      <c r="BV373" s="1859">
        <f>IFERROR(VLOOKUP($A373,tb_ConsensusEstimate,MATCH(BV$5,OFFSET(tb_ConsensusEstimate,0,0,1,COLUMNS(tb_ConsensusEstimate)),0),FALSE),"-")</f>
        <v/>
      </c>
      <c r="BW373" s="1859">
        <f>IFERROR(VLOOKUP($A373,tb_ConsensusEstimate,MATCH(BW$5,OFFSET(tb_ConsensusEstimate,0,0,1,COLUMNS(tb_ConsensusEstimate)),0),FALSE),"-")</f>
        <v/>
      </c>
      <c r="BX373" s="1859">
        <f>IFERROR(VLOOKUP($A373,tb_ConsensusEstimate,MATCH(BX$5,OFFSET(tb_ConsensusEstimate,0,0,1,COLUMNS(tb_ConsensusEstimate)),0),FALSE),"-")</f>
        <v/>
      </c>
      <c r="BY373" s="1860">
        <f>IFERROR(VLOOKUP($A373,tb_ConsensusEstimate,MATCH(BY$5,OFFSET(tb_ConsensusEstimate,0,0,1,COLUMNS(tb_ConsensusEstimate)),0),FALSE),"-")</f>
        <v/>
      </c>
      <c r="BZ373" s="1860">
        <f>IFERROR(VLOOKUP($A373,tb_ConsensusEstimate,MATCH(BZ$5,OFFSET(tb_ConsensusEstimate,0,0,1,COLUMNS(tb_ConsensusEstimate)),0),FALSE),"-")</f>
        <v/>
      </c>
      <c r="CA373" s="1860">
        <f>IFERROR(VLOOKUP($A373,tb_ConsensusEstimate,MATCH(CA$5,OFFSET(tb_ConsensusEstimate,0,0,1,COLUMNS(tb_ConsensusEstimate)),0),FALSE),"-")</f>
        <v/>
      </c>
      <c r="CB373" s="1860">
        <f>IFERROR(VLOOKUP($A373,tb_ConsensusEstimate,MATCH(CB$5,OFFSET(tb_ConsensusEstimate,0,0,1,COLUMNS(tb_ConsensusEstimate)),0),FALSE),"-")</f>
        <v/>
      </c>
      <c r="CC373" s="1856" t="n"/>
    </row>
    <row r="374" ht="15" customFormat="1" customHeight="1" s="1561">
      <c r="A374" s="1562" t="n"/>
      <c r="B374" s="1705" t="n"/>
      <c r="C374" s="1637" t="n"/>
      <c r="D374" s="1637" t="n"/>
      <c r="E374" s="1637" t="n"/>
      <c r="F374" s="1637" t="n"/>
      <c r="G374" s="1637" t="n"/>
      <c r="H374" s="1562" t="n"/>
      <c r="I374" s="1562" t="n"/>
      <c r="J374" s="1562" t="n"/>
      <c r="K374" s="1562" t="n"/>
      <c r="L374" s="1637" t="n"/>
      <c r="M374" s="1562" t="n"/>
      <c r="N374" s="1562" t="n"/>
      <c r="O374" s="1562" t="n"/>
      <c r="P374" s="1562" t="n"/>
      <c r="Q374" s="1637" t="n"/>
      <c r="R374" s="1562" t="n"/>
      <c r="S374" s="1562" t="n"/>
      <c r="T374" s="1562" t="n"/>
      <c r="U374" s="1562" t="n"/>
      <c r="V374" s="1637" t="n"/>
      <c r="W374" s="1562" t="n"/>
      <c r="X374" s="1562" t="n"/>
      <c r="Y374" s="1562" t="n"/>
      <c r="Z374" s="1562" t="n"/>
      <c r="AA374" s="1637" t="n"/>
      <c r="AB374" s="1562" t="n"/>
      <c r="AC374" s="1562" t="n"/>
      <c r="AD374" s="1562" t="n"/>
      <c r="AE374" s="1562" t="n"/>
      <c r="AF374" s="1637" t="n"/>
      <c r="AG374" s="1562" t="n"/>
      <c r="AH374" s="1562" t="n"/>
      <c r="AI374" s="1562" t="n"/>
      <c r="AJ374" s="1562" t="n"/>
      <c r="AK374" s="1637" t="n"/>
      <c r="AL374" s="1562" t="n"/>
      <c r="AM374" s="1562" t="n"/>
      <c r="AN374" s="1562" t="n"/>
      <c r="AO374" s="1562" t="n"/>
      <c r="AP374" s="1637" t="n"/>
      <c r="AQ374" s="1562" t="n"/>
      <c r="AR374" s="1562" t="n"/>
      <c r="AS374" s="1562" t="n"/>
      <c r="AT374" s="1562" t="n"/>
      <c r="AU374" s="1637" t="n"/>
      <c r="AV374" s="1562" t="n"/>
      <c r="AW374" s="1562" t="n"/>
      <c r="AX374" s="1562" t="n"/>
      <c r="AY374" s="1562" t="n"/>
      <c r="AZ374" s="1637" t="n"/>
      <c r="BA374" s="1562" t="n"/>
      <c r="BB374" s="1562" t="n"/>
      <c r="BC374" s="1562" t="n"/>
      <c r="BD374" s="1562" t="n"/>
      <c r="BE374" s="1637" t="n"/>
      <c r="BF374" s="1562" t="n"/>
      <c r="BG374" s="1562" t="n"/>
      <c r="BH374" s="1562" t="n"/>
      <c r="BI374" s="1562" t="n"/>
      <c r="BJ374" s="1637" t="n"/>
      <c r="BK374" s="1562" t="n"/>
      <c r="BL374" s="1562" t="n"/>
      <c r="BM374" s="1562" t="n"/>
      <c r="BN374" s="1562" t="n"/>
      <c r="BO374" s="1638" t="n"/>
      <c r="BP374" s="1562" t="n"/>
      <c r="BQ374" s="1562" t="n"/>
      <c r="BR374" s="1562" t="n"/>
      <c r="BS374" s="1562" t="n"/>
      <c r="BT374" s="1637" t="n"/>
      <c r="BU374" s="1562" t="n"/>
      <c r="BV374" s="1562" t="n"/>
      <c r="BW374" s="1562" t="n"/>
      <c r="BX374" s="1562" t="n"/>
      <c r="BY374" s="1637" t="n"/>
      <c r="BZ374" s="1637" t="n"/>
      <c r="CA374" s="1637" t="n"/>
      <c r="CB374" s="1637" t="n"/>
      <c r="CC374" s="1564" t="n"/>
    </row>
    <row r="375" ht="15" customFormat="1" customHeight="1" s="1561">
      <c r="A375" s="1564" t="inlineStr">
        <is>
          <t>Shares Outstanding - WAB</t>
        </is>
      </c>
      <c r="B375" s="1705" t="n"/>
      <c r="C375" s="1787" t="n">
        <v>432.615</v>
      </c>
      <c r="D375" s="1787" t="n">
        <v>435.146</v>
      </c>
      <c r="E375" s="1787" t="n">
        <v>425.618</v>
      </c>
      <c r="F375" s="1787" t="n">
        <v>424.096</v>
      </c>
      <c r="G375" s="1787" t="n">
        <v>429.77</v>
      </c>
      <c r="H375" s="1861" t="n">
        <v>440</v>
      </c>
      <c r="I375" s="1861" t="n">
        <v>438.5</v>
      </c>
      <c r="J375" s="1861" t="n">
        <v>436.1</v>
      </c>
      <c r="K375" s="1861" t="n">
        <v>434.1</v>
      </c>
      <c r="L375" s="1787" t="n">
        <v>437.142</v>
      </c>
      <c r="M375" s="1861" t="n">
        <v>432.6</v>
      </c>
      <c r="N375" s="1861" t="n">
        <v>431.4</v>
      </c>
      <c r="O375" s="1861" t="n">
        <v>429.9</v>
      </c>
      <c r="P375" s="1861" t="n">
        <v>428.8</v>
      </c>
      <c r="Q375" s="1787" t="n">
        <v>430.639</v>
      </c>
      <c r="R375" s="1861" t="n">
        <v>427</v>
      </c>
      <c r="S375" s="1714" t="n">
        <v>424.5</v>
      </c>
      <c r="T375" s="1714" t="n">
        <v>423.8</v>
      </c>
      <c r="U375" s="1714" t="n">
        <v>427.1</v>
      </c>
      <c r="V375" s="1706" t="n">
        <v>425.6</v>
      </c>
      <c r="W375" s="1714" t="n">
        <v>430.1</v>
      </c>
      <c r="X375" s="1714" t="n">
        <v>430.4</v>
      </c>
      <c r="Y375" s="1714" t="n">
        <v>430.1</v>
      </c>
      <c r="Z375" s="1714" t="n">
        <v>428.4</v>
      </c>
      <c r="AA375" s="1706" t="n">
        <v>429.8</v>
      </c>
      <c r="AB375" s="1714" t="n">
        <v>427.2</v>
      </c>
      <c r="AC375" s="1714" t="n">
        <v>426</v>
      </c>
      <c r="AD375" s="1714" t="n">
        <v>424.3</v>
      </c>
      <c r="AE375" s="1714" t="n">
        <v>422.2</v>
      </c>
      <c r="AF375" s="1706" t="n">
        <v>424.9</v>
      </c>
      <c r="AG375" s="1714" t="n">
        <v>421.1</v>
      </c>
      <c r="AH375" s="1714" t="n">
        <v>421.1</v>
      </c>
      <c r="AI375" s="1714" t="n">
        <v>420.9</v>
      </c>
      <c r="AJ375" s="1714" t="n">
        <v>420.1</v>
      </c>
      <c r="AK375" s="1706" t="n">
        <v>420.8</v>
      </c>
      <c r="AL375" s="1714" t="n">
        <v>419</v>
      </c>
      <c r="AM375" s="1714" t="n">
        <v>418.4</v>
      </c>
      <c r="AN375" s="1714" t="n">
        <v>418.4</v>
      </c>
      <c r="AO375" s="1714" t="n">
        <v>417.5</v>
      </c>
      <c r="AP375" s="1706" t="n">
        <v>418.3</v>
      </c>
      <c r="AQ375" s="1714" t="n">
        <v>415.3</v>
      </c>
      <c r="AR375" s="1714" t="n">
        <v>411.5</v>
      </c>
      <c r="AS375" s="1714" t="n">
        <v>407.9</v>
      </c>
      <c r="AT375" s="1714" t="n">
        <v>404.3</v>
      </c>
      <c r="AU375" s="1706" t="n">
        <v>409.8</v>
      </c>
      <c r="AV375" s="1714" t="n">
        <v>401.1</v>
      </c>
      <c r="AW375" s="1714" t="n">
        <v>398.3</v>
      </c>
      <c r="AX375" s="1714" t="n">
        <v>396.2</v>
      </c>
      <c r="AY375" s="1714" t="n">
        <v>394.9</v>
      </c>
      <c r="AZ375" s="1706" t="n">
        <v>397.7</v>
      </c>
      <c r="BA375" s="1714" t="n">
        <v>394.5</v>
      </c>
      <c r="BB375" s="1714" t="n">
        <v>393.8</v>
      </c>
      <c r="BC375" s="1714" t="n">
        <v>393.4</v>
      </c>
      <c r="BD375" s="1714" t="n">
        <v>393.4</v>
      </c>
      <c r="BE375" s="1706" t="n">
        <v>393.8</v>
      </c>
      <c r="BF375" s="1714" t="n">
        <v>393.4</v>
      </c>
      <c r="BG375" s="1714" t="n">
        <v>393.2</v>
      </c>
      <c r="BH375" s="1714" t="n">
        <v>393.2</v>
      </c>
      <c r="BI375" s="1714" t="n">
        <v>393.3</v>
      </c>
      <c r="BJ375" s="1706" t="n">
        <v>393.3</v>
      </c>
      <c r="BK375" s="1714" t="n">
        <v>392.3</v>
      </c>
      <c r="BL375" s="1714" t="n">
        <v>388.2</v>
      </c>
      <c r="BM375" s="1714" t="n">
        <v>387.3</v>
      </c>
      <c r="BN375" s="1714" t="n">
        <v>386.5</v>
      </c>
      <c r="BO375" s="1788" t="n">
        <v>388.5</v>
      </c>
      <c r="BP375" s="1562">
        <f>AVERAGE(BO380,BP380)</f>
        <v/>
      </c>
      <c r="BQ375" s="1562">
        <f>AVERAGE(BP380,BQ380)</f>
        <v/>
      </c>
      <c r="BR375" s="1562">
        <f>AVERAGE(BQ380,BR380)</f>
        <v/>
      </c>
      <c r="BS375" s="1562">
        <f>AVERAGE(BR380,BS380)</f>
        <v/>
      </c>
      <c r="BT375" s="1637">
        <f>SUM(BP375*BP3,BQ375*BQ3,BR375*BR3,BS375*BS3)/BT3</f>
        <v/>
      </c>
      <c r="BU375" s="1562">
        <f>AVERAGE(BT380,BU380)</f>
        <v/>
      </c>
      <c r="BV375" s="1562">
        <f>AVERAGE(BU380,BV380)</f>
        <v/>
      </c>
      <c r="BW375" s="1562">
        <f>AVERAGE(BV380,BW380)</f>
        <v/>
      </c>
      <c r="BX375" s="1562">
        <f>AVERAGE(BW380,BX380)</f>
        <v/>
      </c>
      <c r="BY375" s="1637">
        <f>SUM(BU375*BU3,BV375*BV3,BW375*BW3,BX375*BX3)/BY3</f>
        <v/>
      </c>
      <c r="BZ375" s="1637">
        <f>AVERAGE(BY380,BZ380)</f>
        <v/>
      </c>
      <c r="CA375" s="1637">
        <f>AVERAGE(BZ380,CA380)</f>
        <v/>
      </c>
      <c r="CB375" s="1637">
        <f>AVERAGE(CA380,CB380)</f>
        <v/>
      </c>
      <c r="CC375" s="1564" t="n"/>
    </row>
    <row r="376" ht="15" customFormat="1" customHeight="1" s="1561">
      <c r="A376" s="1564" t="inlineStr">
        <is>
          <t>Shares Outstanding - WAD</t>
        </is>
      </c>
      <c r="B376" s="1705" t="n"/>
      <c r="C376" s="1787" t="n">
        <v>432.615</v>
      </c>
      <c r="D376" s="1787" t="n">
        <v>438.974</v>
      </c>
      <c r="E376" s="1787" t="n">
        <v>429.053</v>
      </c>
      <c r="F376" s="1787" t="n">
        <v>426.986</v>
      </c>
      <c r="G376" s="1787" t="n">
        <v>433.446</v>
      </c>
      <c r="H376" s="1861" t="n">
        <v>443.5</v>
      </c>
      <c r="I376" s="1861" t="n">
        <v>441.6</v>
      </c>
      <c r="J376" s="1861" t="n">
        <v>439</v>
      </c>
      <c r="K376" s="1861" t="n">
        <v>436.7</v>
      </c>
      <c r="L376" s="1787" t="n">
        <v>439.693</v>
      </c>
      <c r="M376" s="1861" t="n">
        <v>435.3</v>
      </c>
      <c r="N376" s="1861" t="n">
        <v>433.8</v>
      </c>
      <c r="O376" s="1861" t="n">
        <v>432.3</v>
      </c>
      <c r="P376" s="1861" t="n">
        <v>430.8</v>
      </c>
      <c r="Q376" s="1787" t="n">
        <v>432.644</v>
      </c>
      <c r="R376" s="1861" t="n">
        <v>429.1</v>
      </c>
      <c r="S376" s="1714" t="n">
        <v>426.5</v>
      </c>
      <c r="T376" s="1714" t="n">
        <v>425.8</v>
      </c>
      <c r="U376" s="1714" t="n">
        <v>429.2</v>
      </c>
      <c r="V376" s="1706" t="n">
        <v>427.7</v>
      </c>
      <c r="W376" s="1714" t="n">
        <v>432.3</v>
      </c>
      <c r="X376" s="1714" t="n">
        <v>432.4</v>
      </c>
      <c r="Y376" s="1714" t="n">
        <v>432</v>
      </c>
      <c r="Z376" s="1714" t="n">
        <v>430.3</v>
      </c>
      <c r="AA376" s="1706" t="n">
        <v>431.6</v>
      </c>
      <c r="AB376" s="1714" t="n">
        <v>428.9</v>
      </c>
      <c r="AC376" s="1714" t="n">
        <v>427.6</v>
      </c>
      <c r="AD376" s="1714" t="n">
        <v>425.9</v>
      </c>
      <c r="AE376" s="1714" t="n">
        <v>423.6</v>
      </c>
      <c r="AF376" s="1706" t="n">
        <v>426.4</v>
      </c>
      <c r="AG376" s="1714" t="n">
        <v>422.5</v>
      </c>
      <c r="AH376" s="1714" t="n">
        <v>421.8</v>
      </c>
      <c r="AI376" s="1714" t="n">
        <v>421.7</v>
      </c>
      <c r="AJ376" s="1714" t="n">
        <v>421.1</v>
      </c>
      <c r="AK376" s="1706" t="n">
        <v>421.6</v>
      </c>
      <c r="AL376" s="1714" t="n">
        <v>419.7</v>
      </c>
      <c r="AM376" s="1714" t="n">
        <v>419</v>
      </c>
      <c r="AN376" s="1714" t="n">
        <v>419.2</v>
      </c>
      <c r="AO376" s="1714" t="n">
        <v>418.4</v>
      </c>
      <c r="AP376" s="1706" t="n">
        <v>419.1</v>
      </c>
      <c r="AQ376" s="1714" t="n">
        <v>415.8</v>
      </c>
      <c r="AR376" s="1714" t="n">
        <v>412</v>
      </c>
      <c r="AS376" s="1714" t="n">
        <v>408.6</v>
      </c>
      <c r="AT376" s="1714" t="n">
        <v>405</v>
      </c>
      <c r="AU376" s="1706" t="n">
        <v>410.4</v>
      </c>
      <c r="AV376" s="1714" t="n">
        <v>401.5</v>
      </c>
      <c r="AW376" s="1714" t="n">
        <v>398.6</v>
      </c>
      <c r="AX376" s="1714" t="n">
        <v>396.6</v>
      </c>
      <c r="AY376" s="1714" t="n">
        <v>395.2</v>
      </c>
      <c r="AZ376" s="1706" t="n">
        <v>398.1</v>
      </c>
      <c r="BA376" s="1714" t="n">
        <v>394.8</v>
      </c>
      <c r="BB376" s="1714" t="n">
        <v>394</v>
      </c>
      <c r="BC376" s="1714" t="n">
        <v>393.7</v>
      </c>
      <c r="BD376" s="1714" t="n">
        <v>393.8</v>
      </c>
      <c r="BE376" s="1706" t="n">
        <v>394.1</v>
      </c>
      <c r="BF376" s="1714" t="n">
        <v>393.7</v>
      </c>
      <c r="BG376" s="1714" t="n">
        <v>393.5</v>
      </c>
      <c r="BH376" s="1714" t="n">
        <v>393.6</v>
      </c>
      <c r="BI376" s="1714" t="n">
        <v>393.6</v>
      </c>
      <c r="BJ376" s="1706" t="n">
        <v>393.6</v>
      </c>
      <c r="BK376" s="1714" t="n">
        <v>392.5</v>
      </c>
      <c r="BL376" s="1714" t="n">
        <v>388.4</v>
      </c>
      <c r="BM376" s="1714" t="n">
        <v>387.6</v>
      </c>
      <c r="BN376" s="1714" t="n">
        <v>387</v>
      </c>
      <c r="BO376" s="1788" t="n">
        <v>388.9</v>
      </c>
      <c r="BP376" s="1562">
        <f>IF(BP362&lt;0,BP375,AVERAGE(BO394,BP394))</f>
        <v/>
      </c>
      <c r="BQ376" s="1562">
        <f>IF(BQ362&lt;0,BQ375,AVERAGE(BP394,BQ394))</f>
        <v/>
      </c>
      <c r="BR376" s="1562">
        <f>IF(BR362&lt;0,BR375,AVERAGE(BQ394,BR394))</f>
        <v/>
      </c>
      <c r="BS376" s="1562">
        <f>IF(BS362&lt;0,BS375,AVERAGE(BR394,BS394))</f>
        <v/>
      </c>
      <c r="BT376" s="1637">
        <f>IF(BT362&lt;0,BT375,SUM(AVERAGE(BO394,BP394)*BP3,AVERAGE(BP394,BQ394)*BQ3,AVERAGE(BQ394,BR394)*BR3,AVERAGE(BR394,BS394)*BS3)/BT3)</f>
        <v/>
      </c>
      <c r="BU376" s="1562">
        <f>IF(BU362&lt;0,BU375,AVERAGE(BT394,BU394))</f>
        <v/>
      </c>
      <c r="BV376" s="1562">
        <f>IF(BV362&lt;0,BV375,AVERAGE(BU394,BV394))</f>
        <v/>
      </c>
      <c r="BW376" s="1562">
        <f>IF(BW362&lt;0,BW375,AVERAGE(BV394,BW394))</f>
        <v/>
      </c>
      <c r="BX376" s="1562">
        <f>IF(BX362&lt;0,BX375,AVERAGE(BW394,BX394))</f>
        <v/>
      </c>
      <c r="BY376" s="1637">
        <f>IF(BY362&lt;0,BY375,SUM(AVERAGE(BT394,BU394)*BU3,AVERAGE(BU394,BV394)*BV3,AVERAGE(BV394,BW394)*BW3,AVERAGE(BW394,BX394)*BX3)/BY3)</f>
        <v/>
      </c>
      <c r="BZ376" s="1637">
        <f>IF(BZ362&lt;0,BZ375,AVERAGE(BY394,BZ394))</f>
        <v/>
      </c>
      <c r="CA376" s="1637">
        <f>IF(CA362&lt;0,CA375,AVERAGE(BZ394,CA394))</f>
        <v/>
      </c>
      <c r="CB376" s="1637">
        <f>IF(CB362&lt;0,CB375,AVERAGE(CA394,CB394))</f>
        <v/>
      </c>
      <c r="CC376" s="1564" t="n"/>
    </row>
    <row r="377" ht="15" customFormat="1" customHeight="1" s="1561">
      <c r="A377" s="1564" t="inlineStr">
        <is>
          <t>Adjusted Shares Outstanding - WAD</t>
        </is>
      </c>
      <c r="B377" s="1705" t="n"/>
      <c r="C377" s="1862">
        <f>C376</f>
        <v/>
      </c>
      <c r="D377" s="1862">
        <f>D376</f>
        <v/>
      </c>
      <c r="E377" s="1862">
        <f>E376</f>
        <v/>
      </c>
      <c r="F377" s="1862">
        <f>F376</f>
        <v/>
      </c>
      <c r="G377" s="1862">
        <f>G376</f>
        <v/>
      </c>
      <c r="H377" s="1863">
        <f>H376</f>
        <v/>
      </c>
      <c r="I377" s="1863">
        <f>I376</f>
        <v/>
      </c>
      <c r="J377" s="1863">
        <f>J376</f>
        <v/>
      </c>
      <c r="K377" s="1863">
        <f>K376</f>
        <v/>
      </c>
      <c r="L377" s="1862">
        <f>L376</f>
        <v/>
      </c>
      <c r="M377" s="1863">
        <f>M376</f>
        <v/>
      </c>
      <c r="N377" s="1863">
        <f>N376</f>
        <v/>
      </c>
      <c r="O377" s="1863">
        <f>O376</f>
        <v/>
      </c>
      <c r="P377" s="1863">
        <f>P376</f>
        <v/>
      </c>
      <c r="Q377" s="1862">
        <f>Q376</f>
        <v/>
      </c>
      <c r="R377" s="1863">
        <f>R376</f>
        <v/>
      </c>
      <c r="S377" s="1564">
        <f>S376</f>
        <v/>
      </c>
      <c r="T377" s="1564">
        <f>T376</f>
        <v/>
      </c>
      <c r="U377" s="1564">
        <f>U376</f>
        <v/>
      </c>
      <c r="V377" s="1713">
        <f>V376</f>
        <v/>
      </c>
      <c r="W377" s="1564">
        <f>W376</f>
        <v/>
      </c>
      <c r="X377" s="1564">
        <f>X376</f>
        <v/>
      </c>
      <c r="Y377" s="1564">
        <f>Y376</f>
        <v/>
      </c>
      <c r="Z377" s="1564">
        <f>Z376</f>
        <v/>
      </c>
      <c r="AA377" s="1713">
        <f>AA376</f>
        <v/>
      </c>
      <c r="AB377" s="1564">
        <f>AB376</f>
        <v/>
      </c>
      <c r="AC377" s="1564">
        <f>AC376</f>
        <v/>
      </c>
      <c r="AD377" s="1564">
        <f>AD376</f>
        <v/>
      </c>
      <c r="AE377" s="1564">
        <f>AE376</f>
        <v/>
      </c>
      <c r="AF377" s="1713">
        <f>AF376</f>
        <v/>
      </c>
      <c r="AG377" s="1564">
        <f>AG376</f>
        <v/>
      </c>
      <c r="AH377" s="1564">
        <f>AH376</f>
        <v/>
      </c>
      <c r="AI377" s="1564">
        <f>AI376</f>
        <v/>
      </c>
      <c r="AJ377" s="1564">
        <f>AJ376</f>
        <v/>
      </c>
      <c r="AK377" s="1713">
        <f>AK376</f>
        <v/>
      </c>
      <c r="AL377" s="1564">
        <f>AL376</f>
        <v/>
      </c>
      <c r="AM377" s="1564">
        <f>AM376</f>
        <v/>
      </c>
      <c r="AN377" s="1564">
        <f>AN376</f>
        <v/>
      </c>
      <c r="AO377" s="1564">
        <f>AO376</f>
        <v/>
      </c>
      <c r="AP377" s="1713">
        <f>AP376</f>
        <v/>
      </c>
      <c r="AQ377" s="1564">
        <f>AQ376</f>
        <v/>
      </c>
      <c r="AR377" s="1564">
        <f>AR376</f>
        <v/>
      </c>
      <c r="AS377" s="1564">
        <f>AS376</f>
        <v/>
      </c>
      <c r="AT377" s="1564">
        <f>AT376</f>
        <v/>
      </c>
      <c r="AU377" s="1713">
        <f>AU376</f>
        <v/>
      </c>
      <c r="AV377" s="1564">
        <f>AV376</f>
        <v/>
      </c>
      <c r="AW377" s="1564">
        <f>AW376</f>
        <v/>
      </c>
      <c r="AX377" s="1564">
        <f>AX376</f>
        <v/>
      </c>
      <c r="AY377" s="1564">
        <f>AY376</f>
        <v/>
      </c>
      <c r="AZ377" s="1713">
        <f>AZ376</f>
        <v/>
      </c>
      <c r="BA377" s="1564">
        <f>BA376</f>
        <v/>
      </c>
      <c r="BB377" s="1564">
        <f>BB376</f>
        <v/>
      </c>
      <c r="BC377" s="1564">
        <f>BC376</f>
        <v/>
      </c>
      <c r="BD377" s="1564">
        <f>BD376</f>
        <v/>
      </c>
      <c r="BE377" s="1713">
        <f>BE376</f>
        <v/>
      </c>
      <c r="BF377" s="1564">
        <f>BF376</f>
        <v/>
      </c>
      <c r="BG377" s="1564">
        <f>BG376</f>
        <v/>
      </c>
      <c r="BH377" s="1564">
        <f>BH376</f>
        <v/>
      </c>
      <c r="BI377" s="1564">
        <f>BI376</f>
        <v/>
      </c>
      <c r="BJ377" s="1713">
        <f>BJ376</f>
        <v/>
      </c>
      <c r="BK377" s="1564">
        <f>BK376</f>
        <v/>
      </c>
      <c r="BL377" s="1564">
        <f>BL376</f>
        <v/>
      </c>
      <c r="BM377" s="1564">
        <f>BM376</f>
        <v/>
      </c>
      <c r="BN377" s="1564">
        <f>BN376</f>
        <v/>
      </c>
      <c r="BO377" s="1715">
        <f>BO376</f>
        <v/>
      </c>
      <c r="BP377" s="1562">
        <f>IF(BP365&lt;0,BP375,AVERAGE(BO394,BP394))</f>
        <v/>
      </c>
      <c r="BQ377" s="1562">
        <f>IF(BQ365&lt;0,BQ375,AVERAGE(BP394,BQ394))</f>
        <v/>
      </c>
      <c r="BR377" s="1562">
        <f>IF(BR365&lt;0,BR375,AVERAGE(BQ394,BR394))</f>
        <v/>
      </c>
      <c r="BS377" s="1562">
        <f>IF(BS365&lt;0,BS375,AVERAGE(BR394,BS394))</f>
        <v/>
      </c>
      <c r="BT377" s="1637">
        <f>IF(BT365&lt;0,BT375,SUM(AVERAGE(BO394,BP394)*BP3,AVERAGE(BP394,BQ394)*BQ3,AVERAGE(BQ394,BR394)*BR3,AVERAGE(BR394,BS394)*BS3)/BT3)</f>
        <v/>
      </c>
      <c r="BU377" s="1562">
        <f>IF(BU365&lt;0,BU375,AVERAGE(BT394,BU394))</f>
        <v/>
      </c>
      <c r="BV377" s="1562">
        <f>IF(BV365&lt;0,BV375,AVERAGE(BU394,BV394))</f>
        <v/>
      </c>
      <c r="BW377" s="1562">
        <f>IF(BW365&lt;0,BW375,AVERAGE(BV394,BW394))</f>
        <v/>
      </c>
      <c r="BX377" s="1562">
        <f>IF(BX365&lt;0,BX375,AVERAGE(BW394,BX394))</f>
        <v/>
      </c>
      <c r="BY377" s="1637">
        <f>IF(BY365&lt;0,BY375,SUM(AVERAGE(BT394,BU394)*BU3,AVERAGE(BU394,BV394)*BV3,AVERAGE(BV394,BW394)*BW3,AVERAGE(BW394,BX394)*BX3)/BY3)</f>
        <v/>
      </c>
      <c r="BZ377" s="1637">
        <f>IF(BZ365&lt;0,BZ375,AVERAGE(BY394,BZ394))</f>
        <v/>
      </c>
      <c r="CA377" s="1637">
        <f>IF(CA365&lt;0,CA375,AVERAGE(BZ394,CA394))</f>
        <v/>
      </c>
      <c r="CB377" s="1637">
        <f>IF(CB365&lt;0,CB375,AVERAGE(CA394,CB394))</f>
        <v/>
      </c>
      <c r="CC377" s="1564" t="n"/>
    </row>
    <row r="378" ht="15" customFormat="1" customHeight="1" s="1561">
      <c r="A378" s="1705" t="n"/>
      <c r="B378" s="1705" t="n"/>
      <c r="C378" s="1637" t="n"/>
      <c r="D378" s="1637" t="n"/>
      <c r="E378" s="1637" t="n"/>
      <c r="F378" s="1637" t="n"/>
      <c r="G378" s="1637" t="n"/>
      <c r="H378" s="1562" t="n"/>
      <c r="I378" s="1562" t="n"/>
      <c r="J378" s="1562" t="n"/>
      <c r="K378" s="1562" t="n"/>
      <c r="L378" s="1637" t="n"/>
      <c r="M378" s="1562" t="n"/>
      <c r="N378" s="1562" t="n"/>
      <c r="O378" s="1562" t="n"/>
      <c r="P378" s="1562" t="n"/>
      <c r="Q378" s="1637" t="n"/>
      <c r="R378" s="1562" t="n"/>
      <c r="S378" s="1562" t="n"/>
      <c r="T378" s="1562" t="n"/>
      <c r="U378" s="1562" t="n"/>
      <c r="V378" s="1637" t="n"/>
      <c r="W378" s="1562" t="n"/>
      <c r="X378" s="1562" t="n"/>
      <c r="Y378" s="1562" t="n"/>
      <c r="Z378" s="1562" t="n"/>
      <c r="AA378" s="1637" t="n"/>
      <c r="AB378" s="1562" t="n"/>
      <c r="AC378" s="1562" t="n"/>
      <c r="AD378" s="1562" t="n"/>
      <c r="AE378" s="1562" t="n"/>
      <c r="AF378" s="1637" t="n"/>
      <c r="AG378" s="1562" t="n"/>
      <c r="AH378" s="1562" t="n"/>
      <c r="AI378" s="1562" t="n"/>
      <c r="AJ378" s="1562" t="n"/>
      <c r="AK378" s="1637" t="n"/>
      <c r="AL378" s="1562" t="n"/>
      <c r="AM378" s="1562" t="n"/>
      <c r="AN378" s="1562" t="n"/>
      <c r="AO378" s="1562" t="n"/>
      <c r="AP378" s="1637" t="n"/>
      <c r="AQ378" s="1562" t="n"/>
      <c r="AR378" s="1562" t="n"/>
      <c r="AS378" s="1562" t="n"/>
      <c r="AT378" s="1562" t="n"/>
      <c r="AU378" s="1637" t="n"/>
      <c r="AV378" s="1562" t="n"/>
      <c r="AW378" s="1562" t="n"/>
      <c r="AX378" s="1562" t="n"/>
      <c r="AY378" s="1562" t="n"/>
      <c r="AZ378" s="1637" t="n"/>
      <c r="BA378" s="1562" t="n"/>
      <c r="BB378" s="1562" t="n"/>
      <c r="BC378" s="1562" t="n"/>
      <c r="BD378" s="1562" t="n"/>
      <c r="BE378" s="1637" t="n"/>
      <c r="BF378" s="1562" t="n"/>
      <c r="BG378" s="1562" t="n"/>
      <c r="BH378" s="1562" t="n"/>
      <c r="BI378" s="1562" t="n"/>
      <c r="BJ378" s="1637" t="n"/>
      <c r="BK378" s="1562" t="n"/>
      <c r="BL378" s="1562" t="n"/>
      <c r="BM378" s="1562" t="n"/>
      <c r="BN378" s="1562" t="n"/>
      <c r="BO378" s="1638" t="n"/>
      <c r="BP378" s="1562" t="n"/>
      <c r="BQ378" s="1562" t="n"/>
      <c r="BR378" s="1562" t="n"/>
      <c r="BS378" s="1562" t="n"/>
      <c r="BT378" s="1637" t="n"/>
      <c r="BU378" s="1562" t="n"/>
      <c r="BV378" s="1562" t="n"/>
      <c r="BW378" s="1562" t="n"/>
      <c r="BX378" s="1562" t="n"/>
      <c r="BY378" s="1637" t="n"/>
      <c r="BZ378" s="1637" t="n"/>
      <c r="CA378" s="1637" t="n"/>
      <c r="CB378" s="1637" t="n"/>
      <c r="CC378" s="1564" t="n"/>
    </row>
    <row r="379" ht="15" customFormat="1" customHeight="1" s="1628">
      <c r="A379" s="1786" t="inlineStr">
        <is>
          <t>Share Count Analysis</t>
        </is>
      </c>
      <c r="B379" s="1786" t="n"/>
      <c r="C379" s="1786" t="n"/>
      <c r="D379" s="1786" t="n"/>
      <c r="E379" s="1786" t="n"/>
      <c r="F379" s="1786" t="n"/>
      <c r="G379" s="1786" t="n"/>
      <c r="H379" s="1786" t="n"/>
      <c r="I379" s="1786" t="n"/>
      <c r="J379" s="1786" t="n"/>
      <c r="K379" s="1786" t="n"/>
      <c r="L379" s="1786" t="n"/>
      <c r="M379" s="1786" t="n"/>
      <c r="N379" s="1786" t="n"/>
      <c r="O379" s="1786" t="n"/>
      <c r="P379" s="1786" t="n"/>
      <c r="Q379" s="1786" t="n"/>
      <c r="R379" s="1786" t="n"/>
      <c r="S379" s="1786" t="n"/>
      <c r="T379" s="1786" t="n"/>
      <c r="U379" s="1786" t="n"/>
      <c r="V379" s="1786" t="n"/>
      <c r="W379" s="1786" t="n"/>
      <c r="X379" s="1786" t="n"/>
      <c r="Y379" s="1786" t="n"/>
      <c r="Z379" s="1786" t="n"/>
      <c r="AA379" s="1786" t="n"/>
      <c r="AB379" s="1786" t="n"/>
      <c r="AC379" s="1786" t="n"/>
      <c r="AD379" s="1786" t="n"/>
      <c r="AE379" s="1786" t="n"/>
      <c r="AF379" s="1786" t="n"/>
      <c r="AG379" s="1786" t="n"/>
      <c r="AH379" s="1786" t="n"/>
      <c r="AI379" s="1786" t="n"/>
      <c r="AJ379" s="1786" t="n"/>
      <c r="AK379" s="1786" t="n"/>
      <c r="AL379" s="1786" t="n"/>
      <c r="AM379" s="1786" t="n"/>
      <c r="AN379" s="1786" t="n"/>
      <c r="AO379" s="1786" t="n"/>
      <c r="AP379" s="1786" t="n"/>
      <c r="AQ379" s="1786" t="n"/>
      <c r="AR379" s="1786" t="n"/>
      <c r="AS379" s="1786" t="n"/>
      <c r="AT379" s="1786" t="n"/>
      <c r="AU379" s="1786" t="n"/>
      <c r="AV379" s="1786" t="n"/>
      <c r="AW379" s="1786" t="n"/>
      <c r="AX379" s="1786" t="n"/>
      <c r="AY379" s="1786" t="n"/>
      <c r="AZ379" s="1786" t="n"/>
      <c r="BA379" s="1786" t="n"/>
      <c r="BB379" s="1786" t="n"/>
      <c r="BC379" s="1786" t="n"/>
      <c r="BD379" s="1786" t="n"/>
      <c r="BE379" s="1786" t="n"/>
      <c r="BF379" s="1786" t="n"/>
      <c r="BG379" s="1786" t="n"/>
      <c r="BH379" s="1786" t="n"/>
      <c r="BI379" s="1786" t="n"/>
      <c r="BJ379" s="1786" t="n"/>
      <c r="BK379" s="1786" t="n"/>
      <c r="BL379" s="1786" t="n"/>
      <c r="BM379" s="1786" t="n"/>
      <c r="BN379" s="1786" t="n"/>
      <c r="BO379" s="1826" t="n"/>
      <c r="BP379" s="1786" t="n"/>
      <c r="BQ379" s="1786" t="n"/>
      <c r="BR379" s="1786" t="n"/>
      <c r="BS379" s="1786" t="n"/>
      <c r="BT379" s="1786" t="n"/>
      <c r="BU379" s="1786" t="n"/>
      <c r="BV379" s="1786" t="n"/>
      <c r="BW379" s="1786" t="n"/>
      <c r="BX379" s="1786" t="n"/>
      <c r="BY379" s="1786" t="n"/>
      <c r="BZ379" s="1786" t="n"/>
      <c r="CA379" s="1786" t="n"/>
      <c r="CB379" s="1786" t="n"/>
      <c r="CC379" s="1634" t="n"/>
    </row>
    <row r="380" hidden="1" outlineLevel="1" ht="15" customFormat="1" customHeight="1" s="1561">
      <c r="A380" s="1564" t="inlineStr">
        <is>
          <t>EoP Ordinary Shares Outstanding, mm shares</t>
        </is>
      </c>
      <c r="B380" s="1705" t="n"/>
      <c r="C380" s="1706" t="n">
        <v>433.638976</v>
      </c>
      <c r="D380" s="1706" t="n">
        <v>436.592972</v>
      </c>
      <c r="E380" s="1706" t="n">
        <v>413.669257</v>
      </c>
      <c r="F380" s="1706" t="n">
        <v>407.165221</v>
      </c>
      <c r="G380" s="1706" t="n">
        <v>440.852334</v>
      </c>
      <c r="H380" s="1562">
        <f>H375</f>
        <v/>
      </c>
      <c r="I380" s="1562">
        <f>I375</f>
        <v/>
      </c>
      <c r="J380" s="1562">
        <f>J375</f>
        <v/>
      </c>
      <c r="K380" s="1562">
        <f>L380</f>
        <v/>
      </c>
      <c r="L380" s="1706" t="n">
        <v>432.935288</v>
      </c>
      <c r="M380" s="1562">
        <f>M375</f>
        <v/>
      </c>
      <c r="N380" s="1562">
        <f>N375</f>
        <v/>
      </c>
      <c r="O380" s="1562">
        <f>O375</f>
        <v/>
      </c>
      <c r="P380" s="1562">
        <f>Q380</f>
        <v/>
      </c>
      <c r="Q380" s="1706" t="n">
        <v>427.986682</v>
      </c>
      <c r="R380" s="1562">
        <f>R375</f>
        <v/>
      </c>
      <c r="S380" s="1562">
        <f>S375</f>
        <v/>
      </c>
      <c r="T380" s="1562">
        <f>T375</f>
        <v/>
      </c>
      <c r="U380" s="1562">
        <f>V380</f>
        <v/>
      </c>
      <c r="V380" s="1706" t="n">
        <v>429.941232</v>
      </c>
      <c r="W380" s="1562">
        <f>W375</f>
        <v/>
      </c>
      <c r="X380" s="1562">
        <f>X375</f>
        <v/>
      </c>
      <c r="Y380" s="1562">
        <f>Y375</f>
        <v/>
      </c>
      <c r="Z380" s="1562">
        <f>AA380</f>
        <v/>
      </c>
      <c r="AA380" s="1706" t="n">
        <v>427.393592</v>
      </c>
      <c r="AB380" s="1562">
        <f>AB375</f>
        <v/>
      </c>
      <c r="AC380" s="1562">
        <f>AC375</f>
        <v/>
      </c>
      <c r="AD380" s="1562">
        <f>AD375</f>
        <v/>
      </c>
      <c r="AE380" s="1562">
        <f>AF380</f>
        <v/>
      </c>
      <c r="AF380" s="1706" t="n">
        <v>421.097729</v>
      </c>
      <c r="AG380" s="1562">
        <f>AG375</f>
        <v/>
      </c>
      <c r="AH380" s="1562">
        <f>AH375</f>
        <v/>
      </c>
      <c r="AI380" s="1562">
        <f>AI375</f>
        <v/>
      </c>
      <c r="AJ380" s="1562">
        <f>AK380</f>
        <v/>
      </c>
      <c r="AK380" s="1706" t="n">
        <v>419.810706</v>
      </c>
      <c r="AL380" s="1562">
        <f>AL375</f>
        <v/>
      </c>
      <c r="AM380" s="1562">
        <f>AM375</f>
        <v/>
      </c>
      <c r="AN380" s="1562">
        <f>AN375</f>
        <v/>
      </c>
      <c r="AO380" s="1562">
        <f>AP380</f>
        <v/>
      </c>
      <c r="AP380" s="1706" t="n">
        <v>416.514034</v>
      </c>
      <c r="AQ380" s="1562">
        <f>AQ375</f>
        <v/>
      </c>
      <c r="AR380" s="1562">
        <f>AR375</f>
        <v/>
      </c>
      <c r="AS380" s="1562">
        <f>AS375</f>
        <v/>
      </c>
      <c r="AT380" s="1562">
        <f>AU380</f>
        <v/>
      </c>
      <c r="AU380" s="1706" t="n">
        <v>402.601613</v>
      </c>
      <c r="AV380" s="1562">
        <f>AV375</f>
        <v/>
      </c>
      <c r="AW380" s="1562">
        <f>AW375</f>
        <v/>
      </c>
      <c r="AX380" s="1562">
        <f>AX375</f>
        <v/>
      </c>
      <c r="AY380" s="1562">
        <f>AZ380</f>
        <v/>
      </c>
      <c r="AZ380" s="1706" t="n">
        <v>394.589411</v>
      </c>
      <c r="BA380" s="1562">
        <f>BA375</f>
        <v/>
      </c>
      <c r="BB380" s="1562">
        <f>BB375</f>
        <v/>
      </c>
      <c r="BC380" s="1562">
        <f>BC375</f>
        <v/>
      </c>
      <c r="BD380" s="1562">
        <f>BE380</f>
        <v/>
      </c>
      <c r="BE380" s="1706" t="n">
        <v>393.421721</v>
      </c>
      <c r="BF380" s="1562">
        <f>BF375</f>
        <v/>
      </c>
      <c r="BG380" s="1562">
        <f>BG375</f>
        <v/>
      </c>
      <c r="BH380" s="1562">
        <f>BH375</f>
        <v/>
      </c>
      <c r="BI380" s="1562">
        <f>BJ380</f>
        <v/>
      </c>
      <c r="BJ380" s="1706" t="n">
        <v>393.28372</v>
      </c>
      <c r="BK380" s="1562">
        <f>BK375</f>
        <v/>
      </c>
      <c r="BL380" s="1562">
        <f>BL375</f>
        <v/>
      </c>
      <c r="BM380" s="1562">
        <f>BM375</f>
        <v/>
      </c>
      <c r="BN380" s="1562">
        <f>BO380</f>
        <v/>
      </c>
      <c r="BO380" s="1715">
        <f>BO375</f>
        <v/>
      </c>
      <c r="BP380" s="1562">
        <f>BO380*(1+BP381)+BP411/(BP412/BP459)</f>
        <v/>
      </c>
      <c r="BQ380" s="1562">
        <f>BP380*(1+BQ381)+BQ411/(BQ412/BQ459)</f>
        <v/>
      </c>
      <c r="BR380" s="1562">
        <f>BQ380*(1+BR381)+BR411/(BR412/BR459)</f>
        <v/>
      </c>
      <c r="BS380" s="1562">
        <f>BR380*(1+BS381)+BS411/(BS412/BS459)</f>
        <v/>
      </c>
      <c r="BT380" s="1637">
        <f>BS380</f>
        <v/>
      </c>
      <c r="BU380" s="1562">
        <f>BT380*(1+BU381)+BU411/(BU412/BU459)</f>
        <v/>
      </c>
      <c r="BV380" s="1562">
        <f>BU380*(1+BV381)+BV411/(BV412/BV459)</f>
        <v/>
      </c>
      <c r="BW380" s="1562">
        <f>BV380*(1+BW381)+BW411/(BW412/BW459)</f>
        <v/>
      </c>
      <c r="BX380" s="1562">
        <f>BW380*(1+BX381)+BX411/(BX412/BX459)</f>
        <v/>
      </c>
      <c r="BY380" s="1637">
        <f>BX380</f>
        <v/>
      </c>
      <c r="BZ380" s="1637">
        <f>BY380*(1+BZ382)+BZ411/(BZ412/BZ459)</f>
        <v/>
      </c>
      <c r="CA380" s="1637">
        <f>BZ380*(1+CA382)+CA411/(CA412/CA459)</f>
        <v/>
      </c>
      <c r="CB380" s="1637">
        <f>CA380*(1+CB382)+CB411/(CB412/CB459)</f>
        <v/>
      </c>
      <c r="CC380" s="1564" t="n"/>
    </row>
    <row r="381" hidden="1" outlineLevel="1" ht="15" customFormat="1" customHeight="1" s="1561">
      <c r="A381" s="1697" t="inlineStr">
        <is>
          <t>Q/Q basic share expansion from dilutive securities, %</t>
        </is>
      </c>
      <c r="B381" s="1829" t="n"/>
      <c r="C381" s="1267" t="n"/>
      <c r="D381" s="1267" t="n"/>
      <c r="E381" s="1267" t="n"/>
      <c r="F381" s="1267" t="n"/>
      <c r="G381" s="1267" t="n"/>
      <c r="H381" s="676" t="n"/>
      <c r="I381" s="676" t="n"/>
      <c r="J381" s="676" t="n"/>
      <c r="K381" s="676" t="n"/>
      <c r="L381" s="1267" t="n"/>
      <c r="M381" s="676" t="n"/>
      <c r="N381" s="676" t="n"/>
      <c r="O381" s="676" t="n"/>
      <c r="P381" s="676" t="n"/>
      <c r="Q381" s="1267" t="n"/>
      <c r="R381" s="676" t="n"/>
      <c r="S381" s="676" t="n"/>
      <c r="T381" s="676" t="n"/>
      <c r="U381" s="676" t="n"/>
      <c r="V381" s="1267" t="n"/>
      <c r="W381" s="676" t="n"/>
      <c r="X381" s="676" t="n"/>
      <c r="Y381" s="676" t="n"/>
      <c r="Z381" s="676" t="n"/>
      <c r="AA381" s="1267" t="n"/>
      <c r="AB381" s="676" t="n"/>
      <c r="AC381" s="676" t="n"/>
      <c r="AD381" s="676" t="n"/>
      <c r="AE381" s="676" t="n"/>
      <c r="AF381" s="1267" t="n"/>
      <c r="AG381" s="676" t="n"/>
      <c r="AH381" s="676" t="n"/>
      <c r="AI381" s="676" t="n"/>
      <c r="AJ381" s="676" t="n"/>
      <c r="AK381" s="1267" t="n"/>
      <c r="AL381" s="676" t="n"/>
      <c r="AM381" s="676" t="n"/>
      <c r="AN381" s="676" t="n"/>
      <c r="AO381" s="676" t="n"/>
      <c r="AP381" s="1267" t="n"/>
      <c r="AQ381" s="676" t="n"/>
      <c r="AR381" s="676" t="n"/>
      <c r="AS381" s="676" t="n"/>
      <c r="AT381" s="676" t="n"/>
      <c r="AU381" s="1267" t="n"/>
      <c r="AV381" s="676" t="n"/>
      <c r="AW381" s="676" t="n"/>
      <c r="AX381" s="676" t="n"/>
      <c r="AY381" s="676" t="n"/>
      <c r="AZ381" s="1267" t="n"/>
      <c r="BA381" s="676" t="n"/>
      <c r="BB381" s="676" t="n"/>
      <c r="BC381" s="676" t="n"/>
      <c r="BD381" s="676" t="n"/>
      <c r="BE381" s="1267" t="n"/>
      <c r="BF381" s="676" t="n"/>
      <c r="BG381" s="676" t="n"/>
      <c r="BH381" s="676" t="n"/>
      <c r="BI381" s="676" t="n"/>
      <c r="BJ381" s="1267" t="n"/>
      <c r="BK381" s="676" t="n"/>
      <c r="BL381" s="676" t="n"/>
      <c r="BM381" s="676" t="n"/>
      <c r="BN381" s="676" t="n"/>
      <c r="BO381" s="1266" t="n"/>
      <c r="BP381" s="1166" t="n">
        <v>0.0001</v>
      </c>
      <c r="BQ381" s="1166" t="n">
        <v>0.0001</v>
      </c>
      <c r="BR381" s="1166" t="n">
        <v>0.0001</v>
      </c>
      <c r="BS381" s="1166" t="n">
        <v>0.0001</v>
      </c>
      <c r="BT381" s="1267" t="n"/>
      <c r="BU381" s="1166" t="n">
        <v>0.0001</v>
      </c>
      <c r="BV381" s="1166" t="n">
        <v>0.0001</v>
      </c>
      <c r="BW381" s="1166" t="n">
        <v>0.0001</v>
      </c>
      <c r="BX381" s="1166" t="n">
        <v>0.0001</v>
      </c>
      <c r="BY381" s="1267" t="n"/>
      <c r="BZ381" s="1267" t="n"/>
      <c r="CA381" s="1267" t="n"/>
      <c r="CB381" s="1267" t="n"/>
      <c r="CC381" s="1564" t="n"/>
    </row>
    <row r="382" hidden="1" outlineLevel="1" ht="15" customFormat="1" customHeight="1" s="1561">
      <c r="A382" s="1697" t="inlineStr">
        <is>
          <t>Y/Y basic share expansion from dilutive securities, %</t>
        </is>
      </c>
      <c r="B382" s="1829" t="n"/>
      <c r="C382" s="1267" t="n"/>
      <c r="D382" s="1267" t="n"/>
      <c r="E382" s="1267" t="n"/>
      <c r="F382" s="1267" t="n"/>
      <c r="G382" s="1267" t="n"/>
      <c r="H382" s="676" t="n"/>
      <c r="I382" s="676" t="n"/>
      <c r="J382" s="676" t="n"/>
      <c r="K382" s="676" t="n"/>
      <c r="L382" s="1267" t="n"/>
      <c r="M382" s="676" t="n"/>
      <c r="N382" s="676" t="n"/>
      <c r="O382" s="676" t="n"/>
      <c r="P382" s="676" t="n"/>
      <c r="Q382" s="1267" t="n"/>
      <c r="R382" s="676" t="n"/>
      <c r="S382" s="676" t="n"/>
      <c r="T382" s="676" t="n"/>
      <c r="U382" s="676" t="n"/>
      <c r="V382" s="1267" t="n"/>
      <c r="W382" s="676" t="n"/>
      <c r="X382" s="676" t="n"/>
      <c r="Y382" s="676" t="n"/>
      <c r="Z382" s="676" t="n"/>
      <c r="AA382" s="1267" t="n"/>
      <c r="AB382" s="676" t="n"/>
      <c r="AC382" s="676" t="n"/>
      <c r="AD382" s="676" t="n"/>
      <c r="AE382" s="676" t="n"/>
      <c r="AF382" s="1267" t="n"/>
      <c r="AG382" s="676" t="n"/>
      <c r="AH382" s="676" t="n"/>
      <c r="AI382" s="676" t="n"/>
      <c r="AJ382" s="676" t="n"/>
      <c r="AK382" s="1267" t="n"/>
      <c r="AL382" s="676" t="n"/>
      <c r="AM382" s="676" t="n"/>
      <c r="AN382" s="676" t="n"/>
      <c r="AO382" s="676" t="n"/>
      <c r="AP382" s="1267" t="n"/>
      <c r="AQ382" s="676" t="n"/>
      <c r="AR382" s="676" t="n"/>
      <c r="AS382" s="676" t="n"/>
      <c r="AT382" s="676" t="n"/>
      <c r="AU382" s="1267" t="n"/>
      <c r="AV382" s="676" t="n"/>
      <c r="AW382" s="676" t="n"/>
      <c r="AX382" s="676" t="n"/>
      <c r="AY382" s="676" t="n"/>
      <c r="AZ382" s="1267" t="n"/>
      <c r="BA382" s="676" t="n"/>
      <c r="BB382" s="676" t="n"/>
      <c r="BC382" s="676" t="n"/>
      <c r="BD382" s="676" t="n"/>
      <c r="BE382" s="1267" t="n"/>
      <c r="BF382" s="676" t="n"/>
      <c r="BG382" s="676" t="n"/>
      <c r="BH382" s="676" t="n"/>
      <c r="BI382" s="676" t="n"/>
      <c r="BJ382" s="1267" t="n"/>
      <c r="BK382" s="676" t="n"/>
      <c r="BL382" s="676" t="n"/>
      <c r="BM382" s="676" t="n"/>
      <c r="BN382" s="676" t="n"/>
      <c r="BO382" s="1266" t="n"/>
      <c r="BP382" s="676" t="n"/>
      <c r="BQ382" s="676" t="n"/>
      <c r="BR382" s="676" t="n"/>
      <c r="BS382" s="676" t="n"/>
      <c r="BT382" s="1267" t="n"/>
      <c r="BU382" s="676" t="n"/>
      <c r="BV382" s="676" t="n"/>
      <c r="BW382" s="676" t="n"/>
      <c r="BX382" s="676" t="n"/>
      <c r="BY382" s="1267" t="n"/>
      <c r="BZ382" s="1413" t="n">
        <v>0.0004</v>
      </c>
      <c r="CA382" s="1413" t="n">
        <v>0.0004</v>
      </c>
      <c r="CB382" s="1413" t="n">
        <v>0.0004</v>
      </c>
      <c r="CC382" s="1564" t="n"/>
    </row>
    <row r="383" hidden="1" outlineLevel="2" ht="15" customFormat="1" customHeight="1" s="1561">
      <c r="A383" s="1697" t="inlineStr">
        <is>
          <t>Q/Q basic share expansion from share issuance (buyback), %</t>
        </is>
      </c>
      <c r="B383" s="1829" t="n"/>
      <c r="C383" s="1267" t="n"/>
      <c r="D383" s="1267" t="n"/>
      <c r="E383" s="1267" t="n"/>
      <c r="F383" s="1267" t="n"/>
      <c r="G383" s="1267" t="n"/>
      <c r="H383" s="676" t="n"/>
      <c r="I383" s="676" t="n"/>
      <c r="J383" s="676" t="n"/>
      <c r="K383" s="676" t="n"/>
      <c r="L383" s="1267" t="n"/>
      <c r="M383" s="676" t="n"/>
      <c r="N383" s="676" t="n"/>
      <c r="O383" s="676" t="n"/>
      <c r="P383" s="676" t="n"/>
      <c r="Q383" s="1267" t="n"/>
      <c r="R383" s="676" t="n"/>
      <c r="S383" s="676" t="n"/>
      <c r="T383" s="676" t="n"/>
      <c r="U383" s="676" t="n"/>
      <c r="V383" s="1267" t="n"/>
      <c r="W383" s="676" t="n"/>
      <c r="X383" s="676" t="n"/>
      <c r="Y383" s="676" t="n"/>
      <c r="Z383" s="676" t="n"/>
      <c r="AA383" s="1267" t="n"/>
      <c r="AB383" s="676" t="n"/>
      <c r="AC383" s="676" t="n"/>
      <c r="AD383" s="676" t="n"/>
      <c r="AE383" s="676" t="n"/>
      <c r="AF383" s="1267" t="n"/>
      <c r="AG383" s="676" t="n"/>
      <c r="AH383" s="676" t="n"/>
      <c r="AI383" s="676" t="n"/>
      <c r="AJ383" s="676" t="n"/>
      <c r="AK383" s="1267" t="n"/>
      <c r="AL383" s="676" t="n"/>
      <c r="AM383" s="676" t="n"/>
      <c r="AN383" s="676" t="n"/>
      <c r="AO383" s="676" t="n"/>
      <c r="AP383" s="1267" t="n"/>
      <c r="AQ383" s="676" t="n"/>
      <c r="AR383" s="676" t="n"/>
      <c r="AS383" s="676" t="n"/>
      <c r="AT383" s="676" t="n"/>
      <c r="AU383" s="1267" t="n"/>
      <c r="AV383" s="676" t="n"/>
      <c r="AW383" s="676" t="n"/>
      <c r="AX383" s="676" t="n"/>
      <c r="AY383" s="676" t="n"/>
      <c r="AZ383" s="1267" t="n"/>
      <c r="BA383" s="676" t="n"/>
      <c r="BB383" s="676" t="n"/>
      <c r="BC383" s="676" t="n"/>
      <c r="BD383" s="676" t="n"/>
      <c r="BE383" s="1267" t="n"/>
      <c r="BF383" s="676" t="n"/>
      <c r="BG383" s="676" t="n"/>
      <c r="BH383" s="676" t="n"/>
      <c r="BI383" s="676" t="n"/>
      <c r="BJ383" s="1267" t="n"/>
      <c r="BK383" s="676" t="n"/>
      <c r="BL383" s="676" t="n"/>
      <c r="BM383" s="676" t="n"/>
      <c r="BN383" s="676" t="n"/>
      <c r="BO383" s="1266" t="n"/>
      <c r="BP383" s="676">
        <f>BP411/(BP412/BP459)/BN380</f>
        <v/>
      </c>
      <c r="BQ383" s="676">
        <f>BQ411/(BQ412/BQ459)/BP380</f>
        <v/>
      </c>
      <c r="BR383" s="676">
        <f>BR411/(BR412/BR459)/BQ380</f>
        <v/>
      </c>
      <c r="BS383" s="676">
        <f>BS411/(BS412/BS459)/BR380</f>
        <v/>
      </c>
      <c r="BT383" s="1267" t="n"/>
      <c r="BU383" s="676">
        <f>BU411/(BU412/BU459)/BS380</f>
        <v/>
      </c>
      <c r="BV383" s="676">
        <f>BV411/(BV412/BV459)/BU380</f>
        <v/>
      </c>
      <c r="BW383" s="676">
        <f>BW411/(BW412/BW459)/BV380</f>
        <v/>
      </c>
      <c r="BX383" s="676">
        <f>BX411/(BX412/BX459)/BW380</f>
        <v/>
      </c>
      <c r="BY383" s="1267" t="n"/>
      <c r="BZ383" s="1267" t="n"/>
      <c r="CA383" s="1267" t="n"/>
      <c r="CB383" s="1267" t="n"/>
      <c r="CC383" s="1564" t="n"/>
    </row>
    <row r="384" hidden="1" outlineLevel="2" ht="15" customFormat="1" customHeight="1" s="1561">
      <c r="A384" s="1864" t="inlineStr">
        <is>
          <t>Y/Y basic share expansion from share issuance (buyback), %</t>
        </is>
      </c>
      <c r="B384" s="1865" t="n"/>
      <c r="C384" s="1268" t="n"/>
      <c r="D384" s="1268" t="n"/>
      <c r="E384" s="1268" t="n"/>
      <c r="F384" s="1268" t="n"/>
      <c r="G384" s="1268" t="n"/>
      <c r="H384" s="575" t="n"/>
      <c r="I384" s="575" t="n"/>
      <c r="J384" s="575" t="n"/>
      <c r="K384" s="575" t="n"/>
      <c r="L384" s="1268" t="n"/>
      <c r="M384" s="575" t="n"/>
      <c r="N384" s="575" t="n"/>
      <c r="O384" s="575" t="n"/>
      <c r="P384" s="575" t="n"/>
      <c r="Q384" s="1268" t="n"/>
      <c r="R384" s="575" t="n"/>
      <c r="S384" s="575" t="n"/>
      <c r="T384" s="575" t="n"/>
      <c r="U384" s="575" t="n"/>
      <c r="V384" s="1268" t="n"/>
      <c r="W384" s="575" t="n"/>
      <c r="X384" s="575" t="n"/>
      <c r="Y384" s="575" t="n"/>
      <c r="Z384" s="575" t="n"/>
      <c r="AA384" s="1268" t="n"/>
      <c r="AB384" s="575" t="n"/>
      <c r="AC384" s="575" t="n"/>
      <c r="AD384" s="575" t="n"/>
      <c r="AE384" s="575" t="n"/>
      <c r="AF384" s="1268" t="n"/>
      <c r="AG384" s="575" t="n"/>
      <c r="AH384" s="575" t="n"/>
      <c r="AI384" s="575" t="n"/>
      <c r="AJ384" s="575" t="n"/>
      <c r="AK384" s="1268" t="n"/>
      <c r="AL384" s="575" t="n"/>
      <c r="AM384" s="575" t="n"/>
      <c r="AN384" s="575" t="n"/>
      <c r="AO384" s="575" t="n"/>
      <c r="AP384" s="1268" t="n"/>
      <c r="AQ384" s="575" t="n"/>
      <c r="AR384" s="575" t="n"/>
      <c r="AS384" s="575" t="n"/>
      <c r="AT384" s="575" t="n"/>
      <c r="AU384" s="1268" t="n"/>
      <c r="AV384" s="575" t="n"/>
      <c r="AW384" s="575" t="n"/>
      <c r="AX384" s="575" t="n"/>
      <c r="AY384" s="575" t="n"/>
      <c r="AZ384" s="1268" t="n"/>
      <c r="BA384" s="575" t="n"/>
      <c r="BB384" s="575" t="n"/>
      <c r="BC384" s="575" t="n"/>
      <c r="BD384" s="575" t="n"/>
      <c r="BE384" s="1268" t="n"/>
      <c r="BF384" s="575" t="n"/>
      <c r="BG384" s="575" t="n"/>
      <c r="BH384" s="575" t="n"/>
      <c r="BI384" s="575" t="n"/>
      <c r="BJ384" s="1268" t="n"/>
      <c r="BK384" s="575" t="n"/>
      <c r="BL384" s="575" t="n"/>
      <c r="BM384" s="575" t="n"/>
      <c r="BN384" s="575" t="n"/>
      <c r="BO384" s="1269" t="n"/>
      <c r="BP384" s="575" t="n"/>
      <c r="BQ384" s="575" t="n"/>
      <c r="BR384" s="575" t="n"/>
      <c r="BS384" s="575" t="n"/>
      <c r="BT384" s="1268" t="n"/>
      <c r="BU384" s="575" t="n"/>
      <c r="BV384" s="575" t="n"/>
      <c r="BW384" s="575" t="n"/>
      <c r="BX384" s="575" t="n"/>
      <c r="BY384" s="1268" t="n"/>
      <c r="BZ384" s="1268">
        <f>BZ411/(BZ412/BZ459)/BY380</f>
        <v/>
      </c>
      <c r="CA384" s="1268">
        <f>CA411/(CA412/CA459)/BZ380</f>
        <v/>
      </c>
      <c r="CB384" s="1268">
        <f>CB411/(CB412/CB459)/CA380</f>
        <v/>
      </c>
      <c r="CC384" s="1564" t="n"/>
    </row>
    <row r="385" hidden="1" outlineLevel="1" collapsed="1" ht="15" customFormat="1" customHeight="1" s="1561">
      <c r="A385" s="1701" t="inlineStr">
        <is>
          <t>Q/Q basic share expansion - EoP, %</t>
        </is>
      </c>
      <c r="B385" s="1829" t="n"/>
      <c r="C385" s="1267" t="n"/>
      <c r="D385" s="1267" t="n"/>
      <c r="E385" s="1267" t="n"/>
      <c r="F385" s="1267" t="n"/>
      <c r="G385" s="1267" t="n"/>
      <c r="H385" s="715">
        <f>H380/G380-1</f>
        <v/>
      </c>
      <c r="I385" s="715">
        <f>I380/H380-1</f>
        <v/>
      </c>
      <c r="J385" s="715">
        <f>J380/I380-1</f>
        <v/>
      </c>
      <c r="K385" s="715">
        <f>K380/J380-1</f>
        <v/>
      </c>
      <c r="L385" s="1267" t="n"/>
      <c r="M385" s="715">
        <f>M380/K380-1</f>
        <v/>
      </c>
      <c r="N385" s="715">
        <f>N380/M380-1</f>
        <v/>
      </c>
      <c r="O385" s="715">
        <f>O380/N380-1</f>
        <v/>
      </c>
      <c r="P385" s="715">
        <f>P380/O380-1</f>
        <v/>
      </c>
      <c r="Q385" s="1267" t="n"/>
      <c r="R385" s="715">
        <f>R380/P380-1</f>
        <v/>
      </c>
      <c r="S385" s="715">
        <f>S380/R380-1</f>
        <v/>
      </c>
      <c r="T385" s="715">
        <f>T380/S380-1</f>
        <v/>
      </c>
      <c r="U385" s="715">
        <f>U380/T380-1</f>
        <v/>
      </c>
      <c r="V385" s="1267" t="n"/>
      <c r="W385" s="715">
        <f>W380/U380-1</f>
        <v/>
      </c>
      <c r="X385" s="715">
        <f>X380/W380-1</f>
        <v/>
      </c>
      <c r="Y385" s="715">
        <f>Y380/X380-1</f>
        <v/>
      </c>
      <c r="Z385" s="715">
        <f>Z380/Y380-1</f>
        <v/>
      </c>
      <c r="AA385" s="1267" t="n"/>
      <c r="AB385" s="715">
        <f>AB380/Z380-1</f>
        <v/>
      </c>
      <c r="AC385" s="715">
        <f>AC380/AB380-1</f>
        <v/>
      </c>
      <c r="AD385" s="715">
        <f>AD380/AC380-1</f>
        <v/>
      </c>
      <c r="AE385" s="715">
        <f>AE380/AD380-1</f>
        <v/>
      </c>
      <c r="AF385" s="1267" t="n"/>
      <c r="AG385" s="715">
        <f>AG380/AE380-1</f>
        <v/>
      </c>
      <c r="AH385" s="715">
        <f>AH380/AG380-1</f>
        <v/>
      </c>
      <c r="AI385" s="715">
        <f>AI380/AH380-1</f>
        <v/>
      </c>
      <c r="AJ385" s="715">
        <f>AJ380/AI380-1</f>
        <v/>
      </c>
      <c r="AK385" s="1267" t="n"/>
      <c r="AL385" s="715">
        <f>AL380/AJ380-1</f>
        <v/>
      </c>
      <c r="AM385" s="715">
        <f>AM380/AL380-1</f>
        <v/>
      </c>
      <c r="AN385" s="715">
        <f>AN380/AM380-1</f>
        <v/>
      </c>
      <c r="AO385" s="715">
        <f>AO380/AN380-1</f>
        <v/>
      </c>
      <c r="AP385" s="1267" t="n"/>
      <c r="AQ385" s="715">
        <f>AQ380/AO380-1</f>
        <v/>
      </c>
      <c r="AR385" s="715">
        <f>AR380/AQ380-1</f>
        <v/>
      </c>
      <c r="AS385" s="715">
        <f>AS380/AR380-1</f>
        <v/>
      </c>
      <c r="AT385" s="715">
        <f>AT380/AS380-1</f>
        <v/>
      </c>
      <c r="AU385" s="1267" t="n"/>
      <c r="AV385" s="715">
        <f>AV380/AT380-1</f>
        <v/>
      </c>
      <c r="AW385" s="715">
        <f>AW380/AV380-1</f>
        <v/>
      </c>
      <c r="AX385" s="715">
        <f>AX380/AW380-1</f>
        <v/>
      </c>
      <c r="AY385" s="715">
        <f>AY380/AX380-1</f>
        <v/>
      </c>
      <c r="AZ385" s="1267" t="n"/>
      <c r="BA385" s="715">
        <f>BA380/AY380-1</f>
        <v/>
      </c>
      <c r="BB385" s="715">
        <f>BB380/BA380-1</f>
        <v/>
      </c>
      <c r="BC385" s="715">
        <f>BC380/BB380-1</f>
        <v/>
      </c>
      <c r="BD385" s="715">
        <f>BD380/BC380-1</f>
        <v/>
      </c>
      <c r="BE385" s="1267" t="n"/>
      <c r="BF385" s="715">
        <f>BF380/BD380-1</f>
        <v/>
      </c>
      <c r="BG385" s="715">
        <f>BG380/BF380-1</f>
        <v/>
      </c>
      <c r="BH385" s="715">
        <f>BH380/BG380-1</f>
        <v/>
      </c>
      <c r="BI385" s="715">
        <f>BI380/BH380-1</f>
        <v/>
      </c>
      <c r="BJ385" s="1267" t="n"/>
      <c r="BK385" s="715">
        <f>BK380/BI380-1</f>
        <v/>
      </c>
      <c r="BL385" s="715">
        <f>BL380/BK380-1</f>
        <v/>
      </c>
      <c r="BM385" s="715">
        <f>BM380/BL380-1</f>
        <v/>
      </c>
      <c r="BN385" s="715">
        <f>BN380/BM380-1</f>
        <v/>
      </c>
      <c r="BO385" s="1266" t="n"/>
      <c r="BP385" s="676">
        <f>BP380/BN380-1</f>
        <v/>
      </c>
      <c r="BQ385" s="676">
        <f>BQ380/BP380-1</f>
        <v/>
      </c>
      <c r="BR385" s="676">
        <f>BR380/BQ380-1</f>
        <v/>
      </c>
      <c r="BS385" s="676">
        <f>BS380/BR380-1</f>
        <v/>
      </c>
      <c r="BT385" s="1267" t="n"/>
      <c r="BU385" s="676">
        <f>BU380/BS380-1</f>
        <v/>
      </c>
      <c r="BV385" s="676">
        <f>BV380/BU380-1</f>
        <v/>
      </c>
      <c r="BW385" s="676">
        <f>BW380/BV380-1</f>
        <v/>
      </c>
      <c r="BX385" s="676">
        <f>BX380/BW380-1</f>
        <v/>
      </c>
      <c r="BY385" s="1267" t="n"/>
      <c r="BZ385" s="1267" t="n"/>
      <c r="CA385" s="1267" t="n"/>
      <c r="CB385" s="1267" t="n"/>
      <c r="CC385" s="1564" t="n"/>
    </row>
    <row r="386" hidden="1" outlineLevel="1" ht="15" customFormat="1" customHeight="1" s="1561">
      <c r="A386" s="1701" t="inlineStr">
        <is>
          <t>Y/Y basic share expansion - EoP, %</t>
        </is>
      </c>
      <c r="B386" s="1829" t="n"/>
      <c r="C386" s="1267" t="n"/>
      <c r="D386" s="1414">
        <f>D380/C380-1</f>
        <v/>
      </c>
      <c r="E386" s="1414">
        <f>E380/D380-1</f>
        <v/>
      </c>
      <c r="F386" s="1414">
        <f>F380/E380-1</f>
        <v/>
      </c>
      <c r="G386" s="1414">
        <f>G380/F380-1</f>
        <v/>
      </c>
      <c r="H386" s="676" t="n"/>
      <c r="I386" s="676" t="n"/>
      <c r="J386" s="676" t="n"/>
      <c r="K386" s="676" t="n"/>
      <c r="L386" s="1414">
        <f>L380/G380-1</f>
        <v/>
      </c>
      <c r="M386" s="715">
        <f>M380/H380-1</f>
        <v/>
      </c>
      <c r="N386" s="715">
        <f>N380/I380-1</f>
        <v/>
      </c>
      <c r="O386" s="715">
        <f>O380/J380-1</f>
        <v/>
      </c>
      <c r="P386" s="715">
        <f>P380/K380-1</f>
        <v/>
      </c>
      <c r="Q386" s="1414">
        <f>Q380/L380-1</f>
        <v/>
      </c>
      <c r="R386" s="715">
        <f>R380/M380-1</f>
        <v/>
      </c>
      <c r="S386" s="715">
        <f>S380/N380-1</f>
        <v/>
      </c>
      <c r="T386" s="715">
        <f>T380/O380-1</f>
        <v/>
      </c>
      <c r="U386" s="715">
        <f>U380/P380-1</f>
        <v/>
      </c>
      <c r="V386" s="1414">
        <f>V380/Q380-1</f>
        <v/>
      </c>
      <c r="W386" s="715">
        <f>W380/R380-1</f>
        <v/>
      </c>
      <c r="X386" s="715">
        <f>X380/S380-1</f>
        <v/>
      </c>
      <c r="Y386" s="715">
        <f>Y380/T380-1</f>
        <v/>
      </c>
      <c r="Z386" s="715">
        <f>Z380/U380-1</f>
        <v/>
      </c>
      <c r="AA386" s="1414">
        <f>AA380/V380-1</f>
        <v/>
      </c>
      <c r="AB386" s="715">
        <f>AB380/W380-1</f>
        <v/>
      </c>
      <c r="AC386" s="715">
        <f>AC380/X380-1</f>
        <v/>
      </c>
      <c r="AD386" s="715">
        <f>AD380/Y380-1</f>
        <v/>
      </c>
      <c r="AE386" s="715">
        <f>AE380/Z380-1</f>
        <v/>
      </c>
      <c r="AF386" s="1414">
        <f>AF380/AA380-1</f>
        <v/>
      </c>
      <c r="AG386" s="715">
        <f>AG380/AB380-1</f>
        <v/>
      </c>
      <c r="AH386" s="715">
        <f>AH380/AC380-1</f>
        <v/>
      </c>
      <c r="AI386" s="715">
        <f>AI380/AD380-1</f>
        <v/>
      </c>
      <c r="AJ386" s="715">
        <f>AJ380/AE380-1</f>
        <v/>
      </c>
      <c r="AK386" s="1414">
        <f>AK380/AF380-1</f>
        <v/>
      </c>
      <c r="AL386" s="715">
        <f>AL380/AG380-1</f>
        <v/>
      </c>
      <c r="AM386" s="715">
        <f>AM380/AH380-1</f>
        <v/>
      </c>
      <c r="AN386" s="715">
        <f>AN380/AI380-1</f>
        <v/>
      </c>
      <c r="AO386" s="715">
        <f>AO380/AJ380-1</f>
        <v/>
      </c>
      <c r="AP386" s="1414">
        <f>AP380/AK380-1</f>
        <v/>
      </c>
      <c r="AQ386" s="715">
        <f>AQ380/AL380-1</f>
        <v/>
      </c>
      <c r="AR386" s="715">
        <f>AR380/AM380-1</f>
        <v/>
      </c>
      <c r="AS386" s="715">
        <f>AS380/AN380-1</f>
        <v/>
      </c>
      <c r="AT386" s="715">
        <f>AT380/AO380-1</f>
        <v/>
      </c>
      <c r="AU386" s="1414">
        <f>AU380/AP380-1</f>
        <v/>
      </c>
      <c r="AV386" s="715">
        <f>AV380/AQ380-1</f>
        <v/>
      </c>
      <c r="AW386" s="715">
        <f>AW380/AR380-1</f>
        <v/>
      </c>
      <c r="AX386" s="715">
        <f>AX380/AS380-1</f>
        <v/>
      </c>
      <c r="AY386" s="715">
        <f>AY380/AT380-1</f>
        <v/>
      </c>
      <c r="AZ386" s="1414">
        <f>AZ380/AU380-1</f>
        <v/>
      </c>
      <c r="BA386" s="715">
        <f>BA380/AV380-1</f>
        <v/>
      </c>
      <c r="BB386" s="715">
        <f>BB380/AW380-1</f>
        <v/>
      </c>
      <c r="BC386" s="715">
        <f>BC380/AX380-1</f>
        <v/>
      </c>
      <c r="BD386" s="715">
        <f>BD380/AY380-1</f>
        <v/>
      </c>
      <c r="BE386" s="1414">
        <f>BE380/AZ380-1</f>
        <v/>
      </c>
      <c r="BF386" s="715">
        <f>BF380/BA380-1</f>
        <v/>
      </c>
      <c r="BG386" s="715">
        <f>BG380/BB380-1</f>
        <v/>
      </c>
      <c r="BH386" s="715">
        <f>BH380/BC380-1</f>
        <v/>
      </c>
      <c r="BI386" s="715">
        <f>BI380/BD380-1</f>
        <v/>
      </c>
      <c r="BJ386" s="1414">
        <f>BJ380/BE380-1</f>
        <v/>
      </c>
      <c r="BK386" s="715">
        <f>BK380/BF380-1</f>
        <v/>
      </c>
      <c r="BL386" s="715">
        <f>BL380/BG380-1</f>
        <v/>
      </c>
      <c r="BM386" s="715">
        <f>BM380/BH380-1</f>
        <v/>
      </c>
      <c r="BN386" s="715">
        <f>BN380/BI380-1</f>
        <v/>
      </c>
      <c r="BO386" s="1415">
        <f>BO380/BJ380-1</f>
        <v/>
      </c>
      <c r="BP386" s="676">
        <f>BP380/BK380-1</f>
        <v/>
      </c>
      <c r="BQ386" s="676">
        <f>BQ380/BL380-1</f>
        <v/>
      </c>
      <c r="BR386" s="676">
        <f>BR380/BM380-1</f>
        <v/>
      </c>
      <c r="BS386" s="676">
        <f>BS380/BN380-1</f>
        <v/>
      </c>
      <c r="BT386" s="1267">
        <f>BT380/BO380-1</f>
        <v/>
      </c>
      <c r="BU386" s="676">
        <f>BU380/BP380-1</f>
        <v/>
      </c>
      <c r="BV386" s="676">
        <f>BV380/BQ380-1</f>
        <v/>
      </c>
      <c r="BW386" s="676">
        <f>BW380/BR380-1</f>
        <v/>
      </c>
      <c r="BX386" s="676">
        <f>BX380/BS380-1</f>
        <v/>
      </c>
      <c r="BY386" s="1267">
        <f>BY380/BT380-1</f>
        <v/>
      </c>
      <c r="BZ386" s="1267">
        <f>BZ380/BY380-1</f>
        <v/>
      </c>
      <c r="CA386" s="1267">
        <f>CA380/BZ380-1</f>
        <v/>
      </c>
      <c r="CB386" s="1267">
        <f>CB380/CA380-1</f>
        <v/>
      </c>
      <c r="CC386" s="1564" t="n"/>
    </row>
    <row r="387" hidden="1" outlineLevel="2" ht="15" customFormat="1" customHeight="1" s="1561">
      <c r="A387" s="1562" t="n"/>
      <c r="B387" s="1705" t="n"/>
      <c r="C387" s="1637" t="n"/>
      <c r="D387" s="1637" t="n"/>
      <c r="E387" s="1637" t="n"/>
      <c r="F387" s="1637" t="n"/>
      <c r="G387" s="1637" t="n"/>
      <c r="H387" s="1562" t="n"/>
      <c r="I387" s="1562" t="n"/>
      <c r="J387" s="1562" t="n"/>
      <c r="K387" s="1562" t="n"/>
      <c r="L387" s="1637" t="n"/>
      <c r="M387" s="1562" t="n"/>
      <c r="N387" s="1562" t="n"/>
      <c r="O387" s="1562" t="n"/>
      <c r="P387" s="1562" t="n"/>
      <c r="Q387" s="1637" t="n"/>
      <c r="R387" s="1562" t="n"/>
      <c r="S387" s="1562" t="n"/>
      <c r="T387" s="1562" t="n"/>
      <c r="U387" s="1562" t="n"/>
      <c r="V387" s="1637" t="n"/>
      <c r="W387" s="1562" t="n"/>
      <c r="X387" s="1562" t="n"/>
      <c r="Y387" s="1562" t="n"/>
      <c r="Z387" s="1562" t="n"/>
      <c r="AA387" s="1637" t="n"/>
      <c r="AB387" s="1562" t="n"/>
      <c r="AC387" s="1562" t="n"/>
      <c r="AD387" s="1562" t="n"/>
      <c r="AE387" s="1562" t="n"/>
      <c r="AF387" s="1637" t="n"/>
      <c r="AG387" s="1562" t="n"/>
      <c r="AH387" s="1562" t="n"/>
      <c r="AI387" s="1562" t="n"/>
      <c r="AJ387" s="1562" t="n"/>
      <c r="AK387" s="1637" t="n"/>
      <c r="AL387" s="1562" t="n"/>
      <c r="AM387" s="1562" t="n"/>
      <c r="AN387" s="1562" t="n"/>
      <c r="AO387" s="1562" t="n"/>
      <c r="AP387" s="1637" t="n"/>
      <c r="AQ387" s="1562" t="n"/>
      <c r="AR387" s="1562" t="n"/>
      <c r="AS387" s="1562" t="n"/>
      <c r="AT387" s="1562" t="n"/>
      <c r="AU387" s="1637" t="n"/>
      <c r="AV387" s="1562" t="n"/>
      <c r="AW387" s="1562" t="n"/>
      <c r="AX387" s="1562" t="n"/>
      <c r="AY387" s="1562" t="n"/>
      <c r="AZ387" s="1637" t="n"/>
      <c r="BA387" s="1562" t="n"/>
      <c r="BB387" s="1562" t="n"/>
      <c r="BC387" s="1562" t="n"/>
      <c r="BD387" s="1562" t="n"/>
      <c r="BE387" s="1637" t="n"/>
      <c r="BF387" s="1562" t="n"/>
      <c r="BG387" s="1562" t="n"/>
      <c r="BH387" s="1562" t="n"/>
      <c r="BI387" s="1562" t="n"/>
      <c r="BJ387" s="1637" t="n"/>
      <c r="BK387" s="1562" t="n"/>
      <c r="BL387" s="1562" t="n"/>
      <c r="BM387" s="1562" t="n"/>
      <c r="BN387" s="1562" t="n"/>
      <c r="BO387" s="1638" t="n"/>
      <c r="BP387" s="1562" t="n"/>
      <c r="BQ387" s="1562" t="n"/>
      <c r="BR387" s="1562" t="n"/>
      <c r="BS387" s="1562" t="n"/>
      <c r="BT387" s="1637" t="n"/>
      <c r="BU387" s="1562" t="n"/>
      <c r="BV387" s="1562" t="n"/>
      <c r="BW387" s="1562" t="n"/>
      <c r="BX387" s="1562" t="n"/>
      <c r="BY387" s="1637" t="n"/>
      <c r="BZ387" s="1637" t="n"/>
      <c r="CA387" s="1637" t="n"/>
      <c r="CB387" s="1637" t="n"/>
      <c r="CC387" s="1564" t="n"/>
    </row>
    <row r="388" hidden="1" outlineLevel="2" ht="15" customFormat="1" customHeight="1" s="1561">
      <c r="A388" s="1564" t="inlineStr">
        <is>
          <t>Cover Page Ordinary Shares Outstanding, mm shares</t>
        </is>
      </c>
      <c r="B388" s="1705" t="n"/>
      <c r="C388" s="1637">
        <f>C380</f>
        <v/>
      </c>
      <c r="D388" s="1637">
        <f>D380</f>
        <v/>
      </c>
      <c r="E388" s="1637">
        <f>E380</f>
        <v/>
      </c>
      <c r="F388" s="1637">
        <f>F380</f>
        <v/>
      </c>
      <c r="G388" s="1637">
        <f>G380</f>
        <v/>
      </c>
      <c r="H388" s="1562">
        <f>H375</f>
        <v/>
      </c>
      <c r="I388" s="1562">
        <f>I375</f>
        <v/>
      </c>
      <c r="J388" s="1562">
        <f>J375</f>
        <v/>
      </c>
      <c r="K388" s="1562">
        <f>K380</f>
        <v/>
      </c>
      <c r="L388" s="1637">
        <f>L380</f>
        <v/>
      </c>
      <c r="M388" s="1562">
        <f>M375</f>
        <v/>
      </c>
      <c r="N388" s="1562">
        <f>N375</f>
        <v/>
      </c>
      <c r="O388" s="1562">
        <f>O375</f>
        <v/>
      </c>
      <c r="P388" s="1562">
        <f>P380</f>
        <v/>
      </c>
      <c r="Q388" s="1637">
        <f>Q380</f>
        <v/>
      </c>
      <c r="R388" s="1562">
        <f>R375</f>
        <v/>
      </c>
      <c r="S388" s="1562">
        <f>S375</f>
        <v/>
      </c>
      <c r="T388" s="1562">
        <f>T375</f>
        <v/>
      </c>
      <c r="U388" s="1562">
        <f>U380</f>
        <v/>
      </c>
      <c r="V388" s="1637">
        <f>V380</f>
        <v/>
      </c>
      <c r="W388" s="1562">
        <f>W375</f>
        <v/>
      </c>
      <c r="X388" s="1562">
        <f>X375</f>
        <v/>
      </c>
      <c r="Y388" s="1562">
        <f>Y375</f>
        <v/>
      </c>
      <c r="Z388" s="1562">
        <f>Z380</f>
        <v/>
      </c>
      <c r="AA388" s="1637">
        <f>AA380</f>
        <v/>
      </c>
      <c r="AB388" s="1562">
        <f>AB375</f>
        <v/>
      </c>
      <c r="AC388" s="1562">
        <f>AC375</f>
        <v/>
      </c>
      <c r="AD388" s="1562">
        <f>AD375</f>
        <v/>
      </c>
      <c r="AE388" s="1562">
        <f>AE380</f>
        <v/>
      </c>
      <c r="AF388" s="1637">
        <f>AF380</f>
        <v/>
      </c>
      <c r="AG388" s="1562">
        <f>AG375</f>
        <v/>
      </c>
      <c r="AH388" s="1562">
        <f>AH375</f>
        <v/>
      </c>
      <c r="AI388" s="1562">
        <f>AI375</f>
        <v/>
      </c>
      <c r="AJ388" s="1562">
        <f>AJ380</f>
        <v/>
      </c>
      <c r="AK388" s="1637">
        <f>AK380</f>
        <v/>
      </c>
      <c r="AL388" s="1562">
        <f>AL375</f>
        <v/>
      </c>
      <c r="AM388" s="1562">
        <f>AM375</f>
        <v/>
      </c>
      <c r="AN388" s="1562">
        <f>AN375</f>
        <v/>
      </c>
      <c r="AO388" s="1562">
        <f>AO380</f>
        <v/>
      </c>
      <c r="AP388" s="1637">
        <f>AP380</f>
        <v/>
      </c>
      <c r="AQ388" s="1562">
        <f>AQ375</f>
        <v/>
      </c>
      <c r="AR388" s="1562">
        <f>AR375</f>
        <v/>
      </c>
      <c r="AS388" s="1562">
        <f>AS375</f>
        <v/>
      </c>
      <c r="AT388" s="1562">
        <f>AT380</f>
        <v/>
      </c>
      <c r="AU388" s="1637">
        <f>AU380</f>
        <v/>
      </c>
      <c r="AV388" s="1562">
        <f>AV375</f>
        <v/>
      </c>
      <c r="AW388" s="1562">
        <f>AW375</f>
        <v/>
      </c>
      <c r="AX388" s="1562">
        <f>AX375</f>
        <v/>
      </c>
      <c r="AY388" s="1562">
        <f>AY380</f>
        <v/>
      </c>
      <c r="AZ388" s="1637">
        <f>AZ380</f>
        <v/>
      </c>
      <c r="BA388" s="1562">
        <f>BA375</f>
        <v/>
      </c>
      <c r="BB388" s="1562">
        <f>BB375</f>
        <v/>
      </c>
      <c r="BC388" s="1562">
        <f>BC375</f>
        <v/>
      </c>
      <c r="BD388" s="1562">
        <f>BD380</f>
        <v/>
      </c>
      <c r="BE388" s="1637">
        <f>BE380</f>
        <v/>
      </c>
      <c r="BF388" s="1562">
        <f>BF375</f>
        <v/>
      </c>
      <c r="BG388" s="1562">
        <f>BG375</f>
        <v/>
      </c>
      <c r="BH388" s="1562">
        <f>BH375</f>
        <v/>
      </c>
      <c r="BI388" s="1562">
        <f>BI380</f>
        <v/>
      </c>
      <c r="BJ388" s="1637">
        <f>BJ380</f>
        <v/>
      </c>
      <c r="BK388" s="1562">
        <f>BK375</f>
        <v/>
      </c>
      <c r="BL388" s="1562">
        <f>BL375</f>
        <v/>
      </c>
      <c r="BM388" s="1562">
        <f>BM375</f>
        <v/>
      </c>
      <c r="BN388" s="1562">
        <f>BO388</f>
        <v/>
      </c>
      <c r="BO388" s="1638">
        <f>BO375</f>
        <v/>
      </c>
      <c r="BP388" s="1562" t="n"/>
      <c r="BQ388" s="1562" t="n"/>
      <c r="BR388" s="1562" t="n"/>
      <c r="BS388" s="1562" t="n"/>
      <c r="BT388" s="1637" t="n"/>
      <c r="BU388" s="1562" t="n"/>
      <c r="BV388" s="1562" t="n"/>
      <c r="BW388" s="1562" t="n"/>
      <c r="BX388" s="1562" t="n"/>
      <c r="BY388" s="1637" t="n"/>
      <c r="BZ388" s="1637" t="n"/>
      <c r="CA388" s="1637" t="n"/>
      <c r="CB388" s="1637" t="n"/>
      <c r="CC388" s="1564" t="n"/>
    </row>
    <row r="389" hidden="1" outlineLevel="2" ht="15" customFormat="1" customHeight="1" s="1866">
      <c r="A389" s="1564" t="inlineStr">
        <is>
          <t>Date of Cover Page Share Count, date</t>
        </is>
      </c>
      <c r="B389" s="1867" t="n"/>
      <c r="C389" s="1868" t="n"/>
      <c r="D389" s="1868" t="n"/>
      <c r="E389" s="1868" t="n"/>
      <c r="F389" s="1868" t="n"/>
      <c r="G389" s="1868" t="n"/>
      <c r="H389" s="1869" t="n"/>
      <c r="I389" s="1869" t="n"/>
      <c r="J389" s="1869" t="n"/>
      <c r="K389" s="1869" t="n"/>
      <c r="L389" s="1868" t="n"/>
      <c r="M389" s="1869" t="n"/>
      <c r="N389" s="1869" t="n"/>
      <c r="O389" s="1869" t="n"/>
      <c r="P389" s="1869" t="n"/>
      <c r="Q389" s="1868" t="n"/>
      <c r="R389" s="1869" t="n"/>
      <c r="S389" s="1869" t="n"/>
      <c r="T389" s="1869" t="n"/>
      <c r="U389" s="1869" t="n"/>
      <c r="V389" s="1868" t="n"/>
      <c r="W389" s="1869" t="n"/>
      <c r="X389" s="1869" t="n"/>
      <c r="Y389" s="1869" t="n"/>
      <c r="Z389" s="1869" t="n"/>
      <c r="AA389" s="1868" t="n"/>
      <c r="AB389" s="1869" t="n"/>
      <c r="AC389" s="1869" t="n"/>
      <c r="AD389" s="1869" t="n"/>
      <c r="AE389" s="1869" t="n"/>
      <c r="AF389" s="1868" t="n"/>
      <c r="AG389" s="1869" t="n"/>
      <c r="AH389" s="1869" t="n"/>
      <c r="AI389" s="1869" t="n"/>
      <c r="AJ389" s="1869" t="n"/>
      <c r="AK389" s="1868" t="n"/>
      <c r="AL389" s="1869" t="n"/>
      <c r="AM389" s="1869" t="n"/>
      <c r="AN389" s="1869" t="n"/>
      <c r="AO389" s="1869" t="n"/>
      <c r="AP389" s="1868" t="n"/>
      <c r="AQ389" s="1869" t="n"/>
      <c r="AR389" s="1869" t="n"/>
      <c r="AS389" s="1869" t="n"/>
      <c r="AT389" s="1869" t="n"/>
      <c r="AU389" s="1868" t="n"/>
      <c r="AV389" s="1869" t="n"/>
      <c r="AW389" s="1869" t="n"/>
      <c r="AX389" s="1869" t="n"/>
      <c r="AY389" s="1869" t="n"/>
      <c r="AZ389" s="1868" t="n"/>
      <c r="BA389" s="1869" t="n"/>
      <c r="BB389" s="1869" t="n"/>
      <c r="BC389" s="1869" t="n"/>
      <c r="BD389" s="1869" t="n"/>
      <c r="BE389" s="1868" t="n"/>
      <c r="BF389" s="1869" t="n"/>
      <c r="BG389" s="1869" t="n"/>
      <c r="BH389" s="1869" t="n"/>
      <c r="BI389" s="1869" t="n"/>
      <c r="BJ389" s="1868" t="n"/>
      <c r="BK389" s="1869" t="n"/>
      <c r="BL389" s="1869" t="n"/>
      <c r="BM389" s="1869" t="n"/>
      <c r="BN389" s="1869" t="n"/>
      <c r="BO389" s="1870" t="n"/>
      <c r="BP389" s="1869" t="n"/>
      <c r="BQ389" s="1869" t="n"/>
      <c r="BR389" s="1869" t="n"/>
      <c r="BS389" s="1869" t="n"/>
      <c r="BT389" s="1868" t="n"/>
      <c r="BU389" s="1869" t="n"/>
      <c r="BV389" s="1869" t="n"/>
      <c r="BW389" s="1869" t="n"/>
      <c r="BX389" s="1869" t="n"/>
      <c r="BY389" s="1868" t="n"/>
      <c r="BZ389" s="1868" t="n"/>
      <c r="CA389" s="1868" t="n"/>
      <c r="CB389" s="1868" t="n"/>
      <c r="CC389" s="1871" t="n"/>
    </row>
    <row r="390" hidden="1" outlineLevel="1" collapsed="1" ht="15" customFormat="1" customHeight="1" s="1561">
      <c r="A390" s="1562" t="n"/>
      <c r="B390" s="1705" t="n"/>
      <c r="C390" s="1637" t="n"/>
      <c r="D390" s="1637" t="n"/>
      <c r="E390" s="1637" t="n"/>
      <c r="F390" s="1637" t="n"/>
      <c r="G390" s="1637" t="n"/>
      <c r="H390" s="1562" t="n"/>
      <c r="I390" s="1562" t="n"/>
      <c r="J390" s="1562" t="n"/>
      <c r="K390" s="1562" t="n"/>
      <c r="L390" s="1637" t="n"/>
      <c r="M390" s="1562" t="n"/>
      <c r="N390" s="1562" t="n"/>
      <c r="O390" s="1562" t="n"/>
      <c r="P390" s="1562" t="n"/>
      <c r="Q390" s="1637" t="n"/>
      <c r="R390" s="1562" t="n"/>
      <c r="S390" s="1562" t="n"/>
      <c r="T390" s="1562" t="n"/>
      <c r="U390" s="1562" t="n"/>
      <c r="V390" s="1637" t="n"/>
      <c r="W390" s="1562" t="n"/>
      <c r="X390" s="1562" t="n"/>
      <c r="Y390" s="1562" t="n"/>
      <c r="Z390" s="1562" t="n"/>
      <c r="AA390" s="1637" t="n"/>
      <c r="AB390" s="1562" t="n"/>
      <c r="AC390" s="1562" t="n"/>
      <c r="AD390" s="1562" t="n"/>
      <c r="AE390" s="1562" t="n"/>
      <c r="AF390" s="1637" t="n"/>
      <c r="AG390" s="1562" t="n"/>
      <c r="AH390" s="1562" t="n"/>
      <c r="AI390" s="1562" t="n"/>
      <c r="AJ390" s="1562" t="n"/>
      <c r="AK390" s="1637" t="n"/>
      <c r="AL390" s="1562" t="n"/>
      <c r="AM390" s="1562" t="n"/>
      <c r="AN390" s="1562" t="n"/>
      <c r="AO390" s="1562" t="n"/>
      <c r="AP390" s="1637" t="n"/>
      <c r="AQ390" s="1562" t="n"/>
      <c r="AR390" s="1562" t="n"/>
      <c r="AS390" s="1562" t="n"/>
      <c r="AT390" s="1562" t="n"/>
      <c r="AU390" s="1637" t="n"/>
      <c r="AV390" s="1562" t="n"/>
      <c r="AW390" s="1562" t="n"/>
      <c r="AX390" s="1562" t="n"/>
      <c r="AY390" s="1562" t="n"/>
      <c r="AZ390" s="1637" t="n"/>
      <c r="BA390" s="1562" t="n"/>
      <c r="BB390" s="1562" t="n"/>
      <c r="BC390" s="1562" t="n"/>
      <c r="BD390" s="1562" t="n"/>
      <c r="BE390" s="1637" t="n"/>
      <c r="BF390" s="1562" t="n"/>
      <c r="BG390" s="1562" t="n"/>
      <c r="BH390" s="1562" t="n"/>
      <c r="BI390" s="1562" t="n"/>
      <c r="BJ390" s="1637" t="n"/>
      <c r="BK390" s="1562" t="n"/>
      <c r="BL390" s="1562" t="n"/>
      <c r="BM390" s="1562" t="n"/>
      <c r="BN390" s="1562" t="n"/>
      <c r="BO390" s="1638" t="n"/>
      <c r="BP390" s="1562" t="n"/>
      <c r="BQ390" s="1562" t="n"/>
      <c r="BR390" s="1562" t="n"/>
      <c r="BS390" s="1562" t="n"/>
      <c r="BT390" s="1637" t="n"/>
      <c r="BU390" s="1562" t="n"/>
      <c r="BV390" s="1562" t="n"/>
      <c r="BW390" s="1562" t="n"/>
      <c r="BX390" s="1562" t="n"/>
      <c r="BY390" s="1637" t="n"/>
      <c r="BZ390" s="1637" t="n"/>
      <c r="CA390" s="1637" t="n"/>
      <c r="CB390" s="1637" t="n"/>
      <c r="CC390" s="1564" t="n"/>
    </row>
    <row r="391" hidden="1" outlineLevel="1" ht="15" customFormat="1" customHeight="1" s="1866">
      <c r="A391" s="1564" t="inlineStr">
        <is>
          <t>Dilutive Shares, mm shares</t>
        </is>
      </c>
      <c r="B391" s="1867" t="n"/>
      <c r="C391" s="1637">
        <f>C376-C375</f>
        <v/>
      </c>
      <c r="D391" s="1637">
        <f>IF(D362&gt;0,(D376-D375),C391)</f>
        <v/>
      </c>
      <c r="E391" s="1637">
        <f>IF(E362&gt;0,(E376-E375),D391)</f>
        <v/>
      </c>
      <c r="F391" s="1637">
        <f>IF(F362&gt;0,(F376-F375),E391)</f>
        <v/>
      </c>
      <c r="G391" s="1637">
        <f>IF(G362&gt;0,(G376-G375),F391)</f>
        <v/>
      </c>
      <c r="H391" s="1562">
        <f>IF(H362&gt;0,(H376-H375),G391)</f>
        <v/>
      </c>
      <c r="I391" s="1562">
        <f>IF(I362&gt;0,(I376-I375),H391)</f>
        <v/>
      </c>
      <c r="J391" s="1562">
        <f>IF(J362&gt;0,(J376-J375),I391)</f>
        <v/>
      </c>
      <c r="K391" s="1562">
        <f>IF(K362&gt;0,(K376-K375),J391)</f>
        <v/>
      </c>
      <c r="L391" s="1637">
        <f>K391</f>
        <v/>
      </c>
      <c r="M391" s="1562">
        <f>IF(M362&gt;0,(M376-M375),L391)</f>
        <v/>
      </c>
      <c r="N391" s="1562">
        <f>IF(N362&gt;0,(N376-N375),M391)</f>
        <v/>
      </c>
      <c r="O391" s="1562">
        <f>IF(O362&gt;0,(O376-O375),N391)</f>
        <v/>
      </c>
      <c r="P391" s="1562">
        <f>IF(P362&gt;0,(P376-P375),O391)</f>
        <v/>
      </c>
      <c r="Q391" s="1637">
        <f>P391</f>
        <v/>
      </c>
      <c r="R391" s="1562">
        <f>IF(R362&gt;0,(R376-R375),Q391)</f>
        <v/>
      </c>
      <c r="S391" s="1562">
        <f>IF(S362&gt;0,(S376-S375),R391)</f>
        <v/>
      </c>
      <c r="T391" s="1562">
        <f>IF(T362&gt;0,(T376-T375),S391)</f>
        <v/>
      </c>
      <c r="U391" s="1562">
        <f>IF(U362&gt;0,(U376-U375),T391)</f>
        <v/>
      </c>
      <c r="V391" s="1637">
        <f>U391</f>
        <v/>
      </c>
      <c r="W391" s="1562">
        <f>IF(W362&gt;0,(W376-W375),V391)</f>
        <v/>
      </c>
      <c r="X391" s="1562">
        <f>IF(X362&gt;0,(X376-X375),W391)</f>
        <v/>
      </c>
      <c r="Y391" s="1562">
        <f>IF(Y362&gt;0,(Y376-Y375),X391)</f>
        <v/>
      </c>
      <c r="Z391" s="1562">
        <f>IF(Z362&gt;0,(Z376-Z375),Y391)</f>
        <v/>
      </c>
      <c r="AA391" s="1637">
        <f>Z391</f>
        <v/>
      </c>
      <c r="AB391" s="1562">
        <f>IF(AB362&gt;0,(AB376-AB375),AA391)</f>
        <v/>
      </c>
      <c r="AC391" s="1562">
        <f>IF(AC362&gt;0,(AC376-AC375),AB391)</f>
        <v/>
      </c>
      <c r="AD391" s="1562">
        <f>IF(AD362&gt;0,(AD376-AD375),AC391)</f>
        <v/>
      </c>
      <c r="AE391" s="1562">
        <f>IF(AE362&gt;0,(AE376-AE375),AD391)</f>
        <v/>
      </c>
      <c r="AF391" s="1637">
        <f>AE391</f>
        <v/>
      </c>
      <c r="AG391" s="1562">
        <f>IF(AG362&gt;0,(AG376-AG375),AF391)</f>
        <v/>
      </c>
      <c r="AH391" s="1562">
        <f>IF(AH362&gt;0,(AH376-AH375),AG391)</f>
        <v/>
      </c>
      <c r="AI391" s="1562">
        <f>IF(AI362&gt;0,(AI376-AI375),AH391)</f>
        <v/>
      </c>
      <c r="AJ391" s="1562">
        <f>IF(AJ362&gt;0,(AJ376-AJ375),AI391)</f>
        <v/>
      </c>
      <c r="AK391" s="1637">
        <f>AJ391</f>
        <v/>
      </c>
      <c r="AL391" s="1562">
        <f>IF(AL362&gt;0,(AL376-AL375),AK391)</f>
        <v/>
      </c>
      <c r="AM391" s="1562">
        <f>IF(AM362&gt;0,(AM376-AM375),AL391)</f>
        <v/>
      </c>
      <c r="AN391" s="1562">
        <f>IF(AN362&gt;0,(AN376-AN375),AM391)</f>
        <v/>
      </c>
      <c r="AO391" s="1562">
        <f>IF(AO362&gt;0,(AO376-AO375),AN391)</f>
        <v/>
      </c>
      <c r="AP391" s="1637">
        <f>AO391</f>
        <v/>
      </c>
      <c r="AQ391" s="1562">
        <f>IF(AQ362&gt;0,(AQ376-AQ375),AP391)</f>
        <v/>
      </c>
      <c r="AR391" s="1562">
        <f>IF(AR362&gt;0,(AR376-AR375),AQ391)</f>
        <v/>
      </c>
      <c r="AS391" s="1562">
        <f>IF(AS362&gt;0,(AS376-AS375),AR391)</f>
        <v/>
      </c>
      <c r="AT391" s="1562">
        <f>IF(AT362&gt;0,(AT376-AT375),AS391)</f>
        <v/>
      </c>
      <c r="AU391" s="1637">
        <f>AT391</f>
        <v/>
      </c>
      <c r="AV391" s="1562">
        <f>IF(AV362&gt;0,(AV376-AV375),AU391)</f>
        <v/>
      </c>
      <c r="AW391" s="1562">
        <f>IF(AW362&gt;0,(AW376-AW375),AV391)</f>
        <v/>
      </c>
      <c r="AX391" s="1562">
        <f>IF(AX362&gt;0,(AX376-AX375),AW391)</f>
        <v/>
      </c>
      <c r="AY391" s="1562">
        <f>IF(AY362&gt;0,(AY376-AY375),AX391)</f>
        <v/>
      </c>
      <c r="AZ391" s="1637">
        <f>AY391</f>
        <v/>
      </c>
      <c r="BA391" s="1562">
        <f>IF(BA362&gt;0,(BA376-BA375),AZ391)</f>
        <v/>
      </c>
      <c r="BB391" s="1562">
        <f>IF(BB362&gt;0,(BB376-BB375),BA391)</f>
        <v/>
      </c>
      <c r="BC391" s="1562">
        <f>IF(BC362&gt;0,(BC376-BC375),BB391)</f>
        <v/>
      </c>
      <c r="BD391" s="1562">
        <f>IF(BD362&gt;0,(BD376-BD375),BC391)</f>
        <v/>
      </c>
      <c r="BE391" s="1637">
        <f>BD391</f>
        <v/>
      </c>
      <c r="BF391" s="1562">
        <f>IF(BF362&gt;0,(BF376-BF375),BE391)</f>
        <v/>
      </c>
      <c r="BG391" s="1562">
        <f>IF(BG362&gt;0,(BG376-BG375),BF391)</f>
        <v/>
      </c>
      <c r="BH391" s="1562">
        <f>IF(BH362&gt;0,(BH376-BH375),BG391)</f>
        <v/>
      </c>
      <c r="BI391" s="1562">
        <f>IF(BI362&gt;0,(BI376-BI375),BH391)</f>
        <v/>
      </c>
      <c r="BJ391" s="1637">
        <f>BI391</f>
        <v/>
      </c>
      <c r="BK391" s="1562">
        <f>IF(BK362&gt;0,(BK376-BK375),BJ391)</f>
        <v/>
      </c>
      <c r="BL391" s="1562">
        <f>IF(BL362&gt;0,(BL376-BL375),BK391)</f>
        <v/>
      </c>
      <c r="BM391" s="1562">
        <f>IF(BM362&gt;0,(BM376-BM375),BL391)</f>
        <v/>
      </c>
      <c r="BN391" s="1562">
        <f>IF(BN362&gt;0,(BN376-BN375),BM391)</f>
        <v/>
      </c>
      <c r="BO391" s="1638">
        <f>BN391</f>
        <v/>
      </c>
      <c r="BP391" s="1562">
        <f>BP380*BP392-BP380</f>
        <v/>
      </c>
      <c r="BQ391" s="1562">
        <f>BQ380*BQ392-BQ380</f>
        <v/>
      </c>
      <c r="BR391" s="1562">
        <f>BR380*BR392-BR380</f>
        <v/>
      </c>
      <c r="BS391" s="1562">
        <f>BS380*BS392-BS380</f>
        <v/>
      </c>
      <c r="BT391" s="1637">
        <f>BS391</f>
        <v/>
      </c>
      <c r="BU391" s="1562">
        <f>BU380*BU392-BU380</f>
        <v/>
      </c>
      <c r="BV391" s="1562">
        <f>BV380*BV392-BV380</f>
        <v/>
      </c>
      <c r="BW391" s="1562">
        <f>BW380*BW392-BW380</f>
        <v/>
      </c>
      <c r="BX391" s="1562">
        <f>BX380*BX392-BX380</f>
        <v/>
      </c>
      <c r="BY391" s="1637">
        <f>BX391</f>
        <v/>
      </c>
      <c r="BZ391" s="1637">
        <f>BZ380*BZ392-BZ380</f>
        <v/>
      </c>
      <c r="CA391" s="1637">
        <f>CA380*CA392-CA380</f>
        <v/>
      </c>
      <c r="CB391" s="1637">
        <f>CB380*CB392-CB380</f>
        <v/>
      </c>
      <c r="CC391" s="1871" t="n"/>
    </row>
    <row r="392" hidden="1" outlineLevel="1" ht="15" customFormat="1" customHeight="1" s="1872">
      <c r="A392" s="1873" t="inlineStr">
        <is>
          <t>Diluted share count to basic share count ratio, x</t>
        </is>
      </c>
      <c r="B392" s="1874" t="n"/>
      <c r="C392" s="1875">
        <f>(C391+C380)/C380</f>
        <v/>
      </c>
      <c r="D392" s="1875">
        <f>(D391+D380)/D380</f>
        <v/>
      </c>
      <c r="E392" s="1875">
        <f>(E391+E380)/E380</f>
        <v/>
      </c>
      <c r="F392" s="1875">
        <f>(F391+F380)/F380</f>
        <v/>
      </c>
      <c r="G392" s="1875">
        <f>(G391+G380)/G380</f>
        <v/>
      </c>
      <c r="H392" s="1876">
        <f>(H391+H380)/H380</f>
        <v/>
      </c>
      <c r="I392" s="1876">
        <f>(I391+I380)/I380</f>
        <v/>
      </c>
      <c r="J392" s="1876">
        <f>(J391+J380)/J380</f>
        <v/>
      </c>
      <c r="K392" s="1876">
        <f>(K391+K380)/K380</f>
        <v/>
      </c>
      <c r="L392" s="1875">
        <f>(L391+L380)/L380</f>
        <v/>
      </c>
      <c r="M392" s="1876">
        <f>(M391+M380)/M380</f>
        <v/>
      </c>
      <c r="N392" s="1876">
        <f>(N391+N380)/N380</f>
        <v/>
      </c>
      <c r="O392" s="1876">
        <f>(O391+O380)/O380</f>
        <v/>
      </c>
      <c r="P392" s="1876">
        <f>(P391+P380)/P380</f>
        <v/>
      </c>
      <c r="Q392" s="1875">
        <f>(Q391+Q380)/Q380</f>
        <v/>
      </c>
      <c r="R392" s="1876">
        <f>(R391+R380)/R380</f>
        <v/>
      </c>
      <c r="S392" s="1876">
        <f>(S391+S380)/S380</f>
        <v/>
      </c>
      <c r="T392" s="1876">
        <f>(T391+T380)/T380</f>
        <v/>
      </c>
      <c r="U392" s="1876">
        <f>(U391+U380)/U380</f>
        <v/>
      </c>
      <c r="V392" s="1875">
        <f>(V391+V380)/V380</f>
        <v/>
      </c>
      <c r="W392" s="1876">
        <f>(W391+W380)/W380</f>
        <v/>
      </c>
      <c r="X392" s="1876">
        <f>(X391+X380)/X380</f>
        <v/>
      </c>
      <c r="Y392" s="1876">
        <f>(Y391+Y380)/Y380</f>
        <v/>
      </c>
      <c r="Z392" s="1876">
        <f>(Z391+Z380)/Z380</f>
        <v/>
      </c>
      <c r="AA392" s="1875">
        <f>(AA391+AA380)/AA380</f>
        <v/>
      </c>
      <c r="AB392" s="1876">
        <f>(AB391+AB380)/AB380</f>
        <v/>
      </c>
      <c r="AC392" s="1876">
        <f>(AC391+AC380)/AC380</f>
        <v/>
      </c>
      <c r="AD392" s="1876">
        <f>(AD391+AD380)/AD380</f>
        <v/>
      </c>
      <c r="AE392" s="1876">
        <f>(AE391+AE380)/AE380</f>
        <v/>
      </c>
      <c r="AF392" s="1875">
        <f>(AF391+AF380)/AF380</f>
        <v/>
      </c>
      <c r="AG392" s="1876">
        <f>(AG391+AG380)/AG380</f>
        <v/>
      </c>
      <c r="AH392" s="1876">
        <f>(AH391+AH380)/AH380</f>
        <v/>
      </c>
      <c r="AI392" s="1876">
        <f>(AI391+AI380)/AI380</f>
        <v/>
      </c>
      <c r="AJ392" s="1876">
        <f>(AJ391+AJ380)/AJ380</f>
        <v/>
      </c>
      <c r="AK392" s="1875">
        <f>(AK391+AK380)/AK380</f>
        <v/>
      </c>
      <c r="AL392" s="1876">
        <f>(AL391+AL380)/AL380</f>
        <v/>
      </c>
      <c r="AM392" s="1876">
        <f>(AM391+AM380)/AM380</f>
        <v/>
      </c>
      <c r="AN392" s="1876">
        <f>(AN391+AN380)/AN380</f>
        <v/>
      </c>
      <c r="AO392" s="1876">
        <f>(AO391+AO380)/AO380</f>
        <v/>
      </c>
      <c r="AP392" s="1875">
        <f>(AP391+AP380)/AP380</f>
        <v/>
      </c>
      <c r="AQ392" s="1876">
        <f>(AQ391+AQ380)/AQ380</f>
        <v/>
      </c>
      <c r="AR392" s="1876">
        <f>(AR391+AR380)/AR380</f>
        <v/>
      </c>
      <c r="AS392" s="1876">
        <f>(AS391+AS380)/AS380</f>
        <v/>
      </c>
      <c r="AT392" s="1876">
        <f>(AT391+AT380)/AT380</f>
        <v/>
      </c>
      <c r="AU392" s="1875">
        <f>(AU391+AU380)/AU380</f>
        <v/>
      </c>
      <c r="AV392" s="1876">
        <f>(AV391+AV380)/AV380</f>
        <v/>
      </c>
      <c r="AW392" s="1876">
        <f>(AW391+AW380)/AW380</f>
        <v/>
      </c>
      <c r="AX392" s="1876">
        <f>(AX391+AX380)/AX380</f>
        <v/>
      </c>
      <c r="AY392" s="1876">
        <f>(AY391+AY380)/AY380</f>
        <v/>
      </c>
      <c r="AZ392" s="1875">
        <f>(AZ391+AZ380)/AZ380</f>
        <v/>
      </c>
      <c r="BA392" s="1876">
        <f>(BA391+BA380)/BA380</f>
        <v/>
      </c>
      <c r="BB392" s="1876">
        <f>(BB391+BB380)/BB380</f>
        <v/>
      </c>
      <c r="BC392" s="1876">
        <f>(BC391+BC380)/BC380</f>
        <v/>
      </c>
      <c r="BD392" s="1876">
        <f>(BD391+BD380)/BD380</f>
        <v/>
      </c>
      <c r="BE392" s="1875">
        <f>(BE391+BE380)/BE380</f>
        <v/>
      </c>
      <c r="BF392" s="1876">
        <f>(BF391+BF380)/BF380</f>
        <v/>
      </c>
      <c r="BG392" s="1876">
        <f>(BG391+BG380)/BG380</f>
        <v/>
      </c>
      <c r="BH392" s="1876">
        <f>(BH391+BH380)/BH380</f>
        <v/>
      </c>
      <c r="BI392" s="1876">
        <f>(BI391+BI380)/BI380</f>
        <v/>
      </c>
      <c r="BJ392" s="1875">
        <f>(BJ391+BJ380)/BJ380</f>
        <v/>
      </c>
      <c r="BK392" s="1876">
        <f>(BK391+BK380)/BK380</f>
        <v/>
      </c>
      <c r="BL392" s="1876">
        <f>(BL391+BL380)/BL380</f>
        <v/>
      </c>
      <c r="BM392" s="1876">
        <f>(BM391+BM380)/BM380</f>
        <v/>
      </c>
      <c r="BN392" s="1876">
        <f>(BN391+BN380)/BN380</f>
        <v/>
      </c>
      <c r="BO392" s="1877">
        <f>(BO391+BO380)/BO380</f>
        <v/>
      </c>
      <c r="BP392" s="1878" t="n">
        <v>1.00076258261312</v>
      </c>
      <c r="BQ392" s="1878" t="n">
        <v>1.00076258261312</v>
      </c>
      <c r="BR392" s="1878" t="n">
        <v>1.00076258261312</v>
      </c>
      <c r="BS392" s="1878" t="n">
        <v>1.00076258261312</v>
      </c>
      <c r="BT392" s="1875">
        <f>(BT391+BT380)/BT380</f>
        <v/>
      </c>
      <c r="BU392" s="1878" t="n">
        <v>1.00076258261312</v>
      </c>
      <c r="BV392" s="1878" t="n">
        <v>1.00076258261312</v>
      </c>
      <c r="BW392" s="1878" t="n">
        <v>1.00076258261312</v>
      </c>
      <c r="BX392" s="1878" t="n">
        <v>1.00076258261312</v>
      </c>
      <c r="BY392" s="1875">
        <f>(BY391+BY380)/BY380</f>
        <v/>
      </c>
      <c r="BZ392" s="1879" t="n">
        <v>1.00076258261312</v>
      </c>
      <c r="CA392" s="1879" t="n">
        <v>1.00076258261312</v>
      </c>
      <c r="CB392" s="1879" t="n">
        <v>1.00076258261312</v>
      </c>
      <c r="CC392" s="1880" t="n"/>
    </row>
    <row r="393" hidden="1" outlineLevel="1" ht="15" customFormat="1" customHeight="1" s="1866">
      <c r="A393" s="1562" t="n"/>
      <c r="B393" s="1867" t="n"/>
      <c r="C393" s="1868" t="n"/>
      <c r="D393" s="1868" t="n"/>
      <c r="E393" s="1868" t="n"/>
      <c r="F393" s="1868" t="n"/>
      <c r="G393" s="1868" t="n"/>
      <c r="H393" s="1869" t="n"/>
      <c r="I393" s="1869" t="n"/>
      <c r="J393" s="1869" t="n"/>
      <c r="K393" s="1869" t="n"/>
      <c r="L393" s="1868" t="n"/>
      <c r="M393" s="1869" t="n"/>
      <c r="N393" s="1869" t="n"/>
      <c r="O393" s="1869" t="n"/>
      <c r="P393" s="1869" t="n"/>
      <c r="Q393" s="1868" t="n"/>
      <c r="R393" s="1869" t="n"/>
      <c r="S393" s="1869" t="n"/>
      <c r="T393" s="1869" t="n"/>
      <c r="U393" s="1869" t="n"/>
      <c r="V393" s="1868" t="n"/>
      <c r="W393" s="1869" t="n"/>
      <c r="X393" s="1869" t="n"/>
      <c r="Y393" s="1869" t="n"/>
      <c r="Z393" s="1869" t="n"/>
      <c r="AA393" s="1868" t="n"/>
      <c r="AB393" s="1869" t="n"/>
      <c r="AC393" s="1869" t="n"/>
      <c r="AD393" s="1869" t="n"/>
      <c r="AE393" s="1869" t="n"/>
      <c r="AF393" s="1868" t="n"/>
      <c r="AG393" s="1869" t="n"/>
      <c r="AH393" s="1869" t="n"/>
      <c r="AI393" s="1869" t="n"/>
      <c r="AJ393" s="1869" t="n"/>
      <c r="AK393" s="1868" t="n"/>
      <c r="AL393" s="1869" t="n"/>
      <c r="AM393" s="1869" t="n"/>
      <c r="AN393" s="1869" t="n"/>
      <c r="AO393" s="1869" t="n"/>
      <c r="AP393" s="1868" t="n"/>
      <c r="AQ393" s="1869" t="n"/>
      <c r="AR393" s="1869" t="n"/>
      <c r="AS393" s="1869" t="n"/>
      <c r="AT393" s="1869" t="n"/>
      <c r="AU393" s="1868" t="n"/>
      <c r="AV393" s="1869" t="n"/>
      <c r="AW393" s="1869" t="n"/>
      <c r="AX393" s="1869" t="n"/>
      <c r="AY393" s="1869" t="n"/>
      <c r="AZ393" s="1868" t="n"/>
      <c r="BA393" s="1869" t="n"/>
      <c r="BB393" s="1869" t="n"/>
      <c r="BC393" s="1869" t="n"/>
      <c r="BD393" s="1869" t="n"/>
      <c r="BE393" s="1868" t="n"/>
      <c r="BF393" s="1869" t="n"/>
      <c r="BG393" s="1869" t="n"/>
      <c r="BH393" s="1869" t="n"/>
      <c r="BI393" s="1869" t="n"/>
      <c r="BJ393" s="1868" t="n"/>
      <c r="BK393" s="1869" t="n"/>
      <c r="BL393" s="1869" t="n"/>
      <c r="BM393" s="1869" t="n"/>
      <c r="BN393" s="1869" t="n"/>
      <c r="BO393" s="1870" t="n"/>
      <c r="BP393" s="1869" t="n"/>
      <c r="BQ393" s="1869" t="n"/>
      <c r="BR393" s="1869" t="n"/>
      <c r="BS393" s="1869" t="n"/>
      <c r="BT393" s="1868" t="n"/>
      <c r="BU393" s="1869" t="n"/>
      <c r="BV393" s="1869" t="n"/>
      <c r="BW393" s="1869" t="n"/>
      <c r="BX393" s="1869" t="n"/>
      <c r="BY393" s="1868" t="n"/>
      <c r="BZ393" s="1868" t="n"/>
      <c r="CA393" s="1868" t="n"/>
      <c r="CB393" s="1868" t="n"/>
      <c r="CC393" s="1871" t="n"/>
    </row>
    <row r="394" hidden="1" outlineLevel="1" ht="15" customFormat="1" customHeight="1" s="1866">
      <c r="A394" s="1564" t="inlineStr">
        <is>
          <t>EoP Total Diluted Ordinary Shares Outstanding, mm shares</t>
        </is>
      </c>
      <c r="B394" s="1867" t="n"/>
      <c r="C394" s="1637">
        <f>C380+C391</f>
        <v/>
      </c>
      <c r="D394" s="1637">
        <f>D380+D391</f>
        <v/>
      </c>
      <c r="E394" s="1637">
        <f>E380+E391</f>
        <v/>
      </c>
      <c r="F394" s="1637">
        <f>F380+F391</f>
        <v/>
      </c>
      <c r="G394" s="1637">
        <f>G380+G391</f>
        <v/>
      </c>
      <c r="H394" s="1562">
        <f>H380+H391</f>
        <v/>
      </c>
      <c r="I394" s="1562">
        <f>I380+I391</f>
        <v/>
      </c>
      <c r="J394" s="1562">
        <f>J380+J391</f>
        <v/>
      </c>
      <c r="K394" s="1562">
        <f>K380+K391</f>
        <v/>
      </c>
      <c r="L394" s="1637">
        <f>L380+L391</f>
        <v/>
      </c>
      <c r="M394" s="1562">
        <f>M380+M391</f>
        <v/>
      </c>
      <c r="N394" s="1562">
        <f>N380+N391</f>
        <v/>
      </c>
      <c r="O394" s="1562">
        <f>O380+O391</f>
        <v/>
      </c>
      <c r="P394" s="1562">
        <f>P380+P391</f>
        <v/>
      </c>
      <c r="Q394" s="1637">
        <f>Q380+Q391</f>
        <v/>
      </c>
      <c r="R394" s="1562">
        <f>R380+R391</f>
        <v/>
      </c>
      <c r="S394" s="1562">
        <f>S380+S391</f>
        <v/>
      </c>
      <c r="T394" s="1562">
        <f>T380+T391</f>
        <v/>
      </c>
      <c r="U394" s="1562">
        <f>U380+U391</f>
        <v/>
      </c>
      <c r="V394" s="1637">
        <f>V380+V391</f>
        <v/>
      </c>
      <c r="W394" s="1562">
        <f>W380+W391</f>
        <v/>
      </c>
      <c r="X394" s="1562">
        <f>X380+X391</f>
        <v/>
      </c>
      <c r="Y394" s="1562">
        <f>Y380+Y391</f>
        <v/>
      </c>
      <c r="Z394" s="1562">
        <f>Z380+Z391</f>
        <v/>
      </c>
      <c r="AA394" s="1637">
        <f>AA380+AA391</f>
        <v/>
      </c>
      <c r="AB394" s="1562">
        <f>AB380+AB391</f>
        <v/>
      </c>
      <c r="AC394" s="1562">
        <f>AC380+AC391</f>
        <v/>
      </c>
      <c r="AD394" s="1562">
        <f>AD380+AD391</f>
        <v/>
      </c>
      <c r="AE394" s="1562">
        <f>AE380+AE391</f>
        <v/>
      </c>
      <c r="AF394" s="1637">
        <f>AF380+AF391</f>
        <v/>
      </c>
      <c r="AG394" s="1562">
        <f>AG380+AG391</f>
        <v/>
      </c>
      <c r="AH394" s="1562">
        <f>AH380+AH391</f>
        <v/>
      </c>
      <c r="AI394" s="1562">
        <f>AI380+AI391</f>
        <v/>
      </c>
      <c r="AJ394" s="1562">
        <f>AJ380+AJ391</f>
        <v/>
      </c>
      <c r="AK394" s="1637">
        <f>AK380+AK391</f>
        <v/>
      </c>
      <c r="AL394" s="1562">
        <f>AL380+AL391</f>
        <v/>
      </c>
      <c r="AM394" s="1562">
        <f>AM380+AM391</f>
        <v/>
      </c>
      <c r="AN394" s="1562">
        <f>AN380+AN391</f>
        <v/>
      </c>
      <c r="AO394" s="1562">
        <f>AO380+AO391</f>
        <v/>
      </c>
      <c r="AP394" s="1637">
        <f>AP380+AP391</f>
        <v/>
      </c>
      <c r="AQ394" s="1562">
        <f>AQ380+AQ391</f>
        <v/>
      </c>
      <c r="AR394" s="1562">
        <f>AR380+AR391</f>
        <v/>
      </c>
      <c r="AS394" s="1562">
        <f>AS380+AS391</f>
        <v/>
      </c>
      <c r="AT394" s="1562">
        <f>AT380+AT391</f>
        <v/>
      </c>
      <c r="AU394" s="1637">
        <f>AU380+AU391</f>
        <v/>
      </c>
      <c r="AV394" s="1562">
        <f>AV380+AV391</f>
        <v/>
      </c>
      <c r="AW394" s="1562">
        <f>AW380+AW391</f>
        <v/>
      </c>
      <c r="AX394" s="1562">
        <f>AX380+AX391</f>
        <v/>
      </c>
      <c r="AY394" s="1562">
        <f>AY380+AY391</f>
        <v/>
      </c>
      <c r="AZ394" s="1637">
        <f>AZ380+AZ391</f>
        <v/>
      </c>
      <c r="BA394" s="1562">
        <f>BA380+BA391</f>
        <v/>
      </c>
      <c r="BB394" s="1562">
        <f>BB380+BB391</f>
        <v/>
      </c>
      <c r="BC394" s="1562">
        <f>BC380+BC391</f>
        <v/>
      </c>
      <c r="BD394" s="1562">
        <f>BD380+BD391</f>
        <v/>
      </c>
      <c r="BE394" s="1637">
        <f>BE380+BE391</f>
        <v/>
      </c>
      <c r="BF394" s="1562">
        <f>BF380+BF391</f>
        <v/>
      </c>
      <c r="BG394" s="1562">
        <f>BG380+BG391</f>
        <v/>
      </c>
      <c r="BH394" s="1562">
        <f>BH380+BH391</f>
        <v/>
      </c>
      <c r="BI394" s="1562">
        <f>BI380+BI391</f>
        <v/>
      </c>
      <c r="BJ394" s="1637">
        <f>BJ380+BJ391</f>
        <v/>
      </c>
      <c r="BK394" s="1562">
        <f>BK380+BK391</f>
        <v/>
      </c>
      <c r="BL394" s="1562">
        <f>BL380+BL391</f>
        <v/>
      </c>
      <c r="BM394" s="1562">
        <f>BM380+BM391</f>
        <v/>
      </c>
      <c r="BN394" s="1562">
        <f>BN380+BN391</f>
        <v/>
      </c>
      <c r="BO394" s="1638">
        <f>BO380+BO391</f>
        <v/>
      </c>
      <c r="BP394" s="1562">
        <f>BP380+BP391</f>
        <v/>
      </c>
      <c r="BQ394" s="1562">
        <f>BQ380+BQ391</f>
        <v/>
      </c>
      <c r="BR394" s="1562">
        <f>BR380+BR391</f>
        <v/>
      </c>
      <c r="BS394" s="1562">
        <f>BS380+BS391</f>
        <v/>
      </c>
      <c r="BT394" s="1637">
        <f>BT380+BT391</f>
        <v/>
      </c>
      <c r="BU394" s="1562">
        <f>BU380+BU391</f>
        <v/>
      </c>
      <c r="BV394" s="1562">
        <f>BV380+BV391</f>
        <v/>
      </c>
      <c r="BW394" s="1562">
        <f>BW380+BW391</f>
        <v/>
      </c>
      <c r="BX394" s="1562">
        <f>BX380+BX391</f>
        <v/>
      </c>
      <c r="BY394" s="1637">
        <f>BY380+BY391</f>
        <v/>
      </c>
      <c r="BZ394" s="1637">
        <f>BZ380+BZ391</f>
        <v/>
      </c>
      <c r="CA394" s="1637">
        <f>CA380+CA391</f>
        <v/>
      </c>
      <c r="CB394" s="1637">
        <f>CB380+CB391</f>
        <v/>
      </c>
      <c r="CC394" s="1871" t="n"/>
    </row>
    <row r="395" collapsed="1" ht="15" customFormat="1" customHeight="1" s="1561">
      <c r="A395" s="1562" t="n"/>
      <c r="B395" s="1705" t="n"/>
      <c r="C395" s="1637" t="n"/>
      <c r="D395" s="1637" t="n"/>
      <c r="E395" s="1637" t="n"/>
      <c r="F395" s="1637" t="n"/>
      <c r="G395" s="1637" t="n"/>
      <c r="H395" s="1562" t="n"/>
      <c r="I395" s="1562" t="n"/>
      <c r="J395" s="1562" t="n"/>
      <c r="K395" s="1562" t="n"/>
      <c r="L395" s="1637" t="n"/>
      <c r="M395" s="1562" t="n"/>
      <c r="N395" s="1562" t="n"/>
      <c r="O395" s="1562" t="n"/>
      <c r="P395" s="1562" t="n"/>
      <c r="Q395" s="1637" t="n"/>
      <c r="R395" s="1562" t="n"/>
      <c r="S395" s="1562" t="n"/>
      <c r="T395" s="1562" t="n"/>
      <c r="U395" s="1562" t="n"/>
      <c r="V395" s="1637" t="n"/>
      <c r="W395" s="1562" t="n"/>
      <c r="X395" s="1562" t="n"/>
      <c r="Y395" s="1562" t="n"/>
      <c r="Z395" s="1562" t="n"/>
      <c r="AA395" s="1637" t="n"/>
      <c r="AB395" s="1562" t="n"/>
      <c r="AC395" s="1562" t="n"/>
      <c r="AD395" s="1562" t="n"/>
      <c r="AE395" s="1562" t="n"/>
      <c r="AF395" s="1637" t="n"/>
      <c r="AG395" s="1562" t="n"/>
      <c r="AH395" s="1562" t="n"/>
      <c r="AI395" s="1562" t="n"/>
      <c r="AJ395" s="1562" t="n"/>
      <c r="AK395" s="1637" t="n"/>
      <c r="AL395" s="1562" t="n"/>
      <c r="AM395" s="1562" t="n"/>
      <c r="AN395" s="1562" t="n"/>
      <c r="AO395" s="1562" t="n"/>
      <c r="AP395" s="1637" t="n"/>
      <c r="AQ395" s="1562" t="n"/>
      <c r="AR395" s="1562" t="n"/>
      <c r="AS395" s="1562" t="n"/>
      <c r="AT395" s="1562" t="n"/>
      <c r="AU395" s="1637" t="n"/>
      <c r="AV395" s="1562" t="n"/>
      <c r="AW395" s="1562" t="n"/>
      <c r="AX395" s="1562" t="n"/>
      <c r="AY395" s="1562" t="n"/>
      <c r="AZ395" s="1637" t="n"/>
      <c r="BA395" s="1562" t="n"/>
      <c r="BB395" s="1562" t="n"/>
      <c r="BC395" s="1562" t="n"/>
      <c r="BD395" s="1562" t="n"/>
      <c r="BE395" s="1637" t="n"/>
      <c r="BF395" s="1562" t="n"/>
      <c r="BG395" s="1562" t="n"/>
      <c r="BH395" s="1562" t="n"/>
      <c r="BI395" s="1562" t="n"/>
      <c r="BJ395" s="1637" t="n"/>
      <c r="BK395" s="1562" t="n"/>
      <c r="BL395" s="1562" t="n"/>
      <c r="BM395" s="1562" t="n"/>
      <c r="BN395" s="1562" t="n"/>
      <c r="BO395" s="1638" t="n"/>
      <c r="BP395" s="1562" t="n"/>
      <c r="BQ395" s="1562" t="n"/>
      <c r="BR395" s="1562" t="n"/>
      <c r="BS395" s="1562" t="n"/>
      <c r="BT395" s="1637" t="n"/>
      <c r="BU395" s="1562" t="n"/>
      <c r="BV395" s="1562" t="n"/>
      <c r="BW395" s="1562" t="n"/>
      <c r="BX395" s="1562" t="n"/>
      <c r="BY395" s="1637" t="n"/>
      <c r="BZ395" s="1637" t="n"/>
      <c r="CA395" s="1637" t="n"/>
      <c r="CB395" s="1637" t="n"/>
      <c r="CC395" s="1564" t="n"/>
    </row>
    <row r="396" ht="15" customFormat="1" customHeight="1" s="1628">
      <c r="A396" s="1786" t="inlineStr">
        <is>
          <t>Cash Flow Summary</t>
        </is>
      </c>
      <c r="B396" s="1786" t="n"/>
      <c r="C396" s="1786" t="n"/>
      <c r="D396" s="1786" t="n"/>
      <c r="E396" s="1786" t="n"/>
      <c r="F396" s="1786" t="n"/>
      <c r="G396" s="1786" t="n"/>
      <c r="H396" s="1786" t="n"/>
      <c r="I396" s="1786" t="n"/>
      <c r="J396" s="1786" t="n"/>
      <c r="K396" s="1786" t="n"/>
      <c r="L396" s="1786" t="n"/>
      <c r="M396" s="1786" t="n"/>
      <c r="N396" s="1786" t="n"/>
      <c r="O396" s="1786" t="n"/>
      <c r="P396" s="1786" t="n"/>
      <c r="Q396" s="1786" t="n"/>
      <c r="R396" s="1786" t="n"/>
      <c r="S396" s="1786" t="n"/>
      <c r="T396" s="1786" t="n"/>
      <c r="U396" s="1786" t="n"/>
      <c r="V396" s="1786" t="n"/>
      <c r="W396" s="1786" t="n"/>
      <c r="X396" s="1786" t="n"/>
      <c r="Y396" s="1786" t="n"/>
      <c r="Z396" s="1786" t="n"/>
      <c r="AA396" s="1786" t="n"/>
      <c r="AB396" s="1786" t="n"/>
      <c r="AC396" s="1786" t="n"/>
      <c r="AD396" s="1786" t="n"/>
      <c r="AE396" s="1786" t="n"/>
      <c r="AF396" s="1786" t="n"/>
      <c r="AG396" s="1786" t="n"/>
      <c r="AH396" s="1786" t="n"/>
      <c r="AI396" s="1786" t="n"/>
      <c r="AJ396" s="1786" t="n"/>
      <c r="AK396" s="1786" t="n"/>
      <c r="AL396" s="1786" t="n"/>
      <c r="AM396" s="1786" t="n"/>
      <c r="AN396" s="1786" t="n"/>
      <c r="AO396" s="1786" t="n"/>
      <c r="AP396" s="1786" t="n"/>
      <c r="AQ396" s="1786" t="n"/>
      <c r="AR396" s="1786" t="n"/>
      <c r="AS396" s="1786" t="n"/>
      <c r="AT396" s="1786" t="n"/>
      <c r="AU396" s="1786" t="n"/>
      <c r="AV396" s="1786" t="n"/>
      <c r="AW396" s="1786" t="n"/>
      <c r="AX396" s="1786" t="n"/>
      <c r="AY396" s="1786" t="n"/>
      <c r="AZ396" s="1786" t="n"/>
      <c r="BA396" s="1786" t="n"/>
      <c r="BB396" s="1786" t="n"/>
      <c r="BC396" s="1786" t="n"/>
      <c r="BD396" s="1786" t="n"/>
      <c r="BE396" s="1786" t="n"/>
      <c r="BF396" s="1786" t="n"/>
      <c r="BG396" s="1786" t="n"/>
      <c r="BH396" s="1786" t="n"/>
      <c r="BI396" s="1786" t="n"/>
      <c r="BJ396" s="1786" t="n"/>
      <c r="BK396" s="1786" t="n"/>
      <c r="BL396" s="1786" t="n"/>
      <c r="BM396" s="1786" t="n"/>
      <c r="BN396" s="1786" t="n"/>
      <c r="BO396" s="1826" t="n"/>
      <c r="BP396" s="1786" t="n"/>
      <c r="BQ396" s="1786" t="n"/>
      <c r="BR396" s="1786" t="n"/>
      <c r="BS396" s="1786" t="n"/>
      <c r="BT396" s="1786" t="n"/>
      <c r="BU396" s="1786" t="n"/>
      <c r="BV396" s="1786" t="n"/>
      <c r="BW396" s="1786" t="n"/>
      <c r="BX396" s="1786" t="n"/>
      <c r="BY396" s="1786" t="n"/>
      <c r="BZ396" s="1786" t="n"/>
      <c r="CA396" s="1786" t="n"/>
      <c r="CB396" s="1786" t="n"/>
      <c r="CC396" s="1634" t="n"/>
    </row>
    <row r="397" hidden="1" outlineLevel="1" ht="15" customFormat="1" customHeight="1" s="1561">
      <c r="A397" s="1564" t="inlineStr">
        <is>
          <t>Operating Cash Flow before WC</t>
        </is>
      </c>
      <c r="B397" s="1705" t="n"/>
      <c r="C397" s="1713">
        <f>C536</f>
        <v/>
      </c>
      <c r="D397" s="1713">
        <f>D536</f>
        <v/>
      </c>
      <c r="E397" s="1713">
        <f>E536</f>
        <v/>
      </c>
      <c r="F397" s="1713">
        <f>F536</f>
        <v/>
      </c>
      <c r="G397" s="1713">
        <f>G536</f>
        <v/>
      </c>
      <c r="H397" s="1564">
        <f>H536</f>
        <v/>
      </c>
      <c r="I397" s="1564">
        <f>I536</f>
        <v/>
      </c>
      <c r="J397" s="1564">
        <f>J536</f>
        <v/>
      </c>
      <c r="K397" s="1564">
        <f>K536</f>
        <v/>
      </c>
      <c r="L397" s="1713">
        <f>L536</f>
        <v/>
      </c>
      <c r="M397" s="1564">
        <f>M536</f>
        <v/>
      </c>
      <c r="N397" s="1564">
        <f>N536</f>
        <v/>
      </c>
      <c r="O397" s="1564">
        <f>O536</f>
        <v/>
      </c>
      <c r="P397" s="1564">
        <f>P536</f>
        <v/>
      </c>
      <c r="Q397" s="1713">
        <f>Q536</f>
        <v/>
      </c>
      <c r="R397" s="1564">
        <f>R536</f>
        <v/>
      </c>
      <c r="S397" s="1564">
        <f>S536</f>
        <v/>
      </c>
      <c r="T397" s="1564">
        <f>T536</f>
        <v/>
      </c>
      <c r="U397" s="1564">
        <f>U536</f>
        <v/>
      </c>
      <c r="V397" s="1713">
        <f>V536</f>
        <v/>
      </c>
      <c r="W397" s="1564">
        <f>W536</f>
        <v/>
      </c>
      <c r="X397" s="1564">
        <f>X536</f>
        <v/>
      </c>
      <c r="Y397" s="1564">
        <f>Y536</f>
        <v/>
      </c>
      <c r="Z397" s="1564">
        <f>Z536</f>
        <v/>
      </c>
      <c r="AA397" s="1713">
        <f>AA536</f>
        <v/>
      </c>
      <c r="AB397" s="1564">
        <f>AB536</f>
        <v/>
      </c>
      <c r="AC397" s="1564">
        <f>AC536</f>
        <v/>
      </c>
      <c r="AD397" s="1564">
        <f>AD536</f>
        <v/>
      </c>
      <c r="AE397" s="1564">
        <f>AE536</f>
        <v/>
      </c>
      <c r="AF397" s="1713">
        <f>AF536</f>
        <v/>
      </c>
      <c r="AG397" s="1564">
        <f>AG536</f>
        <v/>
      </c>
      <c r="AH397" s="1564">
        <f>AH536</f>
        <v/>
      </c>
      <c r="AI397" s="1564">
        <f>AI536</f>
        <v/>
      </c>
      <c r="AJ397" s="1564">
        <f>AJ536</f>
        <v/>
      </c>
      <c r="AK397" s="1713">
        <f>AK536</f>
        <v/>
      </c>
      <c r="AL397" s="1564">
        <f>AL536</f>
        <v/>
      </c>
      <c r="AM397" s="1564">
        <f>AM536</f>
        <v/>
      </c>
      <c r="AN397" s="1564">
        <f>AN536</f>
        <v/>
      </c>
      <c r="AO397" s="1564">
        <f>AO536</f>
        <v/>
      </c>
      <c r="AP397" s="1713">
        <f>AP536</f>
        <v/>
      </c>
      <c r="AQ397" s="1564">
        <f>AQ536</f>
        <v/>
      </c>
      <c r="AR397" s="1564">
        <f>AR536</f>
        <v/>
      </c>
      <c r="AS397" s="1564">
        <f>AS536</f>
        <v/>
      </c>
      <c r="AT397" s="1564">
        <f>AT536</f>
        <v/>
      </c>
      <c r="AU397" s="1713">
        <f>AU536</f>
        <v/>
      </c>
      <c r="AV397" s="1564">
        <f>AV536</f>
        <v/>
      </c>
      <c r="AW397" s="1564">
        <f>AW536</f>
        <v/>
      </c>
      <c r="AX397" s="1564">
        <f>AX536</f>
        <v/>
      </c>
      <c r="AY397" s="1564">
        <f>AY536</f>
        <v/>
      </c>
      <c r="AZ397" s="1713">
        <f>AZ536</f>
        <v/>
      </c>
      <c r="BA397" s="1564">
        <f>BA536</f>
        <v/>
      </c>
      <c r="BB397" s="1564">
        <f>BB536</f>
        <v/>
      </c>
      <c r="BC397" s="1564">
        <f>BC536</f>
        <v/>
      </c>
      <c r="BD397" s="1564">
        <f>BD536</f>
        <v/>
      </c>
      <c r="BE397" s="1713">
        <f>BE536</f>
        <v/>
      </c>
      <c r="BF397" s="1564">
        <f>BF536</f>
        <v/>
      </c>
      <c r="BG397" s="1564">
        <f>BG536</f>
        <v/>
      </c>
      <c r="BH397" s="1564">
        <f>BH536</f>
        <v/>
      </c>
      <c r="BI397" s="1564">
        <f>BI536</f>
        <v/>
      </c>
      <c r="BJ397" s="1713">
        <f>BJ536</f>
        <v/>
      </c>
      <c r="BK397" s="1564">
        <f>BK536</f>
        <v/>
      </c>
      <c r="BL397" s="1564">
        <f>BL536</f>
        <v/>
      </c>
      <c r="BM397" s="1564">
        <f>BM536</f>
        <v/>
      </c>
      <c r="BN397" s="1564">
        <f>BN536</f>
        <v/>
      </c>
      <c r="BO397" s="1715">
        <f>BO536</f>
        <v/>
      </c>
      <c r="BP397" s="1562">
        <f>BP536</f>
        <v/>
      </c>
      <c r="BQ397" s="1562">
        <f>BQ536</f>
        <v/>
      </c>
      <c r="BR397" s="1562">
        <f>BR536</f>
        <v/>
      </c>
      <c r="BS397" s="1562">
        <f>BS536</f>
        <v/>
      </c>
      <c r="BT397" s="1637">
        <f>BT536</f>
        <v/>
      </c>
      <c r="BU397" s="1562">
        <f>BU536</f>
        <v/>
      </c>
      <c r="BV397" s="1562">
        <f>BV536</f>
        <v/>
      </c>
      <c r="BW397" s="1562">
        <f>BW536</f>
        <v/>
      </c>
      <c r="BX397" s="1562">
        <f>BX536</f>
        <v/>
      </c>
      <c r="BY397" s="1637">
        <f>BY536</f>
        <v/>
      </c>
      <c r="BZ397" s="1637">
        <f>BZ536</f>
        <v/>
      </c>
      <c r="CA397" s="1637">
        <f>CA536</f>
        <v/>
      </c>
      <c r="CB397" s="1637">
        <f>CB536</f>
        <v/>
      </c>
      <c r="CC397" s="1564" t="n"/>
    </row>
    <row r="398" hidden="1" outlineLevel="1" ht="15" customFormat="1" customHeight="1" s="1561">
      <c r="A398" s="1881" t="inlineStr">
        <is>
          <t>Change in Working Capital</t>
        </is>
      </c>
      <c r="B398" s="1882" t="n"/>
      <c r="C398" s="1883">
        <f>+C545</f>
        <v/>
      </c>
      <c r="D398" s="1883">
        <f>+D545</f>
        <v/>
      </c>
      <c r="E398" s="1883">
        <f>+E545</f>
        <v/>
      </c>
      <c r="F398" s="1883">
        <f>+F545</f>
        <v/>
      </c>
      <c r="G398" s="1883">
        <f>+G545</f>
        <v/>
      </c>
      <c r="H398" s="1884">
        <f>+H545</f>
        <v/>
      </c>
      <c r="I398" s="1884">
        <f>+I545</f>
        <v/>
      </c>
      <c r="J398" s="1884">
        <f>+J545</f>
        <v/>
      </c>
      <c r="K398" s="1884">
        <f>+K545</f>
        <v/>
      </c>
      <c r="L398" s="1883">
        <f>+L545</f>
        <v/>
      </c>
      <c r="M398" s="1884">
        <f>+M545</f>
        <v/>
      </c>
      <c r="N398" s="1884">
        <f>+N545</f>
        <v/>
      </c>
      <c r="O398" s="1884">
        <f>+O545</f>
        <v/>
      </c>
      <c r="P398" s="1884">
        <f>+P545</f>
        <v/>
      </c>
      <c r="Q398" s="1883">
        <f>+Q545</f>
        <v/>
      </c>
      <c r="R398" s="1884">
        <f>+R545</f>
        <v/>
      </c>
      <c r="S398" s="1884">
        <f>+S545</f>
        <v/>
      </c>
      <c r="T398" s="1884">
        <f>+T545</f>
        <v/>
      </c>
      <c r="U398" s="1884">
        <f>+U545</f>
        <v/>
      </c>
      <c r="V398" s="1883">
        <f>+V545</f>
        <v/>
      </c>
      <c r="W398" s="1884">
        <f>+W545</f>
        <v/>
      </c>
      <c r="X398" s="1884">
        <f>+X545</f>
        <v/>
      </c>
      <c r="Y398" s="1884">
        <f>+Y545</f>
        <v/>
      </c>
      <c r="Z398" s="1884">
        <f>+Z545</f>
        <v/>
      </c>
      <c r="AA398" s="1883">
        <f>+AA545</f>
        <v/>
      </c>
      <c r="AB398" s="1884">
        <f>+AB545</f>
        <v/>
      </c>
      <c r="AC398" s="1884">
        <f>+AC545</f>
        <v/>
      </c>
      <c r="AD398" s="1884">
        <f>+AD545</f>
        <v/>
      </c>
      <c r="AE398" s="1884">
        <f>+AE545</f>
        <v/>
      </c>
      <c r="AF398" s="1883">
        <f>+AF545</f>
        <v/>
      </c>
      <c r="AG398" s="1884">
        <f>+AG545</f>
        <v/>
      </c>
      <c r="AH398" s="1884">
        <f>+AH545</f>
        <v/>
      </c>
      <c r="AI398" s="1884">
        <f>+AI545</f>
        <v/>
      </c>
      <c r="AJ398" s="1884">
        <f>+AJ545</f>
        <v/>
      </c>
      <c r="AK398" s="1883">
        <f>+AK545</f>
        <v/>
      </c>
      <c r="AL398" s="1884">
        <f>+AL545</f>
        <v/>
      </c>
      <c r="AM398" s="1884">
        <f>+AM545</f>
        <v/>
      </c>
      <c r="AN398" s="1884">
        <f>+AN545</f>
        <v/>
      </c>
      <c r="AO398" s="1884">
        <f>+AO545</f>
        <v/>
      </c>
      <c r="AP398" s="1883">
        <f>+AP545</f>
        <v/>
      </c>
      <c r="AQ398" s="1884">
        <f>+AQ545</f>
        <v/>
      </c>
      <c r="AR398" s="1884">
        <f>+AR545</f>
        <v/>
      </c>
      <c r="AS398" s="1884">
        <f>+AS545</f>
        <v/>
      </c>
      <c r="AT398" s="1884">
        <f>+AT545</f>
        <v/>
      </c>
      <c r="AU398" s="1883">
        <f>+AU545</f>
        <v/>
      </c>
      <c r="AV398" s="1884">
        <f>+AV545</f>
        <v/>
      </c>
      <c r="AW398" s="1884">
        <f>+AW545</f>
        <v/>
      </c>
      <c r="AX398" s="1884">
        <f>+AX545</f>
        <v/>
      </c>
      <c r="AY398" s="1884">
        <f>+AY545</f>
        <v/>
      </c>
      <c r="AZ398" s="1883">
        <f>+AZ545</f>
        <v/>
      </c>
      <c r="BA398" s="1884">
        <f>+BA545</f>
        <v/>
      </c>
      <c r="BB398" s="1884">
        <f>+BB545</f>
        <v/>
      </c>
      <c r="BC398" s="1884">
        <f>+BC545</f>
        <v/>
      </c>
      <c r="BD398" s="1884">
        <f>+BD545</f>
        <v/>
      </c>
      <c r="BE398" s="1883">
        <f>+BE545</f>
        <v/>
      </c>
      <c r="BF398" s="1884">
        <f>+BF545</f>
        <v/>
      </c>
      <c r="BG398" s="1884">
        <f>+BG545</f>
        <v/>
      </c>
      <c r="BH398" s="1884">
        <f>+BH545</f>
        <v/>
      </c>
      <c r="BI398" s="1884">
        <f>+BI545</f>
        <v/>
      </c>
      <c r="BJ398" s="1883">
        <f>+BJ545</f>
        <v/>
      </c>
      <c r="BK398" s="1884">
        <f>+BK545</f>
        <v/>
      </c>
      <c r="BL398" s="1884">
        <f>+BL545</f>
        <v/>
      </c>
      <c r="BM398" s="1884">
        <f>+BM545</f>
        <v/>
      </c>
      <c r="BN398" s="1884">
        <f>+BN545</f>
        <v/>
      </c>
      <c r="BO398" s="1885">
        <f>+BO545</f>
        <v/>
      </c>
      <c r="BP398" s="1884">
        <f>+BP545</f>
        <v/>
      </c>
      <c r="BQ398" s="1884">
        <f>+BQ545</f>
        <v/>
      </c>
      <c r="BR398" s="1884">
        <f>+BR545</f>
        <v/>
      </c>
      <c r="BS398" s="1884">
        <f>+BS545</f>
        <v/>
      </c>
      <c r="BT398" s="1883">
        <f>+BT545</f>
        <v/>
      </c>
      <c r="BU398" s="1884">
        <f>+BU545</f>
        <v/>
      </c>
      <c r="BV398" s="1884">
        <f>+BV545</f>
        <v/>
      </c>
      <c r="BW398" s="1884">
        <f>+BW545</f>
        <v/>
      </c>
      <c r="BX398" s="1884">
        <f>+BX545</f>
        <v/>
      </c>
      <c r="BY398" s="1883">
        <f>+BY545</f>
        <v/>
      </c>
      <c r="BZ398" s="1883">
        <f>+BZ545</f>
        <v/>
      </c>
      <c r="CA398" s="1883">
        <f>+CA545</f>
        <v/>
      </c>
      <c r="CB398" s="1883">
        <f>+CB545</f>
        <v/>
      </c>
      <c r="CC398" s="1564" t="n"/>
    </row>
    <row r="399" collapsed="1" ht="15" customFormat="1" customHeight="1" s="1561">
      <c r="A399" s="1886" t="inlineStr">
        <is>
          <t>Operating Cash Flow after WC</t>
        </is>
      </c>
      <c r="B399" s="1887" t="n"/>
      <c r="C399" s="1888">
        <f>C397+C398</f>
        <v/>
      </c>
      <c r="D399" s="1888">
        <f>D397+D398</f>
        <v/>
      </c>
      <c r="E399" s="1888">
        <f>E397+E398</f>
        <v/>
      </c>
      <c r="F399" s="1888">
        <f>F397+F398</f>
        <v/>
      </c>
      <c r="G399" s="1888">
        <f>G397+G398</f>
        <v/>
      </c>
      <c r="H399" s="1886">
        <f>H397+H398</f>
        <v/>
      </c>
      <c r="I399" s="1886">
        <f>I397+I398</f>
        <v/>
      </c>
      <c r="J399" s="1886">
        <f>J397+J398</f>
        <v/>
      </c>
      <c r="K399" s="1886">
        <f>K397+K398</f>
        <v/>
      </c>
      <c r="L399" s="1888">
        <f>L397+L398</f>
        <v/>
      </c>
      <c r="M399" s="1886">
        <f>M397+M398</f>
        <v/>
      </c>
      <c r="N399" s="1886">
        <f>N397+N398</f>
        <v/>
      </c>
      <c r="O399" s="1886">
        <f>O397+O398</f>
        <v/>
      </c>
      <c r="P399" s="1886">
        <f>P397+P398</f>
        <v/>
      </c>
      <c r="Q399" s="1888">
        <f>Q397+Q398</f>
        <v/>
      </c>
      <c r="R399" s="1886">
        <f>R397+R398</f>
        <v/>
      </c>
      <c r="S399" s="1886">
        <f>S397+S398</f>
        <v/>
      </c>
      <c r="T399" s="1886">
        <f>T397+T398</f>
        <v/>
      </c>
      <c r="U399" s="1886">
        <f>U397+U398</f>
        <v/>
      </c>
      <c r="V399" s="1888">
        <f>V397+V398</f>
        <v/>
      </c>
      <c r="W399" s="1886">
        <f>W397+W398</f>
        <v/>
      </c>
      <c r="X399" s="1886">
        <f>X397+X398</f>
        <v/>
      </c>
      <c r="Y399" s="1886">
        <f>Y397+Y398</f>
        <v/>
      </c>
      <c r="Z399" s="1886">
        <f>Z397+Z398</f>
        <v/>
      </c>
      <c r="AA399" s="1888">
        <f>AA397+AA398</f>
        <v/>
      </c>
      <c r="AB399" s="1886">
        <f>AB397+AB398</f>
        <v/>
      </c>
      <c r="AC399" s="1886">
        <f>AC397+AC398</f>
        <v/>
      </c>
      <c r="AD399" s="1886">
        <f>AD397+AD398</f>
        <v/>
      </c>
      <c r="AE399" s="1886">
        <f>AE397+AE398</f>
        <v/>
      </c>
      <c r="AF399" s="1888">
        <f>AF397+AF398</f>
        <v/>
      </c>
      <c r="AG399" s="1886">
        <f>AG397+AG398</f>
        <v/>
      </c>
      <c r="AH399" s="1886">
        <f>AH397+AH398</f>
        <v/>
      </c>
      <c r="AI399" s="1886">
        <f>AI397+AI398</f>
        <v/>
      </c>
      <c r="AJ399" s="1886">
        <f>AJ397+AJ398</f>
        <v/>
      </c>
      <c r="AK399" s="1888">
        <f>AK397+AK398</f>
        <v/>
      </c>
      <c r="AL399" s="1886">
        <f>AL397+AL398</f>
        <v/>
      </c>
      <c r="AM399" s="1886">
        <f>AM397+AM398</f>
        <v/>
      </c>
      <c r="AN399" s="1886">
        <f>AN397+AN398</f>
        <v/>
      </c>
      <c r="AO399" s="1886">
        <f>AO397+AO398</f>
        <v/>
      </c>
      <c r="AP399" s="1888">
        <f>AP397+AP398</f>
        <v/>
      </c>
      <c r="AQ399" s="1886">
        <f>AQ397+AQ398</f>
        <v/>
      </c>
      <c r="AR399" s="1886">
        <f>AR397+AR398</f>
        <v/>
      </c>
      <c r="AS399" s="1886">
        <f>AS397+AS398</f>
        <v/>
      </c>
      <c r="AT399" s="1886">
        <f>AT397+AT398</f>
        <v/>
      </c>
      <c r="AU399" s="1888">
        <f>AU397+AU398</f>
        <v/>
      </c>
      <c r="AV399" s="1886">
        <f>AV397+AV398</f>
        <v/>
      </c>
      <c r="AW399" s="1886">
        <f>AW397+AW398</f>
        <v/>
      </c>
      <c r="AX399" s="1886">
        <f>AX397+AX398</f>
        <v/>
      </c>
      <c r="AY399" s="1886">
        <f>AY397+AY398</f>
        <v/>
      </c>
      <c r="AZ399" s="1888">
        <f>AZ397+AZ398</f>
        <v/>
      </c>
      <c r="BA399" s="1886">
        <f>BA397+BA398</f>
        <v/>
      </c>
      <c r="BB399" s="1886">
        <f>BB397+BB398</f>
        <v/>
      </c>
      <c r="BC399" s="1886">
        <f>BC397+BC398</f>
        <v/>
      </c>
      <c r="BD399" s="1886">
        <f>BD397+BD398</f>
        <v/>
      </c>
      <c r="BE399" s="1888">
        <f>BE397+BE398</f>
        <v/>
      </c>
      <c r="BF399" s="1886">
        <f>BF397+BF398</f>
        <v/>
      </c>
      <c r="BG399" s="1886">
        <f>BG397+BG398</f>
        <v/>
      </c>
      <c r="BH399" s="1886">
        <f>BH397+BH398</f>
        <v/>
      </c>
      <c r="BI399" s="1886">
        <f>BI397+BI398</f>
        <v/>
      </c>
      <c r="BJ399" s="1888">
        <f>BJ397+BJ398</f>
        <v/>
      </c>
      <c r="BK399" s="1886">
        <f>BK397+BK398</f>
        <v/>
      </c>
      <c r="BL399" s="1886">
        <f>BL397+BL398</f>
        <v/>
      </c>
      <c r="BM399" s="1886">
        <f>BM397+BM398</f>
        <v/>
      </c>
      <c r="BN399" s="1886">
        <f>BN397+BN398</f>
        <v/>
      </c>
      <c r="BO399" s="1889">
        <f>BO397+BO398</f>
        <v/>
      </c>
      <c r="BP399" s="1886">
        <f>BP397+BP398</f>
        <v/>
      </c>
      <c r="BQ399" s="1886">
        <f>BQ397+BQ398</f>
        <v/>
      </c>
      <c r="BR399" s="1886">
        <f>BR397+BR398</f>
        <v/>
      </c>
      <c r="BS399" s="1886">
        <f>BS397+BS398</f>
        <v/>
      </c>
      <c r="BT399" s="1888">
        <f>BT397+BT398</f>
        <v/>
      </c>
      <c r="BU399" s="1886">
        <f>BU397+BU398</f>
        <v/>
      </c>
      <c r="BV399" s="1886">
        <f>BV397+BV398</f>
        <v/>
      </c>
      <c r="BW399" s="1886">
        <f>BW397+BW398</f>
        <v/>
      </c>
      <c r="BX399" s="1886">
        <f>BX397+BX398</f>
        <v/>
      </c>
      <c r="BY399" s="1888">
        <f>BY397+BY398</f>
        <v/>
      </c>
      <c r="BZ399" s="1888">
        <f>BZ397+BZ398</f>
        <v/>
      </c>
      <c r="CA399" s="1888">
        <f>CA397+CA398</f>
        <v/>
      </c>
      <c r="CB399" s="1888">
        <f>CB397+CB398</f>
        <v/>
      </c>
      <c r="CC399" s="1564" t="n"/>
    </row>
    <row r="400" hidden="1" outlineLevel="1" ht="15" customFormat="1" customHeight="1" s="1844">
      <c r="A400" s="1890" t="inlineStr">
        <is>
          <t>Cash Flow Per Diluted Share before WC</t>
        </is>
      </c>
      <c r="B400" s="1846" t="n"/>
      <c r="C400" s="1891">
        <f>C397/C376</f>
        <v/>
      </c>
      <c r="D400" s="1891">
        <f>D397/D376</f>
        <v/>
      </c>
      <c r="E400" s="1892">
        <f>E397/E376</f>
        <v/>
      </c>
      <c r="F400" s="1892">
        <f>F397/F376</f>
        <v/>
      </c>
      <c r="G400" s="1892">
        <f>G397/G376</f>
        <v/>
      </c>
      <c r="H400" s="1893">
        <f>H397/H376</f>
        <v/>
      </c>
      <c r="I400" s="1893">
        <f>I397/I376</f>
        <v/>
      </c>
      <c r="J400" s="1893">
        <f>J397/J376</f>
        <v/>
      </c>
      <c r="K400" s="1893">
        <f>K397/K376</f>
        <v/>
      </c>
      <c r="L400" s="1892">
        <f>L397/L376</f>
        <v/>
      </c>
      <c r="M400" s="1893">
        <f>M397/M376</f>
        <v/>
      </c>
      <c r="N400" s="1893">
        <f>N397/N376</f>
        <v/>
      </c>
      <c r="O400" s="1893">
        <f>O397/O376</f>
        <v/>
      </c>
      <c r="P400" s="1893">
        <f>P397/P376</f>
        <v/>
      </c>
      <c r="Q400" s="1892">
        <f>Q397/Q376</f>
        <v/>
      </c>
      <c r="R400" s="1893">
        <f>R397/R376</f>
        <v/>
      </c>
      <c r="S400" s="1893">
        <f>S397/S376</f>
        <v/>
      </c>
      <c r="T400" s="1893">
        <f>T397/T376</f>
        <v/>
      </c>
      <c r="U400" s="1893">
        <f>U397/U376</f>
        <v/>
      </c>
      <c r="V400" s="1892">
        <f>V397/V376</f>
        <v/>
      </c>
      <c r="W400" s="1893">
        <f>W397/W376</f>
        <v/>
      </c>
      <c r="X400" s="1893">
        <f>X397/X376</f>
        <v/>
      </c>
      <c r="Y400" s="1893">
        <f>Y397/Y376</f>
        <v/>
      </c>
      <c r="Z400" s="1893">
        <f>Z397/Z376</f>
        <v/>
      </c>
      <c r="AA400" s="1892">
        <f>AA397/AA376</f>
        <v/>
      </c>
      <c r="AB400" s="1893">
        <f>AB397/AB376</f>
        <v/>
      </c>
      <c r="AC400" s="1893">
        <f>AC397/AC376</f>
        <v/>
      </c>
      <c r="AD400" s="1893">
        <f>AD397/AD376</f>
        <v/>
      </c>
      <c r="AE400" s="1893">
        <f>AE397/AE376</f>
        <v/>
      </c>
      <c r="AF400" s="1892">
        <f>AF397/AF376</f>
        <v/>
      </c>
      <c r="AG400" s="1893">
        <f>AG397/AG376</f>
        <v/>
      </c>
      <c r="AH400" s="1893">
        <f>AH397/AH376</f>
        <v/>
      </c>
      <c r="AI400" s="1893">
        <f>AI397/AI376</f>
        <v/>
      </c>
      <c r="AJ400" s="1893">
        <f>AJ397/AJ376</f>
        <v/>
      </c>
      <c r="AK400" s="1892">
        <f>AK397/AK376</f>
        <v/>
      </c>
      <c r="AL400" s="1893">
        <f>AL397/AL376</f>
        <v/>
      </c>
      <c r="AM400" s="1893">
        <f>AM397/AM376</f>
        <v/>
      </c>
      <c r="AN400" s="1893">
        <f>AN397/AN376</f>
        <v/>
      </c>
      <c r="AO400" s="1893">
        <f>AO397/AO376</f>
        <v/>
      </c>
      <c r="AP400" s="1892">
        <f>AP397/AP376</f>
        <v/>
      </c>
      <c r="AQ400" s="1893">
        <f>AQ397/AQ376</f>
        <v/>
      </c>
      <c r="AR400" s="1893">
        <f>AR397/AR376</f>
        <v/>
      </c>
      <c r="AS400" s="1893">
        <f>AS397/AS376</f>
        <v/>
      </c>
      <c r="AT400" s="1893">
        <f>AT397/AT376</f>
        <v/>
      </c>
      <c r="AU400" s="1892">
        <f>AU397/AU376</f>
        <v/>
      </c>
      <c r="AV400" s="1893">
        <f>AV397/AV376</f>
        <v/>
      </c>
      <c r="AW400" s="1893">
        <f>AW397/AW376</f>
        <v/>
      </c>
      <c r="AX400" s="1893">
        <f>AX397/AX376</f>
        <v/>
      </c>
      <c r="AY400" s="1893">
        <f>AY397/AY376</f>
        <v/>
      </c>
      <c r="AZ400" s="1892">
        <f>AZ397/AZ376</f>
        <v/>
      </c>
      <c r="BA400" s="1893">
        <f>BA397/BA376</f>
        <v/>
      </c>
      <c r="BB400" s="1893">
        <f>BB397/BB376</f>
        <v/>
      </c>
      <c r="BC400" s="1893">
        <f>BC397/BC376</f>
        <v/>
      </c>
      <c r="BD400" s="1893">
        <f>BD397/BD376</f>
        <v/>
      </c>
      <c r="BE400" s="1892">
        <f>BE397/BE376</f>
        <v/>
      </c>
      <c r="BF400" s="1893">
        <f>BF397/BF376</f>
        <v/>
      </c>
      <c r="BG400" s="1893">
        <f>BG397/BG376</f>
        <v/>
      </c>
      <c r="BH400" s="1893">
        <f>BH397/BH376</f>
        <v/>
      </c>
      <c r="BI400" s="1893">
        <f>BI397/BI376</f>
        <v/>
      </c>
      <c r="BJ400" s="1892">
        <f>BJ397/BJ376</f>
        <v/>
      </c>
      <c r="BK400" s="1893">
        <f>BK397/BK376</f>
        <v/>
      </c>
      <c r="BL400" s="1893">
        <f>BL397/BL376</f>
        <v/>
      </c>
      <c r="BM400" s="1893">
        <f>BM397/BM376</f>
        <v/>
      </c>
      <c r="BN400" s="1893">
        <f>BN397/BN376</f>
        <v/>
      </c>
      <c r="BO400" s="1894">
        <f>BO397/BO376</f>
        <v/>
      </c>
      <c r="BP400" s="1893">
        <f>BP397/BP376</f>
        <v/>
      </c>
      <c r="BQ400" s="1893">
        <f>BQ397/BQ376</f>
        <v/>
      </c>
      <c r="BR400" s="1893">
        <f>BR397/BR376</f>
        <v/>
      </c>
      <c r="BS400" s="1893">
        <f>BS397/BS376</f>
        <v/>
      </c>
      <c r="BT400" s="1892">
        <f>BT397/BT376</f>
        <v/>
      </c>
      <c r="BU400" s="1893">
        <f>BU397/BU376</f>
        <v/>
      </c>
      <c r="BV400" s="1893">
        <f>BV397/BV376</f>
        <v/>
      </c>
      <c r="BW400" s="1893">
        <f>BW397/BW376</f>
        <v/>
      </c>
      <c r="BX400" s="1893">
        <f>BX397/BX376</f>
        <v/>
      </c>
      <c r="BY400" s="1892">
        <f>BY397/BY376</f>
        <v/>
      </c>
      <c r="BZ400" s="1892">
        <f>BZ397/BZ376</f>
        <v/>
      </c>
      <c r="CA400" s="1892">
        <f>CA397/CA376</f>
        <v/>
      </c>
      <c r="CB400" s="1892">
        <f>CB397/CB376</f>
        <v/>
      </c>
      <c r="CC400" s="1848" t="n"/>
    </row>
    <row r="401" collapsed="1" ht="15" customFormat="1" customHeight="1" s="1844">
      <c r="A401" s="1890" t="inlineStr">
        <is>
          <t>Cash Flow Per Diluted Share</t>
        </is>
      </c>
      <c r="B401" s="1846" t="n"/>
      <c r="C401" s="1891">
        <f>C399/C376</f>
        <v/>
      </c>
      <c r="D401" s="1891">
        <f>D399/D376</f>
        <v/>
      </c>
      <c r="E401" s="1892">
        <f>E399/E376</f>
        <v/>
      </c>
      <c r="F401" s="1892">
        <f>F399/F376</f>
        <v/>
      </c>
      <c r="G401" s="1892">
        <f>G399/G376</f>
        <v/>
      </c>
      <c r="H401" s="1893">
        <f>H399/H376</f>
        <v/>
      </c>
      <c r="I401" s="1893">
        <f>I399/I376</f>
        <v/>
      </c>
      <c r="J401" s="1893">
        <f>J399/J376</f>
        <v/>
      </c>
      <c r="K401" s="1893">
        <f>K399/K376</f>
        <v/>
      </c>
      <c r="L401" s="1892">
        <f>L399/L376</f>
        <v/>
      </c>
      <c r="M401" s="1893">
        <f>M399/M376</f>
        <v/>
      </c>
      <c r="N401" s="1893">
        <f>N399/N376</f>
        <v/>
      </c>
      <c r="O401" s="1893">
        <f>O399/O376</f>
        <v/>
      </c>
      <c r="P401" s="1893">
        <f>P399/P376</f>
        <v/>
      </c>
      <c r="Q401" s="1892">
        <f>Q399/Q376</f>
        <v/>
      </c>
      <c r="R401" s="1893">
        <f>R399/R376</f>
        <v/>
      </c>
      <c r="S401" s="1893">
        <f>S399/S376</f>
        <v/>
      </c>
      <c r="T401" s="1893">
        <f>T399/T376</f>
        <v/>
      </c>
      <c r="U401" s="1893">
        <f>U399/U376</f>
        <v/>
      </c>
      <c r="V401" s="1892">
        <f>V399/V376</f>
        <v/>
      </c>
      <c r="W401" s="1893">
        <f>W399/W376</f>
        <v/>
      </c>
      <c r="X401" s="1893">
        <f>X399/X376</f>
        <v/>
      </c>
      <c r="Y401" s="1893">
        <f>Y399/Y376</f>
        <v/>
      </c>
      <c r="Z401" s="1893">
        <f>Z399/Z376</f>
        <v/>
      </c>
      <c r="AA401" s="1892">
        <f>AA399/AA376</f>
        <v/>
      </c>
      <c r="AB401" s="1893">
        <f>AB399/AB376</f>
        <v/>
      </c>
      <c r="AC401" s="1893">
        <f>AC399/AC376</f>
        <v/>
      </c>
      <c r="AD401" s="1893">
        <f>AD399/AD376</f>
        <v/>
      </c>
      <c r="AE401" s="1893">
        <f>AE399/AE376</f>
        <v/>
      </c>
      <c r="AF401" s="1892">
        <f>AF399/AF376</f>
        <v/>
      </c>
      <c r="AG401" s="1893">
        <f>AG399/AG376</f>
        <v/>
      </c>
      <c r="AH401" s="1893">
        <f>AH399/AH376</f>
        <v/>
      </c>
      <c r="AI401" s="1893">
        <f>AI399/AI376</f>
        <v/>
      </c>
      <c r="AJ401" s="1893">
        <f>AJ399/AJ376</f>
        <v/>
      </c>
      <c r="AK401" s="1892">
        <f>AK399/AK376</f>
        <v/>
      </c>
      <c r="AL401" s="1893">
        <f>AL399/AL376</f>
        <v/>
      </c>
      <c r="AM401" s="1893">
        <f>AM399/AM376</f>
        <v/>
      </c>
      <c r="AN401" s="1893">
        <f>AN399/AN376</f>
        <v/>
      </c>
      <c r="AO401" s="1893">
        <f>AO399/AO376</f>
        <v/>
      </c>
      <c r="AP401" s="1892">
        <f>AP399/AP376</f>
        <v/>
      </c>
      <c r="AQ401" s="1893">
        <f>AQ399/AQ376</f>
        <v/>
      </c>
      <c r="AR401" s="1893">
        <f>AR399/AR376</f>
        <v/>
      </c>
      <c r="AS401" s="1893">
        <f>AS399/AS376</f>
        <v/>
      </c>
      <c r="AT401" s="1893">
        <f>AT399/AT376</f>
        <v/>
      </c>
      <c r="AU401" s="1892">
        <f>AU399/AU376</f>
        <v/>
      </c>
      <c r="AV401" s="1893">
        <f>AV399/AV376</f>
        <v/>
      </c>
      <c r="AW401" s="1893">
        <f>AW399/AW376</f>
        <v/>
      </c>
      <c r="AX401" s="1893">
        <f>AX399/AX376</f>
        <v/>
      </c>
      <c r="AY401" s="1893">
        <f>AY399/AY376</f>
        <v/>
      </c>
      <c r="AZ401" s="1892">
        <f>AZ399/AZ376</f>
        <v/>
      </c>
      <c r="BA401" s="1893">
        <f>BA399/BA376</f>
        <v/>
      </c>
      <c r="BB401" s="1893">
        <f>BB399/BB376</f>
        <v/>
      </c>
      <c r="BC401" s="1893">
        <f>BC399/BC376</f>
        <v/>
      </c>
      <c r="BD401" s="1893">
        <f>BD399/BD376</f>
        <v/>
      </c>
      <c r="BE401" s="1892">
        <f>BE399/BE376</f>
        <v/>
      </c>
      <c r="BF401" s="1893">
        <f>BF399/BF376</f>
        <v/>
      </c>
      <c r="BG401" s="1893">
        <f>BG399/BG376</f>
        <v/>
      </c>
      <c r="BH401" s="1893">
        <f>BH399/BH376</f>
        <v/>
      </c>
      <c r="BI401" s="1893">
        <f>BI399/BI376</f>
        <v/>
      </c>
      <c r="BJ401" s="1892">
        <f>BJ399/BJ376</f>
        <v/>
      </c>
      <c r="BK401" s="1893">
        <f>BK399/BK376</f>
        <v/>
      </c>
      <c r="BL401" s="1893">
        <f>BL399/BL376</f>
        <v/>
      </c>
      <c r="BM401" s="1893">
        <f>BM399/BM376</f>
        <v/>
      </c>
      <c r="BN401" s="1893">
        <f>BN399/BN376</f>
        <v/>
      </c>
      <c r="BO401" s="1894">
        <f>BO399/BO376</f>
        <v/>
      </c>
      <c r="BP401" s="1893">
        <f>BP399/BP376</f>
        <v/>
      </c>
      <c r="BQ401" s="1893">
        <f>BQ399/BQ376</f>
        <v/>
      </c>
      <c r="BR401" s="1893">
        <f>BR399/BR376</f>
        <v/>
      </c>
      <c r="BS401" s="1893">
        <f>BS399/BS376</f>
        <v/>
      </c>
      <c r="BT401" s="1892">
        <f>BT399/BT376</f>
        <v/>
      </c>
      <c r="BU401" s="1893">
        <f>BU399/BU376</f>
        <v/>
      </c>
      <c r="BV401" s="1893">
        <f>BV399/BV376</f>
        <v/>
      </c>
      <c r="BW401" s="1893">
        <f>BW399/BW376</f>
        <v/>
      </c>
      <c r="BX401" s="1893">
        <f>BX399/BX376</f>
        <v/>
      </c>
      <c r="BY401" s="1892">
        <f>BY399/BY376</f>
        <v/>
      </c>
      <c r="BZ401" s="1892">
        <f>BZ399/BZ376</f>
        <v/>
      </c>
      <c r="CA401" s="1892">
        <f>CA399/CA376</f>
        <v/>
      </c>
      <c r="CB401" s="1892">
        <f>CB399/CB376</f>
        <v/>
      </c>
      <c r="CC401" s="1848" t="n"/>
    </row>
    <row r="402" ht="15" customFormat="1" customHeight="1" s="1852">
      <c r="A402" s="1853" t="inlineStr">
        <is>
          <t>Consensus Estimates - Cash Flow Per Diluted Share</t>
        </is>
      </c>
      <c r="B402" s="1854" t="n"/>
      <c r="C402" s="1855" t="n"/>
      <c r="D402" s="1855" t="n"/>
      <c r="E402" s="1855" t="n"/>
      <c r="F402" s="1855" t="n"/>
      <c r="G402" s="1855" t="n"/>
      <c r="H402" s="1856" t="n"/>
      <c r="I402" s="1856" t="n"/>
      <c r="J402" s="1856" t="n"/>
      <c r="K402" s="1856" t="n"/>
      <c r="L402" s="1855" t="n"/>
      <c r="M402" s="1856" t="n"/>
      <c r="N402" s="1856" t="n"/>
      <c r="O402" s="1856" t="n"/>
      <c r="P402" s="1856" t="n"/>
      <c r="Q402" s="1855" t="n"/>
      <c r="R402" s="1856" t="n"/>
      <c r="S402" s="1895" t="n"/>
      <c r="T402" s="1856" t="n"/>
      <c r="U402" s="1856" t="n"/>
      <c r="V402" s="1855" t="n"/>
      <c r="W402" s="1856" t="n"/>
      <c r="X402" s="1895" t="n"/>
      <c r="Y402" s="1856" t="n"/>
      <c r="Z402" s="1856" t="n"/>
      <c r="AA402" s="1855" t="n"/>
      <c r="AB402" s="1856" t="n"/>
      <c r="AC402" s="1895" t="n"/>
      <c r="AD402" s="1856" t="n"/>
      <c r="AE402" s="1856" t="n"/>
      <c r="AF402" s="1855" t="n"/>
      <c r="AG402" s="1856" t="n"/>
      <c r="AH402" s="1895" t="n"/>
      <c r="AI402" s="1856" t="n"/>
      <c r="AJ402" s="1856" t="n"/>
      <c r="AK402" s="1855" t="n"/>
      <c r="AL402" s="1856" t="n"/>
      <c r="AM402" s="1895" t="n"/>
      <c r="AN402" s="1856" t="n"/>
      <c r="AO402" s="1856" t="n"/>
      <c r="AP402" s="1855" t="n"/>
      <c r="AQ402" s="1856" t="n"/>
      <c r="AR402" s="1895" t="n"/>
      <c r="AS402" s="1856" t="n"/>
      <c r="AT402" s="1856" t="n"/>
      <c r="AU402" s="1855" t="n"/>
      <c r="AV402" s="1856" t="n"/>
      <c r="AW402" s="1895" t="n"/>
      <c r="AX402" s="1856" t="n"/>
      <c r="AY402" s="1856" t="n"/>
      <c r="AZ402" s="1855" t="n"/>
      <c r="BA402" s="1856" t="n"/>
      <c r="BB402" s="1895" t="n"/>
      <c r="BC402" s="1856" t="n"/>
      <c r="BD402" s="1856" t="n"/>
      <c r="BE402" s="1855" t="n"/>
      <c r="BF402" s="1856" t="n"/>
      <c r="BG402" s="1895" t="n"/>
      <c r="BH402" s="1856" t="n"/>
      <c r="BI402" s="1856" t="n"/>
      <c r="BJ402" s="1855" t="n"/>
      <c r="BK402" s="1856" t="n"/>
      <c r="BL402" s="1895" t="n"/>
      <c r="BM402" s="1856" t="n"/>
      <c r="BN402" s="1856" t="n"/>
      <c r="BO402" s="1858" t="n"/>
      <c r="BP402" s="1859">
        <f>IFERROR(VLOOKUP($A402,tb_ConsensusEstimate,MATCH(BP$5,OFFSET(tb_ConsensusEstimate,0,0,1,COLUMNS(tb_ConsensusEstimate)),0),FALSE),"-")</f>
        <v/>
      </c>
      <c r="BQ402" s="1859">
        <f>IFERROR(VLOOKUP($A402,tb_ConsensusEstimate,MATCH(BQ$5,OFFSET(tb_ConsensusEstimate,0,0,1,COLUMNS(tb_ConsensusEstimate)),0),FALSE),"-")</f>
        <v/>
      </c>
      <c r="BR402" s="1859">
        <f>IFERROR(VLOOKUP($A402,tb_ConsensusEstimate,MATCH(BR$5,OFFSET(tb_ConsensusEstimate,0,0,1,COLUMNS(tb_ConsensusEstimate)),0),FALSE),"-")</f>
        <v/>
      </c>
      <c r="BS402" s="1859">
        <f>IFERROR(VLOOKUP($A402,tb_ConsensusEstimate,MATCH(BS$5,OFFSET(tb_ConsensusEstimate,0,0,1,COLUMNS(tb_ConsensusEstimate)),0),FALSE),"-")</f>
        <v/>
      </c>
      <c r="BT402" s="1860">
        <f>IFERROR(VLOOKUP($A402,tb_ConsensusEstimate,MATCH(BT$5,OFFSET(tb_ConsensusEstimate,0,0,1,COLUMNS(tb_ConsensusEstimate)),0),FALSE),"-")</f>
        <v/>
      </c>
      <c r="BU402" s="1859">
        <f>IFERROR(VLOOKUP($A402,tb_ConsensusEstimate,MATCH(BU$5,OFFSET(tb_ConsensusEstimate,0,0,1,COLUMNS(tb_ConsensusEstimate)),0),FALSE),"-")</f>
        <v/>
      </c>
      <c r="BV402" s="1859">
        <f>IFERROR(VLOOKUP($A402,tb_ConsensusEstimate,MATCH(BV$5,OFFSET(tb_ConsensusEstimate,0,0,1,COLUMNS(tb_ConsensusEstimate)),0),FALSE),"-")</f>
        <v/>
      </c>
      <c r="BW402" s="1859">
        <f>IFERROR(VLOOKUP($A402,tb_ConsensusEstimate,MATCH(BW$5,OFFSET(tb_ConsensusEstimate,0,0,1,COLUMNS(tb_ConsensusEstimate)),0),FALSE),"-")</f>
        <v/>
      </c>
      <c r="BX402" s="1859">
        <f>IFERROR(VLOOKUP($A402,tb_ConsensusEstimate,MATCH(BX$5,OFFSET(tb_ConsensusEstimate,0,0,1,COLUMNS(tb_ConsensusEstimate)),0),FALSE),"-")</f>
        <v/>
      </c>
      <c r="BY402" s="1860">
        <f>IFERROR(VLOOKUP($A402,tb_ConsensusEstimate,MATCH(BY$5,OFFSET(tb_ConsensusEstimate,0,0,1,COLUMNS(tb_ConsensusEstimate)),0),FALSE),"-")</f>
        <v/>
      </c>
      <c r="BZ402" s="1860">
        <f>IFERROR(VLOOKUP($A402,tb_ConsensusEstimate,MATCH(BZ$5,OFFSET(tb_ConsensusEstimate,0,0,1,COLUMNS(tb_ConsensusEstimate)),0),FALSE),"-")</f>
        <v/>
      </c>
      <c r="CA402" s="1860">
        <f>IFERROR(VLOOKUP($A402,tb_ConsensusEstimate,MATCH(CA$5,OFFSET(tb_ConsensusEstimate,0,0,1,COLUMNS(tb_ConsensusEstimate)),0),FALSE),"-")</f>
        <v/>
      </c>
      <c r="CB402" s="1860">
        <f>IFERROR(VLOOKUP($A402,tb_ConsensusEstimate,MATCH(CB$5,OFFSET(tb_ConsensusEstimate,0,0,1,COLUMNS(tb_ConsensusEstimate)),0),FALSE),"-")</f>
        <v/>
      </c>
      <c r="CC402" s="1856" t="n"/>
    </row>
    <row r="403" ht="15" customFormat="1" customHeight="1" s="1628">
      <c r="A403" s="1896" t="inlineStr">
        <is>
          <t>Capex</t>
        </is>
      </c>
      <c r="B403" s="1717" t="n"/>
      <c r="C403" s="1718">
        <f>C549+C550</f>
        <v/>
      </c>
      <c r="D403" s="1718">
        <f>D549+D550</f>
        <v/>
      </c>
      <c r="E403" s="1718">
        <f>E549+E550</f>
        <v/>
      </c>
      <c r="F403" s="1718">
        <f>F549+F550</f>
        <v/>
      </c>
      <c r="G403" s="1718">
        <f>G549+G550</f>
        <v/>
      </c>
      <c r="H403" s="1719">
        <f>H549+H550</f>
        <v/>
      </c>
      <c r="I403" s="1719">
        <f>I549+I550</f>
        <v/>
      </c>
      <c r="J403" s="1719">
        <f>J549+J550</f>
        <v/>
      </c>
      <c r="K403" s="1719">
        <f>K549+K550</f>
        <v/>
      </c>
      <c r="L403" s="1718">
        <f>L549+L550</f>
        <v/>
      </c>
      <c r="M403" s="1719">
        <f>M549+M550</f>
        <v/>
      </c>
      <c r="N403" s="1719">
        <f>N549+N550</f>
        <v/>
      </c>
      <c r="O403" s="1719">
        <f>O549+O550</f>
        <v/>
      </c>
      <c r="P403" s="1719">
        <f>P549+P550</f>
        <v/>
      </c>
      <c r="Q403" s="1718">
        <f>Q549+Q550</f>
        <v/>
      </c>
      <c r="R403" s="1719">
        <f>R549+R550</f>
        <v/>
      </c>
      <c r="S403" s="1719">
        <f>S549+S550</f>
        <v/>
      </c>
      <c r="T403" s="1719">
        <f>T549+T550</f>
        <v/>
      </c>
      <c r="U403" s="1719">
        <f>U549+U550</f>
        <v/>
      </c>
      <c r="V403" s="1718">
        <f>V549+V550</f>
        <v/>
      </c>
      <c r="W403" s="1719">
        <f>W549+W550</f>
        <v/>
      </c>
      <c r="X403" s="1719">
        <f>X549+X550</f>
        <v/>
      </c>
      <c r="Y403" s="1719">
        <f>Y549+Y550</f>
        <v/>
      </c>
      <c r="Z403" s="1719">
        <f>Z549+Z550</f>
        <v/>
      </c>
      <c r="AA403" s="1718">
        <f>AA549+AA550</f>
        <v/>
      </c>
      <c r="AB403" s="1719">
        <f>AB549+AB550</f>
        <v/>
      </c>
      <c r="AC403" s="1719">
        <f>AC549+AC550</f>
        <v/>
      </c>
      <c r="AD403" s="1719">
        <f>AD549+AD550</f>
        <v/>
      </c>
      <c r="AE403" s="1719">
        <f>AE549+AE550</f>
        <v/>
      </c>
      <c r="AF403" s="1718">
        <f>AF549+AF550</f>
        <v/>
      </c>
      <c r="AG403" s="1719">
        <f>AG549+AG550</f>
        <v/>
      </c>
      <c r="AH403" s="1719">
        <f>AH549+AH550</f>
        <v/>
      </c>
      <c r="AI403" s="1719">
        <f>AI549+AI550</f>
        <v/>
      </c>
      <c r="AJ403" s="1719">
        <f>AJ549+AJ550</f>
        <v/>
      </c>
      <c r="AK403" s="1718">
        <f>AK549+AK550</f>
        <v/>
      </c>
      <c r="AL403" s="1719">
        <f>AL549+AL550</f>
        <v/>
      </c>
      <c r="AM403" s="1719">
        <f>AM549+AM550</f>
        <v/>
      </c>
      <c r="AN403" s="1719">
        <f>AN549+AN550</f>
        <v/>
      </c>
      <c r="AO403" s="1719">
        <f>AO549+AO550</f>
        <v/>
      </c>
      <c r="AP403" s="1718">
        <f>AP549+AP550</f>
        <v/>
      </c>
      <c r="AQ403" s="1719">
        <f>AQ549+AQ550</f>
        <v/>
      </c>
      <c r="AR403" s="1719">
        <f>AR549+AR550</f>
        <v/>
      </c>
      <c r="AS403" s="1719">
        <f>AS549+AS550</f>
        <v/>
      </c>
      <c r="AT403" s="1719">
        <f>AT549+AT550</f>
        <v/>
      </c>
      <c r="AU403" s="1718">
        <f>AU549+AU550</f>
        <v/>
      </c>
      <c r="AV403" s="1719">
        <f>AV549+AV550</f>
        <v/>
      </c>
      <c r="AW403" s="1719">
        <f>AW549+AW550</f>
        <v/>
      </c>
      <c r="AX403" s="1719">
        <f>AX549+AX550</f>
        <v/>
      </c>
      <c r="AY403" s="1719">
        <f>AY549+AY550</f>
        <v/>
      </c>
      <c r="AZ403" s="1718">
        <f>AZ549+AZ550</f>
        <v/>
      </c>
      <c r="BA403" s="1719">
        <f>BA549+BA550</f>
        <v/>
      </c>
      <c r="BB403" s="1719">
        <f>BB549+BB550</f>
        <v/>
      </c>
      <c r="BC403" s="1719">
        <f>BC549+BC550</f>
        <v/>
      </c>
      <c r="BD403" s="1719">
        <f>BD549+BD550</f>
        <v/>
      </c>
      <c r="BE403" s="1718">
        <f>BE549+BE550</f>
        <v/>
      </c>
      <c r="BF403" s="1719">
        <f>BF549+BF550</f>
        <v/>
      </c>
      <c r="BG403" s="1719">
        <f>BG549+BG550</f>
        <v/>
      </c>
      <c r="BH403" s="1719">
        <f>BH549+BH550</f>
        <v/>
      </c>
      <c r="BI403" s="1719">
        <f>BI549+BI550</f>
        <v/>
      </c>
      <c r="BJ403" s="1718">
        <f>BJ549+BJ550</f>
        <v/>
      </c>
      <c r="BK403" s="1719">
        <f>BK549+BK550</f>
        <v/>
      </c>
      <c r="BL403" s="1719">
        <f>BL549+BL550</f>
        <v/>
      </c>
      <c r="BM403" s="1719">
        <f>BM549+BM550</f>
        <v/>
      </c>
      <c r="BN403" s="1719">
        <f>BN549+BN550</f>
        <v/>
      </c>
      <c r="BO403" s="1720">
        <f>BO549+BO550</f>
        <v/>
      </c>
      <c r="BP403" s="1897" t="n">
        <v>-130.75</v>
      </c>
      <c r="BQ403" s="1897" t="n">
        <v>-130.75</v>
      </c>
      <c r="BR403" s="1897" t="n">
        <v>-130.75</v>
      </c>
      <c r="BS403" s="1897" t="n">
        <v>-130.75</v>
      </c>
      <c r="BT403" s="1718">
        <f>BT549+BT550</f>
        <v/>
      </c>
      <c r="BU403" s="1897" t="n">
        <v>-130.75</v>
      </c>
      <c r="BV403" s="1897" t="n">
        <v>-130.75</v>
      </c>
      <c r="BW403" s="1897" t="n">
        <v>-130.75</v>
      </c>
      <c r="BX403" s="1897" t="n">
        <v>-130.75</v>
      </c>
      <c r="BY403" s="1718">
        <f>BY549+BY550</f>
        <v/>
      </c>
      <c r="BZ403" s="1898" t="n">
        <v>-600</v>
      </c>
      <c r="CA403" s="1898" t="n">
        <v>-600</v>
      </c>
      <c r="CB403" s="1898" t="n">
        <v>-600</v>
      </c>
      <c r="CC403" s="1634" t="n"/>
    </row>
    <row r="404" ht="15" customFormat="1" customHeight="1" s="1827">
      <c r="A404" s="1828">
        <f>CONCATENATE("Consensus Estimates - ",IFERROR(LEFT(A403,FIND("(",A403)-1),A403))</f>
        <v/>
      </c>
      <c r="B404" s="1829" t="n"/>
      <c r="C404" s="1830" t="n"/>
      <c r="D404" s="1830" t="n"/>
      <c r="E404" s="1830" t="n"/>
      <c r="F404" s="1830" t="n"/>
      <c r="G404" s="1830" t="n"/>
      <c r="H404" s="1831" t="n"/>
      <c r="I404" s="1831" t="n"/>
      <c r="J404" s="1831" t="n"/>
      <c r="K404" s="1831" t="n"/>
      <c r="L404" s="1830" t="n"/>
      <c r="M404" s="1831" t="n"/>
      <c r="N404" s="1831" t="n"/>
      <c r="O404" s="1831" t="n"/>
      <c r="P404" s="1831" t="n"/>
      <c r="Q404" s="1830" t="n"/>
      <c r="R404" s="1831" t="n"/>
      <c r="S404" s="1832" t="n"/>
      <c r="T404" s="1831" t="n"/>
      <c r="U404" s="1831" t="n"/>
      <c r="V404" s="1830" t="n"/>
      <c r="W404" s="1831" t="n"/>
      <c r="X404" s="1832" t="n"/>
      <c r="Y404" s="1831" t="n"/>
      <c r="Z404" s="1831" t="n"/>
      <c r="AA404" s="1830" t="n"/>
      <c r="AB404" s="1831" t="n"/>
      <c r="AC404" s="1832" t="n"/>
      <c r="AD404" s="1831" t="n"/>
      <c r="AE404" s="1831" t="n"/>
      <c r="AF404" s="1830" t="n"/>
      <c r="AG404" s="1831" t="n"/>
      <c r="AH404" s="1832" t="n"/>
      <c r="AI404" s="1831" t="n"/>
      <c r="AJ404" s="1831" t="n"/>
      <c r="AK404" s="1830" t="n"/>
      <c r="AL404" s="1831" t="n"/>
      <c r="AM404" s="1832" t="n"/>
      <c r="AN404" s="1831" t="n"/>
      <c r="AO404" s="1831" t="n"/>
      <c r="AP404" s="1830" t="n"/>
      <c r="AQ404" s="1831" t="n"/>
      <c r="AR404" s="1832" t="n"/>
      <c r="AS404" s="1831" t="n"/>
      <c r="AT404" s="1831" t="n"/>
      <c r="AU404" s="1830" t="n"/>
      <c r="AV404" s="1831" t="n"/>
      <c r="AW404" s="1832" t="n"/>
      <c r="AX404" s="1831" t="n"/>
      <c r="AY404" s="1831" t="n"/>
      <c r="AZ404" s="1830" t="n"/>
      <c r="BA404" s="1831" t="n"/>
      <c r="BB404" s="1832" t="n"/>
      <c r="BC404" s="1831" t="n"/>
      <c r="BD404" s="1831" t="n"/>
      <c r="BE404" s="1830" t="n"/>
      <c r="BF404" s="1831" t="n"/>
      <c r="BG404" s="1832" t="n"/>
      <c r="BH404" s="1831" t="n"/>
      <c r="BI404" s="1831" t="n"/>
      <c r="BJ404" s="1830" t="n"/>
      <c r="BK404" s="1831" t="n"/>
      <c r="BL404" s="1832" t="n"/>
      <c r="BM404" s="1831" t="n"/>
      <c r="BN404" s="1831" t="n"/>
      <c r="BO404" s="1833" t="n"/>
      <c r="BP404" s="1699">
        <f>IFERROR(VLOOKUP($A404,tb_ConsensusEstimate,MATCH(BP$5,OFFSET(tb_ConsensusEstimate,0,0,1,COLUMNS(tb_ConsensusEstimate)),0),FALSE),"-")</f>
        <v/>
      </c>
      <c r="BQ404" s="1699">
        <f>IFERROR(VLOOKUP($A404,tb_ConsensusEstimate,MATCH(BQ$5,OFFSET(tb_ConsensusEstimate,0,0,1,COLUMNS(tb_ConsensusEstimate)),0),FALSE),"-")</f>
        <v/>
      </c>
      <c r="BR404" s="1699">
        <f>IFERROR(VLOOKUP($A404,tb_ConsensusEstimate,MATCH(BR$5,OFFSET(tb_ConsensusEstimate,0,0,1,COLUMNS(tb_ConsensusEstimate)),0),FALSE),"-")</f>
        <v/>
      </c>
      <c r="BS404" s="1699">
        <f>IFERROR(VLOOKUP($A404,tb_ConsensusEstimate,MATCH(BS$5,OFFSET(tb_ConsensusEstimate,0,0,1,COLUMNS(tb_ConsensusEstimate)),0),FALSE),"-")</f>
        <v/>
      </c>
      <c r="BT404" s="1698">
        <f>IFERROR(VLOOKUP($A404,tb_ConsensusEstimate,MATCH(BT$5,OFFSET(tb_ConsensusEstimate,0,0,1,COLUMNS(tb_ConsensusEstimate)),0),FALSE),"-")</f>
        <v/>
      </c>
      <c r="BU404" s="1699">
        <f>IFERROR(VLOOKUP($A404,tb_ConsensusEstimate,MATCH(BU$5,OFFSET(tb_ConsensusEstimate,0,0,1,COLUMNS(tb_ConsensusEstimate)),0),FALSE),"-")</f>
        <v/>
      </c>
      <c r="BV404" s="1699">
        <f>IFERROR(VLOOKUP($A404,tb_ConsensusEstimate,MATCH(BV$5,OFFSET(tb_ConsensusEstimate,0,0,1,COLUMNS(tb_ConsensusEstimate)),0),FALSE),"-")</f>
        <v/>
      </c>
      <c r="BW404" s="1699">
        <f>IFERROR(VLOOKUP($A404,tb_ConsensusEstimate,MATCH(BW$5,OFFSET(tb_ConsensusEstimate,0,0,1,COLUMNS(tb_ConsensusEstimate)),0),FALSE),"-")</f>
        <v/>
      </c>
      <c r="BX404" s="1699">
        <f>IFERROR(VLOOKUP($A404,tb_ConsensusEstimate,MATCH(BX$5,OFFSET(tb_ConsensusEstimate,0,0,1,COLUMNS(tb_ConsensusEstimate)),0),FALSE),"-")</f>
        <v/>
      </c>
      <c r="BY404" s="1698">
        <f>IFERROR(VLOOKUP($A404,tb_ConsensusEstimate,MATCH(BY$5,OFFSET(tb_ConsensusEstimate,0,0,1,COLUMNS(tb_ConsensusEstimate)),0),FALSE),"-")</f>
        <v/>
      </c>
      <c r="BZ404" s="1698">
        <f>IFERROR(VLOOKUP($A404,tb_ConsensusEstimate,MATCH(BZ$5,OFFSET(tb_ConsensusEstimate,0,0,1,COLUMNS(tb_ConsensusEstimate)),0),FALSE),"-")</f>
        <v/>
      </c>
      <c r="CA404" s="1698">
        <f>IFERROR(VLOOKUP($A404,tb_ConsensusEstimate,MATCH(CA$5,OFFSET(tb_ConsensusEstimate,0,0,1,COLUMNS(tb_ConsensusEstimate)),0),FALSE),"-")</f>
        <v/>
      </c>
      <c r="CB404" s="1698">
        <f>IFERROR(VLOOKUP($A404,tb_ConsensusEstimate,MATCH(CB$5,OFFSET(tb_ConsensusEstimate,0,0,1,COLUMNS(tb_ConsensusEstimate)),0),FALSE),"-")</f>
        <v/>
      </c>
      <c r="CC404" s="1831" t="n"/>
    </row>
    <row r="405" ht="15" customFormat="1" customHeight="1" s="1561">
      <c r="A405" s="1562" t="inlineStr">
        <is>
          <t>Acquisitions</t>
        </is>
      </c>
      <c r="B405" s="1705" t="n"/>
      <c r="C405" s="1637">
        <f>C559</f>
        <v/>
      </c>
      <c r="D405" s="1637">
        <f>D559</f>
        <v/>
      </c>
      <c r="E405" s="1637">
        <f>E559</f>
        <v/>
      </c>
      <c r="F405" s="1637">
        <f>F559</f>
        <v/>
      </c>
      <c r="G405" s="1637">
        <f>G559</f>
        <v/>
      </c>
      <c r="H405" s="1562">
        <f>H559</f>
        <v/>
      </c>
      <c r="I405" s="1562">
        <f>I559</f>
        <v/>
      </c>
      <c r="J405" s="1562">
        <f>J559</f>
        <v/>
      </c>
      <c r="K405" s="1562">
        <f>K559</f>
        <v/>
      </c>
      <c r="L405" s="1637">
        <f>L559</f>
        <v/>
      </c>
      <c r="M405" s="1562">
        <f>M559</f>
        <v/>
      </c>
      <c r="N405" s="1562">
        <f>N559</f>
        <v/>
      </c>
      <c r="O405" s="1562">
        <f>O559</f>
        <v/>
      </c>
      <c r="P405" s="1562">
        <f>P559</f>
        <v/>
      </c>
      <c r="Q405" s="1637">
        <f>Q559</f>
        <v/>
      </c>
      <c r="R405" s="1562">
        <f>R559</f>
        <v/>
      </c>
      <c r="S405" s="1562">
        <f>S559</f>
        <v/>
      </c>
      <c r="T405" s="1562">
        <f>T559</f>
        <v/>
      </c>
      <c r="U405" s="1562">
        <f>U559</f>
        <v/>
      </c>
      <c r="V405" s="1637">
        <f>V559</f>
        <v/>
      </c>
      <c r="W405" s="1562">
        <f>W559</f>
        <v/>
      </c>
      <c r="X405" s="1562">
        <f>X559</f>
        <v/>
      </c>
      <c r="Y405" s="1562">
        <f>Y559</f>
        <v/>
      </c>
      <c r="Z405" s="1562">
        <f>Z559</f>
        <v/>
      </c>
      <c r="AA405" s="1637">
        <f>AA559</f>
        <v/>
      </c>
      <c r="AB405" s="1562">
        <f>AB559</f>
        <v/>
      </c>
      <c r="AC405" s="1562">
        <f>AC559</f>
        <v/>
      </c>
      <c r="AD405" s="1562">
        <f>AD559</f>
        <v/>
      </c>
      <c r="AE405" s="1562">
        <f>AE559</f>
        <v/>
      </c>
      <c r="AF405" s="1637">
        <f>AF559</f>
        <v/>
      </c>
      <c r="AG405" s="1562">
        <f>AG559</f>
        <v/>
      </c>
      <c r="AH405" s="1562">
        <f>AH559</f>
        <v/>
      </c>
      <c r="AI405" s="1562">
        <f>AI559</f>
        <v/>
      </c>
      <c r="AJ405" s="1562">
        <f>AJ559</f>
        <v/>
      </c>
      <c r="AK405" s="1637">
        <f>AK559</f>
        <v/>
      </c>
      <c r="AL405" s="1562">
        <f>AL559</f>
        <v/>
      </c>
      <c r="AM405" s="1562">
        <f>AM559</f>
        <v/>
      </c>
      <c r="AN405" s="1562">
        <f>AN559</f>
        <v/>
      </c>
      <c r="AO405" s="1562">
        <f>AO559</f>
        <v/>
      </c>
      <c r="AP405" s="1637">
        <f>AP559</f>
        <v/>
      </c>
      <c r="AQ405" s="1562">
        <f>AQ559</f>
        <v/>
      </c>
      <c r="AR405" s="1562">
        <f>AR559</f>
        <v/>
      </c>
      <c r="AS405" s="1562">
        <f>AS559</f>
        <v/>
      </c>
      <c r="AT405" s="1562">
        <f>AT559</f>
        <v/>
      </c>
      <c r="AU405" s="1637">
        <f>AU559</f>
        <v/>
      </c>
      <c r="AV405" s="1562">
        <f>AV559</f>
        <v/>
      </c>
      <c r="AW405" s="1562">
        <f>AW559</f>
        <v/>
      </c>
      <c r="AX405" s="1562">
        <f>AX559</f>
        <v/>
      </c>
      <c r="AY405" s="1562">
        <f>AY559</f>
        <v/>
      </c>
      <c r="AZ405" s="1637">
        <f>AZ559</f>
        <v/>
      </c>
      <c r="BA405" s="1562">
        <f>BA559</f>
        <v/>
      </c>
      <c r="BB405" s="1562">
        <f>BB559</f>
        <v/>
      </c>
      <c r="BC405" s="1562">
        <f>BC559</f>
        <v/>
      </c>
      <c r="BD405" s="1562">
        <f>BD559</f>
        <v/>
      </c>
      <c r="BE405" s="1637">
        <f>BE559</f>
        <v/>
      </c>
      <c r="BF405" s="1562">
        <f>BF559</f>
        <v/>
      </c>
      <c r="BG405" s="1562">
        <f>BG559</f>
        <v/>
      </c>
      <c r="BH405" s="1562">
        <f>BH559</f>
        <v/>
      </c>
      <c r="BI405" s="1562">
        <f>BI559</f>
        <v/>
      </c>
      <c r="BJ405" s="1637">
        <f>BJ559</f>
        <v/>
      </c>
      <c r="BK405" s="1562">
        <f>BK559</f>
        <v/>
      </c>
      <c r="BL405" s="1562">
        <f>BL559</f>
        <v/>
      </c>
      <c r="BM405" s="1562">
        <f>BM559</f>
        <v/>
      </c>
      <c r="BN405" s="1562">
        <f>BN559</f>
        <v/>
      </c>
      <c r="BO405" s="1638">
        <f>BO559</f>
        <v/>
      </c>
      <c r="BP405" s="1714" t="n">
        <v>0</v>
      </c>
      <c r="BQ405" s="1714" t="n">
        <v>0</v>
      </c>
      <c r="BR405" s="1714" t="n">
        <v>0</v>
      </c>
      <c r="BS405" s="1714" t="n">
        <v>0</v>
      </c>
      <c r="BT405" s="1637">
        <f>BT559</f>
        <v/>
      </c>
      <c r="BU405" s="1714" t="n">
        <v>0</v>
      </c>
      <c r="BV405" s="1714" t="n">
        <v>0</v>
      </c>
      <c r="BW405" s="1714" t="n">
        <v>0</v>
      </c>
      <c r="BX405" s="1714" t="n">
        <v>0</v>
      </c>
      <c r="BY405" s="1637">
        <f>BY559</f>
        <v/>
      </c>
      <c r="BZ405" s="1706" t="n">
        <v>0</v>
      </c>
      <c r="CA405" s="1706" t="n">
        <v>0</v>
      </c>
      <c r="CB405" s="1706" t="n">
        <v>0</v>
      </c>
      <c r="CC405" s="1564" t="n"/>
    </row>
    <row r="406" ht="15" customFormat="1" customHeight="1" s="1561">
      <c r="A406" s="1562" t="inlineStr">
        <is>
          <t>Divestiture</t>
        </is>
      </c>
      <c r="B406" s="1705" t="n"/>
      <c r="C406" s="1637">
        <f>C558</f>
        <v/>
      </c>
      <c r="D406" s="1637">
        <f>D558</f>
        <v/>
      </c>
      <c r="E406" s="1637">
        <f>E558</f>
        <v/>
      </c>
      <c r="F406" s="1637">
        <f>F558</f>
        <v/>
      </c>
      <c r="G406" s="1637">
        <f>G558</f>
        <v/>
      </c>
      <c r="H406" s="1562">
        <f>H558</f>
        <v/>
      </c>
      <c r="I406" s="1562">
        <f>I558</f>
        <v/>
      </c>
      <c r="J406" s="1562">
        <f>J558</f>
        <v/>
      </c>
      <c r="K406" s="1562">
        <f>K558</f>
        <v/>
      </c>
      <c r="L406" s="1637">
        <f>L558</f>
        <v/>
      </c>
      <c r="M406" s="1562">
        <f>M558</f>
        <v/>
      </c>
      <c r="N406" s="1562">
        <f>N558</f>
        <v/>
      </c>
      <c r="O406" s="1562">
        <f>O558</f>
        <v/>
      </c>
      <c r="P406" s="1562">
        <f>P558</f>
        <v/>
      </c>
      <c r="Q406" s="1637">
        <f>Q558</f>
        <v/>
      </c>
      <c r="R406" s="1562">
        <f>R558</f>
        <v/>
      </c>
      <c r="S406" s="1562">
        <f>S558</f>
        <v/>
      </c>
      <c r="T406" s="1562">
        <f>T558</f>
        <v/>
      </c>
      <c r="U406" s="1562">
        <f>U558</f>
        <v/>
      </c>
      <c r="V406" s="1637">
        <f>V558</f>
        <v/>
      </c>
      <c r="W406" s="1562">
        <f>W558</f>
        <v/>
      </c>
      <c r="X406" s="1562">
        <f>X558</f>
        <v/>
      </c>
      <c r="Y406" s="1562">
        <f>Y558</f>
        <v/>
      </c>
      <c r="Z406" s="1562">
        <f>Z558</f>
        <v/>
      </c>
      <c r="AA406" s="1637">
        <f>AA558</f>
        <v/>
      </c>
      <c r="AB406" s="1562">
        <f>AB558</f>
        <v/>
      </c>
      <c r="AC406" s="1562">
        <f>AC558</f>
        <v/>
      </c>
      <c r="AD406" s="1562">
        <f>AD558</f>
        <v/>
      </c>
      <c r="AE406" s="1562">
        <f>AE558</f>
        <v/>
      </c>
      <c r="AF406" s="1637">
        <f>AF558</f>
        <v/>
      </c>
      <c r="AG406" s="1562">
        <f>AG558</f>
        <v/>
      </c>
      <c r="AH406" s="1562">
        <f>AH558</f>
        <v/>
      </c>
      <c r="AI406" s="1562">
        <f>AI558</f>
        <v/>
      </c>
      <c r="AJ406" s="1562">
        <f>AJ558</f>
        <v/>
      </c>
      <c r="AK406" s="1637">
        <f>AK558</f>
        <v/>
      </c>
      <c r="AL406" s="1562">
        <f>AL558</f>
        <v/>
      </c>
      <c r="AM406" s="1562">
        <f>AM558</f>
        <v/>
      </c>
      <c r="AN406" s="1562">
        <f>AN558</f>
        <v/>
      </c>
      <c r="AO406" s="1562">
        <f>AO558</f>
        <v/>
      </c>
      <c r="AP406" s="1637">
        <f>AP558</f>
        <v/>
      </c>
      <c r="AQ406" s="1562">
        <f>AQ558</f>
        <v/>
      </c>
      <c r="AR406" s="1562">
        <f>AR558</f>
        <v/>
      </c>
      <c r="AS406" s="1562">
        <f>AS558</f>
        <v/>
      </c>
      <c r="AT406" s="1562">
        <f>AT558</f>
        <v/>
      </c>
      <c r="AU406" s="1637">
        <f>AU558</f>
        <v/>
      </c>
      <c r="AV406" s="1562">
        <f>AV558</f>
        <v/>
      </c>
      <c r="AW406" s="1562">
        <f>AW558</f>
        <v/>
      </c>
      <c r="AX406" s="1562">
        <f>AX558</f>
        <v/>
      </c>
      <c r="AY406" s="1562">
        <f>AY558</f>
        <v/>
      </c>
      <c r="AZ406" s="1637">
        <f>AZ558</f>
        <v/>
      </c>
      <c r="BA406" s="1562">
        <f>BA558</f>
        <v/>
      </c>
      <c r="BB406" s="1562">
        <f>BB558</f>
        <v/>
      </c>
      <c r="BC406" s="1562">
        <f>BC558</f>
        <v/>
      </c>
      <c r="BD406" s="1562">
        <f>BD558</f>
        <v/>
      </c>
      <c r="BE406" s="1637">
        <f>BE558</f>
        <v/>
      </c>
      <c r="BF406" s="1562">
        <f>BF558</f>
        <v/>
      </c>
      <c r="BG406" s="1562">
        <f>BG558</f>
        <v/>
      </c>
      <c r="BH406" s="1562">
        <f>BH558</f>
        <v/>
      </c>
      <c r="BI406" s="1562">
        <f>BI558</f>
        <v/>
      </c>
      <c r="BJ406" s="1637">
        <f>BJ558</f>
        <v/>
      </c>
      <c r="BK406" s="1562">
        <f>BK558</f>
        <v/>
      </c>
      <c r="BL406" s="1562">
        <f>BL558</f>
        <v/>
      </c>
      <c r="BM406" s="1562">
        <f>BM558</f>
        <v/>
      </c>
      <c r="BN406" s="1562">
        <f>BN558</f>
        <v/>
      </c>
      <c r="BO406" s="1638">
        <f>BO558</f>
        <v/>
      </c>
      <c r="BP406" s="1714" t="n">
        <v>0</v>
      </c>
      <c r="BQ406" s="1714" t="n">
        <v>0</v>
      </c>
      <c r="BR406" s="1714" t="n">
        <v>0</v>
      </c>
      <c r="BS406" s="1714" t="n">
        <v>0</v>
      </c>
      <c r="BT406" s="1637">
        <f>BT558</f>
        <v/>
      </c>
      <c r="BU406" s="1714" t="n">
        <v>0</v>
      </c>
      <c r="BV406" s="1714" t="n">
        <v>0</v>
      </c>
      <c r="BW406" s="1714" t="n">
        <v>0</v>
      </c>
      <c r="BX406" s="1714" t="n">
        <v>0</v>
      </c>
      <c r="BY406" s="1637">
        <f>BY558</f>
        <v/>
      </c>
      <c r="BZ406" s="1706" t="n">
        <v>0</v>
      </c>
      <c r="CA406" s="1706" t="n">
        <v>0</v>
      </c>
      <c r="CB406" s="1706" t="n">
        <v>0</v>
      </c>
      <c r="CC406" s="1564" t="n"/>
    </row>
    <row r="407" ht="15" customFormat="1" customHeight="1" s="1561">
      <c r="A407" s="1564" t="inlineStr">
        <is>
          <t>Dividend Paid</t>
        </is>
      </c>
      <c r="B407" s="1705" t="n"/>
      <c r="C407" s="1713">
        <f>C563</f>
        <v/>
      </c>
      <c r="D407" s="1713">
        <f>D563</f>
        <v/>
      </c>
      <c r="E407" s="1713">
        <f>E563</f>
        <v/>
      </c>
      <c r="F407" s="1713">
        <f>F563</f>
        <v/>
      </c>
      <c r="G407" s="1713">
        <f>G563</f>
        <v/>
      </c>
      <c r="H407" s="1564">
        <f>H563</f>
        <v/>
      </c>
      <c r="I407" s="1564">
        <f>I563</f>
        <v/>
      </c>
      <c r="J407" s="1564">
        <f>J563</f>
        <v/>
      </c>
      <c r="K407" s="1564">
        <f>K563</f>
        <v/>
      </c>
      <c r="L407" s="1713">
        <f>L563</f>
        <v/>
      </c>
      <c r="M407" s="1564">
        <f>M563</f>
        <v/>
      </c>
      <c r="N407" s="1564">
        <f>N563</f>
        <v/>
      </c>
      <c r="O407" s="1564">
        <f>O563</f>
        <v/>
      </c>
      <c r="P407" s="1564">
        <f>P563</f>
        <v/>
      </c>
      <c r="Q407" s="1713">
        <f>Q563</f>
        <v/>
      </c>
      <c r="R407" s="1564">
        <f>R563</f>
        <v/>
      </c>
      <c r="S407" s="1564">
        <f>S563</f>
        <v/>
      </c>
      <c r="T407" s="1564">
        <f>T563</f>
        <v/>
      </c>
      <c r="U407" s="1564">
        <f>U563</f>
        <v/>
      </c>
      <c r="V407" s="1713">
        <f>V563</f>
        <v/>
      </c>
      <c r="W407" s="1564">
        <f>W563</f>
        <v/>
      </c>
      <c r="X407" s="1564">
        <f>X563</f>
        <v/>
      </c>
      <c r="Y407" s="1564">
        <f>Y563</f>
        <v/>
      </c>
      <c r="Z407" s="1564">
        <f>Z563</f>
        <v/>
      </c>
      <c r="AA407" s="1713">
        <f>AA563</f>
        <v/>
      </c>
      <c r="AB407" s="1564">
        <f>AB563</f>
        <v/>
      </c>
      <c r="AC407" s="1564">
        <f>AC563</f>
        <v/>
      </c>
      <c r="AD407" s="1564">
        <f>AD563</f>
        <v/>
      </c>
      <c r="AE407" s="1564">
        <f>AE563</f>
        <v/>
      </c>
      <c r="AF407" s="1713">
        <f>AF563</f>
        <v/>
      </c>
      <c r="AG407" s="1564">
        <f>AG563</f>
        <v/>
      </c>
      <c r="AH407" s="1564">
        <f>AH563</f>
        <v/>
      </c>
      <c r="AI407" s="1564">
        <f>AI563</f>
        <v/>
      </c>
      <c r="AJ407" s="1564">
        <f>AJ563</f>
        <v/>
      </c>
      <c r="AK407" s="1713">
        <f>AK563</f>
        <v/>
      </c>
      <c r="AL407" s="1564">
        <f>AL563</f>
        <v/>
      </c>
      <c r="AM407" s="1564">
        <f>AM563</f>
        <v/>
      </c>
      <c r="AN407" s="1564">
        <f>AN563</f>
        <v/>
      </c>
      <c r="AO407" s="1564">
        <f>AO563</f>
        <v/>
      </c>
      <c r="AP407" s="1713">
        <f>AP563</f>
        <v/>
      </c>
      <c r="AQ407" s="1564">
        <f>AQ563</f>
        <v/>
      </c>
      <c r="AR407" s="1564">
        <f>AR563</f>
        <v/>
      </c>
      <c r="AS407" s="1564">
        <f>AS563</f>
        <v/>
      </c>
      <c r="AT407" s="1564">
        <f>AT563</f>
        <v/>
      </c>
      <c r="AU407" s="1713">
        <f>AU563</f>
        <v/>
      </c>
      <c r="AV407" s="1564">
        <f>AV563</f>
        <v/>
      </c>
      <c r="AW407" s="1564">
        <f>AW563</f>
        <v/>
      </c>
      <c r="AX407" s="1564">
        <f>AX563</f>
        <v/>
      </c>
      <c r="AY407" s="1564">
        <f>AY563</f>
        <v/>
      </c>
      <c r="AZ407" s="1713">
        <f>AZ563</f>
        <v/>
      </c>
      <c r="BA407" s="1564">
        <f>BA563</f>
        <v/>
      </c>
      <c r="BB407" s="1564">
        <f>BB563</f>
        <v/>
      </c>
      <c r="BC407" s="1564">
        <f>BC563</f>
        <v/>
      </c>
      <c r="BD407" s="1564">
        <f>BD563</f>
        <v/>
      </c>
      <c r="BE407" s="1713">
        <f>BE563</f>
        <v/>
      </c>
      <c r="BF407" s="1564">
        <f>BF563</f>
        <v/>
      </c>
      <c r="BG407" s="1564">
        <f>BG563</f>
        <v/>
      </c>
      <c r="BH407" s="1564">
        <f>BH563</f>
        <v/>
      </c>
      <c r="BI407" s="1564">
        <f>BI563</f>
        <v/>
      </c>
      <c r="BJ407" s="1713">
        <f>BJ563</f>
        <v/>
      </c>
      <c r="BK407" s="1564">
        <f>BK563</f>
        <v/>
      </c>
      <c r="BL407" s="1564">
        <f>BL563</f>
        <v/>
      </c>
      <c r="BM407" s="1564">
        <f>BM563</f>
        <v/>
      </c>
      <c r="BN407" s="1564">
        <f>BN563</f>
        <v/>
      </c>
      <c r="BO407" s="1715">
        <f>BO563</f>
        <v/>
      </c>
      <c r="BP407" s="1562">
        <f>BP408*-BP375</f>
        <v/>
      </c>
      <c r="BQ407" s="1562">
        <f>BQ408*-BQ375</f>
        <v/>
      </c>
      <c r="BR407" s="1562">
        <f>BR408*-BR375</f>
        <v/>
      </c>
      <c r="BS407" s="1562">
        <f>BS408*-BS375</f>
        <v/>
      </c>
      <c r="BT407" s="1637">
        <f>BT563</f>
        <v/>
      </c>
      <c r="BU407" s="1562">
        <f>BU408*-BU375</f>
        <v/>
      </c>
      <c r="BV407" s="1562">
        <f>BV408*-BV375</f>
        <v/>
      </c>
      <c r="BW407" s="1562">
        <f>BW408*-BW375</f>
        <v/>
      </c>
      <c r="BX407" s="1562">
        <f>BX408*-BX375</f>
        <v/>
      </c>
      <c r="BY407" s="1637">
        <f>BY563</f>
        <v/>
      </c>
      <c r="BZ407" s="1637">
        <f>BZ408*-BZ375</f>
        <v/>
      </c>
      <c r="CA407" s="1637">
        <f>CA408*-CA375</f>
        <v/>
      </c>
      <c r="CB407" s="1637">
        <f>CB408*-CB375</f>
        <v/>
      </c>
      <c r="CC407" s="1564" t="n"/>
    </row>
    <row r="408" ht="15" customFormat="1" customHeight="1" s="1899">
      <c r="A408" s="1900" t="inlineStr">
        <is>
          <t>Dividend Per Share</t>
        </is>
      </c>
      <c r="B408" s="1901" t="n"/>
      <c r="C408" s="1902" t="n">
        <v>0.2</v>
      </c>
      <c r="D408" s="1902" t="n">
        <v>0.4</v>
      </c>
      <c r="E408" s="1902" t="n">
        <v>0.46</v>
      </c>
      <c r="F408" s="1902" t="n">
        <v>0.53</v>
      </c>
      <c r="G408" s="1902" t="n">
        <v>0.61</v>
      </c>
      <c r="H408" s="1903" t="n">
        <v>0</v>
      </c>
      <c r="I408" s="1903" t="n">
        <v>0.7</v>
      </c>
      <c r="J408" s="1903" t="n">
        <v>0</v>
      </c>
      <c r="K408" s="1903" t="n">
        <v>0</v>
      </c>
      <c r="L408" s="1904">
        <f>SUM(H408,I408,J408,K408)</f>
        <v/>
      </c>
      <c r="M408" s="1903" t="n">
        <v>0</v>
      </c>
      <c r="N408" s="1903" t="n">
        <v>1.05</v>
      </c>
      <c r="O408" s="1903" t="n">
        <v>0</v>
      </c>
      <c r="P408" s="1903" t="n">
        <v>0</v>
      </c>
      <c r="Q408" s="1904">
        <f>SUM(M408,N408,O408,P408)</f>
        <v/>
      </c>
      <c r="R408" s="1903" t="n">
        <v>0</v>
      </c>
      <c r="S408" s="1903" t="n">
        <v>1.2</v>
      </c>
      <c r="T408" s="1903" t="n">
        <v>0</v>
      </c>
      <c r="U408" s="1903" t="n">
        <v>0</v>
      </c>
      <c r="V408" s="1904">
        <f>SUM(R408,S408,T408,U408)</f>
        <v/>
      </c>
      <c r="W408" s="1903" t="n">
        <v>0</v>
      </c>
      <c r="X408" s="1903" t="n">
        <v>1.4</v>
      </c>
      <c r="Y408" s="1903" t="n">
        <v>0</v>
      </c>
      <c r="Z408" s="1903" t="n">
        <v>0</v>
      </c>
      <c r="AA408" s="1904">
        <f>SUM(W408,X408,Y408,Z408)</f>
        <v/>
      </c>
      <c r="AB408" s="1903" t="n">
        <v>0</v>
      </c>
      <c r="AC408" s="1903" t="n">
        <v>1.4</v>
      </c>
      <c r="AD408" s="1903" t="n">
        <v>0</v>
      </c>
      <c r="AE408" s="1903" t="n">
        <v>0</v>
      </c>
      <c r="AF408" s="1904">
        <f>SUM(AB408,AC408,AD408,AE408)</f>
        <v/>
      </c>
      <c r="AG408" s="1903" t="n">
        <v>0</v>
      </c>
      <c r="AH408" s="1903" t="n">
        <v>2.1</v>
      </c>
      <c r="AI408" s="1903" t="n">
        <v>0</v>
      </c>
      <c r="AJ408" s="1903" t="n">
        <v>1.05</v>
      </c>
      <c r="AK408" s="1904">
        <f>SUM(AG408,AH408,AI408,AJ408)</f>
        <v/>
      </c>
      <c r="AL408" s="1903" t="n">
        <v>0</v>
      </c>
      <c r="AM408" s="1903" t="n">
        <v>1.35</v>
      </c>
      <c r="AN408" s="1903" t="n">
        <v>0</v>
      </c>
      <c r="AO408" s="1903" t="n">
        <v>1.2</v>
      </c>
      <c r="AP408" s="1904">
        <f>SUM(AL408,AM408,AN408,AO408)</f>
        <v/>
      </c>
      <c r="AQ408" s="1903" t="n">
        <v>0</v>
      </c>
      <c r="AR408" s="1903" t="n">
        <v>1.55</v>
      </c>
      <c r="AS408" s="1903" t="n">
        <v>0</v>
      </c>
      <c r="AT408" s="1903" t="n">
        <v>1.8</v>
      </c>
      <c r="AU408" s="1904">
        <f>SUM(AQ408,AR408,AS408,AT408)</f>
        <v/>
      </c>
      <c r="AV408" s="1903" t="n">
        <v>0</v>
      </c>
      <c r="AW408" s="1903" t="n">
        <v>3.7</v>
      </c>
      <c r="AX408" s="1903" t="n">
        <v>1.37</v>
      </c>
      <c r="AY408" s="1903" t="n">
        <v>1.37</v>
      </c>
      <c r="AZ408" s="1904">
        <f>SUM(AV408,AW408,AX408,AY408)</f>
        <v/>
      </c>
      <c r="BA408" s="1903" t="n">
        <v>1.37</v>
      </c>
      <c r="BB408" s="1903" t="n">
        <v>1.69</v>
      </c>
      <c r="BC408" s="1903" t="n">
        <v>1.45</v>
      </c>
      <c r="BD408" s="1903" t="n">
        <v>1.45</v>
      </c>
      <c r="BE408" s="1904">
        <f>SUM(BA408,BB408,BC408,BD408)</f>
        <v/>
      </c>
      <c r="BF408" s="1903" t="n">
        <v>1.45</v>
      </c>
      <c r="BG408" s="1903" t="n">
        <v>1.75</v>
      </c>
      <c r="BH408" s="1903" t="n">
        <v>1.52</v>
      </c>
      <c r="BI408" s="1903" t="n">
        <v>1.52</v>
      </c>
      <c r="BJ408" s="1904">
        <f>SUM(BF408,BG408,BH408,BI408)</f>
        <v/>
      </c>
      <c r="BK408" s="1903" t="n">
        <v>1.52</v>
      </c>
      <c r="BL408" s="1903" t="n">
        <v>1.84</v>
      </c>
      <c r="BM408" s="1903" t="n">
        <v>1.6</v>
      </c>
      <c r="BN408" s="1903" t="n">
        <v>1.6</v>
      </c>
      <c r="BO408" s="1905">
        <f>SUM(BK408,BL408,BM408,BN408)</f>
        <v/>
      </c>
      <c r="BP408" s="1903" t="n">
        <v>1.6</v>
      </c>
      <c r="BQ408" s="1903" t="n">
        <v>1.84</v>
      </c>
      <c r="BR408" s="1903" t="n">
        <v>1.6</v>
      </c>
      <c r="BS408" s="1903" t="n">
        <v>1.6</v>
      </c>
      <c r="BT408" s="1906">
        <f>SUM(BP408,BQ408,BR408,BS408)</f>
        <v/>
      </c>
      <c r="BU408" s="1903" t="n">
        <v>1.6</v>
      </c>
      <c r="BV408" s="1903" t="n">
        <v>1.84</v>
      </c>
      <c r="BW408" s="1903" t="n">
        <v>1.6</v>
      </c>
      <c r="BX408" s="1903" t="n">
        <v>1.6</v>
      </c>
      <c r="BY408" s="1906">
        <f>SUM(BU408,BV408,BW408,BX408)</f>
        <v/>
      </c>
      <c r="BZ408" s="1902" t="n">
        <v>6.64</v>
      </c>
      <c r="CA408" s="1902" t="n">
        <v>6.64</v>
      </c>
      <c r="CB408" s="1902" t="n">
        <v>6.64</v>
      </c>
      <c r="CC408" s="1907" t="n"/>
    </row>
    <row r="409" ht="15" customFormat="1" customHeight="1" s="1899">
      <c r="A409" s="1908" t="n"/>
      <c r="B409" s="1901" t="n"/>
      <c r="C409" s="1906" t="n"/>
      <c r="D409" s="1906" t="n"/>
      <c r="E409" s="1906" t="n"/>
      <c r="F409" s="1906" t="n"/>
      <c r="G409" s="1906" t="n"/>
      <c r="H409" s="1909" t="n"/>
      <c r="I409" s="1909" t="n"/>
      <c r="J409" s="1909" t="n"/>
      <c r="K409" s="1909" t="n"/>
      <c r="L409" s="1906" t="n"/>
      <c r="M409" s="1909" t="n"/>
      <c r="N409" s="1909" t="n"/>
      <c r="O409" s="1909" t="n"/>
      <c r="P409" s="1909" t="n"/>
      <c r="Q409" s="1906" t="n"/>
      <c r="R409" s="1909" t="n"/>
      <c r="S409" s="1909" t="n"/>
      <c r="T409" s="1909" t="n"/>
      <c r="U409" s="1909" t="n"/>
      <c r="V409" s="1906" t="n"/>
      <c r="W409" s="1909" t="n"/>
      <c r="X409" s="1909" t="n"/>
      <c r="Y409" s="1909" t="n"/>
      <c r="Z409" s="1909" t="n"/>
      <c r="AA409" s="1906" t="n"/>
      <c r="AB409" s="1909" t="n"/>
      <c r="AC409" s="1909" t="n"/>
      <c r="AD409" s="1909" t="n"/>
      <c r="AE409" s="1909" t="n"/>
      <c r="AF409" s="1906" t="n"/>
      <c r="AG409" s="1909" t="n"/>
      <c r="AH409" s="1909" t="n"/>
      <c r="AI409" s="1909" t="n"/>
      <c r="AJ409" s="1909" t="n"/>
      <c r="AK409" s="1906" t="n"/>
      <c r="AL409" s="1909" t="n"/>
      <c r="AM409" s="1909" t="n"/>
      <c r="AN409" s="1909" t="n"/>
      <c r="AO409" s="1909" t="n"/>
      <c r="AP409" s="1906" t="n"/>
      <c r="AQ409" s="1909" t="n"/>
      <c r="AR409" s="1909" t="n"/>
      <c r="AS409" s="1909" t="n"/>
      <c r="AT409" s="1909" t="n"/>
      <c r="AU409" s="1906" t="n"/>
      <c r="AV409" s="1909" t="n"/>
      <c r="AW409" s="1909" t="n"/>
      <c r="AX409" s="1909" t="n"/>
      <c r="AY409" s="1909" t="n"/>
      <c r="AZ409" s="1906" t="n"/>
      <c r="BA409" s="1909" t="n"/>
      <c r="BB409" s="1909" t="n"/>
      <c r="BC409" s="1909" t="n"/>
      <c r="BD409" s="1909" t="n"/>
      <c r="BE409" s="1906" t="n"/>
      <c r="BF409" s="1909" t="n"/>
      <c r="BG409" s="1909" t="n"/>
      <c r="BH409" s="1909" t="n"/>
      <c r="BI409" s="1909" t="n"/>
      <c r="BJ409" s="1906" t="n"/>
      <c r="BK409" s="1909" t="n"/>
      <c r="BL409" s="1909" t="n"/>
      <c r="BM409" s="1909" t="n"/>
      <c r="BN409" s="1909" t="n"/>
      <c r="BO409" s="1910" t="n"/>
      <c r="BP409" s="1909" t="n"/>
      <c r="BQ409" s="1909" t="n"/>
      <c r="BR409" s="1909" t="n"/>
      <c r="BS409" s="1909" t="n"/>
      <c r="BT409" s="1906" t="n"/>
      <c r="BU409" s="1909" t="n"/>
      <c r="BV409" s="1909" t="n"/>
      <c r="BW409" s="1909" t="n"/>
      <c r="BX409" s="1909" t="n"/>
      <c r="BY409" s="1906" t="n"/>
      <c r="BZ409" s="1906" t="n"/>
      <c r="CA409" s="1906" t="n"/>
      <c r="CB409" s="1906" t="n"/>
      <c r="CC409" s="1907" t="n"/>
    </row>
    <row r="410" ht="15" customFormat="1" customHeight="1" s="1899">
      <c r="A410" s="1900" t="inlineStr">
        <is>
          <t>Net Debt Issuance (Repayment)</t>
        </is>
      </c>
      <c r="B410" s="1901" t="n"/>
      <c r="C410" s="1713">
        <f>C570+C568+C566</f>
        <v/>
      </c>
      <c r="D410" s="1713">
        <f>D570+D568+D566</f>
        <v/>
      </c>
      <c r="E410" s="1713">
        <f>E570+E568+E566</f>
        <v/>
      </c>
      <c r="F410" s="1713">
        <f>F570+F568+F566</f>
        <v/>
      </c>
      <c r="G410" s="1713">
        <f>G570+G568+G566</f>
        <v/>
      </c>
      <c r="H410" s="1564">
        <f>H570+H568+H566</f>
        <v/>
      </c>
      <c r="I410" s="1564">
        <f>I570+I568+I566</f>
        <v/>
      </c>
      <c r="J410" s="1564">
        <f>J570+J568+J566</f>
        <v/>
      </c>
      <c r="K410" s="1564">
        <f>K570+K568+K566</f>
        <v/>
      </c>
      <c r="L410" s="1713">
        <f>L570+L568+L566</f>
        <v/>
      </c>
      <c r="M410" s="1564">
        <f>M570+M568+M566</f>
        <v/>
      </c>
      <c r="N410" s="1564">
        <f>N570+N568+N566</f>
        <v/>
      </c>
      <c r="O410" s="1564">
        <f>O570+O568+O566</f>
        <v/>
      </c>
      <c r="P410" s="1564">
        <f>P570+P568+P566</f>
        <v/>
      </c>
      <c r="Q410" s="1713">
        <f>Q570+Q568+Q566</f>
        <v/>
      </c>
      <c r="R410" s="1564">
        <f>R570+R568+R566</f>
        <v/>
      </c>
      <c r="S410" s="1564">
        <f>S570+S568+S566</f>
        <v/>
      </c>
      <c r="T410" s="1564">
        <f>T570+T568+T566</f>
        <v/>
      </c>
      <c r="U410" s="1564">
        <f>U570+U568+U566</f>
        <v/>
      </c>
      <c r="V410" s="1713">
        <f>V570+V568+V566</f>
        <v/>
      </c>
      <c r="W410" s="1564">
        <f>W570+W568+W566</f>
        <v/>
      </c>
      <c r="X410" s="1564">
        <f>X570+X568+X566</f>
        <v/>
      </c>
      <c r="Y410" s="1564">
        <f>Y570+Y568+Y566</f>
        <v/>
      </c>
      <c r="Z410" s="1564">
        <f>Z570+Z568+Z566</f>
        <v/>
      </c>
      <c r="AA410" s="1713">
        <f>AA570+AA568+AA566</f>
        <v/>
      </c>
      <c r="AB410" s="1564">
        <f>AB570+AB568+AB566</f>
        <v/>
      </c>
      <c r="AC410" s="1564">
        <f>AC570+AC568+AC566</f>
        <v/>
      </c>
      <c r="AD410" s="1564">
        <f>AD570+AD568+AD566</f>
        <v/>
      </c>
      <c r="AE410" s="1564">
        <f>AE570+AE568+AE566</f>
        <v/>
      </c>
      <c r="AF410" s="1713">
        <f>AF570+AF568+AF566</f>
        <v/>
      </c>
      <c r="AG410" s="1564">
        <f>AG570+AG568+AG566</f>
        <v/>
      </c>
      <c r="AH410" s="1564">
        <f>AH570+AH568+AH566</f>
        <v/>
      </c>
      <c r="AI410" s="1564">
        <f>AI570+AI568+AI566</f>
        <v/>
      </c>
      <c r="AJ410" s="1564">
        <f>AJ570+AJ568+AJ566</f>
        <v/>
      </c>
      <c r="AK410" s="1713">
        <f>AK570+AK568+AK566</f>
        <v/>
      </c>
      <c r="AL410" s="1564">
        <f>AL570+AL568+AL566</f>
        <v/>
      </c>
      <c r="AM410" s="1564">
        <f>AM570+AM568+AM566</f>
        <v/>
      </c>
      <c r="AN410" s="1564">
        <f>AN570+AN568+AN566</f>
        <v/>
      </c>
      <c r="AO410" s="1564">
        <f>AO570+AO568+AO566</f>
        <v/>
      </c>
      <c r="AP410" s="1713">
        <f>AP570+AP568+AP566</f>
        <v/>
      </c>
      <c r="AQ410" s="1564">
        <f>AQ570+AQ568+AQ566</f>
        <v/>
      </c>
      <c r="AR410" s="1564">
        <f>AR570+AR568+AR566</f>
        <v/>
      </c>
      <c r="AS410" s="1564">
        <f>AS570+AS568+AS566</f>
        <v/>
      </c>
      <c r="AT410" s="1564">
        <f>AT570+AT568+AT566</f>
        <v/>
      </c>
      <c r="AU410" s="1713">
        <f>AU570+AU568+AU566</f>
        <v/>
      </c>
      <c r="AV410" s="1564">
        <f>AV570+AV568+AV566</f>
        <v/>
      </c>
      <c r="AW410" s="1564">
        <f>AW570+AW568+AW566</f>
        <v/>
      </c>
      <c r="AX410" s="1564">
        <f>AX570+AX568+AX566</f>
        <v/>
      </c>
      <c r="AY410" s="1564">
        <f>AY570+AY568+AY566</f>
        <v/>
      </c>
      <c r="AZ410" s="1713">
        <f>AZ570+AZ568+AZ566</f>
        <v/>
      </c>
      <c r="BA410" s="1564">
        <f>BA570+BA568+BA566</f>
        <v/>
      </c>
      <c r="BB410" s="1564">
        <f>BB570+BB568+BB566</f>
        <v/>
      </c>
      <c r="BC410" s="1564">
        <f>BC570+BC568+BC566</f>
        <v/>
      </c>
      <c r="BD410" s="1564">
        <f>BD570+BD568+BD566</f>
        <v/>
      </c>
      <c r="BE410" s="1713">
        <f>BE570+BE568+BE566</f>
        <v/>
      </c>
      <c r="BF410" s="1564">
        <f>BF570+BF568+BF566</f>
        <v/>
      </c>
      <c r="BG410" s="1564">
        <f>BG570+BG568+BG566</f>
        <v/>
      </c>
      <c r="BH410" s="1564">
        <f>BH570+BH568+BH566</f>
        <v/>
      </c>
      <c r="BI410" s="1564">
        <f>BI570+BI568+BI566</f>
        <v/>
      </c>
      <c r="BJ410" s="1713">
        <f>BJ570+BJ568+BJ566</f>
        <v/>
      </c>
      <c r="BK410" s="1564">
        <f>BK570+BK568+BK566</f>
        <v/>
      </c>
      <c r="BL410" s="1564">
        <f>BL570+BL568+BL566</f>
        <v/>
      </c>
      <c r="BM410" s="1564">
        <f>BM570+BM568+BM566</f>
        <v/>
      </c>
      <c r="BN410" s="1564">
        <f>BN570+BN568+BN566</f>
        <v/>
      </c>
      <c r="BO410" s="1715">
        <f>BO570+BO568+BO566</f>
        <v/>
      </c>
      <c r="BP410" s="1714" t="n">
        <v>0</v>
      </c>
      <c r="BQ410" s="1714" t="n">
        <v>0</v>
      </c>
      <c r="BR410" s="1714" t="n">
        <v>0</v>
      </c>
      <c r="BS410" s="1714" t="n">
        <v>0</v>
      </c>
      <c r="BT410" s="1637">
        <f>BT570+BT568+BT566</f>
        <v/>
      </c>
      <c r="BU410" s="1714" t="n">
        <v>0</v>
      </c>
      <c r="BV410" s="1714" t="n">
        <v>0</v>
      </c>
      <c r="BW410" s="1714" t="n">
        <v>0</v>
      </c>
      <c r="BX410" s="1714" t="n">
        <v>0</v>
      </c>
      <c r="BY410" s="1637">
        <f>BY570+BY568+BY566</f>
        <v/>
      </c>
      <c r="BZ410" s="1706" t="n">
        <v>0</v>
      </c>
      <c r="CA410" s="1706" t="n">
        <v>0</v>
      </c>
      <c r="CB410" s="1706" t="n">
        <v>0</v>
      </c>
      <c r="CC410" s="1907" t="n"/>
    </row>
    <row r="411" ht="15" customFormat="1" customHeight="1" s="1899">
      <c r="A411" s="1900" t="inlineStr">
        <is>
          <t>Net Share Issuance (Buybacks)</t>
        </is>
      </c>
      <c r="B411" s="1901" t="n"/>
      <c r="C411" s="1713">
        <f>C565+C564</f>
        <v/>
      </c>
      <c r="D411" s="1713">
        <f>D565+D564</f>
        <v/>
      </c>
      <c r="E411" s="1713">
        <f>E565+E564</f>
        <v/>
      </c>
      <c r="F411" s="1713">
        <f>F565+F564</f>
        <v/>
      </c>
      <c r="G411" s="1713">
        <f>G565+G564</f>
        <v/>
      </c>
      <c r="H411" s="1564">
        <f>H565+H564</f>
        <v/>
      </c>
      <c r="I411" s="1564">
        <f>I565+I564</f>
        <v/>
      </c>
      <c r="J411" s="1564">
        <f>J565+J564</f>
        <v/>
      </c>
      <c r="K411" s="1564">
        <f>K565+K564</f>
        <v/>
      </c>
      <c r="L411" s="1713">
        <f>L565+L564</f>
        <v/>
      </c>
      <c r="M411" s="1564">
        <f>M565+M564</f>
        <v/>
      </c>
      <c r="N411" s="1564">
        <f>N565+N564</f>
        <v/>
      </c>
      <c r="O411" s="1564">
        <f>O565+O564</f>
        <v/>
      </c>
      <c r="P411" s="1564">
        <f>P565+P564</f>
        <v/>
      </c>
      <c r="Q411" s="1713">
        <f>Q565+Q564</f>
        <v/>
      </c>
      <c r="R411" s="1564">
        <f>R565+R564</f>
        <v/>
      </c>
      <c r="S411" s="1564">
        <f>S565+S564</f>
        <v/>
      </c>
      <c r="T411" s="1564">
        <f>T565+T564</f>
        <v/>
      </c>
      <c r="U411" s="1564">
        <f>U565+U564</f>
        <v/>
      </c>
      <c r="V411" s="1713">
        <f>V565+V564</f>
        <v/>
      </c>
      <c r="W411" s="1564">
        <f>W565+W564</f>
        <v/>
      </c>
      <c r="X411" s="1564">
        <f>X565+X564</f>
        <v/>
      </c>
      <c r="Y411" s="1564">
        <f>Y565+Y564</f>
        <v/>
      </c>
      <c r="Z411" s="1564">
        <f>Z565+Z564</f>
        <v/>
      </c>
      <c r="AA411" s="1713">
        <f>AA565+AA564</f>
        <v/>
      </c>
      <c r="AB411" s="1564">
        <f>AB565+AB564</f>
        <v/>
      </c>
      <c r="AC411" s="1564">
        <f>AC565+AC564</f>
        <v/>
      </c>
      <c r="AD411" s="1564">
        <f>AD565+AD564</f>
        <v/>
      </c>
      <c r="AE411" s="1564">
        <f>AE565+AE564</f>
        <v/>
      </c>
      <c r="AF411" s="1713">
        <f>AF565+AF564</f>
        <v/>
      </c>
      <c r="AG411" s="1564">
        <f>AG565+AG564</f>
        <v/>
      </c>
      <c r="AH411" s="1564">
        <f>AH565+AH564</f>
        <v/>
      </c>
      <c r="AI411" s="1564">
        <f>AI565+AI564</f>
        <v/>
      </c>
      <c r="AJ411" s="1564">
        <f>AJ565+AJ564</f>
        <v/>
      </c>
      <c r="AK411" s="1713">
        <f>AK565+AK564</f>
        <v/>
      </c>
      <c r="AL411" s="1564">
        <f>AL565+AL564</f>
        <v/>
      </c>
      <c r="AM411" s="1564">
        <f>AM565+AM564</f>
        <v/>
      </c>
      <c r="AN411" s="1564">
        <f>AN565+AN564</f>
        <v/>
      </c>
      <c r="AO411" s="1564">
        <f>AO565+AO564</f>
        <v/>
      </c>
      <c r="AP411" s="1713">
        <f>AP565+AP564</f>
        <v/>
      </c>
      <c r="AQ411" s="1564">
        <f>AQ565+AQ564</f>
        <v/>
      </c>
      <c r="AR411" s="1564">
        <f>AR565+AR564</f>
        <v/>
      </c>
      <c r="AS411" s="1564">
        <f>AS565+AS564</f>
        <v/>
      </c>
      <c r="AT411" s="1564">
        <f>AT565+AT564</f>
        <v/>
      </c>
      <c r="AU411" s="1713">
        <f>AU565+AU564</f>
        <v/>
      </c>
      <c r="AV411" s="1564">
        <f>AV565+AV564</f>
        <v/>
      </c>
      <c r="AW411" s="1564">
        <f>AW565+AW564</f>
        <v/>
      </c>
      <c r="AX411" s="1564">
        <f>AX565+AX564</f>
        <v/>
      </c>
      <c r="AY411" s="1564">
        <f>AY565+AY564</f>
        <v/>
      </c>
      <c r="AZ411" s="1713">
        <f>AZ565+AZ564</f>
        <v/>
      </c>
      <c r="BA411" s="1564">
        <f>BA565+BA564</f>
        <v/>
      </c>
      <c r="BB411" s="1564">
        <f>BB565+BB564</f>
        <v/>
      </c>
      <c r="BC411" s="1564">
        <f>BC565+BC564</f>
        <v/>
      </c>
      <c r="BD411" s="1564">
        <f>BD565+BD564</f>
        <v/>
      </c>
      <c r="BE411" s="1713">
        <f>BE565+BE564</f>
        <v/>
      </c>
      <c r="BF411" s="1564">
        <f>BF565+BF564</f>
        <v/>
      </c>
      <c r="BG411" s="1564">
        <f>BG565+BG564</f>
        <v/>
      </c>
      <c r="BH411" s="1564">
        <f>BH565+BH564</f>
        <v/>
      </c>
      <c r="BI411" s="1564">
        <f>BI565+BI564</f>
        <v/>
      </c>
      <c r="BJ411" s="1713">
        <f>BJ565+BJ564</f>
        <v/>
      </c>
      <c r="BK411" s="1564">
        <f>BK565+BK564</f>
        <v/>
      </c>
      <c r="BL411" s="1564">
        <f>BL565+BL564</f>
        <v/>
      </c>
      <c r="BM411" s="1564">
        <f>BM565+BM564</f>
        <v/>
      </c>
      <c r="BN411" s="1564">
        <f>BN565+BN564</f>
        <v/>
      </c>
      <c r="BO411" s="1715">
        <f>BO565+BO564</f>
        <v/>
      </c>
      <c r="BP411" s="1714" t="n">
        <v>0</v>
      </c>
      <c r="BQ411" s="1714" t="n">
        <v>0</v>
      </c>
      <c r="BR411" s="1714" t="n">
        <v>0</v>
      </c>
      <c r="BS411" s="1714" t="n">
        <v>0</v>
      </c>
      <c r="BT411" s="1637">
        <f>BT565+BT564</f>
        <v/>
      </c>
      <c r="BU411" s="1714" t="n">
        <v>0</v>
      </c>
      <c r="BV411" s="1714" t="n">
        <v>0</v>
      </c>
      <c r="BW411" s="1714" t="n">
        <v>0</v>
      </c>
      <c r="BX411" s="1714" t="n">
        <v>0</v>
      </c>
      <c r="BY411" s="1637">
        <f>BY565+BY564</f>
        <v/>
      </c>
      <c r="BZ411" s="1637" t="n"/>
      <c r="CA411" s="1637" t="n"/>
      <c r="CB411" s="1637" t="n"/>
      <c r="CC411" s="1907" t="n"/>
    </row>
    <row r="412" ht="15" customFormat="1" customHeight="1" s="1899">
      <c r="A412" s="1845" t="inlineStr">
        <is>
          <t>Estimated Share Price for Issuance/Buybacks, EUR</t>
        </is>
      </c>
      <c r="B412" s="1846" t="n"/>
      <c r="C412" s="1851" t="n"/>
      <c r="D412" s="1851" t="n"/>
      <c r="E412" s="1851" t="n"/>
      <c r="F412" s="1851" t="n"/>
      <c r="G412" s="1851" t="n"/>
      <c r="H412" s="1850" t="n"/>
      <c r="I412" s="1850" t="n"/>
      <c r="J412" s="1850" t="n"/>
      <c r="K412" s="1850" t="n"/>
      <c r="L412" s="1851" t="n"/>
      <c r="M412" s="1850" t="n"/>
      <c r="N412" s="1850" t="n"/>
      <c r="O412" s="1850" t="n"/>
      <c r="P412" s="1850" t="n"/>
      <c r="Q412" s="1851" t="n"/>
      <c r="R412" s="1850" t="n"/>
      <c r="S412" s="1850" t="n"/>
      <c r="T412" s="1850" t="n"/>
      <c r="U412" s="1850" t="n"/>
      <c r="V412" s="1851" t="n"/>
      <c r="W412" s="1850" t="n"/>
      <c r="X412" s="1850" t="n"/>
      <c r="Y412" s="1850" t="n"/>
      <c r="Z412" s="1850" t="n"/>
      <c r="AA412" s="1851" t="n"/>
      <c r="AB412" s="1850" t="n"/>
      <c r="AC412" s="1850" t="n"/>
      <c r="AD412" s="1850" t="n"/>
      <c r="AE412" s="1850" t="n"/>
      <c r="AF412" s="1851" t="n"/>
      <c r="AG412" s="1850" t="n"/>
      <c r="AH412" s="1850" t="n"/>
      <c r="AI412" s="1850" t="n"/>
      <c r="AJ412" s="1850" t="n"/>
      <c r="AK412" s="1851" t="n"/>
      <c r="AL412" s="1850" t="n"/>
      <c r="AM412" s="1850" t="n"/>
      <c r="AN412" s="1850" t="n"/>
      <c r="AO412" s="1850" t="n"/>
      <c r="AP412" s="1851" t="n"/>
      <c r="AQ412" s="1850" t="n"/>
      <c r="AR412" s="1850" t="n"/>
      <c r="AS412" s="1850" t="n"/>
      <c r="AT412" s="1850" t="n"/>
      <c r="AU412" s="1851" t="n"/>
      <c r="AV412" s="1850" t="n"/>
      <c r="AW412" s="1850" t="n"/>
      <c r="AX412" s="1850" t="n"/>
      <c r="AY412" s="1850" t="n"/>
      <c r="AZ412" s="1851" t="n"/>
      <c r="BA412" s="1850" t="n"/>
      <c r="BB412" s="1850" t="n"/>
      <c r="BC412" s="1850" t="n"/>
      <c r="BD412" s="1850" t="n"/>
      <c r="BE412" s="1851" t="n"/>
      <c r="BF412" s="1850" t="n"/>
      <c r="BG412" s="1850" t="n"/>
      <c r="BH412" s="1850" t="n"/>
      <c r="BI412" s="1850" t="n"/>
      <c r="BJ412" s="1851" t="n"/>
      <c r="BK412" s="1850" t="n"/>
      <c r="BL412" s="1850" t="n"/>
      <c r="BM412" s="1850" t="n"/>
      <c r="BN412" s="1850" t="n"/>
      <c r="BO412" s="1911" t="n"/>
      <c r="BP412" s="1912" t="n">
        <v>1218</v>
      </c>
      <c r="BQ412" s="1912" t="n">
        <v>1218</v>
      </c>
      <c r="BR412" s="1912" t="n">
        <v>1218</v>
      </c>
      <c r="BS412" s="1912" t="n">
        <v>1218</v>
      </c>
      <c r="BT412" s="1851">
        <f>AVERAGE(BP412,BQ412,BR412,BS412)</f>
        <v/>
      </c>
      <c r="BU412" s="1912" t="n">
        <v>1340</v>
      </c>
      <c r="BV412" s="1912" t="n">
        <v>1340</v>
      </c>
      <c r="BW412" s="1912" t="n">
        <v>1340</v>
      </c>
      <c r="BX412" s="1912" t="n">
        <v>1340</v>
      </c>
      <c r="BY412" s="1851">
        <f>AVERAGE(BU412,BV412,BW412,BX412)</f>
        <v/>
      </c>
      <c r="BZ412" s="1913" t="n">
        <v>1474</v>
      </c>
      <c r="CA412" s="1913" t="n">
        <v>1621</v>
      </c>
      <c r="CB412" s="1913" t="n">
        <v>1783</v>
      </c>
      <c r="CC412" s="1907" t="n"/>
    </row>
    <row r="413" ht="15" customFormat="1" customHeight="1" s="1561">
      <c r="A413" s="1828" t="n"/>
      <c r="B413" s="1705" t="n"/>
      <c r="C413" s="1637" t="n"/>
      <c r="D413" s="1637" t="n"/>
      <c r="E413" s="1637" t="n"/>
      <c r="F413" s="1637" t="n"/>
      <c r="G413" s="1637" t="n"/>
      <c r="H413" s="1562" t="n"/>
      <c r="I413" s="1562" t="n"/>
      <c r="J413" s="1562" t="n"/>
      <c r="K413" s="1562" t="n"/>
      <c r="L413" s="1637" t="n"/>
      <c r="M413" s="1562" t="n"/>
      <c r="N413" s="1562" t="n"/>
      <c r="O413" s="1562" t="n"/>
      <c r="P413" s="1562" t="n"/>
      <c r="Q413" s="1637" t="n"/>
      <c r="R413" s="1562" t="n"/>
      <c r="S413" s="1562" t="n"/>
      <c r="T413" s="1562" t="n"/>
      <c r="U413" s="1562" t="n"/>
      <c r="V413" s="1637" t="n"/>
      <c r="W413" s="1562" t="n"/>
      <c r="X413" s="1562" t="n"/>
      <c r="Y413" s="1562" t="n"/>
      <c r="Z413" s="1562" t="n"/>
      <c r="AA413" s="1637" t="n"/>
      <c r="AB413" s="1562" t="n"/>
      <c r="AC413" s="1562" t="n"/>
      <c r="AD413" s="1562" t="n"/>
      <c r="AE413" s="1562" t="n"/>
      <c r="AF413" s="1637" t="n"/>
      <c r="AG413" s="1562" t="n"/>
      <c r="AH413" s="1562" t="n"/>
      <c r="AI413" s="1562" t="n"/>
      <c r="AJ413" s="1562" t="n"/>
      <c r="AK413" s="1637" t="n"/>
      <c r="AL413" s="1562" t="n"/>
      <c r="AM413" s="1562" t="n"/>
      <c r="AN413" s="1562" t="n"/>
      <c r="AO413" s="1562" t="n"/>
      <c r="AP413" s="1637" t="n"/>
      <c r="AQ413" s="1562" t="n"/>
      <c r="AR413" s="1562" t="n"/>
      <c r="AS413" s="1562" t="n"/>
      <c r="AT413" s="1562" t="n"/>
      <c r="AU413" s="1637" t="n"/>
      <c r="AV413" s="1562" t="n"/>
      <c r="AW413" s="1562" t="n"/>
      <c r="AX413" s="1562" t="n"/>
      <c r="AY413" s="1562" t="n"/>
      <c r="AZ413" s="1637" t="n"/>
      <c r="BA413" s="1562" t="n"/>
      <c r="BB413" s="1562" t="n"/>
      <c r="BC413" s="1562" t="n"/>
      <c r="BD413" s="1562" t="n"/>
      <c r="BE413" s="1637" t="n"/>
      <c r="BF413" s="1562" t="n"/>
      <c r="BG413" s="1562" t="n"/>
      <c r="BH413" s="1562" t="n"/>
      <c r="BI413" s="1562" t="n"/>
      <c r="BJ413" s="1637" t="n"/>
      <c r="BK413" s="1562" t="n"/>
      <c r="BL413" s="1562" t="n"/>
      <c r="BM413" s="1562" t="n"/>
      <c r="BN413" s="1562" t="n"/>
      <c r="BO413" s="1638" t="n"/>
      <c r="BP413" s="1562" t="n"/>
      <c r="BQ413" s="1562" t="n"/>
      <c r="BR413" s="1562" t="n"/>
      <c r="BS413" s="1562" t="n"/>
      <c r="BT413" s="1637" t="n"/>
      <c r="BU413" s="1562" t="n"/>
      <c r="BV413" s="1562" t="n"/>
      <c r="BW413" s="1562" t="n"/>
      <c r="BX413" s="1562" t="n"/>
      <c r="BY413" s="1637" t="n"/>
      <c r="BZ413" s="1637" t="n"/>
      <c r="CA413" s="1637" t="n"/>
      <c r="CB413" s="1637" t="n"/>
      <c r="CC413" s="1564" t="n"/>
    </row>
    <row r="414" ht="15" customFormat="1" customHeight="1" s="1561">
      <c r="A414" s="1623" t="inlineStr">
        <is>
          <t>SBC expense</t>
        </is>
      </c>
      <c r="B414" s="1705" t="n"/>
      <c r="C414" s="1637">
        <f>C530</f>
        <v/>
      </c>
      <c r="D414" s="1637">
        <f>D530</f>
        <v/>
      </c>
      <c r="E414" s="1637">
        <f>E530</f>
        <v/>
      </c>
      <c r="F414" s="1637">
        <f>F530</f>
        <v/>
      </c>
      <c r="G414" s="1637">
        <f>G530</f>
        <v/>
      </c>
      <c r="H414" s="1562">
        <f>H530</f>
        <v/>
      </c>
      <c r="I414" s="1562">
        <f>I530</f>
        <v/>
      </c>
      <c r="J414" s="1562">
        <f>J530</f>
        <v/>
      </c>
      <c r="K414" s="1562">
        <f>K530</f>
        <v/>
      </c>
      <c r="L414" s="1637">
        <f>L530</f>
        <v/>
      </c>
      <c r="M414" s="1562">
        <f>M530</f>
        <v/>
      </c>
      <c r="N414" s="1562">
        <f>N530</f>
        <v/>
      </c>
      <c r="O414" s="1562">
        <f>O530</f>
        <v/>
      </c>
      <c r="P414" s="1562">
        <f>P530</f>
        <v/>
      </c>
      <c r="Q414" s="1637">
        <f>Q530</f>
        <v/>
      </c>
      <c r="R414" s="1562">
        <f>R530</f>
        <v/>
      </c>
      <c r="S414" s="1562">
        <f>S530</f>
        <v/>
      </c>
      <c r="T414" s="1562">
        <f>T530</f>
        <v/>
      </c>
      <c r="U414" s="1562">
        <f>U530</f>
        <v/>
      </c>
      <c r="V414" s="1637">
        <f>V530</f>
        <v/>
      </c>
      <c r="W414" s="1562">
        <f>W530</f>
        <v/>
      </c>
      <c r="X414" s="1562">
        <f>X530</f>
        <v/>
      </c>
      <c r="Y414" s="1562">
        <f>Y530</f>
        <v/>
      </c>
      <c r="Z414" s="1562">
        <f>Z530</f>
        <v/>
      </c>
      <c r="AA414" s="1637">
        <f>AA530</f>
        <v/>
      </c>
      <c r="AB414" s="1562">
        <f>AB530</f>
        <v/>
      </c>
      <c r="AC414" s="1562">
        <f>AC530</f>
        <v/>
      </c>
      <c r="AD414" s="1562">
        <f>AD530</f>
        <v/>
      </c>
      <c r="AE414" s="1562">
        <f>AE530</f>
        <v/>
      </c>
      <c r="AF414" s="1637">
        <f>AF530</f>
        <v/>
      </c>
      <c r="AG414" s="1562">
        <f>AG530</f>
        <v/>
      </c>
      <c r="AH414" s="1562">
        <f>AH530</f>
        <v/>
      </c>
      <c r="AI414" s="1562">
        <f>AI530</f>
        <v/>
      </c>
      <c r="AJ414" s="1562">
        <f>AJ530</f>
        <v/>
      </c>
      <c r="AK414" s="1637">
        <f>AK530</f>
        <v/>
      </c>
      <c r="AL414" s="1562">
        <f>AL530</f>
        <v/>
      </c>
      <c r="AM414" s="1562">
        <f>AM530</f>
        <v/>
      </c>
      <c r="AN414" s="1562">
        <f>AN530</f>
        <v/>
      </c>
      <c r="AO414" s="1562">
        <f>AO530</f>
        <v/>
      </c>
      <c r="AP414" s="1637">
        <f>AP530</f>
        <v/>
      </c>
      <c r="AQ414" s="1562">
        <f>AQ530</f>
        <v/>
      </c>
      <c r="AR414" s="1562">
        <f>AR530</f>
        <v/>
      </c>
      <c r="AS414" s="1562">
        <f>AS530</f>
        <v/>
      </c>
      <c r="AT414" s="1562">
        <f>AT530</f>
        <v/>
      </c>
      <c r="AU414" s="1637">
        <f>AU530</f>
        <v/>
      </c>
      <c r="AV414" s="1562">
        <f>AV530</f>
        <v/>
      </c>
      <c r="AW414" s="1562">
        <f>AW530</f>
        <v/>
      </c>
      <c r="AX414" s="1562">
        <f>AX530</f>
        <v/>
      </c>
      <c r="AY414" s="1562">
        <f>AY530</f>
        <v/>
      </c>
      <c r="AZ414" s="1637">
        <f>AZ530</f>
        <v/>
      </c>
      <c r="BA414" s="1562">
        <f>BA530</f>
        <v/>
      </c>
      <c r="BB414" s="1562">
        <f>BB530</f>
        <v/>
      </c>
      <c r="BC414" s="1562">
        <f>BC530</f>
        <v/>
      </c>
      <c r="BD414" s="1562">
        <f>BD530</f>
        <v/>
      </c>
      <c r="BE414" s="1637">
        <f>BE530</f>
        <v/>
      </c>
      <c r="BF414" s="1562">
        <f>BF530</f>
        <v/>
      </c>
      <c r="BG414" s="1562">
        <f>BG530</f>
        <v/>
      </c>
      <c r="BH414" s="1562">
        <f>BH530</f>
        <v/>
      </c>
      <c r="BI414" s="1562">
        <f>BI530</f>
        <v/>
      </c>
      <c r="BJ414" s="1637">
        <f>BJ530</f>
        <v/>
      </c>
      <c r="BK414" s="1562">
        <f>BK530</f>
        <v/>
      </c>
      <c r="BL414" s="1562">
        <f>BL530</f>
        <v/>
      </c>
      <c r="BM414" s="1562">
        <f>BM530</f>
        <v/>
      </c>
      <c r="BN414" s="1562">
        <f>BN530</f>
        <v/>
      </c>
      <c r="BO414" s="1638">
        <f>BO530</f>
        <v/>
      </c>
      <c r="BP414" s="1562">
        <f>BP415*BP329</f>
        <v/>
      </c>
      <c r="BQ414" s="1562">
        <f>BQ415*BQ329</f>
        <v/>
      </c>
      <c r="BR414" s="1562">
        <f>BR415*BR329</f>
        <v/>
      </c>
      <c r="BS414" s="1562">
        <f>BS415*BS329</f>
        <v/>
      </c>
      <c r="BT414" s="1637">
        <f>BT530</f>
        <v/>
      </c>
      <c r="BU414" s="1562">
        <f>BU415*BU329</f>
        <v/>
      </c>
      <c r="BV414" s="1562">
        <f>BV415*BV329</f>
        <v/>
      </c>
      <c r="BW414" s="1562">
        <f>BW415*BW329</f>
        <v/>
      </c>
      <c r="BX414" s="1562">
        <f>BX415*BX329</f>
        <v/>
      </c>
      <c r="BY414" s="1637">
        <f>BY530</f>
        <v/>
      </c>
      <c r="BZ414" s="1637">
        <f>BZ415*BZ329</f>
        <v/>
      </c>
      <c r="CA414" s="1637">
        <f>CA415*CA329</f>
        <v/>
      </c>
      <c r="CB414" s="1637">
        <f>CB415*CB329</f>
        <v/>
      </c>
      <c r="CC414" s="1564" t="n"/>
    </row>
    <row r="415" ht="15" customFormat="1" customHeight="1" s="602">
      <c r="A415" s="458" t="inlineStr">
        <is>
          <t>SBC expense as % of revenue, %</t>
        </is>
      </c>
      <c r="B415" s="378" t="n"/>
      <c r="C415" s="1267">
        <f>C414/C329</f>
        <v/>
      </c>
      <c r="D415" s="1267">
        <f>D414/D329</f>
        <v/>
      </c>
      <c r="E415" s="1267">
        <f>E414/E329</f>
        <v/>
      </c>
      <c r="F415" s="1267">
        <f>F414/F329</f>
        <v/>
      </c>
      <c r="G415" s="1267">
        <f>G414/G329</f>
        <v/>
      </c>
      <c r="H415" s="676">
        <f>H414/H329</f>
        <v/>
      </c>
      <c r="I415" s="676">
        <f>I414/I329</f>
        <v/>
      </c>
      <c r="J415" s="676">
        <f>J414/J329</f>
        <v/>
      </c>
      <c r="K415" s="676">
        <f>K414/K329</f>
        <v/>
      </c>
      <c r="L415" s="1267">
        <f>L414/L329</f>
        <v/>
      </c>
      <c r="M415" s="676">
        <f>M414/M329</f>
        <v/>
      </c>
      <c r="N415" s="676">
        <f>N414/N329</f>
        <v/>
      </c>
      <c r="O415" s="676">
        <f>O414/O329</f>
        <v/>
      </c>
      <c r="P415" s="676">
        <f>P414/P329</f>
        <v/>
      </c>
      <c r="Q415" s="1267">
        <f>Q414/Q329</f>
        <v/>
      </c>
      <c r="R415" s="676">
        <f>R414/R329</f>
        <v/>
      </c>
      <c r="S415" s="676">
        <f>S414/S329</f>
        <v/>
      </c>
      <c r="T415" s="676">
        <f>T414/T329</f>
        <v/>
      </c>
      <c r="U415" s="676">
        <f>U414/U329</f>
        <v/>
      </c>
      <c r="V415" s="1267">
        <f>V414/V329</f>
        <v/>
      </c>
      <c r="W415" s="676">
        <f>W414/W329</f>
        <v/>
      </c>
      <c r="X415" s="676">
        <f>X414/X329</f>
        <v/>
      </c>
      <c r="Y415" s="676">
        <f>Y414/Y329</f>
        <v/>
      </c>
      <c r="Z415" s="676">
        <f>Z414/Z329</f>
        <v/>
      </c>
      <c r="AA415" s="1267">
        <f>AA414/AA329</f>
        <v/>
      </c>
      <c r="AB415" s="676">
        <f>AB414/AB329</f>
        <v/>
      </c>
      <c r="AC415" s="676">
        <f>AC414/AC329</f>
        <v/>
      </c>
      <c r="AD415" s="676">
        <f>AD414/AD329</f>
        <v/>
      </c>
      <c r="AE415" s="676">
        <f>AE414/AE329</f>
        <v/>
      </c>
      <c r="AF415" s="1267">
        <f>AF414/AF329</f>
        <v/>
      </c>
      <c r="AG415" s="676">
        <f>AG414/AG329</f>
        <v/>
      </c>
      <c r="AH415" s="676">
        <f>AH414/AH329</f>
        <v/>
      </c>
      <c r="AI415" s="676">
        <f>AI414/AI329</f>
        <v/>
      </c>
      <c r="AJ415" s="676">
        <f>AJ414/AJ329</f>
        <v/>
      </c>
      <c r="AK415" s="1267">
        <f>AK414/AK329</f>
        <v/>
      </c>
      <c r="AL415" s="676">
        <f>AL414/AL329</f>
        <v/>
      </c>
      <c r="AM415" s="676">
        <f>AM414/AM329</f>
        <v/>
      </c>
      <c r="AN415" s="676">
        <f>AN414/AN329</f>
        <v/>
      </c>
      <c r="AO415" s="676">
        <f>AO414/AO329</f>
        <v/>
      </c>
      <c r="AP415" s="1267">
        <f>AP414/AP329</f>
        <v/>
      </c>
      <c r="AQ415" s="676">
        <f>AQ414/AQ329</f>
        <v/>
      </c>
      <c r="AR415" s="676">
        <f>AR414/AR329</f>
        <v/>
      </c>
      <c r="AS415" s="676">
        <f>AS414/AS329</f>
        <v/>
      </c>
      <c r="AT415" s="676">
        <f>AT414/AT329</f>
        <v/>
      </c>
      <c r="AU415" s="1267">
        <f>AU414/AU329</f>
        <v/>
      </c>
      <c r="AV415" s="676">
        <f>AV414/AV329</f>
        <v/>
      </c>
      <c r="AW415" s="676">
        <f>AW414/AW329</f>
        <v/>
      </c>
      <c r="AX415" s="676">
        <f>AX414/AX329</f>
        <v/>
      </c>
      <c r="AY415" s="676">
        <f>AY414/AY329</f>
        <v/>
      </c>
      <c r="AZ415" s="1267">
        <f>AZ414/AZ329</f>
        <v/>
      </c>
      <c r="BA415" s="676">
        <f>BA414/BA329</f>
        <v/>
      </c>
      <c r="BB415" s="676">
        <f>BB414/BB329</f>
        <v/>
      </c>
      <c r="BC415" s="676">
        <f>BC414/BC329</f>
        <v/>
      </c>
      <c r="BD415" s="676">
        <f>BD414/BD329</f>
        <v/>
      </c>
      <c r="BE415" s="1267">
        <f>BE414/BE329</f>
        <v/>
      </c>
      <c r="BF415" s="676">
        <f>BF414/BF329</f>
        <v/>
      </c>
      <c r="BG415" s="676">
        <f>BG414/BG329</f>
        <v/>
      </c>
      <c r="BH415" s="676">
        <f>BH414/BH329</f>
        <v/>
      </c>
      <c r="BI415" s="676">
        <f>BI414/BI329</f>
        <v/>
      </c>
      <c r="BJ415" s="1267">
        <f>BJ414/BJ329</f>
        <v/>
      </c>
      <c r="BK415" s="676">
        <f>BK414/BK329</f>
        <v/>
      </c>
      <c r="BL415" s="676">
        <f>BL414/BL329</f>
        <v/>
      </c>
      <c r="BM415" s="676">
        <f>BM414/BM329</f>
        <v/>
      </c>
      <c r="BN415" s="676">
        <f>BN414/BN329</f>
        <v/>
      </c>
      <c r="BO415" s="1266">
        <f>BO414/BO329</f>
        <v/>
      </c>
      <c r="BP415" s="1166" t="n">
        <v>0.003</v>
      </c>
      <c r="BQ415" s="1166" t="n">
        <v>0.003</v>
      </c>
      <c r="BR415" s="1166" t="n">
        <v>0.003</v>
      </c>
      <c r="BS415" s="1166" t="n">
        <v>0.003</v>
      </c>
      <c r="BT415" s="1267">
        <f>BT414/BT329</f>
        <v/>
      </c>
      <c r="BU415" s="1166" t="n">
        <v>0.003</v>
      </c>
      <c r="BV415" s="1166" t="n">
        <v>0.003</v>
      </c>
      <c r="BW415" s="1166" t="n">
        <v>0.003</v>
      </c>
      <c r="BX415" s="1166" t="n">
        <v>0.003</v>
      </c>
      <c r="BY415" s="1267">
        <f>BY414/BY329</f>
        <v/>
      </c>
      <c r="BZ415" s="1413" t="n">
        <v>0.003</v>
      </c>
      <c r="CA415" s="1413" t="n">
        <v>0.003</v>
      </c>
      <c r="CB415" s="1413" t="n">
        <v>0.003</v>
      </c>
      <c r="CC415" s="715" t="n"/>
    </row>
    <row r="416" ht="15" customFormat="1" customHeight="1" s="1561">
      <c r="A416" s="1828" t="n"/>
      <c r="B416" s="1705" t="n"/>
      <c r="C416" s="1637" t="n"/>
      <c r="D416" s="1637" t="n"/>
      <c r="E416" s="1637" t="n"/>
      <c r="F416" s="1637" t="n"/>
      <c r="G416" s="1637" t="n"/>
      <c r="H416" s="1562" t="n"/>
      <c r="I416" s="1562" t="n"/>
      <c r="J416" s="1562" t="n"/>
      <c r="K416" s="1562" t="n"/>
      <c r="L416" s="1637" t="n"/>
      <c r="M416" s="1562" t="n"/>
      <c r="N416" s="1562" t="n"/>
      <c r="O416" s="1562" t="n"/>
      <c r="P416" s="1562" t="n"/>
      <c r="Q416" s="1637" t="n"/>
      <c r="R416" s="1562" t="n"/>
      <c r="S416" s="1562" t="n"/>
      <c r="T416" s="1562" t="n"/>
      <c r="U416" s="1562" t="n"/>
      <c r="V416" s="1637" t="n"/>
      <c r="W416" s="1562" t="n"/>
      <c r="X416" s="1562" t="n"/>
      <c r="Y416" s="1562" t="n"/>
      <c r="Z416" s="1562" t="n"/>
      <c r="AA416" s="1637" t="n"/>
      <c r="AB416" s="1562" t="n"/>
      <c r="AC416" s="1562" t="n"/>
      <c r="AD416" s="1562" t="n"/>
      <c r="AE416" s="1562" t="n"/>
      <c r="AF416" s="1637" t="n"/>
      <c r="AG416" s="1562" t="n"/>
      <c r="AH416" s="1562" t="n"/>
      <c r="AI416" s="1562" t="n"/>
      <c r="AJ416" s="1562" t="n"/>
      <c r="AK416" s="1637" t="n"/>
      <c r="AL416" s="1562" t="n"/>
      <c r="AM416" s="1562" t="n"/>
      <c r="AN416" s="1562" t="n"/>
      <c r="AO416" s="1562" t="n"/>
      <c r="AP416" s="1637" t="n"/>
      <c r="AQ416" s="1562" t="n"/>
      <c r="AR416" s="1562" t="n"/>
      <c r="AS416" s="1562" t="n"/>
      <c r="AT416" s="1562" t="n"/>
      <c r="AU416" s="1637" t="n"/>
      <c r="AV416" s="1562" t="n"/>
      <c r="AW416" s="1562" t="n"/>
      <c r="AX416" s="1562" t="n"/>
      <c r="AY416" s="1562" t="n"/>
      <c r="AZ416" s="1637" t="n"/>
      <c r="BA416" s="1562" t="n"/>
      <c r="BB416" s="1562" t="n"/>
      <c r="BC416" s="1562" t="n"/>
      <c r="BD416" s="1562" t="n"/>
      <c r="BE416" s="1637" t="n"/>
      <c r="BF416" s="1562" t="n"/>
      <c r="BG416" s="1562" t="n"/>
      <c r="BH416" s="1562" t="n"/>
      <c r="BI416" s="1562" t="n"/>
      <c r="BJ416" s="1637" t="n"/>
      <c r="BK416" s="1562" t="n"/>
      <c r="BL416" s="1562" t="n"/>
      <c r="BM416" s="1562" t="n"/>
      <c r="BN416" s="1562" t="n"/>
      <c r="BO416" s="1638" t="n"/>
      <c r="BP416" s="1562" t="n"/>
      <c r="BQ416" s="1562" t="n"/>
      <c r="BR416" s="1562" t="n"/>
      <c r="BS416" s="1562" t="n"/>
      <c r="BT416" s="1637" t="n"/>
      <c r="BU416" s="1562" t="n"/>
      <c r="BV416" s="1562" t="n"/>
      <c r="BW416" s="1562" t="n"/>
      <c r="BX416" s="1562" t="n"/>
      <c r="BY416" s="1637" t="n"/>
      <c r="BZ416" s="1637" t="n"/>
      <c r="CA416" s="1637" t="n"/>
      <c r="CB416" s="1637" t="n"/>
      <c r="CC416" s="1564" t="n"/>
    </row>
    <row r="417" hidden="1" outlineLevel="1" ht="15" customFormat="1" customHeight="1" s="1561">
      <c r="A417" s="1562" t="inlineStr">
        <is>
          <t>FCF (before WC), Pre Div</t>
        </is>
      </c>
      <c r="B417" s="1705" t="n"/>
      <c r="C417" s="1637">
        <f>C397+C403</f>
        <v/>
      </c>
      <c r="D417" s="1637">
        <f>D397+D403</f>
        <v/>
      </c>
      <c r="E417" s="1637">
        <f>E397+E403</f>
        <v/>
      </c>
      <c r="F417" s="1637">
        <f>F397+F403</f>
        <v/>
      </c>
      <c r="G417" s="1637">
        <f>G397+G403</f>
        <v/>
      </c>
      <c r="H417" s="1562">
        <f>H397+H403</f>
        <v/>
      </c>
      <c r="I417" s="1562">
        <f>I397+I403</f>
        <v/>
      </c>
      <c r="J417" s="1562">
        <f>J397+J403</f>
        <v/>
      </c>
      <c r="K417" s="1562">
        <f>K397+K403</f>
        <v/>
      </c>
      <c r="L417" s="1637">
        <f>L397+L403</f>
        <v/>
      </c>
      <c r="M417" s="1562">
        <f>M397+M403</f>
        <v/>
      </c>
      <c r="N417" s="1562">
        <f>N397+N403</f>
        <v/>
      </c>
      <c r="O417" s="1562">
        <f>O397+O403</f>
        <v/>
      </c>
      <c r="P417" s="1562">
        <f>P397+P403</f>
        <v/>
      </c>
      <c r="Q417" s="1637">
        <f>Q397+Q403</f>
        <v/>
      </c>
      <c r="R417" s="1562">
        <f>R397+R403</f>
        <v/>
      </c>
      <c r="S417" s="1562">
        <f>S397+S403</f>
        <v/>
      </c>
      <c r="T417" s="1562">
        <f>T397+T403</f>
        <v/>
      </c>
      <c r="U417" s="1562">
        <f>U397+U403</f>
        <v/>
      </c>
      <c r="V417" s="1637">
        <f>V397+V403</f>
        <v/>
      </c>
      <c r="W417" s="1562">
        <f>W397+W403</f>
        <v/>
      </c>
      <c r="X417" s="1562">
        <f>X397+X403</f>
        <v/>
      </c>
      <c r="Y417" s="1562">
        <f>Y397+Y403</f>
        <v/>
      </c>
      <c r="Z417" s="1562">
        <f>Z397+Z403</f>
        <v/>
      </c>
      <c r="AA417" s="1637">
        <f>AA397+AA403</f>
        <v/>
      </c>
      <c r="AB417" s="1562">
        <f>AB397+AB403</f>
        <v/>
      </c>
      <c r="AC417" s="1562">
        <f>AC397+AC403</f>
        <v/>
      </c>
      <c r="AD417" s="1562">
        <f>AD397+AD403</f>
        <v/>
      </c>
      <c r="AE417" s="1562">
        <f>AE397+AE403</f>
        <v/>
      </c>
      <c r="AF417" s="1637">
        <f>AF397+AF403</f>
        <v/>
      </c>
      <c r="AG417" s="1562">
        <f>AG397+AG403</f>
        <v/>
      </c>
      <c r="AH417" s="1562">
        <f>AH397+AH403</f>
        <v/>
      </c>
      <c r="AI417" s="1562">
        <f>AI397+AI403</f>
        <v/>
      </c>
      <c r="AJ417" s="1562">
        <f>AJ397+AJ403</f>
        <v/>
      </c>
      <c r="AK417" s="1637">
        <f>AK397+AK403</f>
        <v/>
      </c>
      <c r="AL417" s="1562">
        <f>AL397+AL403</f>
        <v/>
      </c>
      <c r="AM417" s="1562">
        <f>AM397+AM403</f>
        <v/>
      </c>
      <c r="AN417" s="1562">
        <f>AN397+AN403</f>
        <v/>
      </c>
      <c r="AO417" s="1562">
        <f>AO397+AO403</f>
        <v/>
      </c>
      <c r="AP417" s="1637">
        <f>AP397+AP403</f>
        <v/>
      </c>
      <c r="AQ417" s="1562">
        <f>AQ397+AQ403</f>
        <v/>
      </c>
      <c r="AR417" s="1562">
        <f>AR397+AR403</f>
        <v/>
      </c>
      <c r="AS417" s="1562">
        <f>AS397+AS403</f>
        <v/>
      </c>
      <c r="AT417" s="1562">
        <f>AT397+AT403</f>
        <v/>
      </c>
      <c r="AU417" s="1637">
        <f>AU397+AU403</f>
        <v/>
      </c>
      <c r="AV417" s="1562">
        <f>AV397+AV403</f>
        <v/>
      </c>
      <c r="AW417" s="1562">
        <f>AW397+AW403</f>
        <v/>
      </c>
      <c r="AX417" s="1562">
        <f>AX397+AX403</f>
        <v/>
      </c>
      <c r="AY417" s="1562">
        <f>AY397+AY403</f>
        <v/>
      </c>
      <c r="AZ417" s="1637">
        <f>AZ397+AZ403</f>
        <v/>
      </c>
      <c r="BA417" s="1562">
        <f>BA397+BA403</f>
        <v/>
      </c>
      <c r="BB417" s="1562">
        <f>BB397+BB403</f>
        <v/>
      </c>
      <c r="BC417" s="1562">
        <f>BC397+BC403</f>
        <v/>
      </c>
      <c r="BD417" s="1562">
        <f>BD397+BD403</f>
        <v/>
      </c>
      <c r="BE417" s="1637">
        <f>BE397+BE403</f>
        <v/>
      </c>
      <c r="BF417" s="1562">
        <f>BF397+BF403</f>
        <v/>
      </c>
      <c r="BG417" s="1562">
        <f>BG397+BG403</f>
        <v/>
      </c>
      <c r="BH417" s="1562">
        <f>BH397+BH403</f>
        <v/>
      </c>
      <c r="BI417" s="1562">
        <f>BI397+BI403</f>
        <v/>
      </c>
      <c r="BJ417" s="1637">
        <f>BJ397+BJ403</f>
        <v/>
      </c>
      <c r="BK417" s="1562">
        <f>BK397+BK403</f>
        <v/>
      </c>
      <c r="BL417" s="1562">
        <f>BL397+BL403</f>
        <v/>
      </c>
      <c r="BM417" s="1562">
        <f>BM397+BM403</f>
        <v/>
      </c>
      <c r="BN417" s="1562">
        <f>BN397+BN403</f>
        <v/>
      </c>
      <c r="BO417" s="1638">
        <f>BO397+BO403</f>
        <v/>
      </c>
      <c r="BP417" s="1562">
        <f>BP397+BP403</f>
        <v/>
      </c>
      <c r="BQ417" s="1562">
        <f>BQ397+BQ403</f>
        <v/>
      </c>
      <c r="BR417" s="1562">
        <f>BR397+BR403</f>
        <v/>
      </c>
      <c r="BS417" s="1562">
        <f>BS397+BS403</f>
        <v/>
      </c>
      <c r="BT417" s="1637">
        <f>BT397+BT403</f>
        <v/>
      </c>
      <c r="BU417" s="1562">
        <f>BU397+BU403</f>
        <v/>
      </c>
      <c r="BV417" s="1562">
        <f>BV397+BV403</f>
        <v/>
      </c>
      <c r="BW417" s="1562">
        <f>BW397+BW403</f>
        <v/>
      </c>
      <c r="BX417" s="1562">
        <f>BX397+BX403</f>
        <v/>
      </c>
      <c r="BY417" s="1637">
        <f>BY397+BY403</f>
        <v/>
      </c>
      <c r="BZ417" s="1637">
        <f>BZ397+BZ403</f>
        <v/>
      </c>
      <c r="CA417" s="1637">
        <f>CA397+CA403</f>
        <v/>
      </c>
      <c r="CB417" s="1637">
        <f>CB397+CB403</f>
        <v/>
      </c>
      <c r="CC417" s="1562" t="n"/>
    </row>
    <row r="418" hidden="1" outlineLevel="1" ht="15" customFormat="1" customHeight="1" s="1561">
      <c r="A418" s="1562" t="inlineStr">
        <is>
          <t>FCF (before WC), Post Div, Pre A/D</t>
        </is>
      </c>
      <c r="B418" s="1705" t="n"/>
      <c r="C418" s="1637">
        <f>C417+C407</f>
        <v/>
      </c>
      <c r="D418" s="1637">
        <f>D417+D407</f>
        <v/>
      </c>
      <c r="E418" s="1637">
        <f>E417+E407</f>
        <v/>
      </c>
      <c r="F418" s="1637">
        <f>F417+F407</f>
        <v/>
      </c>
      <c r="G418" s="1637">
        <f>G417+G407</f>
        <v/>
      </c>
      <c r="H418" s="1562">
        <f>H417+H407</f>
        <v/>
      </c>
      <c r="I418" s="1562">
        <f>I417+I407</f>
        <v/>
      </c>
      <c r="J418" s="1562">
        <f>J417+J407</f>
        <v/>
      </c>
      <c r="K418" s="1562">
        <f>K417+K407</f>
        <v/>
      </c>
      <c r="L418" s="1637">
        <f>L417+L407</f>
        <v/>
      </c>
      <c r="M418" s="1562">
        <f>M417+M407</f>
        <v/>
      </c>
      <c r="N418" s="1562">
        <f>N417+N407</f>
        <v/>
      </c>
      <c r="O418" s="1562">
        <f>O417+O407</f>
        <v/>
      </c>
      <c r="P418" s="1562">
        <f>P417+P407</f>
        <v/>
      </c>
      <c r="Q418" s="1637">
        <f>Q417+Q407</f>
        <v/>
      </c>
      <c r="R418" s="1562">
        <f>R417+R407</f>
        <v/>
      </c>
      <c r="S418" s="1562">
        <f>S417+S407</f>
        <v/>
      </c>
      <c r="T418" s="1562">
        <f>T417+T407</f>
        <v/>
      </c>
      <c r="U418" s="1562">
        <f>U417+U407</f>
        <v/>
      </c>
      <c r="V418" s="1637">
        <f>V417+V407</f>
        <v/>
      </c>
      <c r="W418" s="1562">
        <f>W417+W407</f>
        <v/>
      </c>
      <c r="X418" s="1562">
        <f>X417+X407</f>
        <v/>
      </c>
      <c r="Y418" s="1562">
        <f>Y417+Y407</f>
        <v/>
      </c>
      <c r="Z418" s="1562">
        <f>Z417+Z407</f>
        <v/>
      </c>
      <c r="AA418" s="1637">
        <f>AA417+AA407</f>
        <v/>
      </c>
      <c r="AB418" s="1562">
        <f>AB417+AB407</f>
        <v/>
      </c>
      <c r="AC418" s="1562">
        <f>AC417+AC407</f>
        <v/>
      </c>
      <c r="AD418" s="1562">
        <f>AD417+AD407</f>
        <v/>
      </c>
      <c r="AE418" s="1562">
        <f>AE417+AE407</f>
        <v/>
      </c>
      <c r="AF418" s="1637">
        <f>AF417+AF407</f>
        <v/>
      </c>
      <c r="AG418" s="1562">
        <f>AG417+AG407</f>
        <v/>
      </c>
      <c r="AH418" s="1562">
        <f>AH417+AH407</f>
        <v/>
      </c>
      <c r="AI418" s="1562">
        <f>AI417+AI407</f>
        <v/>
      </c>
      <c r="AJ418" s="1562">
        <f>AJ417+AJ407</f>
        <v/>
      </c>
      <c r="AK418" s="1637">
        <f>AK417+AK407</f>
        <v/>
      </c>
      <c r="AL418" s="1562">
        <f>AL417+AL407</f>
        <v/>
      </c>
      <c r="AM418" s="1562">
        <f>AM417+AM407</f>
        <v/>
      </c>
      <c r="AN418" s="1562">
        <f>AN417+AN407</f>
        <v/>
      </c>
      <c r="AO418" s="1562">
        <f>AO417+AO407</f>
        <v/>
      </c>
      <c r="AP418" s="1637">
        <f>AP417+AP407</f>
        <v/>
      </c>
      <c r="AQ418" s="1562">
        <f>AQ417+AQ407</f>
        <v/>
      </c>
      <c r="AR418" s="1562">
        <f>AR417+AR407</f>
        <v/>
      </c>
      <c r="AS418" s="1562">
        <f>AS417+AS407</f>
        <v/>
      </c>
      <c r="AT418" s="1562">
        <f>AT417+AT407</f>
        <v/>
      </c>
      <c r="AU418" s="1637">
        <f>AU417+AU407</f>
        <v/>
      </c>
      <c r="AV418" s="1562">
        <f>AV417+AV407</f>
        <v/>
      </c>
      <c r="AW418" s="1562">
        <f>AW417+AW407</f>
        <v/>
      </c>
      <c r="AX418" s="1562">
        <f>AX417+AX407</f>
        <v/>
      </c>
      <c r="AY418" s="1562">
        <f>AY417+AY407</f>
        <v/>
      </c>
      <c r="AZ418" s="1637">
        <f>AZ417+AZ407</f>
        <v/>
      </c>
      <c r="BA418" s="1562">
        <f>BA417+BA407</f>
        <v/>
      </c>
      <c r="BB418" s="1562">
        <f>BB417+BB407</f>
        <v/>
      </c>
      <c r="BC418" s="1562">
        <f>BC417+BC407</f>
        <v/>
      </c>
      <c r="BD418" s="1562">
        <f>BD417+BD407</f>
        <v/>
      </c>
      <c r="BE418" s="1637">
        <f>BE417+BE407</f>
        <v/>
      </c>
      <c r="BF418" s="1562">
        <f>BF417+BF407</f>
        <v/>
      </c>
      <c r="BG418" s="1562">
        <f>BG417+BG407</f>
        <v/>
      </c>
      <c r="BH418" s="1562">
        <f>BH417+BH407</f>
        <v/>
      </c>
      <c r="BI418" s="1562">
        <f>BI417+BI407</f>
        <v/>
      </c>
      <c r="BJ418" s="1637">
        <f>BJ417+BJ407</f>
        <v/>
      </c>
      <c r="BK418" s="1562">
        <f>BK417+BK407</f>
        <v/>
      </c>
      <c r="BL418" s="1562">
        <f>BL417+BL407</f>
        <v/>
      </c>
      <c r="BM418" s="1562">
        <f>BM417+BM407</f>
        <v/>
      </c>
      <c r="BN418" s="1562">
        <f>BN417+BN407</f>
        <v/>
      </c>
      <c r="BO418" s="1638">
        <f>BO417+BO407</f>
        <v/>
      </c>
      <c r="BP418" s="1562">
        <f>BP417+BP407</f>
        <v/>
      </c>
      <c r="BQ418" s="1562">
        <f>BQ417+BQ407</f>
        <v/>
      </c>
      <c r="BR418" s="1562">
        <f>BR417+BR407</f>
        <v/>
      </c>
      <c r="BS418" s="1562">
        <f>BS417+BS407</f>
        <v/>
      </c>
      <c r="BT418" s="1637">
        <f>BT417+BT407</f>
        <v/>
      </c>
      <c r="BU418" s="1562">
        <f>BU417+BU407</f>
        <v/>
      </c>
      <c r="BV418" s="1562">
        <f>BV417+BV407</f>
        <v/>
      </c>
      <c r="BW418" s="1562">
        <f>BW417+BW407</f>
        <v/>
      </c>
      <c r="BX418" s="1562">
        <f>BX417+BX407</f>
        <v/>
      </c>
      <c r="BY418" s="1637">
        <f>BY417+BY407</f>
        <v/>
      </c>
      <c r="BZ418" s="1637">
        <f>BZ417+BZ407</f>
        <v/>
      </c>
      <c r="CA418" s="1637">
        <f>CA417+CA407</f>
        <v/>
      </c>
      <c r="CB418" s="1637">
        <f>CB417+CB407</f>
        <v/>
      </c>
      <c r="CC418" s="1562" t="n"/>
    </row>
    <row r="419" hidden="1" outlineLevel="1" ht="15" customFormat="1" customHeight="1" s="1561">
      <c r="A419" s="1562" t="inlineStr">
        <is>
          <t>FCF (before WC), Post Div, Post A/D</t>
        </is>
      </c>
      <c r="B419" s="1705" t="n"/>
      <c r="C419" s="1637">
        <f>C418+C405+C406</f>
        <v/>
      </c>
      <c r="D419" s="1637">
        <f>D418+D405+D406</f>
        <v/>
      </c>
      <c r="E419" s="1637">
        <f>E418+E405+E406</f>
        <v/>
      </c>
      <c r="F419" s="1637">
        <f>F418+F405+F406</f>
        <v/>
      </c>
      <c r="G419" s="1637">
        <f>G418+G405+G406</f>
        <v/>
      </c>
      <c r="H419" s="1562">
        <f>H418+H405+H406</f>
        <v/>
      </c>
      <c r="I419" s="1562">
        <f>I418+I405+I406</f>
        <v/>
      </c>
      <c r="J419" s="1562">
        <f>J418+J405+J406</f>
        <v/>
      </c>
      <c r="K419" s="1562">
        <f>K418+K405+K406</f>
        <v/>
      </c>
      <c r="L419" s="1637">
        <f>L418+L405+L406</f>
        <v/>
      </c>
      <c r="M419" s="1562">
        <f>M418+M405+M406</f>
        <v/>
      </c>
      <c r="N419" s="1562">
        <f>N418+N405+N406</f>
        <v/>
      </c>
      <c r="O419" s="1562">
        <f>O418+O405+O406</f>
        <v/>
      </c>
      <c r="P419" s="1562">
        <f>P418+P405+P406</f>
        <v/>
      </c>
      <c r="Q419" s="1637">
        <f>Q418+Q405+Q406</f>
        <v/>
      </c>
      <c r="R419" s="1562">
        <f>R418+R405+R406</f>
        <v/>
      </c>
      <c r="S419" s="1562">
        <f>S418+S405+S406</f>
        <v/>
      </c>
      <c r="T419" s="1562">
        <f>T418+T405+T406</f>
        <v/>
      </c>
      <c r="U419" s="1562">
        <f>U418+U405+U406</f>
        <v/>
      </c>
      <c r="V419" s="1637">
        <f>V418+V405+V406</f>
        <v/>
      </c>
      <c r="W419" s="1562">
        <f>W418+W405+W406</f>
        <v/>
      </c>
      <c r="X419" s="1562">
        <f>X418+X405+X406</f>
        <v/>
      </c>
      <c r="Y419" s="1562">
        <f>Y418+Y405+Y406</f>
        <v/>
      </c>
      <c r="Z419" s="1562">
        <f>Z418+Z405+Z406</f>
        <v/>
      </c>
      <c r="AA419" s="1637">
        <f>AA418+AA405+AA406</f>
        <v/>
      </c>
      <c r="AB419" s="1562">
        <f>AB418+AB405+AB406</f>
        <v/>
      </c>
      <c r="AC419" s="1562">
        <f>AC418+AC405+AC406</f>
        <v/>
      </c>
      <c r="AD419" s="1562">
        <f>AD418+AD405+AD406</f>
        <v/>
      </c>
      <c r="AE419" s="1562">
        <f>AE418+AE405+AE406</f>
        <v/>
      </c>
      <c r="AF419" s="1637">
        <f>AF418+AF405+AF406</f>
        <v/>
      </c>
      <c r="AG419" s="1562">
        <f>AG418+AG405+AG406</f>
        <v/>
      </c>
      <c r="AH419" s="1562">
        <f>AH418+AH405+AH406</f>
        <v/>
      </c>
      <c r="AI419" s="1562">
        <f>AI418+AI405+AI406</f>
        <v/>
      </c>
      <c r="AJ419" s="1562">
        <f>AJ418+AJ405+AJ406</f>
        <v/>
      </c>
      <c r="AK419" s="1637">
        <f>AK418+AK405+AK406</f>
        <v/>
      </c>
      <c r="AL419" s="1562">
        <f>AL418+AL405+AL406</f>
        <v/>
      </c>
      <c r="AM419" s="1562">
        <f>AM418+AM405+AM406</f>
        <v/>
      </c>
      <c r="AN419" s="1562">
        <f>AN418+AN405+AN406</f>
        <v/>
      </c>
      <c r="AO419" s="1562">
        <f>AO418+AO405+AO406</f>
        <v/>
      </c>
      <c r="AP419" s="1637">
        <f>AP418+AP405+AP406</f>
        <v/>
      </c>
      <c r="AQ419" s="1562">
        <f>AQ418+AQ405+AQ406</f>
        <v/>
      </c>
      <c r="AR419" s="1562">
        <f>AR418+AR405+AR406</f>
        <v/>
      </c>
      <c r="AS419" s="1562">
        <f>AS418+AS405+AS406</f>
        <v/>
      </c>
      <c r="AT419" s="1562">
        <f>AT418+AT405+AT406</f>
        <v/>
      </c>
      <c r="AU419" s="1637">
        <f>AU418+AU405+AU406</f>
        <v/>
      </c>
      <c r="AV419" s="1562">
        <f>AV418+AV405+AV406</f>
        <v/>
      </c>
      <c r="AW419" s="1562">
        <f>AW418+AW405+AW406</f>
        <v/>
      </c>
      <c r="AX419" s="1562">
        <f>AX418+AX405+AX406</f>
        <v/>
      </c>
      <c r="AY419" s="1562">
        <f>AY418+AY405+AY406</f>
        <v/>
      </c>
      <c r="AZ419" s="1637">
        <f>AZ418+AZ405+AZ406</f>
        <v/>
      </c>
      <c r="BA419" s="1562">
        <f>BA418+BA405+BA406</f>
        <v/>
      </c>
      <c r="BB419" s="1562">
        <f>BB418+BB405+BB406</f>
        <v/>
      </c>
      <c r="BC419" s="1562">
        <f>BC418+BC405+BC406</f>
        <v/>
      </c>
      <c r="BD419" s="1562">
        <f>BD418+BD405+BD406</f>
        <v/>
      </c>
      <c r="BE419" s="1637">
        <f>BE418+BE405+BE406</f>
        <v/>
      </c>
      <c r="BF419" s="1562">
        <f>BF418+BF405+BF406</f>
        <v/>
      </c>
      <c r="BG419" s="1562">
        <f>BG418+BG405+BG406</f>
        <v/>
      </c>
      <c r="BH419" s="1562">
        <f>BH418+BH405+BH406</f>
        <v/>
      </c>
      <c r="BI419" s="1562">
        <f>BI418+BI405+BI406</f>
        <v/>
      </c>
      <c r="BJ419" s="1637">
        <f>BJ418+BJ405+BJ406</f>
        <v/>
      </c>
      <c r="BK419" s="1562">
        <f>BK418+BK405+BK406</f>
        <v/>
      </c>
      <c r="BL419" s="1562">
        <f>BL418+BL405+BL406</f>
        <v/>
      </c>
      <c r="BM419" s="1562">
        <f>BM418+BM405+BM406</f>
        <v/>
      </c>
      <c r="BN419" s="1562">
        <f>BN418+BN405+BN406</f>
        <v/>
      </c>
      <c r="BO419" s="1638">
        <f>BO418+BO405+BO406</f>
        <v/>
      </c>
      <c r="BP419" s="1562">
        <f>BP418+BP405+BP406</f>
        <v/>
      </c>
      <c r="BQ419" s="1562">
        <f>BQ418+BQ405+BQ406</f>
        <v/>
      </c>
      <c r="BR419" s="1562">
        <f>BR418+BR405+BR406</f>
        <v/>
      </c>
      <c r="BS419" s="1562">
        <f>BS418+BS405+BS406</f>
        <v/>
      </c>
      <c r="BT419" s="1637">
        <f>BT418+BT405+BT406</f>
        <v/>
      </c>
      <c r="BU419" s="1562">
        <f>BU418+BU405+BU406</f>
        <v/>
      </c>
      <c r="BV419" s="1562">
        <f>BV418+BV405+BV406</f>
        <v/>
      </c>
      <c r="BW419" s="1562">
        <f>BW418+BW405+BW406</f>
        <v/>
      </c>
      <c r="BX419" s="1562">
        <f>BX418+BX405+BX406</f>
        <v/>
      </c>
      <c r="BY419" s="1637">
        <f>BY418+BY405+BY406</f>
        <v/>
      </c>
      <c r="BZ419" s="1637">
        <f>BZ418+BZ405+BZ406</f>
        <v/>
      </c>
      <c r="CA419" s="1637">
        <f>CA418+CA405+CA406</f>
        <v/>
      </c>
      <c r="CB419" s="1637">
        <f>CB418+CB405+CB406</f>
        <v/>
      </c>
      <c r="CC419" s="1562" t="n"/>
    </row>
    <row r="420" hidden="1" outlineLevel="1" ht="15" customFormat="1" customHeight="1" s="1561">
      <c r="A420" s="1719" t="inlineStr">
        <is>
          <t>FCF (before WC), Post Div, Debt, Buyback, A/D</t>
        </is>
      </c>
      <c r="B420" s="1717" t="n"/>
      <c r="C420" s="1718">
        <f>C419+C410+C411</f>
        <v/>
      </c>
      <c r="D420" s="1718">
        <f>D419+D410+D411</f>
        <v/>
      </c>
      <c r="E420" s="1718">
        <f>E419+E410+E411</f>
        <v/>
      </c>
      <c r="F420" s="1718">
        <f>F419+F410+F411</f>
        <v/>
      </c>
      <c r="G420" s="1718">
        <f>G419+G410+G411</f>
        <v/>
      </c>
      <c r="H420" s="1719">
        <f>H419+H410+H411</f>
        <v/>
      </c>
      <c r="I420" s="1719">
        <f>I419+I410+I411</f>
        <v/>
      </c>
      <c r="J420" s="1719">
        <f>J419+J410+J411</f>
        <v/>
      </c>
      <c r="K420" s="1719">
        <f>K419+K410+K411</f>
        <v/>
      </c>
      <c r="L420" s="1718">
        <f>L419+L410+L411</f>
        <v/>
      </c>
      <c r="M420" s="1719">
        <f>M419+M410+M411</f>
        <v/>
      </c>
      <c r="N420" s="1719">
        <f>N419+N410+N411</f>
        <v/>
      </c>
      <c r="O420" s="1719">
        <f>O419+O410+O411</f>
        <v/>
      </c>
      <c r="P420" s="1719">
        <f>P419+P410+P411</f>
        <v/>
      </c>
      <c r="Q420" s="1718">
        <f>Q419+Q410+Q411</f>
        <v/>
      </c>
      <c r="R420" s="1719">
        <f>R419+R410+R411</f>
        <v/>
      </c>
      <c r="S420" s="1719">
        <f>S419+S410+S411</f>
        <v/>
      </c>
      <c r="T420" s="1719">
        <f>T419+T410+T411</f>
        <v/>
      </c>
      <c r="U420" s="1719">
        <f>U419+U410+U411</f>
        <v/>
      </c>
      <c r="V420" s="1718">
        <f>V419+V410+V411</f>
        <v/>
      </c>
      <c r="W420" s="1719">
        <f>W419+W410+W411</f>
        <v/>
      </c>
      <c r="X420" s="1719">
        <f>X419+X410+X411</f>
        <v/>
      </c>
      <c r="Y420" s="1719">
        <f>Y419+Y410+Y411</f>
        <v/>
      </c>
      <c r="Z420" s="1719">
        <f>Z419+Z410+Z411</f>
        <v/>
      </c>
      <c r="AA420" s="1718">
        <f>AA419+AA410+AA411</f>
        <v/>
      </c>
      <c r="AB420" s="1719">
        <f>AB419+AB410+AB411</f>
        <v/>
      </c>
      <c r="AC420" s="1719">
        <f>AC419+AC410+AC411</f>
        <v/>
      </c>
      <c r="AD420" s="1719">
        <f>AD419+AD410+AD411</f>
        <v/>
      </c>
      <c r="AE420" s="1719">
        <f>AE419+AE410+AE411</f>
        <v/>
      </c>
      <c r="AF420" s="1718">
        <f>AF419+AF410+AF411</f>
        <v/>
      </c>
      <c r="AG420" s="1719">
        <f>AG419+AG410+AG411</f>
        <v/>
      </c>
      <c r="AH420" s="1719">
        <f>AH419+AH410+AH411</f>
        <v/>
      </c>
      <c r="AI420" s="1719">
        <f>AI419+AI410+AI411</f>
        <v/>
      </c>
      <c r="AJ420" s="1719">
        <f>AJ419+AJ410+AJ411</f>
        <v/>
      </c>
      <c r="AK420" s="1718">
        <f>AK419+AK410+AK411</f>
        <v/>
      </c>
      <c r="AL420" s="1719">
        <f>AL419+AL410+AL411</f>
        <v/>
      </c>
      <c r="AM420" s="1719">
        <f>AM419+AM410+AM411</f>
        <v/>
      </c>
      <c r="AN420" s="1719">
        <f>AN419+AN410+AN411</f>
        <v/>
      </c>
      <c r="AO420" s="1719">
        <f>AO419+AO410+AO411</f>
        <v/>
      </c>
      <c r="AP420" s="1718">
        <f>AP419+AP410+AP411</f>
        <v/>
      </c>
      <c r="AQ420" s="1719">
        <f>AQ419+AQ410+AQ411</f>
        <v/>
      </c>
      <c r="AR420" s="1719">
        <f>AR419+AR410+AR411</f>
        <v/>
      </c>
      <c r="AS420" s="1719">
        <f>AS419+AS410+AS411</f>
        <v/>
      </c>
      <c r="AT420" s="1719">
        <f>AT419+AT410+AT411</f>
        <v/>
      </c>
      <c r="AU420" s="1718">
        <f>AU419+AU410+AU411</f>
        <v/>
      </c>
      <c r="AV420" s="1719">
        <f>AV419+AV410+AV411</f>
        <v/>
      </c>
      <c r="AW420" s="1719">
        <f>AW419+AW410+AW411</f>
        <v/>
      </c>
      <c r="AX420" s="1719">
        <f>AX419+AX410+AX411</f>
        <v/>
      </c>
      <c r="AY420" s="1719">
        <f>AY419+AY410+AY411</f>
        <v/>
      </c>
      <c r="AZ420" s="1718">
        <f>AZ419+AZ410+AZ411</f>
        <v/>
      </c>
      <c r="BA420" s="1719">
        <f>BA419+BA410+BA411</f>
        <v/>
      </c>
      <c r="BB420" s="1719">
        <f>BB419+BB410+BB411</f>
        <v/>
      </c>
      <c r="BC420" s="1719">
        <f>BC419+BC410+BC411</f>
        <v/>
      </c>
      <c r="BD420" s="1719">
        <f>BD419+BD410+BD411</f>
        <v/>
      </c>
      <c r="BE420" s="1718">
        <f>BE419+BE410+BE411</f>
        <v/>
      </c>
      <c r="BF420" s="1719">
        <f>BF419+BF410+BF411</f>
        <v/>
      </c>
      <c r="BG420" s="1719">
        <f>BG419+BG410+BG411</f>
        <v/>
      </c>
      <c r="BH420" s="1719">
        <f>BH419+BH410+BH411</f>
        <v/>
      </c>
      <c r="BI420" s="1719">
        <f>BI419+BI410+BI411</f>
        <v/>
      </c>
      <c r="BJ420" s="1718">
        <f>BJ419+BJ410+BJ411</f>
        <v/>
      </c>
      <c r="BK420" s="1719">
        <f>BK419+BK410+BK411</f>
        <v/>
      </c>
      <c r="BL420" s="1719">
        <f>BL419+BL410+BL411</f>
        <v/>
      </c>
      <c r="BM420" s="1719">
        <f>BM419+BM410+BM411</f>
        <v/>
      </c>
      <c r="BN420" s="1719">
        <f>BN419+BN410+BN411</f>
        <v/>
      </c>
      <c r="BO420" s="1720">
        <f>BO419+BO410+BO411</f>
        <v/>
      </c>
      <c r="BP420" s="1719">
        <f>BP419+BP410+BP411</f>
        <v/>
      </c>
      <c r="BQ420" s="1719">
        <f>BQ419+BQ410+BQ411</f>
        <v/>
      </c>
      <c r="BR420" s="1719">
        <f>BR419+BR410+BR411</f>
        <v/>
      </c>
      <c r="BS420" s="1719">
        <f>BS419+BS410+BS411</f>
        <v/>
      </c>
      <c r="BT420" s="1718">
        <f>BT419+BT410+BT411</f>
        <v/>
      </c>
      <c r="BU420" s="1719">
        <f>BU419+BU410+BU411</f>
        <v/>
      </c>
      <c r="BV420" s="1719">
        <f>BV419+BV410+BV411</f>
        <v/>
      </c>
      <c r="BW420" s="1719">
        <f>BW419+BW410+BW411</f>
        <v/>
      </c>
      <c r="BX420" s="1719">
        <f>BX419+BX410+BX411</f>
        <v/>
      </c>
      <c r="BY420" s="1718">
        <f>BY419+BY410+BY411</f>
        <v/>
      </c>
      <c r="BZ420" s="1718">
        <f>BZ419+BZ410+BZ411</f>
        <v/>
      </c>
      <c r="CA420" s="1718">
        <f>CA419+CA410+CA411</f>
        <v/>
      </c>
      <c r="CB420" s="1718">
        <f>CB419+CB410+CB411</f>
        <v/>
      </c>
      <c r="CC420" s="1562" t="n"/>
    </row>
    <row r="421" collapsed="1" ht="15" customFormat="1" customHeight="1" s="1561">
      <c r="A421" s="1562" t="inlineStr">
        <is>
          <t>FCF, Pre Div</t>
        </is>
      </c>
      <c r="B421" s="1705" t="n"/>
      <c r="C421" s="1637">
        <f>C399+C403</f>
        <v/>
      </c>
      <c r="D421" s="1637">
        <f>D399+D403</f>
        <v/>
      </c>
      <c r="E421" s="1637">
        <f>E399+E403</f>
        <v/>
      </c>
      <c r="F421" s="1637">
        <f>F399+F403</f>
        <v/>
      </c>
      <c r="G421" s="1637">
        <f>G399+G403</f>
        <v/>
      </c>
      <c r="H421" s="1562">
        <f>H399+H403</f>
        <v/>
      </c>
      <c r="I421" s="1562">
        <f>I399+I403</f>
        <v/>
      </c>
      <c r="J421" s="1562">
        <f>J399+J403</f>
        <v/>
      </c>
      <c r="K421" s="1562">
        <f>K399+K403</f>
        <v/>
      </c>
      <c r="L421" s="1637">
        <f>L399+L403</f>
        <v/>
      </c>
      <c r="M421" s="1562">
        <f>M399+M403</f>
        <v/>
      </c>
      <c r="N421" s="1562">
        <f>N399+N403</f>
        <v/>
      </c>
      <c r="O421" s="1562">
        <f>O399+O403</f>
        <v/>
      </c>
      <c r="P421" s="1562">
        <f>P399+P403</f>
        <v/>
      </c>
      <c r="Q421" s="1637">
        <f>Q399+Q403</f>
        <v/>
      </c>
      <c r="R421" s="1562">
        <f>R399+R403</f>
        <v/>
      </c>
      <c r="S421" s="1562">
        <f>S399+S403</f>
        <v/>
      </c>
      <c r="T421" s="1562">
        <f>T399+T403</f>
        <v/>
      </c>
      <c r="U421" s="1562">
        <f>U399+U403</f>
        <v/>
      </c>
      <c r="V421" s="1637">
        <f>V399+V403</f>
        <v/>
      </c>
      <c r="W421" s="1562">
        <f>W399+W403</f>
        <v/>
      </c>
      <c r="X421" s="1562">
        <f>X399+X403</f>
        <v/>
      </c>
      <c r="Y421" s="1562">
        <f>Y399+Y403</f>
        <v/>
      </c>
      <c r="Z421" s="1562">
        <f>Z399+Z403</f>
        <v/>
      </c>
      <c r="AA421" s="1637">
        <f>AA399+AA403</f>
        <v/>
      </c>
      <c r="AB421" s="1562">
        <f>AB399+AB403</f>
        <v/>
      </c>
      <c r="AC421" s="1562">
        <f>AC399+AC403</f>
        <v/>
      </c>
      <c r="AD421" s="1562">
        <f>AD399+AD403</f>
        <v/>
      </c>
      <c r="AE421" s="1562">
        <f>AE399+AE403</f>
        <v/>
      </c>
      <c r="AF421" s="1637">
        <f>AF399+AF403</f>
        <v/>
      </c>
      <c r="AG421" s="1562">
        <f>AG399+AG403</f>
        <v/>
      </c>
      <c r="AH421" s="1562">
        <f>AH399+AH403</f>
        <v/>
      </c>
      <c r="AI421" s="1562">
        <f>AI399+AI403</f>
        <v/>
      </c>
      <c r="AJ421" s="1562">
        <f>AJ399+AJ403</f>
        <v/>
      </c>
      <c r="AK421" s="1637">
        <f>AK399+AK403</f>
        <v/>
      </c>
      <c r="AL421" s="1562">
        <f>AL399+AL403</f>
        <v/>
      </c>
      <c r="AM421" s="1562">
        <f>AM399+AM403</f>
        <v/>
      </c>
      <c r="AN421" s="1562">
        <f>AN399+AN403</f>
        <v/>
      </c>
      <c r="AO421" s="1562">
        <f>AO399+AO403</f>
        <v/>
      </c>
      <c r="AP421" s="1637">
        <f>AP399+AP403</f>
        <v/>
      </c>
      <c r="AQ421" s="1562">
        <f>AQ399+AQ403</f>
        <v/>
      </c>
      <c r="AR421" s="1562">
        <f>AR399+AR403</f>
        <v/>
      </c>
      <c r="AS421" s="1562">
        <f>AS399+AS403</f>
        <v/>
      </c>
      <c r="AT421" s="1562">
        <f>AT399+AT403</f>
        <v/>
      </c>
      <c r="AU421" s="1637">
        <f>AU399+AU403</f>
        <v/>
      </c>
      <c r="AV421" s="1562">
        <f>AV399+AV403</f>
        <v/>
      </c>
      <c r="AW421" s="1562">
        <f>AW399+AW403</f>
        <v/>
      </c>
      <c r="AX421" s="1562">
        <f>AX399+AX403</f>
        <v/>
      </c>
      <c r="AY421" s="1562">
        <f>AY399+AY403</f>
        <v/>
      </c>
      <c r="AZ421" s="1637">
        <f>AZ399+AZ403</f>
        <v/>
      </c>
      <c r="BA421" s="1562">
        <f>BA399+BA403</f>
        <v/>
      </c>
      <c r="BB421" s="1562">
        <f>BB399+BB403</f>
        <v/>
      </c>
      <c r="BC421" s="1562">
        <f>BC399+BC403</f>
        <v/>
      </c>
      <c r="BD421" s="1562">
        <f>BD399+BD403</f>
        <v/>
      </c>
      <c r="BE421" s="1637">
        <f>BE399+BE403</f>
        <v/>
      </c>
      <c r="BF421" s="1562">
        <f>BF399+BF403</f>
        <v/>
      </c>
      <c r="BG421" s="1562">
        <f>BG399+BG403</f>
        <v/>
      </c>
      <c r="BH421" s="1562">
        <f>BH399+BH403</f>
        <v/>
      </c>
      <c r="BI421" s="1562">
        <f>BI399+BI403</f>
        <v/>
      </c>
      <c r="BJ421" s="1637">
        <f>BJ399+BJ403</f>
        <v/>
      </c>
      <c r="BK421" s="1562">
        <f>BK399+BK403</f>
        <v/>
      </c>
      <c r="BL421" s="1562">
        <f>BL399+BL403</f>
        <v/>
      </c>
      <c r="BM421" s="1562">
        <f>BM399+BM403</f>
        <v/>
      </c>
      <c r="BN421" s="1562">
        <f>BN399+BN403</f>
        <v/>
      </c>
      <c r="BO421" s="1638">
        <f>BO399+BO403</f>
        <v/>
      </c>
      <c r="BP421" s="1562">
        <f>BP399+BP403</f>
        <v/>
      </c>
      <c r="BQ421" s="1562">
        <f>BQ399+BQ403</f>
        <v/>
      </c>
      <c r="BR421" s="1562">
        <f>BR399+BR403</f>
        <v/>
      </c>
      <c r="BS421" s="1562">
        <f>BS399+BS403</f>
        <v/>
      </c>
      <c r="BT421" s="1637">
        <f>BT399+BT403</f>
        <v/>
      </c>
      <c r="BU421" s="1562">
        <f>BU399+BU403</f>
        <v/>
      </c>
      <c r="BV421" s="1562">
        <f>BV399+BV403</f>
        <v/>
      </c>
      <c r="BW421" s="1562">
        <f>BW399+BW403</f>
        <v/>
      </c>
      <c r="BX421" s="1562">
        <f>BX399+BX403</f>
        <v/>
      </c>
      <c r="BY421" s="1637">
        <f>BY399+BY403</f>
        <v/>
      </c>
      <c r="BZ421" s="1637">
        <f>BZ399+BZ403</f>
        <v/>
      </c>
      <c r="CA421" s="1637">
        <f>CA399+CA403</f>
        <v/>
      </c>
      <c r="CB421" s="1637">
        <f>CB399+CB403</f>
        <v/>
      </c>
      <c r="CC421" s="1562" t="n"/>
    </row>
    <row r="422" ht="15" customFormat="1" customHeight="1" s="1561">
      <c r="A422" s="1562" t="inlineStr">
        <is>
          <t>FCF, Post Div, Pre A/D</t>
        </is>
      </c>
      <c r="B422" s="1705" t="n"/>
      <c r="C422" s="1637">
        <f>C421+C407</f>
        <v/>
      </c>
      <c r="D422" s="1637">
        <f>D421+D407</f>
        <v/>
      </c>
      <c r="E422" s="1637">
        <f>E421+E407</f>
        <v/>
      </c>
      <c r="F422" s="1637">
        <f>F421+F407</f>
        <v/>
      </c>
      <c r="G422" s="1637">
        <f>G421+G407</f>
        <v/>
      </c>
      <c r="H422" s="1562">
        <f>H421+H407</f>
        <v/>
      </c>
      <c r="I422" s="1562">
        <f>I421+I407</f>
        <v/>
      </c>
      <c r="J422" s="1562">
        <f>J421+J407</f>
        <v/>
      </c>
      <c r="K422" s="1562">
        <f>K421+K407</f>
        <v/>
      </c>
      <c r="L422" s="1637">
        <f>L421+L407</f>
        <v/>
      </c>
      <c r="M422" s="1562">
        <f>M421+M407</f>
        <v/>
      </c>
      <c r="N422" s="1562">
        <f>N421+N407</f>
        <v/>
      </c>
      <c r="O422" s="1562">
        <f>O421+O407</f>
        <v/>
      </c>
      <c r="P422" s="1562">
        <f>P421+P407</f>
        <v/>
      </c>
      <c r="Q422" s="1637">
        <f>Q421+Q407</f>
        <v/>
      </c>
      <c r="R422" s="1562">
        <f>R421+R407</f>
        <v/>
      </c>
      <c r="S422" s="1562">
        <f>S421+S407</f>
        <v/>
      </c>
      <c r="T422" s="1562">
        <f>T421+T407</f>
        <v/>
      </c>
      <c r="U422" s="1562">
        <f>U421+U407</f>
        <v/>
      </c>
      <c r="V422" s="1637">
        <f>V421+V407</f>
        <v/>
      </c>
      <c r="W422" s="1562">
        <f>W421+W407</f>
        <v/>
      </c>
      <c r="X422" s="1562">
        <f>X421+X407</f>
        <v/>
      </c>
      <c r="Y422" s="1562">
        <f>Y421+Y407</f>
        <v/>
      </c>
      <c r="Z422" s="1562">
        <f>Z421+Z407</f>
        <v/>
      </c>
      <c r="AA422" s="1637">
        <f>AA421+AA407</f>
        <v/>
      </c>
      <c r="AB422" s="1562">
        <f>AB421+AB407</f>
        <v/>
      </c>
      <c r="AC422" s="1562">
        <f>AC421+AC407</f>
        <v/>
      </c>
      <c r="AD422" s="1562">
        <f>AD421+AD407</f>
        <v/>
      </c>
      <c r="AE422" s="1562">
        <f>AE421+AE407</f>
        <v/>
      </c>
      <c r="AF422" s="1637">
        <f>AF421+AF407</f>
        <v/>
      </c>
      <c r="AG422" s="1562">
        <f>AG421+AG407</f>
        <v/>
      </c>
      <c r="AH422" s="1562">
        <f>AH421+AH407</f>
        <v/>
      </c>
      <c r="AI422" s="1562">
        <f>AI421+AI407</f>
        <v/>
      </c>
      <c r="AJ422" s="1562">
        <f>AJ421+AJ407</f>
        <v/>
      </c>
      <c r="AK422" s="1637">
        <f>AK421+AK407</f>
        <v/>
      </c>
      <c r="AL422" s="1562">
        <f>AL421+AL407</f>
        <v/>
      </c>
      <c r="AM422" s="1562">
        <f>AM421+AM407</f>
        <v/>
      </c>
      <c r="AN422" s="1562">
        <f>AN421+AN407</f>
        <v/>
      </c>
      <c r="AO422" s="1562">
        <f>AO421+AO407</f>
        <v/>
      </c>
      <c r="AP422" s="1637">
        <f>AP421+AP407</f>
        <v/>
      </c>
      <c r="AQ422" s="1562">
        <f>AQ421+AQ407</f>
        <v/>
      </c>
      <c r="AR422" s="1562">
        <f>AR421+AR407</f>
        <v/>
      </c>
      <c r="AS422" s="1562">
        <f>AS421+AS407</f>
        <v/>
      </c>
      <c r="AT422" s="1562">
        <f>AT421+AT407</f>
        <v/>
      </c>
      <c r="AU422" s="1637">
        <f>AU421+AU407</f>
        <v/>
      </c>
      <c r="AV422" s="1562">
        <f>AV421+AV407</f>
        <v/>
      </c>
      <c r="AW422" s="1562">
        <f>AW421+AW407</f>
        <v/>
      </c>
      <c r="AX422" s="1562">
        <f>AX421+AX407</f>
        <v/>
      </c>
      <c r="AY422" s="1562">
        <f>AY421+AY407</f>
        <v/>
      </c>
      <c r="AZ422" s="1637">
        <f>AZ421+AZ407</f>
        <v/>
      </c>
      <c r="BA422" s="1562">
        <f>BA421+BA407</f>
        <v/>
      </c>
      <c r="BB422" s="1562">
        <f>BB421+BB407</f>
        <v/>
      </c>
      <c r="BC422" s="1562">
        <f>BC421+BC407</f>
        <v/>
      </c>
      <c r="BD422" s="1562">
        <f>BD421+BD407</f>
        <v/>
      </c>
      <c r="BE422" s="1637">
        <f>BE421+BE407</f>
        <v/>
      </c>
      <c r="BF422" s="1562">
        <f>BF421+BF407</f>
        <v/>
      </c>
      <c r="BG422" s="1562">
        <f>BG421+BG407</f>
        <v/>
      </c>
      <c r="BH422" s="1562">
        <f>BH421+BH407</f>
        <v/>
      </c>
      <c r="BI422" s="1562">
        <f>BI421+BI407</f>
        <v/>
      </c>
      <c r="BJ422" s="1637">
        <f>BJ421+BJ407</f>
        <v/>
      </c>
      <c r="BK422" s="1562">
        <f>BK421+BK407</f>
        <v/>
      </c>
      <c r="BL422" s="1562">
        <f>BL421+BL407</f>
        <v/>
      </c>
      <c r="BM422" s="1562">
        <f>BM421+BM407</f>
        <v/>
      </c>
      <c r="BN422" s="1562">
        <f>BN421+BN407</f>
        <v/>
      </c>
      <c r="BO422" s="1638">
        <f>BO421+BO407</f>
        <v/>
      </c>
      <c r="BP422" s="1562">
        <f>BP421+BP407</f>
        <v/>
      </c>
      <c r="BQ422" s="1562">
        <f>BQ421+BQ407</f>
        <v/>
      </c>
      <c r="BR422" s="1562">
        <f>BR421+BR407</f>
        <v/>
      </c>
      <c r="BS422" s="1562">
        <f>BS421+BS407</f>
        <v/>
      </c>
      <c r="BT422" s="1637">
        <f>BT421+BT407</f>
        <v/>
      </c>
      <c r="BU422" s="1562">
        <f>BU421+BU407</f>
        <v/>
      </c>
      <c r="BV422" s="1562">
        <f>BV421+BV407</f>
        <v/>
      </c>
      <c r="BW422" s="1562">
        <f>BW421+BW407</f>
        <v/>
      </c>
      <c r="BX422" s="1562">
        <f>BX421+BX407</f>
        <v/>
      </c>
      <c r="BY422" s="1637">
        <f>BY421+BY407</f>
        <v/>
      </c>
      <c r="BZ422" s="1637">
        <f>BZ421+BZ407</f>
        <v/>
      </c>
      <c r="CA422" s="1637">
        <f>CA421+CA407</f>
        <v/>
      </c>
      <c r="CB422" s="1637">
        <f>CB421+CB407</f>
        <v/>
      </c>
      <c r="CC422" s="1562" t="n"/>
    </row>
    <row r="423" ht="15" customFormat="1" customHeight="1" s="1561">
      <c r="A423" s="1562" t="inlineStr">
        <is>
          <t>FCF, Post Div, Post A/D</t>
        </is>
      </c>
      <c r="B423" s="1705" t="n"/>
      <c r="C423" s="1637">
        <f>C422+C405+C406</f>
        <v/>
      </c>
      <c r="D423" s="1637">
        <f>D422+D405+D406</f>
        <v/>
      </c>
      <c r="E423" s="1637">
        <f>E422+E405+E406</f>
        <v/>
      </c>
      <c r="F423" s="1637">
        <f>F422+F405+F406</f>
        <v/>
      </c>
      <c r="G423" s="1637">
        <f>G422+G405+G406</f>
        <v/>
      </c>
      <c r="H423" s="1562">
        <f>H422+H405+H406</f>
        <v/>
      </c>
      <c r="I423" s="1562">
        <f>I422+I405+I406</f>
        <v/>
      </c>
      <c r="J423" s="1562">
        <f>J422+J405+J406</f>
        <v/>
      </c>
      <c r="K423" s="1562">
        <f>K422+K405+K406</f>
        <v/>
      </c>
      <c r="L423" s="1637">
        <f>L422+L405+L406</f>
        <v/>
      </c>
      <c r="M423" s="1562">
        <f>M422+M405+M406</f>
        <v/>
      </c>
      <c r="N423" s="1562">
        <f>N422+N405+N406</f>
        <v/>
      </c>
      <c r="O423" s="1562">
        <f>O422+O405+O406</f>
        <v/>
      </c>
      <c r="P423" s="1562">
        <f>P422+P405+P406</f>
        <v/>
      </c>
      <c r="Q423" s="1637">
        <f>Q422+Q405+Q406</f>
        <v/>
      </c>
      <c r="R423" s="1562">
        <f>R422+R405+R406</f>
        <v/>
      </c>
      <c r="S423" s="1562">
        <f>S422+S405+S406</f>
        <v/>
      </c>
      <c r="T423" s="1562">
        <f>T422+T405+T406</f>
        <v/>
      </c>
      <c r="U423" s="1562">
        <f>U422+U405+U406</f>
        <v/>
      </c>
      <c r="V423" s="1637">
        <f>V422+V405+V406</f>
        <v/>
      </c>
      <c r="W423" s="1562">
        <f>W422+W405+W406</f>
        <v/>
      </c>
      <c r="X423" s="1562">
        <f>X422+X405+X406</f>
        <v/>
      </c>
      <c r="Y423" s="1562">
        <f>Y422+Y405+Y406</f>
        <v/>
      </c>
      <c r="Z423" s="1562">
        <f>Z422+Z405+Z406</f>
        <v/>
      </c>
      <c r="AA423" s="1637">
        <f>AA422+AA405+AA406</f>
        <v/>
      </c>
      <c r="AB423" s="1562">
        <f>AB422+AB405+AB406</f>
        <v/>
      </c>
      <c r="AC423" s="1562">
        <f>AC422+AC405+AC406</f>
        <v/>
      </c>
      <c r="AD423" s="1562">
        <f>AD422+AD405+AD406</f>
        <v/>
      </c>
      <c r="AE423" s="1562">
        <f>AE422+AE405+AE406</f>
        <v/>
      </c>
      <c r="AF423" s="1637">
        <f>AF422+AF405+AF406</f>
        <v/>
      </c>
      <c r="AG423" s="1562">
        <f>AG422+AG405+AG406</f>
        <v/>
      </c>
      <c r="AH423" s="1562">
        <f>AH422+AH405+AH406</f>
        <v/>
      </c>
      <c r="AI423" s="1562">
        <f>AI422+AI405+AI406</f>
        <v/>
      </c>
      <c r="AJ423" s="1562">
        <f>AJ422+AJ405+AJ406</f>
        <v/>
      </c>
      <c r="AK423" s="1637">
        <f>AK422+AK405+AK406</f>
        <v/>
      </c>
      <c r="AL423" s="1562">
        <f>AL422+AL405+AL406</f>
        <v/>
      </c>
      <c r="AM423" s="1562">
        <f>AM422+AM405+AM406</f>
        <v/>
      </c>
      <c r="AN423" s="1562">
        <f>AN422+AN405+AN406</f>
        <v/>
      </c>
      <c r="AO423" s="1562">
        <f>AO422+AO405+AO406</f>
        <v/>
      </c>
      <c r="AP423" s="1637">
        <f>AP422+AP405+AP406</f>
        <v/>
      </c>
      <c r="AQ423" s="1562">
        <f>AQ422+AQ405+AQ406</f>
        <v/>
      </c>
      <c r="AR423" s="1562">
        <f>AR422+AR405+AR406</f>
        <v/>
      </c>
      <c r="AS423" s="1562">
        <f>AS422+AS405+AS406</f>
        <v/>
      </c>
      <c r="AT423" s="1562">
        <f>AT422+AT405+AT406</f>
        <v/>
      </c>
      <c r="AU423" s="1637">
        <f>AU422+AU405+AU406</f>
        <v/>
      </c>
      <c r="AV423" s="1562">
        <f>AV422+AV405+AV406</f>
        <v/>
      </c>
      <c r="AW423" s="1562">
        <f>AW422+AW405+AW406</f>
        <v/>
      </c>
      <c r="AX423" s="1562">
        <f>AX422+AX405+AX406</f>
        <v/>
      </c>
      <c r="AY423" s="1562">
        <f>AY422+AY405+AY406</f>
        <v/>
      </c>
      <c r="AZ423" s="1637">
        <f>AZ422+AZ405+AZ406</f>
        <v/>
      </c>
      <c r="BA423" s="1562">
        <f>BA422+BA405+BA406</f>
        <v/>
      </c>
      <c r="BB423" s="1562">
        <f>BB422+BB405+BB406</f>
        <v/>
      </c>
      <c r="BC423" s="1562">
        <f>BC422+BC405+BC406</f>
        <v/>
      </c>
      <c r="BD423" s="1562">
        <f>BD422+BD405+BD406</f>
        <v/>
      </c>
      <c r="BE423" s="1637">
        <f>BE422+BE405+BE406</f>
        <v/>
      </c>
      <c r="BF423" s="1562">
        <f>BF422+BF405+BF406</f>
        <v/>
      </c>
      <c r="BG423" s="1562">
        <f>BG422+BG405+BG406</f>
        <v/>
      </c>
      <c r="BH423" s="1562">
        <f>BH422+BH405+BH406</f>
        <v/>
      </c>
      <c r="BI423" s="1562">
        <f>BI422+BI405+BI406</f>
        <v/>
      </c>
      <c r="BJ423" s="1637">
        <f>BJ422+BJ405+BJ406</f>
        <v/>
      </c>
      <c r="BK423" s="1562">
        <f>BK422+BK405+BK406</f>
        <v/>
      </c>
      <c r="BL423" s="1562">
        <f>BL422+BL405+BL406</f>
        <v/>
      </c>
      <c r="BM423" s="1562">
        <f>BM422+BM405+BM406</f>
        <v/>
      </c>
      <c r="BN423" s="1562">
        <f>BN422+BN405+BN406</f>
        <v/>
      </c>
      <c r="BO423" s="1638">
        <f>BO422+BO405+BO406</f>
        <v/>
      </c>
      <c r="BP423" s="1562">
        <f>BP422+BP405+BP406</f>
        <v/>
      </c>
      <c r="BQ423" s="1562">
        <f>BQ422+BQ405+BQ406</f>
        <v/>
      </c>
      <c r="BR423" s="1562">
        <f>BR422+BR405+BR406</f>
        <v/>
      </c>
      <c r="BS423" s="1562">
        <f>BS422+BS405+BS406</f>
        <v/>
      </c>
      <c r="BT423" s="1637">
        <f>BT422+BT405+BT406</f>
        <v/>
      </c>
      <c r="BU423" s="1562">
        <f>BU422+BU405+BU406</f>
        <v/>
      </c>
      <c r="BV423" s="1562">
        <f>BV422+BV405+BV406</f>
        <v/>
      </c>
      <c r="BW423" s="1562">
        <f>BW422+BW405+BW406</f>
        <v/>
      </c>
      <c r="BX423" s="1562">
        <f>BX422+BX405+BX406</f>
        <v/>
      </c>
      <c r="BY423" s="1637">
        <f>BY422+BY405+BY406</f>
        <v/>
      </c>
      <c r="BZ423" s="1637">
        <f>BZ422+BZ405+BZ406</f>
        <v/>
      </c>
      <c r="CA423" s="1637">
        <f>CA422+CA405+CA406</f>
        <v/>
      </c>
      <c r="CB423" s="1637">
        <f>CB422+CB405+CB406</f>
        <v/>
      </c>
      <c r="CC423" s="1562" t="n"/>
    </row>
    <row r="424" ht="15" customFormat="1" customHeight="1" s="1561">
      <c r="A424" s="1719" t="inlineStr">
        <is>
          <t>FCF, Post Div, Debt, Buyback, A/D</t>
        </is>
      </c>
      <c r="B424" s="1717" t="n"/>
      <c r="C424" s="1718">
        <f>C423+C410+C411</f>
        <v/>
      </c>
      <c r="D424" s="1718">
        <f>D423+D410+D411</f>
        <v/>
      </c>
      <c r="E424" s="1718">
        <f>E423+E410+E411</f>
        <v/>
      </c>
      <c r="F424" s="1718">
        <f>F423+F410+F411</f>
        <v/>
      </c>
      <c r="G424" s="1718">
        <f>G423+G410+G411</f>
        <v/>
      </c>
      <c r="H424" s="1719">
        <f>H423+H410+H411</f>
        <v/>
      </c>
      <c r="I424" s="1719">
        <f>I423+I410+I411</f>
        <v/>
      </c>
      <c r="J424" s="1719">
        <f>J423+J410+J411</f>
        <v/>
      </c>
      <c r="K424" s="1719">
        <f>K423+K410+K411</f>
        <v/>
      </c>
      <c r="L424" s="1718">
        <f>L423+L410+L411</f>
        <v/>
      </c>
      <c r="M424" s="1719">
        <f>M423+M410+M411</f>
        <v/>
      </c>
      <c r="N424" s="1719">
        <f>N423+N410+N411</f>
        <v/>
      </c>
      <c r="O424" s="1719">
        <f>O423+O410+O411</f>
        <v/>
      </c>
      <c r="P424" s="1719">
        <f>P423+P410+P411</f>
        <v/>
      </c>
      <c r="Q424" s="1718">
        <f>Q423+Q410+Q411</f>
        <v/>
      </c>
      <c r="R424" s="1719">
        <f>R423+R410+R411</f>
        <v/>
      </c>
      <c r="S424" s="1719">
        <f>S423+S410+S411</f>
        <v/>
      </c>
      <c r="T424" s="1719">
        <f>T423+T410+T411</f>
        <v/>
      </c>
      <c r="U424" s="1719">
        <f>U423+U410+U411</f>
        <v/>
      </c>
      <c r="V424" s="1718">
        <f>V423+V410+V411</f>
        <v/>
      </c>
      <c r="W424" s="1719">
        <f>W423+W410+W411</f>
        <v/>
      </c>
      <c r="X424" s="1719">
        <f>X423+X410+X411</f>
        <v/>
      </c>
      <c r="Y424" s="1719">
        <f>Y423+Y410+Y411</f>
        <v/>
      </c>
      <c r="Z424" s="1719">
        <f>Z423+Z410+Z411</f>
        <v/>
      </c>
      <c r="AA424" s="1718">
        <f>AA423+AA410+AA411</f>
        <v/>
      </c>
      <c r="AB424" s="1719">
        <f>AB423+AB410+AB411</f>
        <v/>
      </c>
      <c r="AC424" s="1719">
        <f>AC423+AC410+AC411</f>
        <v/>
      </c>
      <c r="AD424" s="1719">
        <f>AD423+AD410+AD411</f>
        <v/>
      </c>
      <c r="AE424" s="1719">
        <f>AE423+AE410+AE411</f>
        <v/>
      </c>
      <c r="AF424" s="1718">
        <f>AF423+AF410+AF411</f>
        <v/>
      </c>
      <c r="AG424" s="1719">
        <f>AG423+AG410+AG411</f>
        <v/>
      </c>
      <c r="AH424" s="1719">
        <f>AH423+AH410+AH411</f>
        <v/>
      </c>
      <c r="AI424" s="1719">
        <f>AI423+AI410+AI411</f>
        <v/>
      </c>
      <c r="AJ424" s="1719">
        <f>AJ423+AJ410+AJ411</f>
        <v/>
      </c>
      <c r="AK424" s="1718">
        <f>AK423+AK410+AK411</f>
        <v/>
      </c>
      <c r="AL424" s="1719">
        <f>AL423+AL410+AL411</f>
        <v/>
      </c>
      <c r="AM424" s="1719">
        <f>AM423+AM410+AM411</f>
        <v/>
      </c>
      <c r="AN424" s="1719">
        <f>AN423+AN410+AN411</f>
        <v/>
      </c>
      <c r="AO424" s="1719">
        <f>AO423+AO410+AO411</f>
        <v/>
      </c>
      <c r="AP424" s="1718">
        <f>AP423+AP410+AP411</f>
        <v/>
      </c>
      <c r="AQ424" s="1719">
        <f>AQ423+AQ410+AQ411</f>
        <v/>
      </c>
      <c r="AR424" s="1719">
        <f>AR423+AR410+AR411</f>
        <v/>
      </c>
      <c r="AS424" s="1719">
        <f>AS423+AS410+AS411</f>
        <v/>
      </c>
      <c r="AT424" s="1719">
        <f>AT423+AT410+AT411</f>
        <v/>
      </c>
      <c r="AU424" s="1718">
        <f>AU423+AU410+AU411</f>
        <v/>
      </c>
      <c r="AV424" s="1719">
        <f>AV423+AV410+AV411</f>
        <v/>
      </c>
      <c r="AW424" s="1719">
        <f>AW423+AW410+AW411</f>
        <v/>
      </c>
      <c r="AX424" s="1719">
        <f>AX423+AX410+AX411</f>
        <v/>
      </c>
      <c r="AY424" s="1719">
        <f>AY423+AY410+AY411</f>
        <v/>
      </c>
      <c r="AZ424" s="1718">
        <f>AZ423+AZ410+AZ411</f>
        <v/>
      </c>
      <c r="BA424" s="1719">
        <f>BA423+BA410+BA411</f>
        <v/>
      </c>
      <c r="BB424" s="1719">
        <f>BB423+BB410+BB411</f>
        <v/>
      </c>
      <c r="BC424" s="1719">
        <f>BC423+BC410+BC411</f>
        <v/>
      </c>
      <c r="BD424" s="1719">
        <f>BD423+BD410+BD411</f>
        <v/>
      </c>
      <c r="BE424" s="1718">
        <f>BE423+BE410+BE411</f>
        <v/>
      </c>
      <c r="BF424" s="1719">
        <f>BF423+BF410+BF411</f>
        <v/>
      </c>
      <c r="BG424" s="1719">
        <f>BG423+BG410+BG411</f>
        <v/>
      </c>
      <c r="BH424" s="1719">
        <f>BH423+BH410+BH411</f>
        <v/>
      </c>
      <c r="BI424" s="1719">
        <f>BI423+BI410+BI411</f>
        <v/>
      </c>
      <c r="BJ424" s="1718">
        <f>BJ423+BJ410+BJ411</f>
        <v/>
      </c>
      <c r="BK424" s="1719">
        <f>BK423+BK410+BK411</f>
        <v/>
      </c>
      <c r="BL424" s="1719">
        <f>BL423+BL410+BL411</f>
        <v/>
      </c>
      <c r="BM424" s="1719">
        <f>BM423+BM410+BM411</f>
        <v/>
      </c>
      <c r="BN424" s="1719">
        <f>BN423+BN410+BN411</f>
        <v/>
      </c>
      <c r="BO424" s="1720">
        <f>BO423+BO410+BO411</f>
        <v/>
      </c>
      <c r="BP424" s="1719">
        <f>BP423+BP410+BP411</f>
        <v/>
      </c>
      <c r="BQ424" s="1719">
        <f>BQ423+BQ410+BQ411</f>
        <v/>
      </c>
      <c r="BR424" s="1719">
        <f>BR423+BR410+BR411</f>
        <v/>
      </c>
      <c r="BS424" s="1719">
        <f>BS423+BS410+BS411</f>
        <v/>
      </c>
      <c r="BT424" s="1718">
        <f>BT423+BT410+BT411</f>
        <v/>
      </c>
      <c r="BU424" s="1719">
        <f>BU423+BU410+BU411</f>
        <v/>
      </c>
      <c r="BV424" s="1719">
        <f>BV423+BV410+BV411</f>
        <v/>
      </c>
      <c r="BW424" s="1719">
        <f>BW423+BW410+BW411</f>
        <v/>
      </c>
      <c r="BX424" s="1719">
        <f>BX423+BX410+BX411</f>
        <v/>
      </c>
      <c r="BY424" s="1718">
        <f>BY423+BY410+BY411</f>
        <v/>
      </c>
      <c r="BZ424" s="1718">
        <f>BZ423+BZ410+BZ411</f>
        <v/>
      </c>
      <c r="CA424" s="1718">
        <f>CA423+CA410+CA411</f>
        <v/>
      </c>
      <c r="CB424" s="1718">
        <f>CB423+CB410+CB411</f>
        <v/>
      </c>
      <c r="CC424" s="1562" t="n"/>
    </row>
    <row r="425" ht="15" customFormat="1" customHeight="1" s="1561">
      <c r="A425" s="1562" t="n"/>
      <c r="B425" s="1705" t="n"/>
      <c r="C425" s="1637" t="n"/>
      <c r="D425" s="1637" t="n"/>
      <c r="E425" s="1637" t="n"/>
      <c r="F425" s="1637" t="n"/>
      <c r="G425" s="1637" t="n"/>
      <c r="H425" s="1562" t="n"/>
      <c r="I425" s="1562" t="n"/>
      <c r="J425" s="1562" t="n"/>
      <c r="K425" s="1562" t="n"/>
      <c r="L425" s="1637" t="n"/>
      <c r="M425" s="1562" t="n"/>
      <c r="N425" s="1562" t="n"/>
      <c r="O425" s="1562" t="n"/>
      <c r="P425" s="1562" t="n"/>
      <c r="Q425" s="1637" t="n"/>
      <c r="R425" s="1562" t="n"/>
      <c r="S425" s="1562" t="n"/>
      <c r="T425" s="1562" t="n"/>
      <c r="U425" s="1562" t="n"/>
      <c r="V425" s="1637" t="n"/>
      <c r="W425" s="1562" t="n"/>
      <c r="X425" s="1562" t="n"/>
      <c r="Y425" s="1562" t="n"/>
      <c r="Z425" s="1562" t="n"/>
      <c r="AA425" s="1637" t="n"/>
      <c r="AB425" s="1562" t="n"/>
      <c r="AC425" s="1562" t="n"/>
      <c r="AD425" s="1562" t="n"/>
      <c r="AE425" s="1562" t="n"/>
      <c r="AF425" s="1637" t="n"/>
      <c r="AG425" s="1562" t="n"/>
      <c r="AH425" s="1562" t="n"/>
      <c r="AI425" s="1562" t="n"/>
      <c r="AJ425" s="1562" t="n"/>
      <c r="AK425" s="1637" t="n"/>
      <c r="AL425" s="1562" t="n"/>
      <c r="AM425" s="1562" t="n"/>
      <c r="AN425" s="1562" t="n"/>
      <c r="AO425" s="1562" t="n"/>
      <c r="AP425" s="1637" t="n"/>
      <c r="AQ425" s="1562" t="n"/>
      <c r="AR425" s="1562" t="n"/>
      <c r="AS425" s="1562" t="n"/>
      <c r="AT425" s="1562" t="n"/>
      <c r="AU425" s="1637" t="n"/>
      <c r="AV425" s="1562" t="n"/>
      <c r="AW425" s="1562" t="n"/>
      <c r="AX425" s="1562" t="n"/>
      <c r="AY425" s="1562" t="n"/>
      <c r="AZ425" s="1637" t="n"/>
      <c r="BA425" s="1562" t="n"/>
      <c r="BB425" s="1562" t="n"/>
      <c r="BC425" s="1562" t="n"/>
      <c r="BD425" s="1562" t="n"/>
      <c r="BE425" s="1637" t="n"/>
      <c r="BF425" s="1562" t="n"/>
      <c r="BG425" s="1562" t="n"/>
      <c r="BH425" s="1562" t="n"/>
      <c r="BI425" s="1562" t="n"/>
      <c r="BJ425" s="1637" t="n"/>
      <c r="BK425" s="1562" t="n"/>
      <c r="BL425" s="1562" t="n"/>
      <c r="BM425" s="1562" t="n"/>
      <c r="BN425" s="1562" t="n"/>
      <c r="BO425" s="1638" t="n"/>
      <c r="BP425" s="1562" t="n"/>
      <c r="BQ425" s="1562" t="n"/>
      <c r="BR425" s="1562" t="n"/>
      <c r="BS425" s="1562" t="n"/>
      <c r="BT425" s="1637" t="n"/>
      <c r="BU425" s="1562" t="n"/>
      <c r="BV425" s="1562" t="n"/>
      <c r="BW425" s="1562" t="n"/>
      <c r="BX425" s="1562" t="n"/>
      <c r="BY425" s="1637" t="n"/>
      <c r="BZ425" s="1637" t="n"/>
      <c r="CA425" s="1637" t="n"/>
      <c r="CB425" s="1637" t="n"/>
      <c r="CC425" s="1564" t="n"/>
    </row>
    <row r="426" ht="15" customFormat="1" customHeight="1" s="1628">
      <c r="A426" s="1786" t="inlineStr">
        <is>
          <t>Balance Sheet Summary</t>
        </is>
      </c>
      <c r="B426" s="1786" t="n"/>
      <c r="C426" s="1786" t="n"/>
      <c r="D426" s="1786" t="n"/>
      <c r="E426" s="1786" t="n"/>
      <c r="F426" s="1786" t="n"/>
      <c r="G426" s="1786" t="n"/>
      <c r="H426" s="1786" t="n"/>
      <c r="I426" s="1786" t="n"/>
      <c r="J426" s="1786" t="n"/>
      <c r="K426" s="1786" t="n"/>
      <c r="L426" s="1786" t="n"/>
      <c r="M426" s="1786" t="n"/>
      <c r="N426" s="1786" t="n"/>
      <c r="O426" s="1786" t="n"/>
      <c r="P426" s="1786" t="n"/>
      <c r="Q426" s="1786" t="n"/>
      <c r="R426" s="1786" t="n"/>
      <c r="S426" s="1786" t="n"/>
      <c r="T426" s="1786" t="n"/>
      <c r="U426" s="1786" t="n"/>
      <c r="V426" s="1786" t="n"/>
      <c r="W426" s="1786" t="n"/>
      <c r="X426" s="1786" t="n"/>
      <c r="Y426" s="1786" t="n"/>
      <c r="Z426" s="1786" t="n"/>
      <c r="AA426" s="1786" t="n"/>
      <c r="AB426" s="1786" t="n"/>
      <c r="AC426" s="1786" t="n"/>
      <c r="AD426" s="1786" t="n"/>
      <c r="AE426" s="1786" t="n"/>
      <c r="AF426" s="1786" t="n"/>
      <c r="AG426" s="1786" t="n"/>
      <c r="AH426" s="1786" t="n"/>
      <c r="AI426" s="1786" t="n"/>
      <c r="AJ426" s="1786" t="n"/>
      <c r="AK426" s="1786" t="n"/>
      <c r="AL426" s="1786" t="n"/>
      <c r="AM426" s="1786" t="n"/>
      <c r="AN426" s="1786" t="n"/>
      <c r="AO426" s="1786" t="n"/>
      <c r="AP426" s="1786" t="n"/>
      <c r="AQ426" s="1786" t="n"/>
      <c r="AR426" s="1786" t="n"/>
      <c r="AS426" s="1786" t="n"/>
      <c r="AT426" s="1786" t="n"/>
      <c r="AU426" s="1786" t="n"/>
      <c r="AV426" s="1786" t="n"/>
      <c r="AW426" s="1786" t="n"/>
      <c r="AX426" s="1786" t="n"/>
      <c r="AY426" s="1786" t="n"/>
      <c r="AZ426" s="1786" t="n"/>
      <c r="BA426" s="1786" t="n"/>
      <c r="BB426" s="1786" t="n"/>
      <c r="BC426" s="1786" t="n"/>
      <c r="BD426" s="1786" t="n"/>
      <c r="BE426" s="1786" t="n"/>
      <c r="BF426" s="1786" t="n"/>
      <c r="BG426" s="1786" t="n"/>
      <c r="BH426" s="1786" t="n"/>
      <c r="BI426" s="1786" t="n"/>
      <c r="BJ426" s="1786" t="n"/>
      <c r="BK426" s="1786" t="n"/>
      <c r="BL426" s="1786" t="n"/>
      <c r="BM426" s="1786" t="n"/>
      <c r="BN426" s="1786" t="n"/>
      <c r="BO426" s="1826" t="n"/>
      <c r="BP426" s="1786" t="n"/>
      <c r="BQ426" s="1786" t="n"/>
      <c r="BR426" s="1786" t="n"/>
      <c r="BS426" s="1786" t="n"/>
      <c r="BT426" s="1786" t="n"/>
      <c r="BU426" s="1786" t="n"/>
      <c r="BV426" s="1786" t="n"/>
      <c r="BW426" s="1786" t="n"/>
      <c r="BX426" s="1786" t="n"/>
      <c r="BY426" s="1786" t="n"/>
      <c r="BZ426" s="1786" t="n"/>
      <c r="CA426" s="1786" t="n"/>
      <c r="CB426" s="1786" t="n"/>
      <c r="CC426" s="1634" t="n"/>
    </row>
    <row r="427" ht="15" customFormat="1" customHeight="1" s="1561">
      <c r="A427" s="1564" t="inlineStr">
        <is>
          <t>Cash</t>
        </is>
      </c>
      <c r="B427" s="1705" t="n"/>
      <c r="C427" s="1713">
        <f>C625+C626</f>
        <v/>
      </c>
      <c r="D427" s="1713">
        <f>D625+D626</f>
        <v/>
      </c>
      <c r="E427" s="1713">
        <f>E625+E626</f>
        <v/>
      </c>
      <c r="F427" s="1713">
        <f>F625+F626</f>
        <v/>
      </c>
      <c r="G427" s="1713">
        <f>G625+G626</f>
        <v/>
      </c>
      <c r="H427" s="1564">
        <f>H625+H626</f>
        <v/>
      </c>
      <c r="I427" s="1564">
        <f>I625+I626</f>
        <v/>
      </c>
      <c r="J427" s="1564">
        <f>J625+J626</f>
        <v/>
      </c>
      <c r="K427" s="1564">
        <f>K625+K626</f>
        <v/>
      </c>
      <c r="L427" s="1713">
        <f>L625+L626</f>
        <v/>
      </c>
      <c r="M427" s="1564">
        <f>M625+M626</f>
        <v/>
      </c>
      <c r="N427" s="1564">
        <f>N625+N626</f>
        <v/>
      </c>
      <c r="O427" s="1564">
        <f>O625+O626</f>
        <v/>
      </c>
      <c r="P427" s="1564">
        <f>P625+P626</f>
        <v/>
      </c>
      <c r="Q427" s="1713">
        <f>Q625+Q626</f>
        <v/>
      </c>
      <c r="R427" s="1564">
        <f>R625+R626</f>
        <v/>
      </c>
      <c r="S427" s="1564">
        <f>S625+S626</f>
        <v/>
      </c>
      <c r="T427" s="1564">
        <f>T625+T626</f>
        <v/>
      </c>
      <c r="U427" s="1564">
        <f>U625+U626</f>
        <v/>
      </c>
      <c r="V427" s="1713">
        <f>V625+V626</f>
        <v/>
      </c>
      <c r="W427" s="1564">
        <f>W625+W626</f>
        <v/>
      </c>
      <c r="X427" s="1564">
        <f>X625+X626</f>
        <v/>
      </c>
      <c r="Y427" s="1564">
        <f>Y625+Y626</f>
        <v/>
      </c>
      <c r="Z427" s="1564">
        <f>Z625+Z626</f>
        <v/>
      </c>
      <c r="AA427" s="1713">
        <f>AA625+AA626</f>
        <v/>
      </c>
      <c r="AB427" s="1564">
        <f>AB625+AB626</f>
        <v/>
      </c>
      <c r="AC427" s="1564">
        <f>AC625+AC626</f>
        <v/>
      </c>
      <c r="AD427" s="1564">
        <f>AD625+AD626</f>
        <v/>
      </c>
      <c r="AE427" s="1564">
        <f>AE625+AE626</f>
        <v/>
      </c>
      <c r="AF427" s="1713">
        <f>AF625+AF626</f>
        <v/>
      </c>
      <c r="AG427" s="1564">
        <f>AG625+AG626</f>
        <v/>
      </c>
      <c r="AH427" s="1564">
        <f>AH625+AH626</f>
        <v/>
      </c>
      <c r="AI427" s="1564">
        <f>AI625+AI626</f>
        <v/>
      </c>
      <c r="AJ427" s="1564">
        <f>AJ625+AJ626</f>
        <v/>
      </c>
      <c r="AK427" s="1713">
        <f>AK625+AK626</f>
        <v/>
      </c>
      <c r="AL427" s="1564">
        <f>AL625+AL626</f>
        <v/>
      </c>
      <c r="AM427" s="1564">
        <f>AM625+AM626</f>
        <v/>
      </c>
      <c r="AN427" s="1564">
        <f>AN625+AN626</f>
        <v/>
      </c>
      <c r="AO427" s="1564">
        <f>AO625+AO626</f>
        <v/>
      </c>
      <c r="AP427" s="1713">
        <f>AP625+AP626</f>
        <v/>
      </c>
      <c r="AQ427" s="1564">
        <f>AQ625+AQ626</f>
        <v/>
      </c>
      <c r="AR427" s="1564">
        <f>AR625+AR626</f>
        <v/>
      </c>
      <c r="AS427" s="1564">
        <f>AS625+AS626</f>
        <v/>
      </c>
      <c r="AT427" s="1564">
        <f>AT625+AT626</f>
        <v/>
      </c>
      <c r="AU427" s="1713">
        <f>AU625+AU626</f>
        <v/>
      </c>
      <c r="AV427" s="1564">
        <f>AV625+AV626</f>
        <v/>
      </c>
      <c r="AW427" s="1564">
        <f>AW625+AW626</f>
        <v/>
      </c>
      <c r="AX427" s="1564">
        <f>AX625+AX626</f>
        <v/>
      </c>
      <c r="AY427" s="1564">
        <f>AY625+AY626</f>
        <v/>
      </c>
      <c r="AZ427" s="1713">
        <f>AZ625+AZ626</f>
        <v/>
      </c>
      <c r="BA427" s="1564">
        <f>BA625+BA626</f>
        <v/>
      </c>
      <c r="BB427" s="1564">
        <f>BB625+BB626</f>
        <v/>
      </c>
      <c r="BC427" s="1564">
        <f>BC625+BC626</f>
        <v/>
      </c>
      <c r="BD427" s="1564">
        <f>BD625+BD626</f>
        <v/>
      </c>
      <c r="BE427" s="1713">
        <f>BE625+BE626</f>
        <v/>
      </c>
      <c r="BF427" s="1564">
        <f>BF625+BF626</f>
        <v/>
      </c>
      <c r="BG427" s="1564">
        <f>BG625+BG626</f>
        <v/>
      </c>
      <c r="BH427" s="1564">
        <f>BH625+BH626</f>
        <v/>
      </c>
      <c r="BI427" s="1564">
        <f>BI625+BI626</f>
        <v/>
      </c>
      <c r="BJ427" s="1713">
        <f>BJ625+BJ626</f>
        <v/>
      </c>
      <c r="BK427" s="1564">
        <f>BK625+BK626</f>
        <v/>
      </c>
      <c r="BL427" s="1564">
        <f>BL625+BL626</f>
        <v/>
      </c>
      <c r="BM427" s="1564">
        <f>BM625+BM626</f>
        <v/>
      </c>
      <c r="BN427" s="1564">
        <f>BN625+BN626</f>
        <v/>
      </c>
      <c r="BO427" s="1715">
        <f>BO625+BO626</f>
        <v/>
      </c>
      <c r="BP427" s="1562">
        <f>BP625+BP626</f>
        <v/>
      </c>
      <c r="BQ427" s="1562">
        <f>BQ625+BQ626</f>
        <v/>
      </c>
      <c r="BR427" s="1562">
        <f>BR625+BR626</f>
        <v/>
      </c>
      <c r="BS427" s="1562">
        <f>BS625+BS626</f>
        <v/>
      </c>
      <c r="BT427" s="1637">
        <f>BT625+BT626</f>
        <v/>
      </c>
      <c r="BU427" s="1562">
        <f>BU625+BU626</f>
        <v/>
      </c>
      <c r="BV427" s="1562">
        <f>BV625+BV626</f>
        <v/>
      </c>
      <c r="BW427" s="1562">
        <f>BW625+BW626</f>
        <v/>
      </c>
      <c r="BX427" s="1562">
        <f>BX625+BX626</f>
        <v/>
      </c>
      <c r="BY427" s="1637">
        <f>BY625+BY626</f>
        <v/>
      </c>
      <c r="BZ427" s="1637">
        <f>BZ625+BZ626</f>
        <v/>
      </c>
      <c r="CA427" s="1637">
        <f>CA625+CA626</f>
        <v/>
      </c>
      <c r="CB427" s="1637">
        <f>CB625+CB626</f>
        <v/>
      </c>
      <c r="CC427" s="1564" t="n"/>
    </row>
    <row r="428" ht="15" customFormat="1" customHeight="1" s="1561">
      <c r="A428" s="1721" t="inlineStr">
        <is>
          <t>ST Debt</t>
        </is>
      </c>
      <c r="B428" s="1705" t="n"/>
      <c r="C428" s="1713">
        <f>C659</f>
        <v/>
      </c>
      <c r="D428" s="1713">
        <f>D659</f>
        <v/>
      </c>
      <c r="E428" s="1713">
        <f>E659</f>
        <v/>
      </c>
      <c r="F428" s="1713">
        <f>F659</f>
        <v/>
      </c>
      <c r="G428" s="1713">
        <f>G659</f>
        <v/>
      </c>
      <c r="H428" s="1564">
        <f>H659</f>
        <v/>
      </c>
      <c r="I428" s="1564">
        <f>I659</f>
        <v/>
      </c>
      <c r="J428" s="1564">
        <f>J659</f>
        <v/>
      </c>
      <c r="K428" s="1564">
        <f>K659</f>
        <v/>
      </c>
      <c r="L428" s="1713">
        <f>L659</f>
        <v/>
      </c>
      <c r="M428" s="1564">
        <f>M659</f>
        <v/>
      </c>
      <c r="N428" s="1564">
        <f>N659</f>
        <v/>
      </c>
      <c r="O428" s="1564">
        <f>O659</f>
        <v/>
      </c>
      <c r="P428" s="1564">
        <f>P659</f>
        <v/>
      </c>
      <c r="Q428" s="1713">
        <f>Q659</f>
        <v/>
      </c>
      <c r="R428" s="1564">
        <f>R659</f>
        <v/>
      </c>
      <c r="S428" s="1564">
        <f>S659</f>
        <v/>
      </c>
      <c r="T428" s="1564">
        <f>T659</f>
        <v/>
      </c>
      <c r="U428" s="1564">
        <f>U659</f>
        <v/>
      </c>
      <c r="V428" s="1713">
        <f>V659</f>
        <v/>
      </c>
      <c r="W428" s="1564">
        <f>W659</f>
        <v/>
      </c>
      <c r="X428" s="1564">
        <f>X659</f>
        <v/>
      </c>
      <c r="Y428" s="1564">
        <f>Y659</f>
        <v/>
      </c>
      <c r="Z428" s="1564">
        <f>Z659</f>
        <v/>
      </c>
      <c r="AA428" s="1713">
        <f>AA659</f>
        <v/>
      </c>
      <c r="AB428" s="1564">
        <f>AB659</f>
        <v/>
      </c>
      <c r="AC428" s="1564">
        <f>AC659</f>
        <v/>
      </c>
      <c r="AD428" s="1564">
        <f>AD659</f>
        <v/>
      </c>
      <c r="AE428" s="1564">
        <f>AE659</f>
        <v/>
      </c>
      <c r="AF428" s="1713">
        <f>AF659</f>
        <v/>
      </c>
      <c r="AG428" s="1564">
        <f>AG659</f>
        <v/>
      </c>
      <c r="AH428" s="1564">
        <f>AH659</f>
        <v/>
      </c>
      <c r="AI428" s="1564">
        <f>AI659</f>
        <v/>
      </c>
      <c r="AJ428" s="1564">
        <f>AJ659</f>
        <v/>
      </c>
      <c r="AK428" s="1713">
        <f>AK659</f>
        <v/>
      </c>
      <c r="AL428" s="1564">
        <f>AL659</f>
        <v/>
      </c>
      <c r="AM428" s="1564">
        <f>AM659</f>
        <v/>
      </c>
      <c r="AN428" s="1564">
        <f>AN659</f>
        <v/>
      </c>
      <c r="AO428" s="1564">
        <f>AO659</f>
        <v/>
      </c>
      <c r="AP428" s="1713">
        <f>AP659</f>
        <v/>
      </c>
      <c r="AQ428" s="1564">
        <f>AQ659</f>
        <v/>
      </c>
      <c r="AR428" s="1564">
        <f>AR659</f>
        <v/>
      </c>
      <c r="AS428" s="1564">
        <f>AS659</f>
        <v/>
      </c>
      <c r="AT428" s="1564">
        <f>AT659</f>
        <v/>
      </c>
      <c r="AU428" s="1713">
        <f>AU659</f>
        <v/>
      </c>
      <c r="AV428" s="1564">
        <f>AV659</f>
        <v/>
      </c>
      <c r="AW428" s="1564">
        <f>AW659</f>
        <v/>
      </c>
      <c r="AX428" s="1564">
        <f>AX659</f>
        <v/>
      </c>
      <c r="AY428" s="1564">
        <f>AY659</f>
        <v/>
      </c>
      <c r="AZ428" s="1713">
        <f>AZ659</f>
        <v/>
      </c>
      <c r="BA428" s="1564">
        <f>BA659</f>
        <v/>
      </c>
      <c r="BB428" s="1564">
        <f>BB659</f>
        <v/>
      </c>
      <c r="BC428" s="1564">
        <f>BC659</f>
        <v/>
      </c>
      <c r="BD428" s="1564">
        <f>BD659</f>
        <v/>
      </c>
      <c r="BE428" s="1713">
        <f>BE659</f>
        <v/>
      </c>
      <c r="BF428" s="1564">
        <f>BF659</f>
        <v/>
      </c>
      <c r="BG428" s="1564">
        <f>BG659</f>
        <v/>
      </c>
      <c r="BH428" s="1564">
        <f>BH659</f>
        <v/>
      </c>
      <c r="BI428" s="1564">
        <f>BI659</f>
        <v/>
      </c>
      <c r="BJ428" s="1713">
        <f>BJ659</f>
        <v/>
      </c>
      <c r="BK428" s="1564">
        <f>BK659</f>
        <v/>
      </c>
      <c r="BL428" s="1564">
        <f>BL659</f>
        <v/>
      </c>
      <c r="BM428" s="1564">
        <f>BM659</f>
        <v/>
      </c>
      <c r="BN428" s="1564">
        <f>BN659</f>
        <v/>
      </c>
      <c r="BO428" s="1715">
        <f>BO659</f>
        <v/>
      </c>
      <c r="BP428" s="1562">
        <f>BP430-BP429</f>
        <v/>
      </c>
      <c r="BQ428" s="1562">
        <f>BQ430-BQ429</f>
        <v/>
      </c>
      <c r="BR428" s="1562">
        <f>BR430-BR429</f>
        <v/>
      </c>
      <c r="BS428" s="1562">
        <f>BS430-BS429</f>
        <v/>
      </c>
      <c r="BT428" s="1637">
        <f>BT659</f>
        <v/>
      </c>
      <c r="BU428" s="1562">
        <f>BU430-BU429</f>
        <v/>
      </c>
      <c r="BV428" s="1562">
        <f>BV430-BV429</f>
        <v/>
      </c>
      <c r="BW428" s="1562">
        <f>BW430-BW429</f>
        <v/>
      </c>
      <c r="BX428" s="1562">
        <f>BX430-BX429</f>
        <v/>
      </c>
      <c r="BY428" s="1637">
        <f>BY659</f>
        <v/>
      </c>
      <c r="BZ428" s="1637">
        <f>BZ430-BZ429</f>
        <v/>
      </c>
      <c r="CA428" s="1637">
        <f>CA430-CA429</f>
        <v/>
      </c>
      <c r="CB428" s="1637">
        <f>CB430-CB429</f>
        <v/>
      </c>
      <c r="CC428" s="1564" t="n"/>
    </row>
    <row r="429" ht="15" customFormat="1" customHeight="1" s="1561">
      <c r="A429" s="1914" t="inlineStr">
        <is>
          <t>LT Debt</t>
        </is>
      </c>
      <c r="B429" s="1882" t="n"/>
      <c r="C429" s="1915">
        <f>C667</f>
        <v/>
      </c>
      <c r="D429" s="1915">
        <f>D667</f>
        <v/>
      </c>
      <c r="E429" s="1915">
        <f>E667</f>
        <v/>
      </c>
      <c r="F429" s="1915">
        <f>F667</f>
        <v/>
      </c>
      <c r="G429" s="1915">
        <f>G667</f>
        <v/>
      </c>
      <c r="H429" s="1916">
        <f>H667</f>
        <v/>
      </c>
      <c r="I429" s="1916">
        <f>I667</f>
        <v/>
      </c>
      <c r="J429" s="1916">
        <f>J667</f>
        <v/>
      </c>
      <c r="K429" s="1916">
        <f>K667</f>
        <v/>
      </c>
      <c r="L429" s="1915">
        <f>L667</f>
        <v/>
      </c>
      <c r="M429" s="1916">
        <f>M667</f>
        <v/>
      </c>
      <c r="N429" s="1916">
        <f>N667</f>
        <v/>
      </c>
      <c r="O429" s="1916">
        <f>O667</f>
        <v/>
      </c>
      <c r="P429" s="1916">
        <f>P667</f>
        <v/>
      </c>
      <c r="Q429" s="1915">
        <f>Q667</f>
        <v/>
      </c>
      <c r="R429" s="1916">
        <f>R667</f>
        <v/>
      </c>
      <c r="S429" s="1916">
        <f>S667</f>
        <v/>
      </c>
      <c r="T429" s="1916">
        <f>T667</f>
        <v/>
      </c>
      <c r="U429" s="1916">
        <f>U667</f>
        <v/>
      </c>
      <c r="V429" s="1915">
        <f>V667</f>
        <v/>
      </c>
      <c r="W429" s="1916">
        <f>W667</f>
        <v/>
      </c>
      <c r="X429" s="1916">
        <f>X667</f>
        <v/>
      </c>
      <c r="Y429" s="1916">
        <f>Y667</f>
        <v/>
      </c>
      <c r="Z429" s="1916">
        <f>Z667</f>
        <v/>
      </c>
      <c r="AA429" s="1915">
        <f>AA667</f>
        <v/>
      </c>
      <c r="AB429" s="1916">
        <f>AB667</f>
        <v/>
      </c>
      <c r="AC429" s="1916">
        <f>AC667</f>
        <v/>
      </c>
      <c r="AD429" s="1916">
        <f>AD667</f>
        <v/>
      </c>
      <c r="AE429" s="1916">
        <f>AE667</f>
        <v/>
      </c>
      <c r="AF429" s="1915">
        <f>AF667</f>
        <v/>
      </c>
      <c r="AG429" s="1916">
        <f>AG667</f>
        <v/>
      </c>
      <c r="AH429" s="1916">
        <f>AH667</f>
        <v/>
      </c>
      <c r="AI429" s="1916">
        <f>AI667</f>
        <v/>
      </c>
      <c r="AJ429" s="1916">
        <f>AJ667</f>
        <v/>
      </c>
      <c r="AK429" s="1915">
        <f>AK667</f>
        <v/>
      </c>
      <c r="AL429" s="1916">
        <f>AL667</f>
        <v/>
      </c>
      <c r="AM429" s="1916">
        <f>AM667</f>
        <v/>
      </c>
      <c r="AN429" s="1916">
        <f>AN667</f>
        <v/>
      </c>
      <c r="AO429" s="1916">
        <f>AO667</f>
        <v/>
      </c>
      <c r="AP429" s="1915">
        <f>AP667</f>
        <v/>
      </c>
      <c r="AQ429" s="1916">
        <f>AQ667</f>
        <v/>
      </c>
      <c r="AR429" s="1916">
        <f>AR667</f>
        <v/>
      </c>
      <c r="AS429" s="1916">
        <f>AS667</f>
        <v/>
      </c>
      <c r="AT429" s="1916">
        <f>AT667</f>
        <v/>
      </c>
      <c r="AU429" s="1915">
        <f>AU667</f>
        <v/>
      </c>
      <c r="AV429" s="1916">
        <f>AV667</f>
        <v/>
      </c>
      <c r="AW429" s="1916">
        <f>AW667</f>
        <v/>
      </c>
      <c r="AX429" s="1916">
        <f>AX667</f>
        <v/>
      </c>
      <c r="AY429" s="1916">
        <f>AY667</f>
        <v/>
      </c>
      <c r="AZ429" s="1915">
        <f>AZ667</f>
        <v/>
      </c>
      <c r="BA429" s="1916">
        <f>BA667</f>
        <v/>
      </c>
      <c r="BB429" s="1916">
        <f>BB667</f>
        <v/>
      </c>
      <c r="BC429" s="1916">
        <f>BC667</f>
        <v/>
      </c>
      <c r="BD429" s="1916">
        <f>BD667</f>
        <v/>
      </c>
      <c r="BE429" s="1915">
        <f>BE667</f>
        <v/>
      </c>
      <c r="BF429" s="1916">
        <f>BF667</f>
        <v/>
      </c>
      <c r="BG429" s="1916">
        <f>BG667</f>
        <v/>
      </c>
      <c r="BH429" s="1916">
        <f>BH667</f>
        <v/>
      </c>
      <c r="BI429" s="1916">
        <f>BI667</f>
        <v/>
      </c>
      <c r="BJ429" s="1915">
        <f>BJ667</f>
        <v/>
      </c>
      <c r="BK429" s="1916">
        <f>BK667</f>
        <v/>
      </c>
      <c r="BL429" s="1916">
        <f>BL667</f>
        <v/>
      </c>
      <c r="BM429" s="1916">
        <f>BM667</f>
        <v/>
      </c>
      <c r="BN429" s="1916">
        <f>BN667</f>
        <v/>
      </c>
      <c r="BO429" s="1917">
        <f>BO667</f>
        <v/>
      </c>
      <c r="BP429" s="1884">
        <f>MAX(0,BO429+BP410)</f>
        <v/>
      </c>
      <c r="BQ429" s="1884">
        <f>MAX(0,BP429+BQ410)</f>
        <v/>
      </c>
      <c r="BR429" s="1884">
        <f>MAX(0,BQ429+BR410)</f>
        <v/>
      </c>
      <c r="BS429" s="1884">
        <f>MAX(0,BR429+BS410)</f>
        <v/>
      </c>
      <c r="BT429" s="1883">
        <f>BT667</f>
        <v/>
      </c>
      <c r="BU429" s="1884">
        <f>MAX(0,BT429+BU410)</f>
        <v/>
      </c>
      <c r="BV429" s="1884">
        <f>MAX(0,BU429+BV410)</f>
        <v/>
      </c>
      <c r="BW429" s="1884">
        <f>MAX(0,BV429+BW410)</f>
        <v/>
      </c>
      <c r="BX429" s="1884">
        <f>MAX(0,BW429+BX410)</f>
        <v/>
      </c>
      <c r="BY429" s="1883">
        <f>BY667</f>
        <v/>
      </c>
      <c r="BZ429" s="1883">
        <f>MAX(0,BY429+BZ410)</f>
        <v/>
      </c>
      <c r="CA429" s="1883">
        <f>MAX(0,BZ429+CA410)</f>
        <v/>
      </c>
      <c r="CB429" s="1883">
        <f>MAX(0,CA429+CB410)</f>
        <v/>
      </c>
      <c r="CC429" s="1564" t="n"/>
    </row>
    <row r="430" ht="15" customFormat="1" customHeight="1" s="1561">
      <c r="A430" s="1564" t="inlineStr">
        <is>
          <t>Debt</t>
        </is>
      </c>
      <c r="B430" s="1705" t="n"/>
      <c r="C430" s="1713">
        <f>C659+C667</f>
        <v/>
      </c>
      <c r="D430" s="1713">
        <f>D659+D667</f>
        <v/>
      </c>
      <c r="E430" s="1713">
        <f>E659+E667</f>
        <v/>
      </c>
      <c r="F430" s="1713">
        <f>F659+F667</f>
        <v/>
      </c>
      <c r="G430" s="1713">
        <f>G659+G667</f>
        <v/>
      </c>
      <c r="H430" s="1564">
        <f>H659+H667</f>
        <v/>
      </c>
      <c r="I430" s="1564">
        <f>I659+I667</f>
        <v/>
      </c>
      <c r="J430" s="1564">
        <f>J659+J667</f>
        <v/>
      </c>
      <c r="K430" s="1564">
        <f>K659+K667</f>
        <v/>
      </c>
      <c r="L430" s="1713">
        <f>L659+L667</f>
        <v/>
      </c>
      <c r="M430" s="1564">
        <f>M659+M667</f>
        <v/>
      </c>
      <c r="N430" s="1564">
        <f>N659+N667</f>
        <v/>
      </c>
      <c r="O430" s="1564">
        <f>O659+O667</f>
        <v/>
      </c>
      <c r="P430" s="1564">
        <f>P659+P667</f>
        <v/>
      </c>
      <c r="Q430" s="1713">
        <f>Q659+Q667</f>
        <v/>
      </c>
      <c r="R430" s="1564">
        <f>R659+R667</f>
        <v/>
      </c>
      <c r="S430" s="1564">
        <f>S659+S667</f>
        <v/>
      </c>
      <c r="T430" s="1564">
        <f>T659+T667</f>
        <v/>
      </c>
      <c r="U430" s="1564">
        <f>U659+U667</f>
        <v/>
      </c>
      <c r="V430" s="1713">
        <f>V659+V667</f>
        <v/>
      </c>
      <c r="W430" s="1564">
        <f>W659+W667</f>
        <v/>
      </c>
      <c r="X430" s="1564">
        <f>X659+X667</f>
        <v/>
      </c>
      <c r="Y430" s="1564">
        <f>Y659+Y667</f>
        <v/>
      </c>
      <c r="Z430" s="1564">
        <f>Z659+Z667</f>
        <v/>
      </c>
      <c r="AA430" s="1713">
        <f>AA659+AA667</f>
        <v/>
      </c>
      <c r="AB430" s="1564">
        <f>AB659+AB667</f>
        <v/>
      </c>
      <c r="AC430" s="1564">
        <f>AC659+AC667</f>
        <v/>
      </c>
      <c r="AD430" s="1564">
        <f>AD659+AD667</f>
        <v/>
      </c>
      <c r="AE430" s="1564">
        <f>AE659+AE667</f>
        <v/>
      </c>
      <c r="AF430" s="1713">
        <f>AF659+AF667</f>
        <v/>
      </c>
      <c r="AG430" s="1564">
        <f>AG659+AG667</f>
        <v/>
      </c>
      <c r="AH430" s="1564">
        <f>AH659+AH667</f>
        <v/>
      </c>
      <c r="AI430" s="1564">
        <f>AI659+AI667</f>
        <v/>
      </c>
      <c r="AJ430" s="1564">
        <f>AJ659+AJ667</f>
        <v/>
      </c>
      <c r="AK430" s="1713">
        <f>AK659+AK667</f>
        <v/>
      </c>
      <c r="AL430" s="1564">
        <f>AL659+AL667</f>
        <v/>
      </c>
      <c r="AM430" s="1564">
        <f>AM659+AM667</f>
        <v/>
      </c>
      <c r="AN430" s="1564">
        <f>AN659+AN667</f>
        <v/>
      </c>
      <c r="AO430" s="1564">
        <f>AO659+AO667</f>
        <v/>
      </c>
      <c r="AP430" s="1713">
        <f>AP659+AP667</f>
        <v/>
      </c>
      <c r="AQ430" s="1564">
        <f>AQ659+AQ667</f>
        <v/>
      </c>
      <c r="AR430" s="1564">
        <f>AR659+AR667</f>
        <v/>
      </c>
      <c r="AS430" s="1564">
        <f>AS659+AS667</f>
        <v/>
      </c>
      <c r="AT430" s="1564">
        <f>AT659+AT667</f>
        <v/>
      </c>
      <c r="AU430" s="1713">
        <f>AU659+AU667</f>
        <v/>
      </c>
      <c r="AV430" s="1564">
        <f>AV659+AV667</f>
        <v/>
      </c>
      <c r="AW430" s="1564">
        <f>AW659+AW667</f>
        <v/>
      </c>
      <c r="AX430" s="1564">
        <f>AX659+AX667</f>
        <v/>
      </c>
      <c r="AY430" s="1564">
        <f>AY659+AY667</f>
        <v/>
      </c>
      <c r="AZ430" s="1713">
        <f>AZ659+AZ667</f>
        <v/>
      </c>
      <c r="BA430" s="1564">
        <f>BA659+BA667</f>
        <v/>
      </c>
      <c r="BB430" s="1564">
        <f>BB659+BB667</f>
        <v/>
      </c>
      <c r="BC430" s="1564">
        <f>BC659+BC667</f>
        <v/>
      </c>
      <c r="BD430" s="1564">
        <f>BD659+BD667</f>
        <v/>
      </c>
      <c r="BE430" s="1713">
        <f>BE659+BE667</f>
        <v/>
      </c>
      <c r="BF430" s="1564">
        <f>BF659+BF667</f>
        <v/>
      </c>
      <c r="BG430" s="1564">
        <f>BG659+BG667</f>
        <v/>
      </c>
      <c r="BH430" s="1564">
        <f>BH659+BH667</f>
        <v/>
      </c>
      <c r="BI430" s="1564">
        <f>BI659+BI667</f>
        <v/>
      </c>
      <c r="BJ430" s="1713">
        <f>BJ659+BJ667</f>
        <v/>
      </c>
      <c r="BK430" s="1564">
        <f>BK659+BK667</f>
        <v/>
      </c>
      <c r="BL430" s="1564">
        <f>BL659+BL667</f>
        <v/>
      </c>
      <c r="BM430" s="1564">
        <f>BM659+BM667</f>
        <v/>
      </c>
      <c r="BN430" s="1564">
        <f>BN659+BN667</f>
        <v/>
      </c>
      <c r="BO430" s="1715">
        <f>BO659+BO667</f>
        <v/>
      </c>
      <c r="BP430" s="1562">
        <f>BO430+BP410</f>
        <v/>
      </c>
      <c r="BQ430" s="1562">
        <f>BP430+BQ410</f>
        <v/>
      </c>
      <c r="BR430" s="1562">
        <f>BQ430+BR410</f>
        <v/>
      </c>
      <c r="BS430" s="1562">
        <f>BR430+BS410</f>
        <v/>
      </c>
      <c r="BT430" s="1637">
        <f>BT659+BT667</f>
        <v/>
      </c>
      <c r="BU430" s="1562">
        <f>BT430+BU410</f>
        <v/>
      </c>
      <c r="BV430" s="1562">
        <f>BU430+BV410</f>
        <v/>
      </c>
      <c r="BW430" s="1562">
        <f>BV430+BW410</f>
        <v/>
      </c>
      <c r="BX430" s="1562">
        <f>BW430+BX410</f>
        <v/>
      </c>
      <c r="BY430" s="1637">
        <f>BY659+BY667</f>
        <v/>
      </c>
      <c r="BZ430" s="1637">
        <f>BY430+BZ410</f>
        <v/>
      </c>
      <c r="CA430" s="1637">
        <f>BZ430+CA410</f>
        <v/>
      </c>
      <c r="CB430" s="1637">
        <f>CA430+CB410</f>
        <v/>
      </c>
      <c r="CC430" s="1564" t="n"/>
    </row>
    <row r="431" ht="15" customFormat="1" customHeight="1" s="1561">
      <c r="A431" s="1564" t="inlineStr">
        <is>
          <t>Net Debt</t>
        </is>
      </c>
      <c r="B431" s="1705" t="n"/>
      <c r="C431" s="1713">
        <f>C430-C427</f>
        <v/>
      </c>
      <c r="D431" s="1713">
        <f>D430-D427</f>
        <v/>
      </c>
      <c r="E431" s="1713">
        <f>E430-E427</f>
        <v/>
      </c>
      <c r="F431" s="1713">
        <f>F430-F427</f>
        <v/>
      </c>
      <c r="G431" s="1713">
        <f>G430-G427</f>
        <v/>
      </c>
      <c r="H431" s="1564">
        <f>H430-H427</f>
        <v/>
      </c>
      <c r="I431" s="1564">
        <f>I430-I427</f>
        <v/>
      </c>
      <c r="J431" s="1564">
        <f>J430-J427</f>
        <v/>
      </c>
      <c r="K431" s="1564">
        <f>K430-K427</f>
        <v/>
      </c>
      <c r="L431" s="1713">
        <f>L430-L427</f>
        <v/>
      </c>
      <c r="M431" s="1564">
        <f>M430-M427</f>
        <v/>
      </c>
      <c r="N431" s="1564">
        <f>N430-N427</f>
        <v/>
      </c>
      <c r="O431" s="1564">
        <f>O430-O427</f>
        <v/>
      </c>
      <c r="P431" s="1564">
        <f>P430-P427</f>
        <v/>
      </c>
      <c r="Q431" s="1713">
        <f>Q430-Q427</f>
        <v/>
      </c>
      <c r="R431" s="1564">
        <f>R430-R427</f>
        <v/>
      </c>
      <c r="S431" s="1564">
        <f>S430-S427</f>
        <v/>
      </c>
      <c r="T431" s="1564">
        <f>T430-T427</f>
        <v/>
      </c>
      <c r="U431" s="1564">
        <f>U430-U427</f>
        <v/>
      </c>
      <c r="V431" s="1713">
        <f>V430-V427</f>
        <v/>
      </c>
      <c r="W431" s="1564">
        <f>W430-W427</f>
        <v/>
      </c>
      <c r="X431" s="1564">
        <f>X430-X427</f>
        <v/>
      </c>
      <c r="Y431" s="1564">
        <f>Y430-Y427</f>
        <v/>
      </c>
      <c r="Z431" s="1564">
        <f>Z430-Z427</f>
        <v/>
      </c>
      <c r="AA431" s="1713">
        <f>AA430-AA427</f>
        <v/>
      </c>
      <c r="AB431" s="1564">
        <f>AB430-AB427</f>
        <v/>
      </c>
      <c r="AC431" s="1564">
        <f>AC430-AC427</f>
        <v/>
      </c>
      <c r="AD431" s="1564">
        <f>AD430-AD427</f>
        <v/>
      </c>
      <c r="AE431" s="1564">
        <f>AE430-AE427</f>
        <v/>
      </c>
      <c r="AF431" s="1713">
        <f>AF430-AF427</f>
        <v/>
      </c>
      <c r="AG431" s="1564">
        <f>AG430-AG427</f>
        <v/>
      </c>
      <c r="AH431" s="1564">
        <f>AH430-AH427</f>
        <v/>
      </c>
      <c r="AI431" s="1564">
        <f>AI430-AI427</f>
        <v/>
      </c>
      <c r="AJ431" s="1564">
        <f>AJ430-AJ427</f>
        <v/>
      </c>
      <c r="AK431" s="1713">
        <f>AK430-AK427</f>
        <v/>
      </c>
      <c r="AL431" s="1564">
        <f>AL430-AL427</f>
        <v/>
      </c>
      <c r="AM431" s="1564">
        <f>AM430-AM427</f>
        <v/>
      </c>
      <c r="AN431" s="1564">
        <f>AN430-AN427</f>
        <v/>
      </c>
      <c r="AO431" s="1564">
        <f>AO430-AO427</f>
        <v/>
      </c>
      <c r="AP431" s="1713">
        <f>AP430-AP427</f>
        <v/>
      </c>
      <c r="AQ431" s="1564">
        <f>AQ430-AQ427</f>
        <v/>
      </c>
      <c r="AR431" s="1564">
        <f>AR430-AR427</f>
        <v/>
      </c>
      <c r="AS431" s="1564">
        <f>AS430-AS427</f>
        <v/>
      </c>
      <c r="AT431" s="1564">
        <f>AT430-AT427</f>
        <v/>
      </c>
      <c r="AU431" s="1713">
        <f>AU430-AU427</f>
        <v/>
      </c>
      <c r="AV431" s="1564">
        <f>AV430-AV427</f>
        <v/>
      </c>
      <c r="AW431" s="1564">
        <f>AW430-AW427</f>
        <v/>
      </c>
      <c r="AX431" s="1564">
        <f>AX430-AX427</f>
        <v/>
      </c>
      <c r="AY431" s="1564">
        <f>AY430-AY427</f>
        <v/>
      </c>
      <c r="AZ431" s="1713">
        <f>AZ430-AZ427</f>
        <v/>
      </c>
      <c r="BA431" s="1564">
        <f>BA430-BA427</f>
        <v/>
      </c>
      <c r="BB431" s="1564">
        <f>BB430-BB427</f>
        <v/>
      </c>
      <c r="BC431" s="1564">
        <f>BC430-BC427</f>
        <v/>
      </c>
      <c r="BD431" s="1564">
        <f>BD430-BD427</f>
        <v/>
      </c>
      <c r="BE431" s="1713">
        <f>BE430-BE427</f>
        <v/>
      </c>
      <c r="BF431" s="1564">
        <f>BF430-BF427</f>
        <v/>
      </c>
      <c r="BG431" s="1564">
        <f>BG430-BG427</f>
        <v/>
      </c>
      <c r="BH431" s="1564">
        <f>BH430-BH427</f>
        <v/>
      </c>
      <c r="BI431" s="1564">
        <f>BI430-BI427</f>
        <v/>
      </c>
      <c r="BJ431" s="1713">
        <f>BJ430-BJ427</f>
        <v/>
      </c>
      <c r="BK431" s="1564">
        <f>BK430-BK427</f>
        <v/>
      </c>
      <c r="BL431" s="1564">
        <f>BL430-BL427</f>
        <v/>
      </c>
      <c r="BM431" s="1564">
        <f>BM430-BM427</f>
        <v/>
      </c>
      <c r="BN431" s="1564">
        <f>BN430-BN427</f>
        <v/>
      </c>
      <c r="BO431" s="1715">
        <f>BO430-BO427</f>
        <v/>
      </c>
      <c r="BP431" s="1562">
        <f>BP430-BP427</f>
        <v/>
      </c>
      <c r="BQ431" s="1562">
        <f>BQ430-BQ427</f>
        <v/>
      </c>
      <c r="BR431" s="1562">
        <f>BR430-BR427</f>
        <v/>
      </c>
      <c r="BS431" s="1562">
        <f>BS430-BS427</f>
        <v/>
      </c>
      <c r="BT431" s="1637">
        <f>BT430-BT427</f>
        <v/>
      </c>
      <c r="BU431" s="1562">
        <f>BU430-BU427</f>
        <v/>
      </c>
      <c r="BV431" s="1562">
        <f>BV430-BV427</f>
        <v/>
      </c>
      <c r="BW431" s="1562">
        <f>BW430-BW427</f>
        <v/>
      </c>
      <c r="BX431" s="1562">
        <f>BX430-BX427</f>
        <v/>
      </c>
      <c r="BY431" s="1637">
        <f>BY430-BY427</f>
        <v/>
      </c>
      <c r="BZ431" s="1637">
        <f>BZ430-BZ427</f>
        <v/>
      </c>
      <c r="CA431" s="1637">
        <f>CA430-CA427</f>
        <v/>
      </c>
      <c r="CB431" s="1637">
        <f>CB430-CB427</f>
        <v/>
      </c>
      <c r="CC431" s="1564" t="n"/>
    </row>
    <row r="432" ht="15" customFormat="1" customHeight="1" s="1561">
      <c r="A432" s="1562" t="n"/>
      <c r="B432" s="1705" t="n"/>
      <c r="C432" s="1637" t="n"/>
      <c r="D432" s="1637" t="n"/>
      <c r="E432" s="1637" t="n"/>
      <c r="F432" s="1637" t="n"/>
      <c r="G432" s="1637" t="n"/>
      <c r="H432" s="1562" t="n"/>
      <c r="I432" s="1562" t="n"/>
      <c r="J432" s="1562" t="n"/>
      <c r="K432" s="1562" t="n"/>
      <c r="L432" s="1637" t="n"/>
      <c r="M432" s="1562" t="n"/>
      <c r="N432" s="1562" t="n"/>
      <c r="O432" s="1562" t="n"/>
      <c r="P432" s="1562" t="n"/>
      <c r="Q432" s="1637" t="n"/>
      <c r="R432" s="1562" t="n"/>
      <c r="S432" s="1562" t="n"/>
      <c r="T432" s="1562" t="n"/>
      <c r="U432" s="1562" t="n"/>
      <c r="V432" s="1637" t="n"/>
      <c r="W432" s="1562" t="n"/>
      <c r="X432" s="1562" t="n"/>
      <c r="Y432" s="1562" t="n"/>
      <c r="Z432" s="1562" t="n"/>
      <c r="AA432" s="1637" t="n"/>
      <c r="AB432" s="1562" t="n"/>
      <c r="AC432" s="1562" t="n"/>
      <c r="AD432" s="1562" t="n"/>
      <c r="AE432" s="1562" t="n"/>
      <c r="AF432" s="1637" t="n"/>
      <c r="AG432" s="1562" t="n"/>
      <c r="AH432" s="1562" t="n"/>
      <c r="AI432" s="1562" t="n"/>
      <c r="AJ432" s="1562" t="n"/>
      <c r="AK432" s="1637" t="n"/>
      <c r="AL432" s="1562" t="n"/>
      <c r="AM432" s="1562" t="n"/>
      <c r="AN432" s="1562" t="n"/>
      <c r="AO432" s="1562" t="n"/>
      <c r="AP432" s="1637" t="n"/>
      <c r="AQ432" s="1562" t="n"/>
      <c r="AR432" s="1562" t="n"/>
      <c r="AS432" s="1562" t="n"/>
      <c r="AT432" s="1562" t="n"/>
      <c r="AU432" s="1637" t="n"/>
      <c r="AV432" s="1562" t="n"/>
      <c r="AW432" s="1562" t="n"/>
      <c r="AX432" s="1562" t="n"/>
      <c r="AY432" s="1562" t="n"/>
      <c r="AZ432" s="1637" t="n"/>
      <c r="BA432" s="1562" t="n"/>
      <c r="BB432" s="1562" t="n"/>
      <c r="BC432" s="1562" t="n"/>
      <c r="BD432" s="1562" t="n"/>
      <c r="BE432" s="1637" t="n"/>
      <c r="BF432" s="1562" t="n"/>
      <c r="BG432" s="1562" t="n"/>
      <c r="BH432" s="1562" t="n"/>
      <c r="BI432" s="1562" t="n"/>
      <c r="BJ432" s="1637" t="n"/>
      <c r="BK432" s="1562" t="n"/>
      <c r="BL432" s="1562" t="n"/>
      <c r="BM432" s="1562" t="n"/>
      <c r="BN432" s="1562" t="n"/>
      <c r="BO432" s="1638" t="n"/>
      <c r="BP432" s="1562" t="n"/>
      <c r="BQ432" s="1562" t="n"/>
      <c r="BR432" s="1562" t="n"/>
      <c r="BS432" s="1562" t="n"/>
      <c r="BT432" s="1637" t="n"/>
      <c r="BU432" s="1562" t="n"/>
      <c r="BV432" s="1562" t="n"/>
      <c r="BW432" s="1562" t="n"/>
      <c r="BX432" s="1562" t="n"/>
      <c r="BY432" s="1637" t="n"/>
      <c r="BZ432" s="1637" t="n"/>
      <c r="CA432" s="1637" t="n"/>
      <c r="CB432" s="1637" t="n"/>
      <c r="CC432" s="1564" t="n"/>
    </row>
    <row r="433" ht="15" customFormat="1" customHeight="1" s="1561">
      <c r="A433" s="1564" t="inlineStr">
        <is>
          <t>Interest Expense</t>
        </is>
      </c>
      <c r="B433" s="1705" t="n"/>
      <c r="C433" s="1624">
        <f>-C309</f>
        <v/>
      </c>
      <c r="D433" s="1624">
        <f>-D309</f>
        <v/>
      </c>
      <c r="E433" s="1624">
        <f>-E309</f>
        <v/>
      </c>
      <c r="F433" s="1624">
        <f>-F309</f>
        <v/>
      </c>
      <c r="G433" s="1624">
        <f>-G309</f>
        <v/>
      </c>
      <c r="H433" s="1626" t="n"/>
      <c r="I433" s="1626" t="n"/>
      <c r="J433" s="1626" t="n"/>
      <c r="K433" s="1626" t="n"/>
      <c r="L433" s="1624">
        <f>-L309</f>
        <v/>
      </c>
      <c r="M433" s="1626" t="n"/>
      <c r="N433" s="1626" t="n"/>
      <c r="O433" s="1626" t="n"/>
      <c r="P433" s="1626" t="n"/>
      <c r="Q433" s="1624">
        <f>-Q309</f>
        <v/>
      </c>
      <c r="R433" s="1626" t="n"/>
      <c r="S433" s="1626" t="n"/>
      <c r="T433" s="1626" t="n"/>
      <c r="U433" s="1626" t="n"/>
      <c r="V433" s="1624">
        <f>-V309</f>
        <v/>
      </c>
      <c r="W433" s="1626" t="n"/>
      <c r="X433" s="1626" t="n"/>
      <c r="Y433" s="1626" t="n"/>
      <c r="Z433" s="1626" t="n"/>
      <c r="AA433" s="1624">
        <f>-AA309</f>
        <v/>
      </c>
      <c r="AB433" s="1626" t="n"/>
      <c r="AC433" s="1626" t="n"/>
      <c r="AD433" s="1626" t="n"/>
      <c r="AE433" s="1626" t="n"/>
      <c r="AF433" s="1624">
        <f>-AF309</f>
        <v/>
      </c>
      <c r="AG433" s="1626" t="n"/>
      <c r="AH433" s="1626" t="n"/>
      <c r="AI433" s="1626" t="n"/>
      <c r="AJ433" s="1626" t="n"/>
      <c r="AK433" s="1624">
        <f>-AK309</f>
        <v/>
      </c>
      <c r="AL433" s="1626" t="n"/>
      <c r="AM433" s="1626" t="n"/>
      <c r="AN433" s="1626" t="n"/>
      <c r="AO433" s="1626" t="n"/>
      <c r="AP433" s="1624">
        <f>-AP309</f>
        <v/>
      </c>
      <c r="AQ433" s="1626" t="n"/>
      <c r="AR433" s="1626" t="n"/>
      <c r="AS433" s="1626" t="n"/>
      <c r="AT433" s="1626" t="n"/>
      <c r="AU433" s="1624">
        <f>-AU309</f>
        <v/>
      </c>
      <c r="AV433" s="1626" t="n"/>
      <c r="AW433" s="1626" t="n"/>
      <c r="AX433" s="1626" t="n"/>
      <c r="AY433" s="1626" t="n"/>
      <c r="AZ433" s="1624">
        <f>-AZ309</f>
        <v/>
      </c>
      <c r="BA433" s="1626" t="n"/>
      <c r="BB433" s="1626" t="n"/>
      <c r="BC433" s="1626" t="n"/>
      <c r="BD433" s="1626" t="n"/>
      <c r="BE433" s="1624">
        <f>-BE309</f>
        <v/>
      </c>
      <c r="BF433" s="1626" t="n"/>
      <c r="BG433" s="1626" t="n"/>
      <c r="BH433" s="1626" t="n"/>
      <c r="BI433" s="1626" t="n"/>
      <c r="BJ433" s="1624">
        <f>-BJ309</f>
        <v/>
      </c>
      <c r="BK433" s="1626" t="n"/>
      <c r="BL433" s="1626" t="n"/>
      <c r="BM433" s="1626" t="n"/>
      <c r="BN433" s="1626" t="n"/>
      <c r="BO433" s="1627">
        <f>-BO309</f>
        <v/>
      </c>
      <c r="BP433" s="1626">
        <f>MAX(0,BP434*AVERAGE(BO430,BP430)*BP3/BT3)</f>
        <v/>
      </c>
      <c r="BQ433" s="1626">
        <f>MAX(0,BQ434*AVERAGE(BP430,BQ430)*BQ3/BT3)</f>
        <v/>
      </c>
      <c r="BR433" s="1626">
        <f>MAX(0,BR434*AVERAGE(BQ430,BR430)*BR3/BT3)</f>
        <v/>
      </c>
      <c r="BS433" s="1626">
        <f>MAX(0,BS434*AVERAGE(BR430,BS430)*BS3/BT3)</f>
        <v/>
      </c>
      <c r="BT433" s="1624">
        <f>IF(OR(ISBLANK(BP433),ISBLANK(BQ433),ISBLANK(BR433),ISBLANK(BS433)),"n/a",SUM(BP433,BQ433,BR433,BS433))</f>
        <v/>
      </c>
      <c r="BU433" s="1626">
        <f>MAX(0,BU434*AVERAGE(BT430,BU430)*BU3/BY3)</f>
        <v/>
      </c>
      <c r="BV433" s="1626">
        <f>MAX(0,BV434*AVERAGE(BU430,BV430)*BV3/BY3)</f>
        <v/>
      </c>
      <c r="BW433" s="1626">
        <f>MAX(0,BW434*AVERAGE(BV430,BW430)*BW3/BY3)</f>
        <v/>
      </c>
      <c r="BX433" s="1626">
        <f>MAX(0,BX434*AVERAGE(BW430,BX430)*BX3/BY3)</f>
        <v/>
      </c>
      <c r="BY433" s="1624">
        <f>IF(OR(ISBLANK(BU433),ISBLANK(BV433),ISBLANK(BW433),ISBLANK(BX433)),"n/a",SUM(BU433,BV433,BW433,BX433))</f>
        <v/>
      </c>
      <c r="BZ433" s="1624">
        <f>MAX(0,BZ434*AVERAGE(BY430,BZ430))</f>
        <v/>
      </c>
      <c r="CA433" s="1624">
        <f>MAX(0,CA434*AVERAGE(BZ430,CA430))</f>
        <v/>
      </c>
      <c r="CB433" s="1624">
        <f>MAX(0,CB434*AVERAGE(CA430,CB430))</f>
        <v/>
      </c>
      <c r="CC433" s="1564" t="n"/>
    </row>
    <row r="434" ht="15" customFormat="1" customHeight="1" s="1561">
      <c r="A434" s="1634" t="inlineStr">
        <is>
          <t>Effective Interest Rate on Debt</t>
        </is>
      </c>
      <c r="B434" s="1717" t="n"/>
      <c r="C434" s="1254" t="n"/>
      <c r="D434" s="1254">
        <f>IFERROR(D433/AVERAGE(D430,C430),"n/a")</f>
        <v/>
      </c>
      <c r="E434" s="1254">
        <f>IFERROR(E433/AVERAGE(E430,D430),"n/a")</f>
        <v/>
      </c>
      <c r="F434" s="1254">
        <f>IFERROR(F433/AVERAGE(F430,E430),"n/a")</f>
        <v/>
      </c>
      <c r="G434" s="1254">
        <f>IFERROR(G433/AVERAGE(G430,F430),"n/a")</f>
        <v/>
      </c>
      <c r="H434" s="674" t="n"/>
      <c r="I434" s="674" t="n"/>
      <c r="J434" s="674" t="n"/>
      <c r="K434" s="674" t="n"/>
      <c r="L434" s="1254">
        <f>IFERROR(L433/AVERAGE(H430,I430,J430,K430),"n/a")</f>
        <v/>
      </c>
      <c r="M434" s="674" t="n"/>
      <c r="N434" s="674" t="n"/>
      <c r="O434" s="674" t="n"/>
      <c r="P434" s="674" t="n"/>
      <c r="Q434" s="1254">
        <f>IFERROR(Q433/AVERAGE(M430,N430,O430,P430),"n/a")</f>
        <v/>
      </c>
      <c r="R434" s="674" t="n"/>
      <c r="S434" s="674" t="n"/>
      <c r="T434" s="674" t="n"/>
      <c r="U434" s="674" t="n"/>
      <c r="V434" s="1254">
        <f>IFERROR(V433/AVERAGE(R430,S430,T430,U430),"n/a")</f>
        <v/>
      </c>
      <c r="W434" s="674" t="n"/>
      <c r="X434" s="674" t="n"/>
      <c r="Y434" s="674" t="n"/>
      <c r="Z434" s="674" t="n"/>
      <c r="AA434" s="1254">
        <f>IFERROR(AA433/AVERAGE(W430,X430,Y430,Z430),"n/a")</f>
        <v/>
      </c>
      <c r="AB434" s="674" t="n"/>
      <c r="AC434" s="674" t="n"/>
      <c r="AD434" s="674" t="n"/>
      <c r="AE434" s="674" t="n"/>
      <c r="AF434" s="1254">
        <f>IFERROR(AF433/AVERAGE(AB430,AC430,AD430,AE430),"n/a")</f>
        <v/>
      </c>
      <c r="AG434" s="674" t="n"/>
      <c r="AH434" s="674" t="n"/>
      <c r="AI434" s="674" t="n"/>
      <c r="AJ434" s="674" t="n"/>
      <c r="AK434" s="1254">
        <f>IFERROR(AK433/AVERAGE(AG430,AH430,AI430,AJ430),"n/a")</f>
        <v/>
      </c>
      <c r="AL434" s="674" t="n"/>
      <c r="AM434" s="674" t="n"/>
      <c r="AN434" s="674" t="n"/>
      <c r="AO434" s="674" t="n"/>
      <c r="AP434" s="1254">
        <f>IFERROR(AP433/AVERAGE(AL430,AM430,AN430,AO430),"n/a")</f>
        <v/>
      </c>
      <c r="AQ434" s="674" t="n"/>
      <c r="AR434" s="674" t="n"/>
      <c r="AS434" s="674" t="n"/>
      <c r="AT434" s="674" t="n"/>
      <c r="AU434" s="1254">
        <f>IFERROR(AU433/AVERAGE(AQ430,AR430,AS430,AT430),"n/a")</f>
        <v/>
      </c>
      <c r="AV434" s="674" t="n"/>
      <c r="AW434" s="674" t="n"/>
      <c r="AX434" s="674" t="n"/>
      <c r="AY434" s="674" t="n"/>
      <c r="AZ434" s="1254">
        <f>IFERROR(AZ433/AVERAGE(AV430,AW430,AX430,AY430),"n/a")</f>
        <v/>
      </c>
      <c r="BA434" s="674" t="n"/>
      <c r="BB434" s="674" t="n"/>
      <c r="BC434" s="674" t="n"/>
      <c r="BD434" s="674" t="n"/>
      <c r="BE434" s="1254">
        <f>IFERROR(BE433/AVERAGE(BA430,BB430,BC430,BD430),"n/a")</f>
        <v/>
      </c>
      <c r="BF434" s="674" t="n"/>
      <c r="BG434" s="674" t="n"/>
      <c r="BH434" s="674" t="n"/>
      <c r="BI434" s="674" t="n"/>
      <c r="BJ434" s="1254">
        <f>IFERROR(BJ433/AVERAGE(BF430,BG430,BH430,BI430),"n/a")</f>
        <v/>
      </c>
      <c r="BK434" s="674" t="n"/>
      <c r="BL434" s="674" t="n"/>
      <c r="BM434" s="674" t="n"/>
      <c r="BN434" s="674" t="n"/>
      <c r="BO434" s="1253">
        <f>IFERROR(BO433/AVERAGE(BK430,BL430,BM430,BN430),"n/a")</f>
        <v/>
      </c>
      <c r="BP434" s="1186" t="n">
        <v>0.03</v>
      </c>
      <c r="BQ434" s="1186" t="n">
        <v>0.03</v>
      </c>
      <c r="BR434" s="1186" t="n">
        <v>0.03</v>
      </c>
      <c r="BS434" s="1186" t="n">
        <v>0.03</v>
      </c>
      <c r="BT434" s="1254">
        <f>IFERROR(BT433/AVERAGE(BP430,BQ430,BR430,BS430),"n/a")</f>
        <v/>
      </c>
      <c r="BU434" s="1186" t="n">
        <v>0.03</v>
      </c>
      <c r="BV434" s="1186" t="n">
        <v>0.03</v>
      </c>
      <c r="BW434" s="1186" t="n">
        <v>0.03</v>
      </c>
      <c r="BX434" s="1186" t="n">
        <v>0.03</v>
      </c>
      <c r="BY434" s="1254">
        <f>IFERROR(BY433/AVERAGE(BU430,BV430,BW430,BX430),"n/a")</f>
        <v/>
      </c>
      <c r="BZ434" s="1447" t="n">
        <v>0.03</v>
      </c>
      <c r="CA434" s="1447" t="n">
        <v>0.03</v>
      </c>
      <c r="CB434" s="1447" t="n">
        <v>0.03</v>
      </c>
      <c r="CC434" s="1564" t="n"/>
    </row>
    <row r="435" ht="15" customFormat="1" customHeight="1" s="1561">
      <c r="A435" s="1562" t="inlineStr">
        <is>
          <t>Interest Income</t>
        </is>
      </c>
      <c r="B435" s="1705" t="n"/>
      <c r="C435" s="1624">
        <f>C310</f>
        <v/>
      </c>
      <c r="D435" s="1624">
        <f>D310</f>
        <v/>
      </c>
      <c r="E435" s="1624">
        <f>E310</f>
        <v/>
      </c>
      <c r="F435" s="1624">
        <f>F310</f>
        <v/>
      </c>
      <c r="G435" s="1624">
        <f>G310</f>
        <v/>
      </c>
      <c r="H435" s="1626" t="n"/>
      <c r="I435" s="1626" t="n"/>
      <c r="J435" s="1626" t="n"/>
      <c r="K435" s="1626" t="n"/>
      <c r="L435" s="1624">
        <f>L310</f>
        <v/>
      </c>
      <c r="M435" s="1626" t="n"/>
      <c r="N435" s="1626" t="n"/>
      <c r="O435" s="1626" t="n"/>
      <c r="P435" s="1626" t="n"/>
      <c r="Q435" s="1624">
        <f>Q310</f>
        <v/>
      </c>
      <c r="R435" s="1626" t="n"/>
      <c r="S435" s="1626" t="n"/>
      <c r="T435" s="1626" t="n"/>
      <c r="U435" s="1626" t="n"/>
      <c r="V435" s="1624">
        <f>V310</f>
        <v/>
      </c>
      <c r="W435" s="1626" t="n"/>
      <c r="X435" s="1626" t="n"/>
      <c r="Y435" s="1626" t="n"/>
      <c r="Z435" s="1626" t="n"/>
      <c r="AA435" s="1624">
        <f>AA310</f>
        <v/>
      </c>
      <c r="AB435" s="1626" t="n"/>
      <c r="AC435" s="1626" t="n"/>
      <c r="AD435" s="1626" t="n"/>
      <c r="AE435" s="1626" t="n"/>
      <c r="AF435" s="1624">
        <f>AF310</f>
        <v/>
      </c>
      <c r="AG435" s="1626" t="n"/>
      <c r="AH435" s="1626" t="n"/>
      <c r="AI435" s="1626" t="n"/>
      <c r="AJ435" s="1626" t="n"/>
      <c r="AK435" s="1624">
        <f>AK310</f>
        <v/>
      </c>
      <c r="AL435" s="1626" t="n"/>
      <c r="AM435" s="1626" t="n"/>
      <c r="AN435" s="1626" t="n"/>
      <c r="AO435" s="1626" t="n"/>
      <c r="AP435" s="1624">
        <f>AP310</f>
        <v/>
      </c>
      <c r="AQ435" s="1626" t="n"/>
      <c r="AR435" s="1626" t="n"/>
      <c r="AS435" s="1626" t="n"/>
      <c r="AT435" s="1626" t="n"/>
      <c r="AU435" s="1624">
        <f>AU310</f>
        <v/>
      </c>
      <c r="AV435" s="1626" t="n"/>
      <c r="AW435" s="1626" t="n"/>
      <c r="AX435" s="1626" t="n"/>
      <c r="AY435" s="1626" t="n"/>
      <c r="AZ435" s="1624">
        <f>AZ310</f>
        <v/>
      </c>
      <c r="BA435" s="1626" t="n"/>
      <c r="BB435" s="1626" t="n"/>
      <c r="BC435" s="1626" t="n"/>
      <c r="BD435" s="1626" t="n"/>
      <c r="BE435" s="1624">
        <f>BE310</f>
        <v/>
      </c>
      <c r="BF435" s="1626" t="n"/>
      <c r="BG435" s="1626" t="n"/>
      <c r="BH435" s="1626" t="n"/>
      <c r="BI435" s="1626" t="n"/>
      <c r="BJ435" s="1624">
        <f>BJ310</f>
        <v/>
      </c>
      <c r="BK435" s="1626" t="n"/>
      <c r="BL435" s="1626" t="n"/>
      <c r="BM435" s="1626" t="n"/>
      <c r="BN435" s="1626" t="n"/>
      <c r="BO435" s="1627">
        <f>BO310</f>
        <v/>
      </c>
      <c r="BP435" s="1626">
        <f>MAX(0,BP436*BO427*BP3/BT3)</f>
        <v/>
      </c>
      <c r="BQ435" s="1626">
        <f>MAX(0,BQ436*BP427*BQ3/BT3)</f>
        <v/>
      </c>
      <c r="BR435" s="1626">
        <f>MAX(0,BR436*BQ427*BR3/BT3)</f>
        <v/>
      </c>
      <c r="BS435" s="1626">
        <f>MAX(0,BS436*BR427*BS3/BT3)</f>
        <v/>
      </c>
      <c r="BT435" s="1624">
        <f>IF(OR(ISBLANK(BP435),ISBLANK(BQ435),ISBLANK(BR435),ISBLANK(BS435)),"n/a",SUM(BP435,BQ435,BR435,BS435))</f>
        <v/>
      </c>
      <c r="BU435" s="1626">
        <f>MAX(0,BU436*BT427*BU3/BY3)</f>
        <v/>
      </c>
      <c r="BV435" s="1626">
        <f>MAX(0,BV436*BU427*BV3/BY3)</f>
        <v/>
      </c>
      <c r="BW435" s="1626">
        <f>MAX(0,BW436*BV427*BW3/BY3)</f>
        <v/>
      </c>
      <c r="BX435" s="1626">
        <f>MAX(0,BX436*BW427*BX3/BY3)</f>
        <v/>
      </c>
      <c r="BY435" s="1624">
        <f>IF(OR(ISBLANK(BU435),ISBLANK(BV435),ISBLANK(BW435),ISBLANK(BX435)),"n/a",SUM(BU435,BV435,BW435,BX435))</f>
        <v/>
      </c>
      <c r="BZ435" s="1624">
        <f>MAX(0,BZ436*BY427)</f>
        <v/>
      </c>
      <c r="CA435" s="1624">
        <f>MAX(0,CA436*BZ427)</f>
        <v/>
      </c>
      <c r="CB435" s="1624">
        <f>MAX(0,CB436*CA427)</f>
        <v/>
      </c>
      <c r="CC435" s="1564" t="n"/>
    </row>
    <row r="436" ht="15" customFormat="1" customHeight="1" s="1561">
      <c r="A436" s="1719" t="inlineStr">
        <is>
          <t>Effective Interest Rate on Cash</t>
        </is>
      </c>
      <c r="B436" s="1717" t="n"/>
      <c r="C436" s="1254" t="n"/>
      <c r="D436" s="1254">
        <f>IFERROR(D435/AVERAGE(D427,C427),"n/a")</f>
        <v/>
      </c>
      <c r="E436" s="1254">
        <f>IFERROR(E435/AVERAGE(E427,D427),"n/a")</f>
        <v/>
      </c>
      <c r="F436" s="1254">
        <f>IFERROR(F435/AVERAGE(F427,E427),"n/a")</f>
        <v/>
      </c>
      <c r="G436" s="1254">
        <f>IFERROR(G435/AVERAGE(G427,F427),"n/a")</f>
        <v/>
      </c>
      <c r="H436" s="674" t="n"/>
      <c r="I436" s="674" t="n"/>
      <c r="J436" s="674" t="n"/>
      <c r="K436" s="674" t="n"/>
      <c r="L436" s="1254">
        <f>IFERROR(L435/AVERAGE(H427,I427,J427,K427),"n/a")</f>
        <v/>
      </c>
      <c r="M436" s="674" t="n"/>
      <c r="N436" s="674" t="n"/>
      <c r="O436" s="674" t="n"/>
      <c r="P436" s="674" t="n"/>
      <c r="Q436" s="1254">
        <f>IFERROR(Q435/AVERAGE(M427,N427,O427,P427),"n/a")</f>
        <v/>
      </c>
      <c r="R436" s="674" t="n"/>
      <c r="S436" s="674" t="n"/>
      <c r="T436" s="674" t="n"/>
      <c r="U436" s="674" t="n"/>
      <c r="V436" s="1254">
        <f>IFERROR(V435/AVERAGE(R427,S427,T427,U427),"n/a")</f>
        <v/>
      </c>
      <c r="W436" s="674" t="n"/>
      <c r="X436" s="674" t="n"/>
      <c r="Y436" s="674" t="n"/>
      <c r="Z436" s="674" t="n"/>
      <c r="AA436" s="1254">
        <f>IFERROR(AA435/AVERAGE(W427,X427,Y427,Z427),"n/a")</f>
        <v/>
      </c>
      <c r="AB436" s="674" t="n"/>
      <c r="AC436" s="674" t="n"/>
      <c r="AD436" s="674" t="n"/>
      <c r="AE436" s="674" t="n"/>
      <c r="AF436" s="1254">
        <f>IFERROR(AF435/AVERAGE(AB427,AC427,AD427,AE427),"n/a")</f>
        <v/>
      </c>
      <c r="AG436" s="674" t="n"/>
      <c r="AH436" s="674" t="n"/>
      <c r="AI436" s="674" t="n"/>
      <c r="AJ436" s="674" t="n"/>
      <c r="AK436" s="1254">
        <f>IFERROR(AK435/AVERAGE(AG427,AH427,AI427,AJ427),"n/a")</f>
        <v/>
      </c>
      <c r="AL436" s="674" t="n"/>
      <c r="AM436" s="674" t="n"/>
      <c r="AN436" s="674" t="n"/>
      <c r="AO436" s="674" t="n"/>
      <c r="AP436" s="1254">
        <f>IFERROR(AP435/AVERAGE(AL427,AM427,AN427,AO427),"n/a")</f>
        <v/>
      </c>
      <c r="AQ436" s="674" t="n"/>
      <c r="AR436" s="674" t="n"/>
      <c r="AS436" s="674" t="n"/>
      <c r="AT436" s="674" t="n"/>
      <c r="AU436" s="1254">
        <f>IFERROR(AU435/AVERAGE(AQ427,AR427,AS427,AT427),"n/a")</f>
        <v/>
      </c>
      <c r="AV436" s="674" t="n"/>
      <c r="AW436" s="674" t="n"/>
      <c r="AX436" s="674" t="n"/>
      <c r="AY436" s="674" t="n"/>
      <c r="AZ436" s="1254">
        <f>IFERROR(AZ435/AVERAGE(AV427,AW427,AX427,AY427),"n/a")</f>
        <v/>
      </c>
      <c r="BA436" s="674" t="n"/>
      <c r="BB436" s="674" t="n"/>
      <c r="BC436" s="674" t="n"/>
      <c r="BD436" s="674" t="n"/>
      <c r="BE436" s="1254">
        <f>IFERROR(BE435/AVERAGE(BA427,BB427,BC427,BD427),"n/a")</f>
        <v/>
      </c>
      <c r="BF436" s="674" t="n"/>
      <c r="BG436" s="674" t="n"/>
      <c r="BH436" s="674" t="n"/>
      <c r="BI436" s="674" t="n"/>
      <c r="BJ436" s="1254">
        <f>IFERROR(BJ435/AVERAGE(BF427,BG427,BH427,BI427),"n/a")</f>
        <v/>
      </c>
      <c r="BK436" s="674" t="n"/>
      <c r="BL436" s="674" t="n"/>
      <c r="BM436" s="674" t="n"/>
      <c r="BN436" s="674" t="n"/>
      <c r="BO436" s="1253">
        <f>IFERROR(BO435/AVERAGE(BK427,BL427,BM427,BN427),"n/a")</f>
        <v/>
      </c>
      <c r="BP436" s="1186" t="n">
        <v>0.005</v>
      </c>
      <c r="BQ436" s="1186" t="n">
        <v>0.005</v>
      </c>
      <c r="BR436" s="1186" t="n">
        <v>0.005</v>
      </c>
      <c r="BS436" s="1186" t="n">
        <v>0.005</v>
      </c>
      <c r="BT436" s="1254">
        <f>IFERROR(BT435/AVERAGE(BP427,BQ427,BR427,BS427),"n/a")</f>
        <v/>
      </c>
      <c r="BU436" s="1186" t="n">
        <v>0.005</v>
      </c>
      <c r="BV436" s="1186" t="n">
        <v>0.005</v>
      </c>
      <c r="BW436" s="1186" t="n">
        <v>0.005</v>
      </c>
      <c r="BX436" s="1186" t="n">
        <v>0.005</v>
      </c>
      <c r="BY436" s="1254">
        <f>IFERROR(BY435/AVERAGE(BU427,BV427,BW427,BX427),"n/a")</f>
        <v/>
      </c>
      <c r="BZ436" s="1447" t="n">
        <v>0.005</v>
      </c>
      <c r="CA436" s="1447" t="n">
        <v>0.005</v>
      </c>
      <c r="CB436" s="1447" t="n">
        <v>0.005</v>
      </c>
      <c r="CC436" s="1564" t="n"/>
    </row>
    <row r="437" ht="15" customFormat="1" customHeight="1" s="1561">
      <c r="A437" s="1562" t="inlineStr">
        <is>
          <t>Net Interest Expense (Income)</t>
        </is>
      </c>
      <c r="B437" s="1705" t="n"/>
      <c r="C437" s="1624">
        <f>IFERROR(C433-C435,"n/a")</f>
        <v/>
      </c>
      <c r="D437" s="1624">
        <f>IFERROR(D433-D435,"n/a")</f>
        <v/>
      </c>
      <c r="E437" s="1624">
        <f>IFERROR(E433-E435,"n/a")</f>
        <v/>
      </c>
      <c r="F437" s="1624">
        <f>IFERROR(F433-F435,"n/a")</f>
        <v/>
      </c>
      <c r="G437" s="1624">
        <f>IFERROR(G433-G435,"n/a")</f>
        <v/>
      </c>
      <c r="H437" s="1626">
        <f>H348</f>
        <v/>
      </c>
      <c r="I437" s="1626">
        <f>I348</f>
        <v/>
      </c>
      <c r="J437" s="1626">
        <f>J348</f>
        <v/>
      </c>
      <c r="K437" s="1626">
        <f>K348</f>
        <v/>
      </c>
      <c r="L437" s="1624">
        <f>IFERROR(L433-L435,"n/a")</f>
        <v/>
      </c>
      <c r="M437" s="1626">
        <f>M348</f>
        <v/>
      </c>
      <c r="N437" s="1626">
        <f>N348</f>
        <v/>
      </c>
      <c r="O437" s="1626">
        <f>O348</f>
        <v/>
      </c>
      <c r="P437" s="1626">
        <f>P348</f>
        <v/>
      </c>
      <c r="Q437" s="1624">
        <f>IFERROR(Q433-Q435,"n/a")</f>
        <v/>
      </c>
      <c r="R437" s="1626">
        <f>R348</f>
        <v/>
      </c>
      <c r="S437" s="1626">
        <f>S348</f>
        <v/>
      </c>
      <c r="T437" s="1626">
        <f>T348</f>
        <v/>
      </c>
      <c r="U437" s="1626">
        <f>U348</f>
        <v/>
      </c>
      <c r="V437" s="1624">
        <f>IFERROR(V433-V435,"n/a")</f>
        <v/>
      </c>
      <c r="W437" s="1626">
        <f>W348</f>
        <v/>
      </c>
      <c r="X437" s="1626">
        <f>X348</f>
        <v/>
      </c>
      <c r="Y437" s="1626">
        <f>Y348</f>
        <v/>
      </c>
      <c r="Z437" s="1626">
        <f>Z348</f>
        <v/>
      </c>
      <c r="AA437" s="1624">
        <f>IFERROR(AA433-AA435,"n/a")</f>
        <v/>
      </c>
      <c r="AB437" s="1626">
        <f>AB348</f>
        <v/>
      </c>
      <c r="AC437" s="1626">
        <f>AC348</f>
        <v/>
      </c>
      <c r="AD437" s="1626">
        <f>AD348</f>
        <v/>
      </c>
      <c r="AE437" s="1626">
        <f>AE348</f>
        <v/>
      </c>
      <c r="AF437" s="1624">
        <f>IFERROR(AF433-AF435,"n/a")</f>
        <v/>
      </c>
      <c r="AG437" s="1626">
        <f>AG348</f>
        <v/>
      </c>
      <c r="AH437" s="1626">
        <f>AH348</f>
        <v/>
      </c>
      <c r="AI437" s="1626">
        <f>AI348</f>
        <v/>
      </c>
      <c r="AJ437" s="1626">
        <f>AJ348</f>
        <v/>
      </c>
      <c r="AK437" s="1624">
        <f>IFERROR(AK433-AK435,"n/a")</f>
        <v/>
      </c>
      <c r="AL437" s="1626">
        <f>AL348</f>
        <v/>
      </c>
      <c r="AM437" s="1626">
        <f>AM348</f>
        <v/>
      </c>
      <c r="AN437" s="1626">
        <f>AN348</f>
        <v/>
      </c>
      <c r="AO437" s="1626">
        <f>AO348</f>
        <v/>
      </c>
      <c r="AP437" s="1624">
        <f>IFERROR(AP433-AP435,"n/a")</f>
        <v/>
      </c>
      <c r="AQ437" s="1626">
        <f>AQ348</f>
        <v/>
      </c>
      <c r="AR437" s="1626">
        <f>AR348</f>
        <v/>
      </c>
      <c r="AS437" s="1626">
        <f>AS348</f>
        <v/>
      </c>
      <c r="AT437" s="1626">
        <f>AT348</f>
        <v/>
      </c>
      <c r="AU437" s="1624">
        <f>IFERROR(AU433-AU435,"n/a")</f>
        <v/>
      </c>
      <c r="AV437" s="1626">
        <f>AV348</f>
        <v/>
      </c>
      <c r="AW437" s="1626">
        <f>AW348</f>
        <v/>
      </c>
      <c r="AX437" s="1626">
        <f>AX348</f>
        <v/>
      </c>
      <c r="AY437" s="1626">
        <f>AY348</f>
        <v/>
      </c>
      <c r="AZ437" s="1624">
        <f>IFERROR(AZ433-AZ435,"n/a")</f>
        <v/>
      </c>
      <c r="BA437" s="1626">
        <f>BA348</f>
        <v/>
      </c>
      <c r="BB437" s="1626">
        <f>BB348</f>
        <v/>
      </c>
      <c r="BC437" s="1626">
        <f>BC348</f>
        <v/>
      </c>
      <c r="BD437" s="1626">
        <f>BD348</f>
        <v/>
      </c>
      <c r="BE437" s="1624">
        <f>IFERROR(BE433-BE435,"n/a")</f>
        <v/>
      </c>
      <c r="BF437" s="1626">
        <f>BF348</f>
        <v/>
      </c>
      <c r="BG437" s="1626">
        <f>BG348</f>
        <v/>
      </c>
      <c r="BH437" s="1626">
        <f>BH348</f>
        <v/>
      </c>
      <c r="BI437" s="1626">
        <f>BI348</f>
        <v/>
      </c>
      <c r="BJ437" s="1624">
        <f>IFERROR(BJ433-BJ435,"n/a")</f>
        <v/>
      </c>
      <c r="BK437" s="1626">
        <f>BK348</f>
        <v/>
      </c>
      <c r="BL437" s="1626">
        <f>BL348</f>
        <v/>
      </c>
      <c r="BM437" s="1626">
        <f>BM348</f>
        <v/>
      </c>
      <c r="BN437" s="1626">
        <f>BN348</f>
        <v/>
      </c>
      <c r="BO437" s="1627">
        <f>IFERROR(BO433-BO435,"n/a")</f>
        <v/>
      </c>
      <c r="BP437" s="1626">
        <f>IFERROR(BP433-BP435,"n/a")</f>
        <v/>
      </c>
      <c r="BQ437" s="1626">
        <f>IFERROR(BQ433-BQ435,"n/a")</f>
        <v/>
      </c>
      <c r="BR437" s="1626">
        <f>IFERROR(BR433-BR435,"n/a")</f>
        <v/>
      </c>
      <c r="BS437" s="1626">
        <f>IFERROR(BS433-BS435,"n/a")</f>
        <v/>
      </c>
      <c r="BT437" s="1624">
        <f>SUM(BP437,BQ437,BR437,BS437)</f>
        <v/>
      </c>
      <c r="BU437" s="1626">
        <f>IFERROR(BU433-BU435,"n/a")</f>
        <v/>
      </c>
      <c r="BV437" s="1626">
        <f>IFERROR(BV433-BV435,"n/a")</f>
        <v/>
      </c>
      <c r="BW437" s="1626">
        <f>IFERROR(BW433-BW435,"n/a")</f>
        <v/>
      </c>
      <c r="BX437" s="1626">
        <f>IFERROR(BX433-BX435,"n/a")</f>
        <v/>
      </c>
      <c r="BY437" s="1624">
        <f>SUM(BU437,BV437,BW437,BX437)</f>
        <v/>
      </c>
      <c r="BZ437" s="1624">
        <f>IFERROR(BZ433-BZ435,"n/a")</f>
        <v/>
      </c>
      <c r="CA437" s="1624">
        <f>IFERROR(CA433-CA435,"n/a")</f>
        <v/>
      </c>
      <c r="CB437" s="1624">
        <f>IFERROR(CB433-CB435,"n/a")</f>
        <v/>
      </c>
      <c r="CC437" s="1564" t="n"/>
    </row>
    <row r="438" ht="15" customFormat="1" customHeight="1" s="1561">
      <c r="A438" s="1719" t="inlineStr">
        <is>
          <t>Effective Net Interest Rate on Debt</t>
        </is>
      </c>
      <c r="B438" s="1717" t="n"/>
      <c r="C438" s="1254" t="n"/>
      <c r="D438" s="1254">
        <f>IFERROR(IF(D437/AVERAGE(D430,C430)&lt;0,"n/a",D437/AVERAGE(D430,C430)),"n/a")</f>
        <v/>
      </c>
      <c r="E438" s="1254">
        <f>IFERROR(IF(E437/AVERAGE(E430,D430)&lt;0,"n/a",E437/AVERAGE(E430,D430)),"n/a")</f>
        <v/>
      </c>
      <c r="F438" s="1254">
        <f>IFERROR(IF(F437/AVERAGE(F430,E430)&lt;0,"n/a",F437/AVERAGE(F430,E430)),"n/a")</f>
        <v/>
      </c>
      <c r="G438" s="1254">
        <f>IFERROR(IF(G437/AVERAGE(G430,F430)&lt;0,"n/a",G437/AVERAGE(G430,F430)),"n/a")</f>
        <v/>
      </c>
      <c r="H438" s="674">
        <f>IFERROR(IF(H437/AVERAGE(G430,H430)&lt;0,"n/a",H437/AVERAGE(G430,H430)*L3/H3),"n/a")</f>
        <v/>
      </c>
      <c r="I438" s="674">
        <f>IFERROR(IF(I437/AVERAGE(H430,I430)&lt;0,"n/a",I437/AVERAGE(H430,I430)*L3/I3),"n/a")</f>
        <v/>
      </c>
      <c r="J438" s="674">
        <f>IFERROR(IF(J437/AVERAGE(I430,J430)&lt;0,"n/a",J437/AVERAGE(I430,J430)*L3/J3),"n/a")</f>
        <v/>
      </c>
      <c r="K438" s="674">
        <f>IFERROR(IF(K437/AVERAGE(J430,K430)&lt;0,"n/a",K437/AVERAGE(J430,K430)*L3/K3),"n/a")</f>
        <v/>
      </c>
      <c r="L438" s="1254">
        <f>IFERROR(IF(L437/AVERAGE(H430,I430,J430,K430)&lt;0,"n/a",L437/AVERAGE(H430,I430,J430,K430)),"n/a")</f>
        <v/>
      </c>
      <c r="M438" s="674">
        <f>IFERROR(IF(M437/AVERAGE(L430,M430)&lt;0,"n/a",M437/AVERAGE(L430,M430)*Q3/M3),"n/a")</f>
        <v/>
      </c>
      <c r="N438" s="674">
        <f>IFERROR(IF(N437/AVERAGE(M430,N430)&lt;0,"n/a",N437/AVERAGE(M430,N430)*Q3/N3),"n/a")</f>
        <v/>
      </c>
      <c r="O438" s="674">
        <f>IFERROR(IF(O437/AVERAGE(N430,O430)&lt;0,"n/a",O437/AVERAGE(N430,O430)*Q3/O3),"n/a")</f>
        <v/>
      </c>
      <c r="P438" s="674">
        <f>IFERROR(IF(P437/AVERAGE(O430,P430)&lt;0,"n/a",P437/AVERAGE(O430,P430)*Q3/P3),"n/a")</f>
        <v/>
      </c>
      <c r="Q438" s="1254">
        <f>IFERROR(IF(Q437/AVERAGE(M430,N430,O430,P430)&lt;0,"n/a",Q437/AVERAGE(M430,N430,O430,P430)),"n/a")</f>
        <v/>
      </c>
      <c r="R438" s="674">
        <f>IFERROR(IF(R437/AVERAGE(Q430,R430)&lt;0,"n/a",R437/AVERAGE(Q430,R430)*V3/R3),"n/a")</f>
        <v/>
      </c>
      <c r="S438" s="674">
        <f>IFERROR(IF(S437/AVERAGE(R430,S430)&lt;0,"n/a",S437/AVERAGE(R430,S430)*V3/S3),"n/a")</f>
        <v/>
      </c>
      <c r="T438" s="674">
        <f>IFERROR(IF(T437/AVERAGE(S430,T430)&lt;0,"n/a",T437/AVERAGE(S430,T430)*V3/T3),"n/a")</f>
        <v/>
      </c>
      <c r="U438" s="674">
        <f>IFERROR(IF(U437/AVERAGE(T430,U430)&lt;0,"n/a",U437/AVERAGE(T430,U430)*V3/U3),"n/a")</f>
        <v/>
      </c>
      <c r="V438" s="1254">
        <f>IFERROR(IF(V437/AVERAGE(R430,S430,T430,U430)&lt;0,"n/a",V437/AVERAGE(R430,S430,T430,U430)),"n/a")</f>
        <v/>
      </c>
      <c r="W438" s="674">
        <f>IFERROR(IF(W437/AVERAGE(V430,W430)&lt;0,"n/a",W437/AVERAGE(V430,W430)*AA3/W3),"n/a")</f>
        <v/>
      </c>
      <c r="X438" s="674">
        <f>IFERROR(IF(X437/AVERAGE(W430,X430)&lt;0,"n/a",X437/AVERAGE(W430,X430)*AA3/X3),"n/a")</f>
        <v/>
      </c>
      <c r="Y438" s="674">
        <f>IFERROR(IF(Y437/AVERAGE(X430,Y430)&lt;0,"n/a",Y437/AVERAGE(X430,Y430)*AA3/Y3),"n/a")</f>
        <v/>
      </c>
      <c r="Z438" s="674">
        <f>IFERROR(IF(Z437/AVERAGE(Y430,Z430)&lt;0,"n/a",Z437/AVERAGE(Y430,Z430)*AA3/Z3),"n/a")</f>
        <v/>
      </c>
      <c r="AA438" s="1254">
        <f>IFERROR(IF(AA437/AVERAGE(W430,X430,Y430,Z430)&lt;0,"n/a",AA437/AVERAGE(W430,X430,Y430,Z430)),"n/a")</f>
        <v/>
      </c>
      <c r="AB438" s="674">
        <f>IFERROR(IF(AB437/AVERAGE(AA430,AB430)&lt;0,"n/a",AB437/AVERAGE(AA430,AB430)*AF3/AB3),"n/a")</f>
        <v/>
      </c>
      <c r="AC438" s="674">
        <f>IFERROR(IF(AC437/AVERAGE(AB430,AC430)&lt;0,"n/a",AC437/AVERAGE(AB430,AC430)*AF3/AC3),"n/a")</f>
        <v/>
      </c>
      <c r="AD438" s="674">
        <f>IFERROR(IF(AD437/AVERAGE(AC430,AD430)&lt;0,"n/a",AD437/AVERAGE(AC430,AD430)*AF3/AD3),"n/a")</f>
        <v/>
      </c>
      <c r="AE438" s="674">
        <f>IFERROR(IF(AE437/AVERAGE(AD430,AE430)&lt;0,"n/a",AE437/AVERAGE(AD430,AE430)*AF3/AE3),"n/a")</f>
        <v/>
      </c>
      <c r="AF438" s="1254">
        <f>IFERROR(IF(AF437/AVERAGE(AB430,AC430,AD430,AE430)&lt;0,"n/a",AF437/AVERAGE(AB430,AC430,AD430,AE430)),"n/a")</f>
        <v/>
      </c>
      <c r="AG438" s="674">
        <f>IFERROR(IF(AG437/AVERAGE(AF430,AG430)&lt;0,"n/a",AG437/AVERAGE(AF430,AG430)*AK3/AG3),"n/a")</f>
        <v/>
      </c>
      <c r="AH438" s="674">
        <f>IFERROR(IF(AH437/AVERAGE(AG430,AH430)&lt;0,"n/a",AH437/AVERAGE(AG430,AH430)*AK3/AH3),"n/a")</f>
        <v/>
      </c>
      <c r="AI438" s="674">
        <f>IFERROR(IF(AI437/AVERAGE(AH430,AI430)&lt;0,"n/a",AI437/AVERAGE(AH430,AI430)*AK3/AI3),"n/a")</f>
        <v/>
      </c>
      <c r="AJ438" s="674">
        <f>IFERROR(IF(AJ437/AVERAGE(AI430,AJ430)&lt;0,"n/a",AJ437/AVERAGE(AI430,AJ430)*AK3/AJ3),"n/a")</f>
        <v/>
      </c>
      <c r="AK438" s="1254">
        <f>IFERROR(IF(AK437/AVERAGE(AG430,AH430,AI430,AJ430)&lt;0,"n/a",AK437/AVERAGE(AG430,AH430,AI430,AJ430)),"n/a")</f>
        <v/>
      </c>
      <c r="AL438" s="674">
        <f>IFERROR(IF(AL437/AVERAGE(AK430,AL430)&lt;0,"n/a",AL437/AVERAGE(AK430,AL430)*AP3/AL3),"n/a")</f>
        <v/>
      </c>
      <c r="AM438" s="674">
        <f>IFERROR(IF(AM437/AVERAGE(AL430,AM430)&lt;0,"n/a",AM437/AVERAGE(AL430,AM430)*AP3/AM3),"n/a")</f>
        <v/>
      </c>
      <c r="AN438" s="674">
        <f>IFERROR(IF(AN437/AVERAGE(AM430,AN430)&lt;0,"n/a",AN437/AVERAGE(AM430,AN430)*AP3/AN3),"n/a")</f>
        <v/>
      </c>
      <c r="AO438" s="674">
        <f>IFERROR(IF(AO437/AVERAGE(AN430,AO430)&lt;0,"n/a",AO437/AVERAGE(AN430,AO430)*AP3/AO3),"n/a")</f>
        <v/>
      </c>
      <c r="AP438" s="1254">
        <f>IFERROR(IF(AP437/AVERAGE(AL430,AM430,AN430,AO430)&lt;0,"n/a",AP437/AVERAGE(AL430,AM430,AN430,AO430)),"n/a")</f>
        <v/>
      </c>
      <c r="AQ438" s="674">
        <f>IFERROR(IF(AQ437/AVERAGE(AP430,AQ430)&lt;0,"n/a",AQ437/AVERAGE(AP430,AQ430)*AU3/AQ3),"n/a")</f>
        <v/>
      </c>
      <c r="AR438" s="674">
        <f>IFERROR(IF(AR437/AVERAGE(AQ430,AR430)&lt;0,"n/a",AR437/AVERAGE(AQ430,AR430)*AU3/AR3),"n/a")</f>
        <v/>
      </c>
      <c r="AS438" s="674">
        <f>IFERROR(IF(AS437/AVERAGE(AR430,AS430)&lt;0,"n/a",AS437/AVERAGE(AR430,AS430)*AU3/AS3),"n/a")</f>
        <v/>
      </c>
      <c r="AT438" s="674">
        <f>IFERROR(IF(AT437/AVERAGE(AS430,AT430)&lt;0,"n/a",AT437/AVERAGE(AS430,AT430)*AU3/AT3),"n/a")</f>
        <v/>
      </c>
      <c r="AU438" s="1254">
        <f>IFERROR(IF(AU437/AVERAGE(AQ430,AR430,AS430,AT430)&lt;0,"n/a",AU437/AVERAGE(AQ430,AR430,AS430,AT430)),"n/a")</f>
        <v/>
      </c>
      <c r="AV438" s="674">
        <f>IFERROR(IF(AV437/AVERAGE(AU430,AV430)&lt;0,"n/a",AV437/AVERAGE(AU430,AV430)*AZ3/AV3),"n/a")</f>
        <v/>
      </c>
      <c r="AW438" s="674">
        <f>IFERROR(IF(AW437/AVERAGE(AV430,AW430)&lt;0,"n/a",AW437/AVERAGE(AV430,AW430)*AZ3/AW3),"n/a")</f>
        <v/>
      </c>
      <c r="AX438" s="674">
        <f>IFERROR(IF(AX437/AVERAGE(AW430,AX430)&lt;0,"n/a",AX437/AVERAGE(AW430,AX430)*AZ3/AX3),"n/a")</f>
        <v/>
      </c>
      <c r="AY438" s="674">
        <f>IFERROR(IF(AY437/AVERAGE(AX430,AY430)&lt;0,"n/a",AY437/AVERAGE(AX430,AY430)*AZ3/AY3),"n/a")</f>
        <v/>
      </c>
      <c r="AZ438" s="1254">
        <f>IFERROR(IF(AZ437/AVERAGE(AV430,AW430,AX430,AY430)&lt;0,"n/a",AZ437/AVERAGE(AV430,AW430,AX430,AY430)),"n/a")</f>
        <v/>
      </c>
      <c r="BA438" s="674">
        <f>IFERROR(IF(BA437/AVERAGE(AZ430,BA430)&lt;0,"n/a",BA437/AVERAGE(AZ430,BA430)*BE3/BA3),"n/a")</f>
        <v/>
      </c>
      <c r="BB438" s="674">
        <f>IFERROR(IF(BB437/AVERAGE(BA430,BB430)&lt;0,"n/a",BB437/AVERAGE(BA430,BB430)*BE3/BB3),"n/a")</f>
        <v/>
      </c>
      <c r="BC438" s="674">
        <f>IFERROR(IF(BC437/AVERAGE(BB430,BC430)&lt;0,"n/a",BC437/AVERAGE(BB430,BC430)*BE3/BC3),"n/a")</f>
        <v/>
      </c>
      <c r="BD438" s="674">
        <f>IFERROR(IF(BD437/AVERAGE(BC430,BD430)&lt;0,"n/a",BD437/AVERAGE(BC430,BD430)*BE3/BD3),"n/a")</f>
        <v/>
      </c>
      <c r="BE438" s="1254">
        <f>IFERROR(IF(BE437/AVERAGE(BA430,BB430,BC430,BD430)&lt;0,"n/a",BE437/AVERAGE(BA430,BB430,BC430,BD430)),"n/a")</f>
        <v/>
      </c>
      <c r="BF438" s="674">
        <f>IFERROR(IF(BF437/AVERAGE(BE430,BF430)&lt;0,"n/a",BF437/AVERAGE(BE430,BF430)*BJ3/BF3),"n/a")</f>
        <v/>
      </c>
      <c r="BG438" s="674">
        <f>IFERROR(IF(BG437/AVERAGE(BF430,BG430)&lt;0,"n/a",BG437/AVERAGE(BF430,BG430)*BJ3/BG3),"n/a")</f>
        <v/>
      </c>
      <c r="BH438" s="674">
        <f>IFERROR(IF(BH437/AVERAGE(BG430,BH430)&lt;0,"n/a",BH437/AVERAGE(BG430,BH430)*BJ3/BH3),"n/a")</f>
        <v/>
      </c>
      <c r="BI438" s="674">
        <f>IFERROR(IF(BI437/AVERAGE(BH430,BI430)&lt;0,"n/a",BI437/AVERAGE(BH430,BI430)*BJ3/BI3),"n/a")</f>
        <v/>
      </c>
      <c r="BJ438" s="1254">
        <f>IFERROR(IF(BJ437/AVERAGE(BF430,BG430,BH430,BI430)&lt;0,"n/a",BJ437/AVERAGE(BF430,BG430,BH430,BI430)),"n/a")</f>
        <v/>
      </c>
      <c r="BK438" s="674">
        <f>IFERROR(IF(BK437/AVERAGE(BJ430,BK430)&lt;0,"n/a",BK437/AVERAGE(BJ430,BK430)*BO3/BK3),"n/a")</f>
        <v/>
      </c>
      <c r="BL438" s="674">
        <f>IFERROR(IF(BL437/AVERAGE(BK430,BL430)&lt;0,"n/a",BL437/AVERAGE(BK430,BL430)*BO3/BL3),"n/a")</f>
        <v/>
      </c>
      <c r="BM438" s="674">
        <f>IFERROR(IF(BM437/AVERAGE(BL430,BM430)&lt;0,"n/a",BM437/AVERAGE(BL430,BM430)*BO3/BM3),"n/a")</f>
        <v/>
      </c>
      <c r="BN438" s="674">
        <f>IFERROR(IF(BN437/AVERAGE(BM430,BN430)&lt;0,"n/a",BN437/AVERAGE(BM430,BN430)*BO3/BN3),"n/a")</f>
        <v/>
      </c>
      <c r="BO438" s="1253">
        <f>IFERROR(IF(BO437/AVERAGE(BK430,BL430,BM430,BN430)&lt;0,"n/a",BO437/AVERAGE(BK430,BL430,BM430,BN430)),"n/a")</f>
        <v/>
      </c>
      <c r="BP438" s="674">
        <f>IFERROR(IF(BP437/AVERAGE(BO430,BP430)&lt;0,"n/a",BP437/AVERAGE(BO430,BP430)*BT3/BP3),"n/a")</f>
        <v/>
      </c>
      <c r="BQ438" s="674">
        <f>IFERROR(IF(BQ437/AVERAGE(BP430,BQ430)&lt;0,"n/a",BQ437/AVERAGE(BP430,BQ430)*BT3/BQ3),"n/a")</f>
        <v/>
      </c>
      <c r="BR438" s="674">
        <f>IFERROR(IF(BR437/AVERAGE(BQ430,BR430)&lt;0,"n/a",BR437/AVERAGE(BQ430,BR430)*BT3/BR3),"n/a")</f>
        <v/>
      </c>
      <c r="BS438" s="674">
        <f>IFERROR(IF(BS437/AVERAGE(BR430,BS430)&lt;0,"n/a",BS437/AVERAGE(BR430,BS430)*BT3/BS3),"n/a")</f>
        <v/>
      </c>
      <c r="BT438" s="1254">
        <f>IFERROR(IF(BT437/AVERAGE(BP430,BQ430,BR430,BS430)&lt;0,"n/a",BT437/AVERAGE(BP430,BQ430,BR430,BS430)),"n/a")</f>
        <v/>
      </c>
      <c r="BU438" s="674">
        <f>IFERROR(IF(BU437/AVERAGE(BT430,BU430)&lt;0,"n/a",BU437/AVERAGE(BT430,BU430)*BY3/BU3),"n/a")</f>
        <v/>
      </c>
      <c r="BV438" s="674">
        <f>IFERROR(IF(BV437/AVERAGE(BU430,BV430)&lt;0,"n/a",BV437/AVERAGE(BU430,BV430)*BY3/BV3),"n/a")</f>
        <v/>
      </c>
      <c r="BW438" s="674">
        <f>IFERROR(IF(BW437/AVERAGE(BV430,BW430)&lt;0,"n/a",BW437/AVERAGE(BV430,BW430)*BY3/BW3),"n/a")</f>
        <v/>
      </c>
      <c r="BX438" s="674">
        <f>IFERROR(IF(BX437/AVERAGE(BW430,BX430)&lt;0,"n/a",BX437/AVERAGE(BW430,BX430)*BY3/BX3),"n/a")</f>
        <v/>
      </c>
      <c r="BY438" s="1254">
        <f>IFERROR(IF(BY437/AVERAGE(BU430,BV430,BW430,BX430)&lt;0,"n/a",BY437/AVERAGE(BU430,BV430,BW430,BX430)),"n/a")</f>
        <v/>
      </c>
      <c r="BZ438" s="1254">
        <f>IFERROR(IF(BZ437/AVERAGE(BY430,BZ430)&lt;0,"n/a",BZ437/AVERAGE(BY430,BZ430)),"n/a")</f>
        <v/>
      </c>
      <c r="CA438" s="1254">
        <f>IFERROR(IF(CA437/AVERAGE(BZ430,CA430)&lt;0,"n/a",CA437/AVERAGE(BZ430,CA430)),"n/a")</f>
        <v/>
      </c>
      <c r="CB438" s="1254">
        <f>IFERROR(IF(CB437/AVERAGE(CA430,CB430)&lt;0,"n/a",CB437/AVERAGE(CA430,CB430)),"n/a")</f>
        <v/>
      </c>
      <c r="CC438" s="1564" t="n"/>
    </row>
    <row r="439" ht="15" customFormat="1" customHeight="1" s="1561">
      <c r="A439" s="1719" t="n"/>
      <c r="B439" s="1717" t="n"/>
      <c r="C439" s="1254" t="n"/>
      <c r="D439" s="1254" t="n"/>
      <c r="E439" s="1254" t="n"/>
      <c r="F439" s="1254" t="n"/>
      <c r="G439" s="1254" t="n"/>
      <c r="H439" s="674" t="n"/>
      <c r="I439" s="674" t="n"/>
      <c r="J439" s="674" t="n"/>
      <c r="K439" s="674" t="n"/>
      <c r="L439" s="1254" t="n"/>
      <c r="M439" s="674" t="n"/>
      <c r="N439" s="674" t="n"/>
      <c r="O439" s="674" t="n"/>
      <c r="P439" s="674" t="n"/>
      <c r="Q439" s="1254" t="n"/>
      <c r="R439" s="674" t="n"/>
      <c r="S439" s="674" t="n"/>
      <c r="T439" s="674" t="n"/>
      <c r="U439" s="674" t="n"/>
      <c r="V439" s="1254" t="n"/>
      <c r="W439" s="674" t="n"/>
      <c r="X439" s="674" t="n"/>
      <c r="Y439" s="674" t="n"/>
      <c r="Z439" s="674" t="n"/>
      <c r="AA439" s="1254" t="n"/>
      <c r="AB439" s="674" t="n"/>
      <c r="AC439" s="674" t="n"/>
      <c r="AD439" s="674" t="n"/>
      <c r="AE439" s="674" t="n"/>
      <c r="AF439" s="1254" t="n"/>
      <c r="AG439" s="674" t="n"/>
      <c r="AH439" s="674" t="n"/>
      <c r="AI439" s="674" t="n"/>
      <c r="AJ439" s="674" t="n"/>
      <c r="AK439" s="1254" t="n"/>
      <c r="AL439" s="674" t="n"/>
      <c r="AM439" s="674" t="n"/>
      <c r="AN439" s="674" t="n"/>
      <c r="AO439" s="674" t="n"/>
      <c r="AP439" s="1254" t="n"/>
      <c r="AQ439" s="674" t="n"/>
      <c r="AR439" s="674" t="n"/>
      <c r="AS439" s="674" t="n"/>
      <c r="AT439" s="674" t="n"/>
      <c r="AU439" s="1254" t="n"/>
      <c r="AV439" s="674" t="n"/>
      <c r="AW439" s="674" t="n"/>
      <c r="AX439" s="674" t="n"/>
      <c r="AY439" s="674" t="n"/>
      <c r="AZ439" s="1254" t="n"/>
      <c r="BA439" s="674" t="n"/>
      <c r="BB439" s="674" t="n"/>
      <c r="BC439" s="674" t="n"/>
      <c r="BD439" s="674" t="n"/>
      <c r="BE439" s="1254" t="n"/>
      <c r="BF439" s="674" t="n"/>
      <c r="BG439" s="674" t="n"/>
      <c r="BH439" s="674" t="n"/>
      <c r="BI439" s="674" t="n"/>
      <c r="BJ439" s="1254" t="n"/>
      <c r="BK439" s="674" t="n"/>
      <c r="BL439" s="674" t="n"/>
      <c r="BM439" s="674" t="n"/>
      <c r="BN439" s="674" t="n"/>
      <c r="BO439" s="1253" t="n"/>
      <c r="BP439" s="674" t="n"/>
      <c r="BQ439" s="674" t="n"/>
      <c r="BR439" s="674" t="n"/>
      <c r="BS439" s="674" t="n"/>
      <c r="BT439" s="1254" t="n"/>
      <c r="BU439" s="674" t="n"/>
      <c r="BV439" s="674" t="n"/>
      <c r="BW439" s="674" t="n"/>
      <c r="BX439" s="674" t="n"/>
      <c r="BY439" s="1254" t="n"/>
      <c r="BZ439" s="1254" t="n"/>
      <c r="CA439" s="1254" t="n"/>
      <c r="CB439" s="1254" t="n"/>
      <c r="CC439" s="1564" t="n"/>
    </row>
    <row r="440" ht="15" customFormat="1" customHeight="1" s="1561">
      <c r="A440" s="1719" t="inlineStr">
        <is>
          <t>EBITDA / Net Interest Expense</t>
        </is>
      </c>
      <c r="B440" s="1717" t="n"/>
      <c r="C440" s="1918">
        <f>IFERROR(IF(OR(C345&lt;0,C437&lt;0),"n/a",C345/C437),"n/a")</f>
        <v/>
      </c>
      <c r="D440" s="1918">
        <f>IFERROR(IF(OR(D345&lt;0,D437&lt;0),"n/a",D345/D437),"n/a")</f>
        <v/>
      </c>
      <c r="E440" s="1918">
        <f>IFERROR(IF(OR(E345&lt;0,E437&lt;0),"n/a",E345/E437),"n/a")</f>
        <v/>
      </c>
      <c r="F440" s="1918">
        <f>IFERROR(IF(OR(F345&lt;0,F437&lt;0),"n/a",F345/F437),"n/a")</f>
        <v/>
      </c>
      <c r="G440" s="1918">
        <f>IFERROR(IF(OR(G345&lt;0,G437&lt;0),"n/a",G345/G437),"n/a")</f>
        <v/>
      </c>
      <c r="H440" s="1919">
        <f>IFERROR(IF(OR(H345&lt;0,H437&lt;0),"n/a",H345/H437),"n/a")</f>
        <v/>
      </c>
      <c r="I440" s="1919">
        <f>IFERROR(IF(OR(I345&lt;0,I437&lt;0),"n/a",I345/I437),"n/a")</f>
        <v/>
      </c>
      <c r="J440" s="1919">
        <f>IFERROR(IF(OR(J345&lt;0,J437&lt;0),"n/a",J345/J437),"n/a")</f>
        <v/>
      </c>
      <c r="K440" s="1919">
        <f>IFERROR(IF(OR(K345&lt;0,K437&lt;0),"n/a",K345/K437),"n/a")</f>
        <v/>
      </c>
      <c r="L440" s="1918">
        <f>IFERROR(IF(OR(L345&lt;0,L437&lt;0),"n/a",L345/L437),"n/a")</f>
        <v/>
      </c>
      <c r="M440" s="1919">
        <f>IFERROR(IF(OR(M345&lt;0,M437&lt;0),"n/a",M345/M437),"n/a")</f>
        <v/>
      </c>
      <c r="N440" s="1919">
        <f>IFERROR(IF(OR(N345&lt;0,N437&lt;0),"n/a",N345/N437),"n/a")</f>
        <v/>
      </c>
      <c r="O440" s="1919">
        <f>IFERROR(IF(OR(O345&lt;0,O437&lt;0),"n/a",O345/O437),"n/a")</f>
        <v/>
      </c>
      <c r="P440" s="1919">
        <f>IFERROR(IF(OR(P345&lt;0,P437&lt;0),"n/a",P345/P437),"n/a")</f>
        <v/>
      </c>
      <c r="Q440" s="1918">
        <f>IFERROR(IF(OR(Q345&lt;0,Q437&lt;0),"n/a",Q345/Q437),"n/a")</f>
        <v/>
      </c>
      <c r="R440" s="1919">
        <f>IFERROR(IF(OR(R345&lt;0,R437&lt;0),"n/a",R345/R437),"n/a")</f>
        <v/>
      </c>
      <c r="S440" s="1919">
        <f>IFERROR(IF(OR(S345&lt;0,S437&lt;0),"n/a",S345/S437),"n/a")</f>
        <v/>
      </c>
      <c r="T440" s="1919">
        <f>IFERROR(IF(OR(T345&lt;0,T437&lt;0),"n/a",T345/T437),"n/a")</f>
        <v/>
      </c>
      <c r="U440" s="1919">
        <f>IFERROR(IF(OR(U345&lt;0,U437&lt;0),"n/a",U345/U437),"n/a")</f>
        <v/>
      </c>
      <c r="V440" s="1918">
        <f>IFERROR(IF(OR(V345&lt;0,V437&lt;0),"n/a",V345/V437),"n/a")</f>
        <v/>
      </c>
      <c r="W440" s="1919">
        <f>IFERROR(IF(OR(W345&lt;0,W437&lt;0),"n/a",W345/W437),"n/a")</f>
        <v/>
      </c>
      <c r="X440" s="1919">
        <f>IFERROR(IF(OR(X345&lt;0,X437&lt;0),"n/a",X345/X437),"n/a")</f>
        <v/>
      </c>
      <c r="Y440" s="1919">
        <f>IFERROR(IF(OR(Y345&lt;0,Y437&lt;0),"n/a",Y345/Y437),"n/a")</f>
        <v/>
      </c>
      <c r="Z440" s="1919">
        <f>IFERROR(IF(OR(Z345&lt;0,Z437&lt;0),"n/a",Z345/Z437),"n/a")</f>
        <v/>
      </c>
      <c r="AA440" s="1918">
        <f>IFERROR(IF(OR(AA345&lt;0,AA437&lt;0),"n/a",AA345/AA437),"n/a")</f>
        <v/>
      </c>
      <c r="AB440" s="1919">
        <f>IFERROR(IF(OR(AB345&lt;0,AB437&lt;0),"n/a",AB345/AB437),"n/a")</f>
        <v/>
      </c>
      <c r="AC440" s="1919">
        <f>IFERROR(IF(OR(AC345&lt;0,AC437&lt;0),"n/a",AC345/AC437),"n/a")</f>
        <v/>
      </c>
      <c r="AD440" s="1919">
        <f>IFERROR(IF(OR(AD345&lt;0,AD437&lt;0),"n/a",AD345/AD437),"n/a")</f>
        <v/>
      </c>
      <c r="AE440" s="1919">
        <f>IFERROR(IF(OR(AE345&lt;0,AE437&lt;0),"n/a",AE345/AE437),"n/a")</f>
        <v/>
      </c>
      <c r="AF440" s="1918">
        <f>IFERROR(IF(OR(AF345&lt;0,AF437&lt;0),"n/a",AF345/AF437),"n/a")</f>
        <v/>
      </c>
      <c r="AG440" s="1919">
        <f>IFERROR(IF(OR(AG345&lt;0,AG437&lt;0),"n/a",AG345/AG437),"n/a")</f>
        <v/>
      </c>
      <c r="AH440" s="1919">
        <f>IFERROR(IF(OR(AH345&lt;0,AH437&lt;0),"n/a",AH345/AH437),"n/a")</f>
        <v/>
      </c>
      <c r="AI440" s="1919">
        <f>IFERROR(IF(OR(AI345&lt;0,AI437&lt;0),"n/a",AI345/AI437),"n/a")</f>
        <v/>
      </c>
      <c r="AJ440" s="1919">
        <f>IFERROR(IF(OR(AJ345&lt;0,AJ437&lt;0),"n/a",AJ345/AJ437),"n/a")</f>
        <v/>
      </c>
      <c r="AK440" s="1918">
        <f>IFERROR(IF(OR(AK345&lt;0,AK437&lt;0),"n/a",AK345/AK437),"n/a")</f>
        <v/>
      </c>
      <c r="AL440" s="1919">
        <f>IFERROR(IF(OR(AL345&lt;0,AL437&lt;0),"n/a",AL345/AL437),"n/a")</f>
        <v/>
      </c>
      <c r="AM440" s="1919">
        <f>IFERROR(IF(OR(AM345&lt;0,AM437&lt;0),"n/a",AM345/AM437),"n/a")</f>
        <v/>
      </c>
      <c r="AN440" s="1919">
        <f>IFERROR(IF(OR(AN345&lt;0,AN437&lt;0),"n/a",AN345/AN437),"n/a")</f>
        <v/>
      </c>
      <c r="AO440" s="1919">
        <f>IFERROR(IF(OR(AO345&lt;0,AO437&lt;0),"n/a",AO345/AO437),"n/a")</f>
        <v/>
      </c>
      <c r="AP440" s="1918">
        <f>IFERROR(IF(OR(AP345&lt;0,AP437&lt;0),"n/a",AP345/AP437),"n/a")</f>
        <v/>
      </c>
      <c r="AQ440" s="1919">
        <f>IFERROR(IF(OR(AQ345&lt;0,AQ437&lt;0),"n/a",AQ345/AQ437),"n/a")</f>
        <v/>
      </c>
      <c r="AR440" s="1919">
        <f>IFERROR(IF(OR(AR345&lt;0,AR437&lt;0),"n/a",AR345/AR437),"n/a")</f>
        <v/>
      </c>
      <c r="AS440" s="1919">
        <f>IFERROR(IF(OR(AS345&lt;0,AS437&lt;0),"n/a",AS345/AS437),"n/a")</f>
        <v/>
      </c>
      <c r="AT440" s="1919">
        <f>IFERROR(IF(OR(AT345&lt;0,AT437&lt;0),"n/a",AT345/AT437),"n/a")</f>
        <v/>
      </c>
      <c r="AU440" s="1918">
        <f>IFERROR(IF(OR(AU345&lt;0,AU437&lt;0),"n/a",AU345/AU437),"n/a")</f>
        <v/>
      </c>
      <c r="AV440" s="1919">
        <f>IFERROR(IF(OR(AV345&lt;0,AV437&lt;0),"n/a",AV345/AV437),"n/a")</f>
        <v/>
      </c>
      <c r="AW440" s="1919">
        <f>IFERROR(IF(OR(AW345&lt;0,AW437&lt;0),"n/a",AW345/AW437),"n/a")</f>
        <v/>
      </c>
      <c r="AX440" s="1919">
        <f>IFERROR(IF(OR(AX345&lt;0,AX437&lt;0),"n/a",AX345/AX437),"n/a")</f>
        <v/>
      </c>
      <c r="AY440" s="1919">
        <f>IFERROR(IF(OR(AY345&lt;0,AY437&lt;0),"n/a",AY345/AY437),"n/a")</f>
        <v/>
      </c>
      <c r="AZ440" s="1918">
        <f>IFERROR(IF(OR(AZ345&lt;0,AZ437&lt;0),"n/a",AZ345/AZ437),"n/a")</f>
        <v/>
      </c>
      <c r="BA440" s="1919">
        <f>IFERROR(IF(OR(BA345&lt;0,BA437&lt;0),"n/a",BA345/BA437),"n/a")</f>
        <v/>
      </c>
      <c r="BB440" s="1919">
        <f>IFERROR(IF(OR(BB345&lt;0,BB437&lt;0),"n/a",BB345/BB437),"n/a")</f>
        <v/>
      </c>
      <c r="BC440" s="1919">
        <f>IFERROR(IF(OR(BC345&lt;0,BC437&lt;0),"n/a",BC345/BC437),"n/a")</f>
        <v/>
      </c>
      <c r="BD440" s="1919">
        <f>IFERROR(IF(OR(BD345&lt;0,BD437&lt;0),"n/a",BD345/BD437),"n/a")</f>
        <v/>
      </c>
      <c r="BE440" s="1918">
        <f>IFERROR(IF(OR(BE345&lt;0,BE437&lt;0),"n/a",BE345/BE437),"n/a")</f>
        <v/>
      </c>
      <c r="BF440" s="1919">
        <f>IFERROR(IF(OR(BF345&lt;0,BF437&lt;0),"n/a",BF345/BF437),"n/a")</f>
        <v/>
      </c>
      <c r="BG440" s="1919">
        <f>IFERROR(IF(OR(BG345&lt;0,BG437&lt;0),"n/a",BG345/BG437),"n/a")</f>
        <v/>
      </c>
      <c r="BH440" s="1919">
        <f>IFERROR(IF(OR(BH345&lt;0,BH437&lt;0),"n/a",BH345/BH437),"n/a")</f>
        <v/>
      </c>
      <c r="BI440" s="1919">
        <f>IFERROR(IF(OR(BI345&lt;0,BI437&lt;0),"n/a",BI345/BI437),"n/a")</f>
        <v/>
      </c>
      <c r="BJ440" s="1918">
        <f>IFERROR(IF(OR(BJ345&lt;0,BJ437&lt;0),"n/a",BJ345/BJ437),"n/a")</f>
        <v/>
      </c>
      <c r="BK440" s="1919">
        <f>IFERROR(IF(OR(BK345&lt;0,BK437&lt;0),"n/a",BK345/BK437),"n/a")</f>
        <v/>
      </c>
      <c r="BL440" s="1919">
        <f>IFERROR(IF(OR(BL345&lt;0,BL437&lt;0),"n/a",BL345/BL437),"n/a")</f>
        <v/>
      </c>
      <c r="BM440" s="1919">
        <f>IFERROR(IF(OR(BM345&lt;0,BM437&lt;0),"n/a",BM345/BM437),"n/a")</f>
        <v/>
      </c>
      <c r="BN440" s="1919">
        <f>IFERROR(IF(OR(BN345&lt;0,BN437&lt;0),"n/a",BN345/BN437),"n/a")</f>
        <v/>
      </c>
      <c r="BO440" s="1920">
        <f>IFERROR(IF(OR(BO345&lt;0,BO437&lt;0),"n/a",BO345/BO437),"n/a")</f>
        <v/>
      </c>
      <c r="BP440" s="1919">
        <f>IFERROR(IF(OR(BP345&lt;0,BP437&lt;0),"n/a",BP345/BP437),"n/a")</f>
        <v/>
      </c>
      <c r="BQ440" s="1919">
        <f>IFERROR(IF(OR(BQ345&lt;0,BQ437&lt;0),"n/a",BQ345/BQ437),"n/a")</f>
        <v/>
      </c>
      <c r="BR440" s="1919">
        <f>IFERROR(IF(OR(BR345&lt;0,BR437&lt;0),"n/a",BR345/BR437),"n/a")</f>
        <v/>
      </c>
      <c r="BS440" s="1919">
        <f>IFERROR(IF(OR(BS345&lt;0,BS437&lt;0),"n/a",BS345/BS437),"n/a")</f>
        <v/>
      </c>
      <c r="BT440" s="1918">
        <f>IFERROR(IF(OR(BT345&lt;0,BT437&lt;0),"n/a",BT345/BT437),"n/a")</f>
        <v/>
      </c>
      <c r="BU440" s="1919">
        <f>IFERROR(IF(OR(BU345&lt;0,BU437&lt;0),"n/a",BU345/BU437),"n/a")</f>
        <v/>
      </c>
      <c r="BV440" s="1919">
        <f>IFERROR(IF(OR(BV345&lt;0,BV437&lt;0),"n/a",BV345/BV437),"n/a")</f>
        <v/>
      </c>
      <c r="BW440" s="1919">
        <f>IFERROR(IF(OR(BW345&lt;0,BW437&lt;0),"n/a",BW345/BW437),"n/a")</f>
        <v/>
      </c>
      <c r="BX440" s="1919">
        <f>IFERROR(IF(OR(BX345&lt;0,BX437&lt;0),"n/a",BX345/BX437),"n/a")</f>
        <v/>
      </c>
      <c r="BY440" s="1918">
        <f>IFERROR(IF(OR(BY345&lt;0,BY437&lt;0),"n/a",BY345/BY437),"n/a")</f>
        <v/>
      </c>
      <c r="BZ440" s="1918">
        <f>IFERROR(IF(OR(BZ345&lt;0,BZ437&lt;0),"n/a",BZ345/BZ437),"n/a")</f>
        <v/>
      </c>
      <c r="CA440" s="1918">
        <f>IFERROR(IF(OR(CA345&lt;0,CA437&lt;0),"n/a",CA345/CA437),"n/a")</f>
        <v/>
      </c>
      <c r="CB440" s="1918">
        <f>IFERROR(IF(OR(CB345&lt;0,CB437&lt;0),"n/a",CB345/CB437),"n/a")</f>
        <v/>
      </c>
      <c r="CC440" s="1564" t="n"/>
    </row>
    <row r="441" ht="15" customFormat="1" customHeight="1" s="1921">
      <c r="A441" s="1922" t="inlineStr">
        <is>
          <t>Net Debt / EBITDA</t>
        </is>
      </c>
      <c r="B441" s="1923" t="n"/>
      <c r="C441" s="1924">
        <f>IF(C431&lt;0,"n/a",C431/C345)</f>
        <v/>
      </c>
      <c r="D441" s="1924">
        <f>IF(D431&lt;0,"n/a",D431/D345)</f>
        <v/>
      </c>
      <c r="E441" s="1924">
        <f>IF(E431&lt;0,"n/a",E431/E345)</f>
        <v/>
      </c>
      <c r="F441" s="1924">
        <f>IF(F431&lt;0,"n/a",F431/F345)</f>
        <v/>
      </c>
      <c r="G441" s="1924">
        <f>IF(G431&lt;0,"n/a",G431/G345)</f>
        <v/>
      </c>
      <c r="H441" s="1919" t="n"/>
      <c r="I441" s="1919" t="n"/>
      <c r="J441" s="1919" t="n"/>
      <c r="K441" s="1919" t="n"/>
      <c r="L441" s="1924">
        <f>IF(L431&lt;0,"n/a",L431/L345)</f>
        <v/>
      </c>
      <c r="M441" s="1919" t="n"/>
      <c r="N441" s="1919" t="n"/>
      <c r="O441" s="1919" t="n"/>
      <c r="P441" s="1919" t="n"/>
      <c r="Q441" s="1924">
        <f>IF(Q431&lt;0,"n/a",Q431/Q345)</f>
        <v/>
      </c>
      <c r="R441" s="1919" t="n"/>
      <c r="S441" s="1925" t="n"/>
      <c r="T441" s="1919" t="n"/>
      <c r="U441" s="1919" t="n"/>
      <c r="V441" s="1924">
        <f>IF(V431&lt;0,"n/a",V431/V345)</f>
        <v/>
      </c>
      <c r="W441" s="1919" t="n"/>
      <c r="X441" s="1925" t="n"/>
      <c r="Y441" s="1919" t="n"/>
      <c r="Z441" s="1919" t="n"/>
      <c r="AA441" s="1924">
        <f>IF(AA431&lt;0,"n/a",AA431/AA345)</f>
        <v/>
      </c>
      <c r="AB441" s="1919" t="n"/>
      <c r="AC441" s="1925" t="n"/>
      <c r="AD441" s="1919" t="n"/>
      <c r="AE441" s="1919" t="n"/>
      <c r="AF441" s="1924">
        <f>IF(AF431&lt;0,"n/a",AF431/AF345)</f>
        <v/>
      </c>
      <c r="AG441" s="1919" t="n"/>
      <c r="AH441" s="1925" t="n"/>
      <c r="AI441" s="1919" t="n"/>
      <c r="AJ441" s="1919" t="n"/>
      <c r="AK441" s="1924">
        <f>IF(AK431&lt;0,"n/a",AK431/AK345)</f>
        <v/>
      </c>
      <c r="AL441" s="1919" t="n"/>
      <c r="AM441" s="1925" t="n"/>
      <c r="AN441" s="1919" t="n"/>
      <c r="AO441" s="1919" t="n"/>
      <c r="AP441" s="1924">
        <f>IF(AP431&lt;0,"n/a",AP431/AP345)</f>
        <v/>
      </c>
      <c r="AQ441" s="1919" t="n"/>
      <c r="AR441" s="1925" t="n"/>
      <c r="AS441" s="1919" t="n"/>
      <c r="AT441" s="1919" t="n"/>
      <c r="AU441" s="1924">
        <f>IF(AU431&lt;0,"n/a",AU431/AU345)</f>
        <v/>
      </c>
      <c r="AV441" s="1919" t="n"/>
      <c r="AW441" s="1925" t="n"/>
      <c r="AX441" s="1919" t="n"/>
      <c r="AY441" s="1919" t="n"/>
      <c r="AZ441" s="1924">
        <f>IF(AZ431&lt;0,"n/a",AZ431/AZ345)</f>
        <v/>
      </c>
      <c r="BA441" s="1919" t="n"/>
      <c r="BB441" s="1925" t="n"/>
      <c r="BC441" s="1919" t="n"/>
      <c r="BD441" s="1919" t="n"/>
      <c r="BE441" s="1924">
        <f>IF(BE431&lt;0,"n/a",BE431/BE345)</f>
        <v/>
      </c>
      <c r="BF441" s="1919" t="n"/>
      <c r="BG441" s="1925" t="n"/>
      <c r="BH441" s="1919" t="n"/>
      <c r="BI441" s="1919" t="n"/>
      <c r="BJ441" s="1924">
        <f>IF(BJ431&lt;0,"n/a",BJ431/BJ345)</f>
        <v/>
      </c>
      <c r="BK441" s="1919" t="n"/>
      <c r="BL441" s="1925" t="n"/>
      <c r="BM441" s="1919" t="n"/>
      <c r="BN441" s="1919" t="n"/>
      <c r="BO441" s="1926">
        <f>IF(BO431&lt;0,"n/a",BO431/BO345)</f>
        <v/>
      </c>
      <c r="BP441" s="1925" t="n"/>
      <c r="BQ441" s="1925" t="n"/>
      <c r="BR441" s="1925" t="n"/>
      <c r="BS441" s="1925" t="n"/>
      <c r="BT441" s="1918">
        <f>IF(BT431&lt;0,"n/a",BT431/BT345)</f>
        <v/>
      </c>
      <c r="BU441" s="1925" t="n"/>
      <c r="BV441" s="1925" t="n"/>
      <c r="BW441" s="1925" t="n"/>
      <c r="BX441" s="1925" t="n"/>
      <c r="BY441" s="1918">
        <f>IF(BY431&lt;0,"n/a",BY431/BY345)</f>
        <v/>
      </c>
      <c r="BZ441" s="1918">
        <f>IF(BZ431&lt;0,"n/a",BZ431/BZ345)</f>
        <v/>
      </c>
      <c r="CA441" s="1918">
        <f>IF(CA431&lt;0,"n/a",CA431/CA345)</f>
        <v/>
      </c>
      <c r="CB441" s="1918">
        <f>IF(CB431&lt;0,"n/a",CB431/CB345)</f>
        <v/>
      </c>
      <c r="CC441" s="1927" t="n"/>
    </row>
    <row r="442" ht="15" customFormat="1" customHeight="1" s="1921">
      <c r="A442" s="1922" t="inlineStr">
        <is>
          <t>Net Debt / Cash Flow</t>
        </is>
      </c>
      <c r="B442" s="1923" t="n"/>
      <c r="C442" s="1924">
        <f>IF(C431&lt;0,"n/a",C431/C399)</f>
        <v/>
      </c>
      <c r="D442" s="1924">
        <f>IF(D431&lt;0,"n/a",D431/D399)</f>
        <v/>
      </c>
      <c r="E442" s="1924">
        <f>IF(E431&lt;0,"n/a",E431/E399)</f>
        <v/>
      </c>
      <c r="F442" s="1924">
        <f>IF(F431&lt;0,"n/a",F431/F399)</f>
        <v/>
      </c>
      <c r="G442" s="1924">
        <f>IF(G431&lt;0,"n/a",G431/G399)</f>
        <v/>
      </c>
      <c r="H442" s="1919" t="n"/>
      <c r="I442" s="1919" t="n"/>
      <c r="J442" s="1919" t="n"/>
      <c r="K442" s="1919" t="n"/>
      <c r="L442" s="1924">
        <f>IF(L431&lt;0,"n/a",L431/L399)</f>
        <v/>
      </c>
      <c r="M442" s="1919" t="n"/>
      <c r="N442" s="1919" t="n"/>
      <c r="O442" s="1919" t="n"/>
      <c r="P442" s="1919" t="n"/>
      <c r="Q442" s="1924">
        <f>IF(Q431&lt;0,"n/a",Q431/Q399)</f>
        <v/>
      </c>
      <c r="R442" s="1919" t="n"/>
      <c r="S442" s="1925" t="n"/>
      <c r="T442" s="1919" t="n"/>
      <c r="U442" s="1919" t="n"/>
      <c r="V442" s="1924">
        <f>IF(V431&lt;0,"n/a",V431/V399)</f>
        <v/>
      </c>
      <c r="W442" s="1919" t="n"/>
      <c r="X442" s="1925" t="n"/>
      <c r="Y442" s="1919" t="n"/>
      <c r="Z442" s="1919" t="n"/>
      <c r="AA442" s="1924">
        <f>IF(AA431&lt;0,"n/a",AA431/AA399)</f>
        <v/>
      </c>
      <c r="AB442" s="1919" t="n"/>
      <c r="AC442" s="1925" t="n"/>
      <c r="AD442" s="1919" t="n"/>
      <c r="AE442" s="1919" t="n"/>
      <c r="AF442" s="1924">
        <f>IF(AF431&lt;0,"n/a",AF431/AF399)</f>
        <v/>
      </c>
      <c r="AG442" s="1919" t="n"/>
      <c r="AH442" s="1925" t="n"/>
      <c r="AI442" s="1919" t="n"/>
      <c r="AJ442" s="1919" t="n"/>
      <c r="AK442" s="1924">
        <f>IF(AK431&lt;0,"n/a",AK431/AK399)</f>
        <v/>
      </c>
      <c r="AL442" s="1919" t="n"/>
      <c r="AM442" s="1925" t="n"/>
      <c r="AN442" s="1919" t="n"/>
      <c r="AO442" s="1919" t="n"/>
      <c r="AP442" s="1924">
        <f>IF(AP431&lt;0,"n/a",AP431/AP399)</f>
        <v/>
      </c>
      <c r="AQ442" s="1919" t="n"/>
      <c r="AR442" s="1925" t="n"/>
      <c r="AS442" s="1919" t="n"/>
      <c r="AT442" s="1919" t="n"/>
      <c r="AU442" s="1924">
        <f>IF(AU431&lt;0,"n/a",AU431/AU399)</f>
        <v/>
      </c>
      <c r="AV442" s="1919" t="n"/>
      <c r="AW442" s="1925" t="n"/>
      <c r="AX442" s="1919" t="n"/>
      <c r="AY442" s="1919" t="n"/>
      <c r="AZ442" s="1924">
        <f>IF(AZ431&lt;0,"n/a",AZ431/AZ399)</f>
        <v/>
      </c>
      <c r="BA442" s="1919" t="n"/>
      <c r="BB442" s="1925" t="n"/>
      <c r="BC442" s="1919" t="n"/>
      <c r="BD442" s="1919" t="n"/>
      <c r="BE442" s="1924">
        <f>IF(BE431&lt;0,"n/a",BE431/BE399)</f>
        <v/>
      </c>
      <c r="BF442" s="1919" t="n"/>
      <c r="BG442" s="1925" t="n"/>
      <c r="BH442" s="1919" t="n"/>
      <c r="BI442" s="1919" t="n"/>
      <c r="BJ442" s="1924">
        <f>IF(BJ431&lt;0,"n/a",BJ431/BJ399)</f>
        <v/>
      </c>
      <c r="BK442" s="1919" t="n"/>
      <c r="BL442" s="1925" t="n"/>
      <c r="BM442" s="1919" t="n"/>
      <c r="BN442" s="1919" t="n"/>
      <c r="BO442" s="1926">
        <f>IF(BO431&lt;0,"n/a",BO431/BO399)</f>
        <v/>
      </c>
      <c r="BP442" s="1925" t="n"/>
      <c r="BQ442" s="1925" t="n"/>
      <c r="BR442" s="1925" t="n"/>
      <c r="BS442" s="1925" t="n"/>
      <c r="BT442" s="1918">
        <f>IF(BT431&lt;0,"n/a",BT431/BT399)</f>
        <v/>
      </c>
      <c r="BU442" s="1925" t="n"/>
      <c r="BV442" s="1925" t="n"/>
      <c r="BW442" s="1925" t="n"/>
      <c r="BX442" s="1925" t="n"/>
      <c r="BY442" s="1918">
        <f>IF(BY431&lt;0,"n/a",BY431/BY399)</f>
        <v/>
      </c>
      <c r="BZ442" s="1918">
        <f>IF(BZ431&lt;0,"n/a",BZ431/BZ399)</f>
        <v/>
      </c>
      <c r="CA442" s="1918">
        <f>IF(CA431&lt;0,"n/a",CA431/CA399)</f>
        <v/>
      </c>
      <c r="CB442" s="1918">
        <f>IF(CB431&lt;0,"n/a",CB431/CB399)</f>
        <v/>
      </c>
      <c r="CC442" s="1927" t="n"/>
    </row>
    <row r="443" ht="15" customFormat="1" customHeight="1" s="1574">
      <c r="A443" s="1575" t="n"/>
      <c r="B443" s="1575" t="n"/>
      <c r="C443" s="1674" t="n"/>
      <c r="D443" s="1674" t="n"/>
      <c r="E443" s="1674" t="n"/>
      <c r="F443" s="1674" t="n"/>
      <c r="G443" s="1674" t="n"/>
      <c r="H443" s="1675" t="n"/>
      <c r="I443" s="1675" t="n"/>
      <c r="J443" s="1675" t="n"/>
      <c r="K443" s="1675" t="n"/>
      <c r="L443" s="1674" t="n"/>
      <c r="M443" s="1675" t="n"/>
      <c r="N443" s="1675" t="n"/>
      <c r="O443" s="1675" t="n"/>
      <c r="P443" s="1675" t="n"/>
      <c r="Q443" s="1674" t="n"/>
      <c r="R443" s="1675" t="n"/>
      <c r="S443" s="1675" t="n"/>
      <c r="T443" s="1675" t="n"/>
      <c r="U443" s="1675" t="n"/>
      <c r="V443" s="1674" t="n"/>
      <c r="W443" s="1675" t="n"/>
      <c r="X443" s="1675" t="n"/>
      <c r="Y443" s="1675" t="n"/>
      <c r="Z443" s="1675" t="n"/>
      <c r="AA443" s="1674" t="n"/>
      <c r="AB443" s="1675" t="n"/>
      <c r="AC443" s="1675" t="n"/>
      <c r="AD443" s="1675" t="n"/>
      <c r="AE443" s="1675" t="n"/>
      <c r="AF443" s="1674" t="n"/>
      <c r="AG443" s="1675" t="n"/>
      <c r="AH443" s="1675" t="n"/>
      <c r="AI443" s="1675" t="n"/>
      <c r="AJ443" s="1675" t="n"/>
      <c r="AK443" s="1674" t="n"/>
      <c r="AL443" s="1675" t="n"/>
      <c r="AM443" s="1675" t="n"/>
      <c r="AN443" s="1675" t="n"/>
      <c r="AO443" s="1675" t="n"/>
      <c r="AP443" s="1674" t="n"/>
      <c r="AQ443" s="1675" t="n"/>
      <c r="AR443" s="1675" t="n"/>
      <c r="AS443" s="1675" t="n"/>
      <c r="AT443" s="1675" t="n"/>
      <c r="AU443" s="1674" t="n"/>
      <c r="AV443" s="1675" t="n"/>
      <c r="AW443" s="1675" t="n"/>
      <c r="AX443" s="1675" t="n"/>
      <c r="AY443" s="1675" t="n"/>
      <c r="AZ443" s="1674" t="n"/>
      <c r="BA443" s="1675" t="n"/>
      <c r="BB443" s="1675" t="n"/>
      <c r="BC443" s="1675" t="n"/>
      <c r="BD443" s="1675" t="n"/>
      <c r="BE443" s="1674" t="n"/>
      <c r="BF443" s="1675" t="n"/>
      <c r="BG443" s="1675" t="n"/>
      <c r="BH443" s="1675" t="n"/>
      <c r="BI443" s="1675" t="n"/>
      <c r="BJ443" s="1674" t="n"/>
      <c r="BK443" s="1675" t="n"/>
      <c r="BL443" s="1675" t="n"/>
      <c r="BM443" s="1675" t="n"/>
      <c r="BN443" s="1675" t="n"/>
      <c r="BO443" s="1678" t="n"/>
      <c r="BP443" s="1675" t="n"/>
      <c r="BQ443" s="1675" t="n"/>
      <c r="BR443" s="1675" t="n"/>
      <c r="BS443" s="1675" t="n"/>
      <c r="BT443" s="1674" t="n"/>
      <c r="BU443" s="1675" t="n"/>
      <c r="BV443" s="1675" t="n"/>
      <c r="BW443" s="1675" t="n"/>
      <c r="BX443" s="1675" t="n"/>
      <c r="BY443" s="1674" t="n"/>
      <c r="BZ443" s="1674" t="n"/>
      <c r="CA443" s="1674" t="n"/>
      <c r="CB443" s="1674" t="n"/>
      <c r="CC443" s="1582" t="n"/>
    </row>
    <row r="444" ht="15" customFormat="1" customHeight="1" s="1628">
      <c r="A444" s="1786" t="inlineStr">
        <is>
          <t>Valuation</t>
        </is>
      </c>
      <c r="B444" s="1786" t="n"/>
      <c r="C444" s="1786" t="n"/>
      <c r="D444" s="1786" t="n"/>
      <c r="E444" s="1786" t="n"/>
      <c r="F444" s="1786" t="n"/>
      <c r="G444" s="1786" t="n"/>
      <c r="H444" s="1786" t="n"/>
      <c r="I444" s="1786" t="n"/>
      <c r="J444" s="1786" t="n"/>
      <c r="K444" s="1786" t="n"/>
      <c r="L444" s="1786" t="n"/>
      <c r="M444" s="1786" t="n"/>
      <c r="N444" s="1786" t="n"/>
      <c r="O444" s="1786" t="n"/>
      <c r="P444" s="1786" t="n"/>
      <c r="Q444" s="1786" t="n"/>
      <c r="R444" s="1786" t="n"/>
      <c r="S444" s="1786" t="n"/>
      <c r="T444" s="1786" t="n"/>
      <c r="U444" s="1786" t="n"/>
      <c r="V444" s="1786" t="n"/>
      <c r="W444" s="1786" t="n"/>
      <c r="X444" s="1786" t="n"/>
      <c r="Y444" s="1786" t="n"/>
      <c r="Z444" s="1786" t="n"/>
      <c r="AA444" s="1786" t="n"/>
      <c r="AB444" s="1786" t="n"/>
      <c r="AC444" s="1786" t="n"/>
      <c r="AD444" s="1786" t="n"/>
      <c r="AE444" s="1786" t="n"/>
      <c r="AF444" s="1786" t="n"/>
      <c r="AG444" s="1786" t="n"/>
      <c r="AH444" s="1786" t="n"/>
      <c r="AI444" s="1786" t="n"/>
      <c r="AJ444" s="1786" t="n"/>
      <c r="AK444" s="1786" t="n"/>
      <c r="AL444" s="1786" t="n"/>
      <c r="AM444" s="1786" t="n"/>
      <c r="AN444" s="1786" t="n"/>
      <c r="AO444" s="1786" t="n"/>
      <c r="AP444" s="1786" t="n"/>
      <c r="AQ444" s="1786" t="n"/>
      <c r="AR444" s="1786" t="n"/>
      <c r="AS444" s="1786" t="n"/>
      <c r="AT444" s="1786" t="n"/>
      <c r="AU444" s="1786" t="n"/>
      <c r="AV444" s="1786" t="n"/>
      <c r="AW444" s="1786" t="n"/>
      <c r="AX444" s="1786" t="n"/>
      <c r="AY444" s="1786" t="n"/>
      <c r="AZ444" s="1786" t="n"/>
      <c r="BA444" s="1786" t="n"/>
      <c r="BB444" s="1786" t="n"/>
      <c r="BC444" s="1786" t="n"/>
      <c r="BD444" s="1786" t="n"/>
      <c r="BE444" s="1786" t="n"/>
      <c r="BF444" s="1786" t="n"/>
      <c r="BG444" s="1786" t="n"/>
      <c r="BH444" s="1786" t="n"/>
      <c r="BI444" s="1786" t="n"/>
      <c r="BJ444" s="1786" t="n"/>
      <c r="BK444" s="1786" t="n"/>
      <c r="BL444" s="1786" t="n"/>
      <c r="BM444" s="1786" t="n"/>
      <c r="BN444" s="1786" t="n"/>
      <c r="BO444" s="1826" t="n"/>
      <c r="BP444" s="1786" t="n"/>
      <c r="BQ444" s="1786" t="n"/>
      <c r="BR444" s="1786" t="n"/>
      <c r="BS444" s="1786" t="n"/>
      <c r="BT444" s="1786" t="n"/>
      <c r="BU444" s="1786" t="n"/>
      <c r="BV444" s="1786" t="n"/>
      <c r="BW444" s="1786" t="n"/>
      <c r="BX444" s="1786" t="n"/>
      <c r="BY444" s="1786" t="n"/>
      <c r="BZ444" s="1786" t="n"/>
      <c r="CA444" s="1786" t="n"/>
      <c r="CB444" s="1786" t="n"/>
      <c r="CC444" s="1634" t="n"/>
    </row>
    <row r="445" ht="15" customFormat="1" customHeight="1" s="1844">
      <c r="A445" s="1928">
        <f>"Stock Price (Reporting Cur.) - "&amp;MO.ValuationToggle&amp;", "&amp;MO.ReportCurrency</f>
        <v/>
      </c>
      <c r="B445" s="1929" t="inlineStr">
        <is>
          <t>EoP</t>
        </is>
      </c>
      <c r="C445" s="1930">
        <f>IF(MO.ValuationToggle="EoP",INDEX(MO_VA_StockPrice_TradingCurrency,1,COLUMN())/INDEX(MO_VA_FX_EoP,1,COLUMN()),INDEX(MO_VA_StockPrice_TradingCurrency,1,COLUMN())/INDEX(MO_VA_FX_Average,1,COLUMN()))</f>
        <v/>
      </c>
      <c r="D445" s="1930">
        <f>IF(MO.ValuationToggle="EoP",INDEX(MO_VA_StockPrice_TradingCurrency,1,COLUMN())/INDEX(MO_VA_FX_EoP,1,COLUMN()),INDEX(MO_VA_StockPrice_TradingCurrency,1,COLUMN())/INDEX(MO_VA_FX_Average,1,COLUMN()))</f>
        <v/>
      </c>
      <c r="E445" s="1930">
        <f>IF(MO.ValuationToggle="EoP",INDEX(MO_VA_StockPrice_TradingCurrency,1,COLUMN())/INDEX(MO_VA_FX_EoP,1,COLUMN()),INDEX(MO_VA_StockPrice_TradingCurrency,1,COLUMN())/INDEX(MO_VA_FX_Average,1,COLUMN()))</f>
        <v/>
      </c>
      <c r="F445" s="1930">
        <f>IF(MO.ValuationToggle="EoP",INDEX(MO_VA_StockPrice_TradingCurrency,1,COLUMN())/INDEX(MO_VA_FX_EoP,1,COLUMN()),INDEX(MO_VA_StockPrice_TradingCurrency,1,COLUMN())/INDEX(MO_VA_FX_Average,1,COLUMN()))</f>
        <v/>
      </c>
      <c r="G445" s="1930">
        <f>IF(MO.ValuationToggle="EoP",INDEX(MO_VA_StockPrice_TradingCurrency,1,COLUMN())/INDEX(MO_VA_FX_EoP,1,COLUMN()),INDEX(MO_VA_StockPrice_TradingCurrency,1,COLUMN())/INDEX(MO_VA_FX_Average,1,COLUMN()))</f>
        <v/>
      </c>
      <c r="H445" s="1931">
        <f>IF(MO.ValuationToggle="EoP",INDEX(MO_VA_StockPrice_TradingCurrency,1,COLUMN())/INDEX(MO_VA_FX_EoP,1,COLUMN()),INDEX(MO_VA_StockPrice_TradingCurrency,1,COLUMN())/INDEX(MO_VA_FX_Average,1,COLUMN()))</f>
        <v/>
      </c>
      <c r="I445" s="1931">
        <f>IF(MO.ValuationToggle="EoP",INDEX(MO_VA_StockPrice_TradingCurrency,1,COLUMN())/INDEX(MO_VA_FX_EoP,1,COLUMN()),INDEX(MO_VA_StockPrice_TradingCurrency,1,COLUMN())/INDEX(MO_VA_FX_Average,1,COLUMN()))</f>
        <v/>
      </c>
      <c r="J445" s="1931">
        <f>IF(MO.ValuationToggle="EoP",INDEX(MO_VA_StockPrice_TradingCurrency,1,COLUMN())/INDEX(MO_VA_FX_EoP,1,COLUMN()),INDEX(MO_VA_StockPrice_TradingCurrency,1,COLUMN())/INDEX(MO_VA_FX_Average,1,COLUMN()))</f>
        <v/>
      </c>
      <c r="K445" s="1931">
        <f>IF(MO.ValuationToggle="EoP",INDEX(MO_VA_StockPrice_TradingCurrency,1,COLUMN())/INDEX(MO_VA_FX_EoP,1,COLUMN()),INDEX(MO_VA_StockPrice_TradingCurrency,1,COLUMN())/INDEX(MO_VA_FX_Average,1,COLUMN()))</f>
        <v/>
      </c>
      <c r="L445" s="1930">
        <f>IF(MO.ValuationToggle="EoP",INDEX(MO_VA_StockPrice_TradingCurrency,1,COLUMN())/INDEX(MO_VA_FX_EoP,1,COLUMN()),INDEX(MO_VA_StockPrice_TradingCurrency,1,COLUMN())/INDEX(MO_VA_FX_Average,1,COLUMN()))</f>
        <v/>
      </c>
      <c r="M445" s="1931">
        <f>IF(MO.ValuationToggle="EoP",INDEX(MO_VA_StockPrice_TradingCurrency,1,COLUMN())/INDEX(MO_VA_FX_EoP,1,COLUMN()),INDEX(MO_VA_StockPrice_TradingCurrency,1,COLUMN())/INDEX(MO_VA_FX_Average,1,COLUMN()))</f>
        <v/>
      </c>
      <c r="N445" s="1931">
        <f>IF(MO.ValuationToggle="EoP",INDEX(MO_VA_StockPrice_TradingCurrency,1,COLUMN())/INDEX(MO_VA_FX_EoP,1,COLUMN()),INDEX(MO_VA_StockPrice_TradingCurrency,1,COLUMN())/INDEX(MO_VA_FX_Average,1,COLUMN()))</f>
        <v/>
      </c>
      <c r="O445" s="1931">
        <f>IF(MO.ValuationToggle="EoP",INDEX(MO_VA_StockPrice_TradingCurrency,1,COLUMN())/INDEX(MO_VA_FX_EoP,1,COLUMN()),INDEX(MO_VA_StockPrice_TradingCurrency,1,COLUMN())/INDEX(MO_VA_FX_Average,1,COLUMN()))</f>
        <v/>
      </c>
      <c r="P445" s="1931">
        <f>IF(MO.ValuationToggle="EoP",INDEX(MO_VA_StockPrice_TradingCurrency,1,COLUMN())/INDEX(MO_VA_FX_EoP,1,COLUMN()),INDEX(MO_VA_StockPrice_TradingCurrency,1,COLUMN())/INDEX(MO_VA_FX_Average,1,COLUMN()))</f>
        <v/>
      </c>
      <c r="Q445" s="1930">
        <f>IF(MO.ValuationToggle="EoP",INDEX(MO_VA_StockPrice_TradingCurrency,1,COLUMN())/INDEX(MO_VA_FX_EoP,1,COLUMN()),INDEX(MO_VA_StockPrice_TradingCurrency,1,COLUMN())/INDEX(MO_VA_FX_Average,1,COLUMN()))</f>
        <v/>
      </c>
      <c r="R445" s="1931">
        <f>IF(MO.ValuationToggle="EoP",INDEX(MO_VA_StockPrice_TradingCurrency,1,COLUMN())/INDEX(MO_VA_FX_EoP,1,COLUMN()),INDEX(MO_VA_StockPrice_TradingCurrency,1,COLUMN())/INDEX(MO_VA_FX_Average,1,COLUMN()))</f>
        <v/>
      </c>
      <c r="S445" s="1931">
        <f>IF(MO.ValuationToggle="EoP",INDEX(MO_VA_StockPrice_TradingCurrency,1,COLUMN())/INDEX(MO_VA_FX_EoP,1,COLUMN()),INDEX(MO_VA_StockPrice_TradingCurrency,1,COLUMN())/INDEX(MO_VA_FX_Average,1,COLUMN()))</f>
        <v/>
      </c>
      <c r="T445" s="1931">
        <f>IF(MO.ValuationToggle="EoP",INDEX(MO_VA_StockPrice_TradingCurrency,1,COLUMN())/INDEX(MO_VA_FX_EoP,1,COLUMN()),INDEX(MO_VA_StockPrice_TradingCurrency,1,COLUMN())/INDEX(MO_VA_FX_Average,1,COLUMN()))</f>
        <v/>
      </c>
      <c r="U445" s="1931">
        <f>IF(MO.ValuationToggle="EoP",INDEX(MO_VA_StockPrice_TradingCurrency,1,COLUMN())/INDEX(MO_VA_FX_EoP,1,COLUMN()),INDEX(MO_VA_StockPrice_TradingCurrency,1,COLUMN())/INDEX(MO_VA_FX_Average,1,COLUMN()))</f>
        <v/>
      </c>
      <c r="V445" s="1930">
        <f>IF(MO.ValuationToggle="EoP",INDEX(MO_VA_StockPrice_TradingCurrency,1,COLUMN())/INDEX(MO_VA_FX_EoP,1,COLUMN()),INDEX(MO_VA_StockPrice_TradingCurrency,1,COLUMN())/INDEX(MO_VA_FX_Average,1,COLUMN()))</f>
        <v/>
      </c>
      <c r="W445" s="1931">
        <f>IF(MO.ValuationToggle="EoP",INDEX(MO_VA_StockPrice_TradingCurrency,1,COLUMN())/INDEX(MO_VA_FX_EoP,1,COLUMN()),INDEX(MO_VA_StockPrice_TradingCurrency,1,COLUMN())/INDEX(MO_VA_FX_Average,1,COLUMN()))</f>
        <v/>
      </c>
      <c r="X445" s="1931">
        <f>IF(MO.ValuationToggle="EoP",INDEX(MO_VA_StockPrice_TradingCurrency,1,COLUMN())/INDEX(MO_VA_FX_EoP,1,COLUMN()),INDEX(MO_VA_StockPrice_TradingCurrency,1,COLUMN())/INDEX(MO_VA_FX_Average,1,COLUMN()))</f>
        <v/>
      </c>
      <c r="Y445" s="1931">
        <f>IF(MO.ValuationToggle="EoP",INDEX(MO_VA_StockPrice_TradingCurrency,1,COLUMN())/INDEX(MO_VA_FX_EoP,1,COLUMN()),INDEX(MO_VA_StockPrice_TradingCurrency,1,COLUMN())/INDEX(MO_VA_FX_Average,1,COLUMN()))</f>
        <v/>
      </c>
      <c r="Z445" s="1931">
        <f>IF(MO.ValuationToggle="EoP",INDEX(MO_VA_StockPrice_TradingCurrency,1,COLUMN())/INDEX(MO_VA_FX_EoP,1,COLUMN()),INDEX(MO_VA_StockPrice_TradingCurrency,1,COLUMN())/INDEX(MO_VA_FX_Average,1,COLUMN()))</f>
        <v/>
      </c>
      <c r="AA445" s="1930">
        <f>IF(MO.ValuationToggle="EoP",INDEX(MO_VA_StockPrice_TradingCurrency,1,COLUMN())/INDEX(MO_VA_FX_EoP,1,COLUMN()),INDEX(MO_VA_StockPrice_TradingCurrency,1,COLUMN())/INDEX(MO_VA_FX_Average,1,COLUMN()))</f>
        <v/>
      </c>
      <c r="AB445" s="1931">
        <f>IF(MO.ValuationToggle="EoP",INDEX(MO_VA_StockPrice_TradingCurrency,1,COLUMN())/INDEX(MO_VA_FX_EoP,1,COLUMN()),INDEX(MO_VA_StockPrice_TradingCurrency,1,COLUMN())/INDEX(MO_VA_FX_Average,1,COLUMN()))</f>
        <v/>
      </c>
      <c r="AC445" s="1931">
        <f>IF(MO.ValuationToggle="EoP",INDEX(MO_VA_StockPrice_TradingCurrency,1,COLUMN())/INDEX(MO_VA_FX_EoP,1,COLUMN()),INDEX(MO_VA_StockPrice_TradingCurrency,1,COLUMN())/INDEX(MO_VA_FX_Average,1,COLUMN()))</f>
        <v/>
      </c>
      <c r="AD445" s="1931">
        <f>IF(MO.ValuationToggle="EoP",INDEX(MO_VA_StockPrice_TradingCurrency,1,COLUMN())/INDEX(MO_VA_FX_EoP,1,COLUMN()),INDEX(MO_VA_StockPrice_TradingCurrency,1,COLUMN())/INDEX(MO_VA_FX_Average,1,COLUMN()))</f>
        <v/>
      </c>
      <c r="AE445" s="1931">
        <f>IF(MO.ValuationToggle="EoP",INDEX(MO_VA_StockPrice_TradingCurrency,1,COLUMN())/INDEX(MO_VA_FX_EoP,1,COLUMN()),INDEX(MO_VA_StockPrice_TradingCurrency,1,COLUMN())/INDEX(MO_VA_FX_Average,1,COLUMN()))</f>
        <v/>
      </c>
      <c r="AF445" s="1930">
        <f>IF(MO.ValuationToggle="EoP",INDEX(MO_VA_StockPrice_TradingCurrency,1,COLUMN())/INDEX(MO_VA_FX_EoP,1,COLUMN()),INDEX(MO_VA_StockPrice_TradingCurrency,1,COLUMN())/INDEX(MO_VA_FX_Average,1,COLUMN()))</f>
        <v/>
      </c>
      <c r="AG445" s="1931">
        <f>IF(MO.ValuationToggle="EoP",INDEX(MO_VA_StockPrice_TradingCurrency,1,COLUMN())/INDEX(MO_VA_FX_EoP,1,COLUMN()),INDEX(MO_VA_StockPrice_TradingCurrency,1,COLUMN())/INDEX(MO_VA_FX_Average,1,COLUMN()))</f>
        <v/>
      </c>
      <c r="AH445" s="1931">
        <f>IF(MO.ValuationToggle="EoP",INDEX(MO_VA_StockPrice_TradingCurrency,1,COLUMN())/INDEX(MO_VA_FX_EoP,1,COLUMN()),INDEX(MO_VA_StockPrice_TradingCurrency,1,COLUMN())/INDEX(MO_VA_FX_Average,1,COLUMN()))</f>
        <v/>
      </c>
      <c r="AI445" s="1931">
        <f>IF(MO.ValuationToggle="EoP",INDEX(MO_VA_StockPrice_TradingCurrency,1,COLUMN())/INDEX(MO_VA_FX_EoP,1,COLUMN()),INDEX(MO_VA_StockPrice_TradingCurrency,1,COLUMN())/INDEX(MO_VA_FX_Average,1,COLUMN()))</f>
        <v/>
      </c>
      <c r="AJ445" s="1931">
        <f>IF(MO.ValuationToggle="EoP",INDEX(MO_VA_StockPrice_TradingCurrency,1,COLUMN())/INDEX(MO_VA_FX_EoP,1,COLUMN()),INDEX(MO_VA_StockPrice_TradingCurrency,1,COLUMN())/INDEX(MO_VA_FX_Average,1,COLUMN()))</f>
        <v/>
      </c>
      <c r="AK445" s="1930">
        <f>IF(MO.ValuationToggle="EoP",INDEX(MO_VA_StockPrice_TradingCurrency,1,COLUMN())/INDEX(MO_VA_FX_EoP,1,COLUMN()),INDEX(MO_VA_StockPrice_TradingCurrency,1,COLUMN())/INDEX(MO_VA_FX_Average,1,COLUMN()))</f>
        <v/>
      </c>
      <c r="AL445" s="1931">
        <f>IF(MO.ValuationToggle="EoP",INDEX(MO_VA_StockPrice_TradingCurrency,1,COLUMN())/INDEX(MO_VA_FX_EoP,1,COLUMN()),INDEX(MO_VA_StockPrice_TradingCurrency,1,COLUMN())/INDEX(MO_VA_FX_Average,1,COLUMN()))</f>
        <v/>
      </c>
      <c r="AM445" s="1931">
        <f>IF(MO.ValuationToggle="EoP",INDEX(MO_VA_StockPrice_TradingCurrency,1,COLUMN())/INDEX(MO_VA_FX_EoP,1,COLUMN()),INDEX(MO_VA_StockPrice_TradingCurrency,1,COLUMN())/INDEX(MO_VA_FX_Average,1,COLUMN()))</f>
        <v/>
      </c>
      <c r="AN445" s="1931">
        <f>IF(MO.ValuationToggle="EoP",INDEX(MO_VA_StockPrice_TradingCurrency,1,COLUMN())/INDEX(MO_VA_FX_EoP,1,COLUMN()),INDEX(MO_VA_StockPrice_TradingCurrency,1,COLUMN())/INDEX(MO_VA_FX_Average,1,COLUMN()))</f>
        <v/>
      </c>
      <c r="AO445" s="1931">
        <f>IF(MO.ValuationToggle="EoP",INDEX(MO_VA_StockPrice_TradingCurrency,1,COLUMN())/INDEX(MO_VA_FX_EoP,1,COLUMN()),INDEX(MO_VA_StockPrice_TradingCurrency,1,COLUMN())/INDEX(MO_VA_FX_Average,1,COLUMN()))</f>
        <v/>
      </c>
      <c r="AP445" s="1930">
        <f>IF(MO.ValuationToggle="EoP",INDEX(MO_VA_StockPrice_TradingCurrency,1,COLUMN())/INDEX(MO_VA_FX_EoP,1,COLUMN()),INDEX(MO_VA_StockPrice_TradingCurrency,1,COLUMN())/INDEX(MO_VA_FX_Average,1,COLUMN()))</f>
        <v/>
      </c>
      <c r="AQ445" s="1931">
        <f>IF(MO.ValuationToggle="EoP",INDEX(MO_VA_StockPrice_TradingCurrency,1,COLUMN())/INDEX(MO_VA_FX_EoP,1,COLUMN()),INDEX(MO_VA_StockPrice_TradingCurrency,1,COLUMN())/INDEX(MO_VA_FX_Average,1,COLUMN()))</f>
        <v/>
      </c>
      <c r="AR445" s="1931">
        <f>IF(MO.ValuationToggle="EoP",INDEX(MO_VA_StockPrice_TradingCurrency,1,COLUMN())/INDEX(MO_VA_FX_EoP,1,COLUMN()),INDEX(MO_VA_StockPrice_TradingCurrency,1,COLUMN())/INDEX(MO_VA_FX_Average,1,COLUMN()))</f>
        <v/>
      </c>
      <c r="AS445" s="1931">
        <f>IF(MO.ValuationToggle="EoP",INDEX(MO_VA_StockPrice_TradingCurrency,1,COLUMN())/INDEX(MO_VA_FX_EoP,1,COLUMN()),INDEX(MO_VA_StockPrice_TradingCurrency,1,COLUMN())/INDEX(MO_VA_FX_Average,1,COLUMN()))</f>
        <v/>
      </c>
      <c r="AT445" s="1931">
        <f>IF(MO.ValuationToggle="EoP",INDEX(MO_VA_StockPrice_TradingCurrency,1,COLUMN())/INDEX(MO_VA_FX_EoP,1,COLUMN()),INDEX(MO_VA_StockPrice_TradingCurrency,1,COLUMN())/INDEX(MO_VA_FX_Average,1,COLUMN()))</f>
        <v/>
      </c>
      <c r="AU445" s="1930">
        <f>IF(MO.ValuationToggle="EoP",INDEX(MO_VA_StockPrice_TradingCurrency,1,COLUMN())/INDEX(MO_VA_FX_EoP,1,COLUMN()),INDEX(MO_VA_StockPrice_TradingCurrency,1,COLUMN())/INDEX(MO_VA_FX_Average,1,COLUMN()))</f>
        <v/>
      </c>
      <c r="AV445" s="1931">
        <f>IF(MO.ValuationToggle="EoP",INDEX(MO_VA_StockPrice_TradingCurrency,1,COLUMN())/INDEX(MO_VA_FX_EoP,1,COLUMN()),INDEX(MO_VA_StockPrice_TradingCurrency,1,COLUMN())/INDEX(MO_VA_FX_Average,1,COLUMN()))</f>
        <v/>
      </c>
      <c r="AW445" s="1931">
        <f>IF(MO.ValuationToggle="EoP",INDEX(MO_VA_StockPrice_TradingCurrency,1,COLUMN())/INDEX(MO_VA_FX_EoP,1,COLUMN()),INDEX(MO_VA_StockPrice_TradingCurrency,1,COLUMN())/INDEX(MO_VA_FX_Average,1,COLUMN()))</f>
        <v/>
      </c>
      <c r="AX445" s="1931">
        <f>IF(MO.ValuationToggle="EoP",INDEX(MO_VA_StockPrice_TradingCurrency,1,COLUMN())/INDEX(MO_VA_FX_EoP,1,COLUMN()),INDEX(MO_VA_StockPrice_TradingCurrency,1,COLUMN())/INDEX(MO_VA_FX_Average,1,COLUMN()))</f>
        <v/>
      </c>
      <c r="AY445" s="1931">
        <f>IF(MO.ValuationToggle="EoP",INDEX(MO_VA_StockPrice_TradingCurrency,1,COLUMN())/INDEX(MO_VA_FX_EoP,1,COLUMN()),INDEX(MO_VA_StockPrice_TradingCurrency,1,COLUMN())/INDEX(MO_VA_FX_Average,1,COLUMN()))</f>
        <v/>
      </c>
      <c r="AZ445" s="1930">
        <f>IF(MO.ValuationToggle="EoP",INDEX(MO_VA_StockPrice_TradingCurrency,1,COLUMN())/INDEX(MO_VA_FX_EoP,1,COLUMN()),INDEX(MO_VA_StockPrice_TradingCurrency,1,COLUMN())/INDEX(MO_VA_FX_Average,1,COLUMN()))</f>
        <v/>
      </c>
      <c r="BA445" s="1931">
        <f>IF(MO.ValuationToggle="EoP",INDEX(MO_VA_StockPrice_TradingCurrency,1,COLUMN())/INDEX(MO_VA_FX_EoP,1,COLUMN()),INDEX(MO_VA_StockPrice_TradingCurrency,1,COLUMN())/INDEX(MO_VA_FX_Average,1,COLUMN()))</f>
        <v/>
      </c>
      <c r="BB445" s="1931">
        <f>IF(MO.ValuationToggle="EoP",INDEX(MO_VA_StockPrice_TradingCurrency,1,COLUMN())/INDEX(MO_VA_FX_EoP,1,COLUMN()),INDEX(MO_VA_StockPrice_TradingCurrency,1,COLUMN())/INDEX(MO_VA_FX_Average,1,COLUMN()))</f>
        <v/>
      </c>
      <c r="BC445" s="1931">
        <f>IF(MO.ValuationToggle="EoP",INDEX(MO_VA_StockPrice_TradingCurrency,1,COLUMN())/INDEX(MO_VA_FX_EoP,1,COLUMN()),INDEX(MO_VA_StockPrice_TradingCurrency,1,COLUMN())/INDEX(MO_VA_FX_Average,1,COLUMN()))</f>
        <v/>
      </c>
      <c r="BD445" s="1931">
        <f>IF(MO.ValuationToggle="EoP",INDEX(MO_VA_StockPrice_TradingCurrency,1,COLUMN())/INDEX(MO_VA_FX_EoP,1,COLUMN()),INDEX(MO_VA_StockPrice_TradingCurrency,1,COLUMN())/INDEX(MO_VA_FX_Average,1,COLUMN()))</f>
        <v/>
      </c>
      <c r="BE445" s="1930">
        <f>IF(MO.ValuationToggle="EoP",INDEX(MO_VA_StockPrice_TradingCurrency,1,COLUMN())/INDEX(MO_VA_FX_EoP,1,COLUMN()),INDEX(MO_VA_StockPrice_TradingCurrency,1,COLUMN())/INDEX(MO_VA_FX_Average,1,COLUMN()))</f>
        <v/>
      </c>
      <c r="BF445" s="1931">
        <f>IF(MO.ValuationToggle="EoP",INDEX(MO_VA_StockPrice_TradingCurrency,1,COLUMN())/INDEX(MO_VA_FX_EoP,1,COLUMN()),INDEX(MO_VA_StockPrice_TradingCurrency,1,COLUMN())/INDEX(MO_VA_FX_Average,1,COLUMN()))</f>
        <v/>
      </c>
      <c r="BG445" s="1931">
        <f>IF(MO.ValuationToggle="EoP",INDEX(MO_VA_StockPrice_TradingCurrency,1,COLUMN())/INDEX(MO_VA_FX_EoP,1,COLUMN()),INDEX(MO_VA_StockPrice_TradingCurrency,1,COLUMN())/INDEX(MO_VA_FX_Average,1,COLUMN()))</f>
        <v/>
      </c>
      <c r="BH445" s="1931">
        <f>IF(MO.ValuationToggle="EoP",INDEX(MO_VA_StockPrice_TradingCurrency,1,COLUMN())/INDEX(MO_VA_FX_EoP,1,COLUMN()),INDEX(MO_VA_StockPrice_TradingCurrency,1,COLUMN())/INDEX(MO_VA_FX_Average,1,COLUMN()))</f>
        <v/>
      </c>
      <c r="BI445" s="1931">
        <f>IF(MO.ValuationToggle="EoP",INDEX(MO_VA_StockPrice_TradingCurrency,1,COLUMN())/INDEX(MO_VA_FX_EoP,1,COLUMN()),INDEX(MO_VA_StockPrice_TradingCurrency,1,COLUMN())/INDEX(MO_VA_FX_Average,1,COLUMN()))</f>
        <v/>
      </c>
      <c r="BJ445" s="1930">
        <f>IF(MO.ValuationToggle="EoP",INDEX(MO_VA_StockPrice_TradingCurrency,1,COLUMN())/INDEX(MO_VA_FX_EoP,1,COLUMN()),INDEX(MO_VA_StockPrice_TradingCurrency,1,COLUMN())/INDEX(MO_VA_FX_Average,1,COLUMN()))</f>
        <v/>
      </c>
      <c r="BK445" s="1931">
        <f>IF(MO.ValuationToggle="EoP",INDEX(MO_VA_StockPrice_TradingCurrency,1,COLUMN())/INDEX(MO_VA_FX_EoP,1,COLUMN()),INDEX(MO_VA_StockPrice_TradingCurrency,1,COLUMN())/INDEX(MO_VA_FX_Average,1,COLUMN()))</f>
        <v/>
      </c>
      <c r="BL445" s="1931">
        <f>IF(MO.ValuationToggle="EoP",INDEX(MO_VA_StockPrice_TradingCurrency,1,COLUMN())/INDEX(MO_VA_FX_EoP,1,COLUMN()),INDEX(MO_VA_StockPrice_TradingCurrency,1,COLUMN())/INDEX(MO_VA_FX_Average,1,COLUMN()))</f>
        <v/>
      </c>
      <c r="BM445" s="1931">
        <f>IF(MO.ValuationToggle="EoP",INDEX(MO_VA_StockPrice_TradingCurrency,1,COLUMN())/INDEX(MO_VA_FX_EoP,1,COLUMN()),INDEX(MO_VA_StockPrice_TradingCurrency,1,COLUMN())/INDEX(MO_VA_FX_Average,1,COLUMN()))</f>
        <v/>
      </c>
      <c r="BN445" s="1931">
        <f>IF(MO.ValuationToggle="EoP",INDEX(MO_VA_StockPrice_TradingCurrency,1,COLUMN())/INDEX(MO_VA_FX_EoP,1,COLUMN()),INDEX(MO_VA_StockPrice_TradingCurrency,1,COLUMN())/INDEX(MO_VA_FX_Average,1,COLUMN()))</f>
        <v/>
      </c>
      <c r="BO445" s="1932">
        <f>IF(MO.ValuationToggle="EoP",INDEX(MO_VA_StockPrice_TradingCurrency,1,COLUMN())/INDEX(MO_VA_FX_EoP,1,COLUMN()),INDEX(MO_VA_StockPrice_TradingCurrency,1,COLUMN())/INDEX(MO_VA_FX_Average,1,COLUMN()))</f>
        <v/>
      </c>
      <c r="BP445" s="1933">
        <f>IF(MO.ValuationToggle="EoP",INDEX(MO_VA_StockPrice_TradingCurrency,1,COLUMN())/INDEX(MO_VA_FX_EoP,1,COLUMN()),INDEX(MO_VA_StockPrice_TradingCurrency,1,COLUMN())/INDEX(MO_VA_FX_Average,1,COLUMN()))</f>
        <v/>
      </c>
      <c r="BQ445" s="1933">
        <f>IF(MO.ValuationToggle="EoP",INDEX(MO_VA_StockPrice_TradingCurrency,1,COLUMN())/INDEX(MO_VA_FX_EoP,1,COLUMN()),INDEX(MO_VA_StockPrice_TradingCurrency,1,COLUMN())/INDEX(MO_VA_FX_Average,1,COLUMN()))</f>
        <v/>
      </c>
      <c r="BR445" s="1933">
        <f>IF(MO.ValuationToggle="EoP",INDEX(MO_VA_StockPrice_TradingCurrency,1,COLUMN())/INDEX(MO_VA_FX_EoP,1,COLUMN()),INDEX(MO_VA_StockPrice_TradingCurrency,1,COLUMN())/INDEX(MO_VA_FX_Average,1,COLUMN()))</f>
        <v/>
      </c>
      <c r="BS445" s="1933">
        <f>IF(MO.ValuationToggle="EoP",INDEX(MO_VA_StockPrice_TradingCurrency,1,COLUMN())/INDEX(MO_VA_FX_EoP,1,COLUMN()),INDEX(MO_VA_StockPrice_TradingCurrency,1,COLUMN())/INDEX(MO_VA_FX_Average,1,COLUMN()))</f>
        <v/>
      </c>
      <c r="BT445" s="1851">
        <f>IF(MO.ValuationToggle="EoP",INDEX(MO_VA_StockPrice_TradingCurrency,1,COLUMN())/INDEX(MO_VA_FX_EoP,1,COLUMN()),INDEX(MO_VA_StockPrice_TradingCurrency,1,COLUMN())/INDEX(MO_VA_FX_Average,1,COLUMN()))</f>
        <v/>
      </c>
      <c r="BU445" s="1933">
        <f>IF(MO.ValuationToggle="EoP",INDEX(MO_VA_StockPrice_TradingCurrency,1,COLUMN())/INDEX(MO_VA_FX_EoP,1,COLUMN()),INDEX(MO_VA_StockPrice_TradingCurrency,1,COLUMN())/INDEX(MO_VA_FX_Average,1,COLUMN()))</f>
        <v/>
      </c>
      <c r="BV445" s="1933">
        <f>IF(MO.ValuationToggle="EoP",INDEX(MO_VA_StockPrice_TradingCurrency,1,COLUMN())/INDEX(MO_VA_FX_EoP,1,COLUMN()),INDEX(MO_VA_StockPrice_TradingCurrency,1,COLUMN())/INDEX(MO_VA_FX_Average,1,COLUMN()))</f>
        <v/>
      </c>
      <c r="BW445" s="1933">
        <f>IF(MO.ValuationToggle="EoP",INDEX(MO_VA_StockPrice_TradingCurrency,1,COLUMN())/INDEX(MO_VA_FX_EoP,1,COLUMN()),INDEX(MO_VA_StockPrice_TradingCurrency,1,COLUMN())/INDEX(MO_VA_FX_Average,1,COLUMN()))</f>
        <v/>
      </c>
      <c r="BX445" s="1933">
        <f>IF(MO.ValuationToggle="EoP",INDEX(MO_VA_StockPrice_TradingCurrency,1,COLUMN())/INDEX(MO_VA_FX_EoP,1,COLUMN()),INDEX(MO_VA_StockPrice_TradingCurrency,1,COLUMN())/INDEX(MO_VA_FX_Average,1,COLUMN()))</f>
        <v/>
      </c>
      <c r="BY445" s="1851">
        <f>IF(MO.ValuationToggle="EoP",INDEX(MO_VA_StockPrice_TradingCurrency,1,COLUMN())/INDEX(MO_VA_FX_EoP,1,COLUMN()),INDEX(MO_VA_StockPrice_TradingCurrency,1,COLUMN())/INDEX(MO_VA_FX_Average,1,COLUMN()))</f>
        <v/>
      </c>
      <c r="BZ445" s="1851">
        <f>IF(MO.ValuationToggle="EoP",INDEX(MO_VA_StockPrice_TradingCurrency,1,COLUMN())/INDEX(MO_VA_FX_EoP,1,COLUMN()),INDEX(MO_VA_StockPrice_TradingCurrency,1,COLUMN())/INDEX(MO_VA_FX_Average,1,COLUMN()))</f>
        <v/>
      </c>
      <c r="CA445" s="1851">
        <f>IF(MO.ValuationToggle="EoP",INDEX(MO_VA_StockPrice_TradingCurrency,1,COLUMN())/INDEX(MO_VA_FX_EoP,1,COLUMN()),INDEX(MO_VA_StockPrice_TradingCurrency,1,COLUMN())/INDEX(MO_VA_FX_Average,1,COLUMN()))</f>
        <v/>
      </c>
      <c r="CB445" s="1851">
        <f>IF(MO.ValuationToggle="EoP",INDEX(MO_VA_StockPrice_TradingCurrency,1,COLUMN())/INDEX(MO_VA_FX_EoP,1,COLUMN()),INDEX(MO_VA_StockPrice_TradingCurrency,1,COLUMN())/INDEX(MO_VA_FX_Average,1,COLUMN()))</f>
        <v/>
      </c>
      <c r="CC445" s="1848" t="n"/>
    </row>
    <row r="446" ht="15" customFormat="1" customHeight="1" s="1561">
      <c r="A446" s="1564">
        <f>"Market Cap - "&amp;MO.ValuationToggle</f>
        <v/>
      </c>
      <c r="B446" s="1705" t="n"/>
      <c r="C446" s="1713">
        <f>INDEX(MO_VA_StockPrice,0,COLUMN())*INDEX(MO_SCA_ShareCount_EoP_Diluted,0,COLUMN())</f>
        <v/>
      </c>
      <c r="D446" s="1713">
        <f>INDEX(MO_VA_StockPrice,0,COLUMN())*INDEX(MO_SCA_ShareCount_EoP_Diluted,0,COLUMN())</f>
        <v/>
      </c>
      <c r="E446" s="1713">
        <f>INDEX(MO_VA_StockPrice,0,COLUMN())*INDEX(MO_SCA_ShareCount_EoP_Diluted,0,COLUMN())</f>
        <v/>
      </c>
      <c r="F446" s="1713">
        <f>INDEX(MO_VA_StockPrice,0,COLUMN())*INDEX(MO_SCA_ShareCount_EoP_Diluted,0,COLUMN())</f>
        <v/>
      </c>
      <c r="G446" s="1713">
        <f>INDEX(MO_VA_StockPrice,0,COLUMN())*INDEX(MO_SCA_ShareCount_EoP_Diluted,0,COLUMN())</f>
        <v/>
      </c>
      <c r="H446" s="1564">
        <f>INDEX(MO_VA_StockPrice,0,COLUMN())*INDEX(MO_SCA_ShareCount_EoP_Diluted,0,COLUMN())</f>
        <v/>
      </c>
      <c r="I446" s="1564">
        <f>INDEX(MO_VA_StockPrice,0,COLUMN())*INDEX(MO_SCA_ShareCount_EoP_Diluted,0,COLUMN())</f>
        <v/>
      </c>
      <c r="J446" s="1564">
        <f>INDEX(MO_VA_StockPrice,0,COLUMN())*INDEX(MO_SCA_ShareCount_EoP_Diluted,0,COLUMN())</f>
        <v/>
      </c>
      <c r="K446" s="1564">
        <f>INDEX(MO_VA_StockPrice,0,COLUMN())*INDEX(MO_SCA_ShareCount_EoP_Diluted,0,COLUMN())</f>
        <v/>
      </c>
      <c r="L446" s="1713">
        <f>INDEX(MO_VA_StockPrice,0,COLUMN())*INDEX(MO_SCA_ShareCount_EoP_Diluted,0,COLUMN())</f>
        <v/>
      </c>
      <c r="M446" s="1564">
        <f>INDEX(MO_VA_StockPrice,0,COLUMN())*INDEX(MO_SCA_ShareCount_EoP_Diluted,0,COLUMN())</f>
        <v/>
      </c>
      <c r="N446" s="1564">
        <f>INDEX(MO_VA_StockPrice,0,COLUMN())*INDEX(MO_SCA_ShareCount_EoP_Diluted,0,COLUMN())</f>
        <v/>
      </c>
      <c r="O446" s="1564">
        <f>INDEX(MO_VA_StockPrice,0,COLUMN())*INDEX(MO_SCA_ShareCount_EoP_Diluted,0,COLUMN())</f>
        <v/>
      </c>
      <c r="P446" s="1564">
        <f>INDEX(MO_VA_StockPrice,0,COLUMN())*INDEX(MO_SCA_ShareCount_EoP_Diluted,0,COLUMN())</f>
        <v/>
      </c>
      <c r="Q446" s="1713">
        <f>INDEX(MO_VA_StockPrice,0,COLUMN())*INDEX(MO_SCA_ShareCount_EoP_Diluted,0,COLUMN())</f>
        <v/>
      </c>
      <c r="R446" s="1564">
        <f>INDEX(MO_VA_StockPrice,0,COLUMN())*INDEX(MO_SCA_ShareCount_EoP_Diluted,0,COLUMN())</f>
        <v/>
      </c>
      <c r="S446" s="1564">
        <f>INDEX(MO_VA_StockPrice,0,COLUMN())*INDEX(MO_SCA_ShareCount_EoP_Diluted,0,COLUMN())</f>
        <v/>
      </c>
      <c r="T446" s="1564">
        <f>INDEX(MO_VA_StockPrice,0,COLUMN())*INDEX(MO_SCA_ShareCount_EoP_Diluted,0,COLUMN())</f>
        <v/>
      </c>
      <c r="U446" s="1564">
        <f>INDEX(MO_VA_StockPrice,0,COLUMN())*INDEX(MO_SCA_ShareCount_EoP_Diluted,0,COLUMN())</f>
        <v/>
      </c>
      <c r="V446" s="1713">
        <f>INDEX(MO_VA_StockPrice,0,COLUMN())*INDEX(MO_SCA_ShareCount_EoP_Diluted,0,COLUMN())</f>
        <v/>
      </c>
      <c r="W446" s="1564">
        <f>INDEX(MO_VA_StockPrice,0,COLUMN())*INDEX(MO_SCA_ShareCount_EoP_Diluted,0,COLUMN())</f>
        <v/>
      </c>
      <c r="X446" s="1564">
        <f>INDEX(MO_VA_StockPrice,0,COLUMN())*INDEX(MO_SCA_ShareCount_EoP_Diluted,0,COLUMN())</f>
        <v/>
      </c>
      <c r="Y446" s="1564">
        <f>INDEX(MO_VA_StockPrice,0,COLUMN())*INDEX(MO_SCA_ShareCount_EoP_Diluted,0,COLUMN())</f>
        <v/>
      </c>
      <c r="Z446" s="1564">
        <f>INDEX(MO_VA_StockPrice,0,COLUMN())*INDEX(MO_SCA_ShareCount_EoP_Diluted,0,COLUMN())</f>
        <v/>
      </c>
      <c r="AA446" s="1713">
        <f>INDEX(MO_VA_StockPrice,0,COLUMN())*INDEX(MO_SCA_ShareCount_EoP_Diluted,0,COLUMN())</f>
        <v/>
      </c>
      <c r="AB446" s="1564">
        <f>INDEX(MO_VA_StockPrice,0,COLUMN())*INDEX(MO_SCA_ShareCount_EoP_Diluted,0,COLUMN())</f>
        <v/>
      </c>
      <c r="AC446" s="1564">
        <f>INDEX(MO_VA_StockPrice,0,COLUMN())*INDEX(MO_SCA_ShareCount_EoP_Diluted,0,COLUMN())</f>
        <v/>
      </c>
      <c r="AD446" s="1564">
        <f>INDEX(MO_VA_StockPrice,0,COLUMN())*INDEX(MO_SCA_ShareCount_EoP_Diluted,0,COLUMN())</f>
        <v/>
      </c>
      <c r="AE446" s="1564">
        <f>INDEX(MO_VA_StockPrice,0,COLUMN())*INDEX(MO_SCA_ShareCount_EoP_Diluted,0,COLUMN())</f>
        <v/>
      </c>
      <c r="AF446" s="1713">
        <f>INDEX(MO_VA_StockPrice,0,COLUMN())*INDEX(MO_SCA_ShareCount_EoP_Diluted,0,COLUMN())</f>
        <v/>
      </c>
      <c r="AG446" s="1564">
        <f>INDEX(MO_VA_StockPrice,0,COLUMN())*INDEX(MO_SCA_ShareCount_EoP_Diluted,0,COLUMN())</f>
        <v/>
      </c>
      <c r="AH446" s="1564">
        <f>INDEX(MO_VA_StockPrice,0,COLUMN())*INDEX(MO_SCA_ShareCount_EoP_Diluted,0,COLUMN())</f>
        <v/>
      </c>
      <c r="AI446" s="1564">
        <f>INDEX(MO_VA_StockPrice,0,COLUMN())*INDEX(MO_SCA_ShareCount_EoP_Diluted,0,COLUMN())</f>
        <v/>
      </c>
      <c r="AJ446" s="1564">
        <f>INDEX(MO_VA_StockPrice,0,COLUMN())*INDEX(MO_SCA_ShareCount_EoP_Diluted,0,COLUMN())</f>
        <v/>
      </c>
      <c r="AK446" s="1713">
        <f>INDEX(MO_VA_StockPrice,0,COLUMN())*INDEX(MO_SCA_ShareCount_EoP_Diluted,0,COLUMN())</f>
        <v/>
      </c>
      <c r="AL446" s="1564">
        <f>INDEX(MO_VA_StockPrice,0,COLUMN())*INDEX(MO_SCA_ShareCount_EoP_Diluted,0,COLUMN())</f>
        <v/>
      </c>
      <c r="AM446" s="1564">
        <f>INDEX(MO_VA_StockPrice,0,COLUMN())*INDEX(MO_SCA_ShareCount_EoP_Diluted,0,COLUMN())</f>
        <v/>
      </c>
      <c r="AN446" s="1564">
        <f>INDEX(MO_VA_StockPrice,0,COLUMN())*INDEX(MO_SCA_ShareCount_EoP_Diluted,0,COLUMN())</f>
        <v/>
      </c>
      <c r="AO446" s="1564">
        <f>INDEX(MO_VA_StockPrice,0,COLUMN())*INDEX(MO_SCA_ShareCount_EoP_Diluted,0,COLUMN())</f>
        <v/>
      </c>
      <c r="AP446" s="1713">
        <f>INDEX(MO_VA_StockPrice,0,COLUMN())*INDEX(MO_SCA_ShareCount_EoP_Diluted,0,COLUMN())</f>
        <v/>
      </c>
      <c r="AQ446" s="1564">
        <f>INDEX(MO_VA_StockPrice,0,COLUMN())*INDEX(MO_SCA_ShareCount_EoP_Diluted,0,COLUMN())</f>
        <v/>
      </c>
      <c r="AR446" s="1564">
        <f>INDEX(MO_VA_StockPrice,0,COLUMN())*INDEX(MO_SCA_ShareCount_EoP_Diluted,0,COLUMN())</f>
        <v/>
      </c>
      <c r="AS446" s="1564">
        <f>INDEX(MO_VA_StockPrice,0,COLUMN())*INDEX(MO_SCA_ShareCount_EoP_Diluted,0,COLUMN())</f>
        <v/>
      </c>
      <c r="AT446" s="1564">
        <f>INDEX(MO_VA_StockPrice,0,COLUMN())*INDEX(MO_SCA_ShareCount_EoP_Diluted,0,COLUMN())</f>
        <v/>
      </c>
      <c r="AU446" s="1713">
        <f>INDEX(MO_VA_StockPrice,0,COLUMN())*INDEX(MO_SCA_ShareCount_EoP_Diluted,0,COLUMN())</f>
        <v/>
      </c>
      <c r="AV446" s="1564">
        <f>INDEX(MO_VA_StockPrice,0,COLUMN())*INDEX(MO_SCA_ShareCount_EoP_Diluted,0,COLUMN())</f>
        <v/>
      </c>
      <c r="AW446" s="1564">
        <f>INDEX(MO_VA_StockPrice,0,COLUMN())*INDEX(MO_SCA_ShareCount_EoP_Diluted,0,COLUMN())</f>
        <v/>
      </c>
      <c r="AX446" s="1564">
        <f>INDEX(MO_VA_StockPrice,0,COLUMN())*INDEX(MO_SCA_ShareCount_EoP_Diluted,0,COLUMN())</f>
        <v/>
      </c>
      <c r="AY446" s="1564">
        <f>INDEX(MO_VA_StockPrice,0,COLUMN())*INDEX(MO_SCA_ShareCount_EoP_Diluted,0,COLUMN())</f>
        <v/>
      </c>
      <c r="AZ446" s="1713">
        <f>INDEX(MO_VA_StockPrice,0,COLUMN())*INDEX(MO_SCA_ShareCount_EoP_Diluted,0,COLUMN())</f>
        <v/>
      </c>
      <c r="BA446" s="1564">
        <f>INDEX(MO_VA_StockPrice,0,COLUMN())*INDEX(MO_SCA_ShareCount_EoP_Diluted,0,COLUMN())</f>
        <v/>
      </c>
      <c r="BB446" s="1564">
        <f>INDEX(MO_VA_StockPrice,0,COLUMN())*INDEX(MO_SCA_ShareCount_EoP_Diluted,0,COLUMN())</f>
        <v/>
      </c>
      <c r="BC446" s="1564">
        <f>INDEX(MO_VA_StockPrice,0,COLUMN())*INDEX(MO_SCA_ShareCount_EoP_Diluted,0,COLUMN())</f>
        <v/>
      </c>
      <c r="BD446" s="1564">
        <f>INDEX(MO_VA_StockPrice,0,COLUMN())*INDEX(MO_SCA_ShareCount_EoP_Diluted,0,COLUMN())</f>
        <v/>
      </c>
      <c r="BE446" s="1713">
        <f>INDEX(MO_VA_StockPrice,0,COLUMN())*INDEX(MO_SCA_ShareCount_EoP_Diluted,0,COLUMN())</f>
        <v/>
      </c>
      <c r="BF446" s="1564">
        <f>INDEX(MO_VA_StockPrice,0,COLUMN())*INDEX(MO_SCA_ShareCount_EoP_Diluted,0,COLUMN())</f>
        <v/>
      </c>
      <c r="BG446" s="1564">
        <f>INDEX(MO_VA_StockPrice,0,COLUMN())*INDEX(MO_SCA_ShareCount_EoP_Diluted,0,COLUMN())</f>
        <v/>
      </c>
      <c r="BH446" s="1564">
        <f>INDEX(MO_VA_StockPrice,0,COLUMN())*INDEX(MO_SCA_ShareCount_EoP_Diluted,0,COLUMN())</f>
        <v/>
      </c>
      <c r="BI446" s="1564">
        <f>INDEX(MO_VA_StockPrice,0,COLUMN())*INDEX(MO_SCA_ShareCount_EoP_Diluted,0,COLUMN())</f>
        <v/>
      </c>
      <c r="BJ446" s="1713">
        <f>INDEX(MO_VA_StockPrice,0,COLUMN())*INDEX(MO_SCA_ShareCount_EoP_Diluted,0,COLUMN())</f>
        <v/>
      </c>
      <c r="BK446" s="1564">
        <f>INDEX(MO_VA_StockPrice,0,COLUMN())*INDEX(MO_SCA_ShareCount_EoP_Diluted,0,COLUMN())</f>
        <v/>
      </c>
      <c r="BL446" s="1564">
        <f>INDEX(MO_VA_StockPrice,0,COLUMN())*INDEX(MO_SCA_ShareCount_EoP_Diluted,0,COLUMN())</f>
        <v/>
      </c>
      <c r="BM446" s="1564">
        <f>INDEX(MO_VA_StockPrice,0,COLUMN())*INDEX(MO_SCA_ShareCount_EoP_Diluted,0,COLUMN())</f>
        <v/>
      </c>
      <c r="BN446" s="1564">
        <f>INDEX(MO_VA_StockPrice,0,COLUMN())*INDEX(MO_SCA_ShareCount_EoP_Diluted,0,COLUMN())</f>
        <v/>
      </c>
      <c r="BO446" s="1715">
        <f>INDEX(MO_VA_StockPrice,0,COLUMN())*INDEX(MO_SCA_ShareCount_EoP_Diluted,0,COLUMN())</f>
        <v/>
      </c>
      <c r="BP446" s="1562">
        <f>INDEX(MO_VA_StockPrice,0,COLUMN())*INDEX(MO_SCA_ShareCount_EoP_Diluted,0,COLUMN())</f>
        <v/>
      </c>
      <c r="BQ446" s="1562">
        <f>INDEX(MO_VA_StockPrice,0,COLUMN())*INDEX(MO_SCA_ShareCount_EoP_Diluted,0,COLUMN())</f>
        <v/>
      </c>
      <c r="BR446" s="1562">
        <f>INDEX(MO_VA_StockPrice,0,COLUMN())*INDEX(MO_SCA_ShareCount_EoP_Diluted,0,COLUMN())</f>
        <v/>
      </c>
      <c r="BS446" s="1562">
        <f>INDEX(MO_VA_StockPrice,0,COLUMN())*INDEX(MO_SCA_ShareCount_EoP_Diluted,0,COLUMN())</f>
        <v/>
      </c>
      <c r="BT446" s="1637">
        <f>INDEX(MO_VA_StockPrice,0,COLUMN())*INDEX(MO_SCA_ShareCount_EoP_Diluted,0,COLUMN())</f>
        <v/>
      </c>
      <c r="BU446" s="1562">
        <f>INDEX(MO_VA_StockPrice,0,COLUMN())*INDEX(MO_SCA_ShareCount_EoP_Diluted,0,COLUMN())</f>
        <v/>
      </c>
      <c r="BV446" s="1562">
        <f>INDEX(MO_VA_StockPrice,0,COLUMN())*INDEX(MO_SCA_ShareCount_EoP_Diluted,0,COLUMN())</f>
        <v/>
      </c>
      <c r="BW446" s="1562">
        <f>INDEX(MO_VA_StockPrice,0,COLUMN())*INDEX(MO_SCA_ShareCount_EoP_Diluted,0,COLUMN())</f>
        <v/>
      </c>
      <c r="BX446" s="1562">
        <f>INDEX(MO_VA_StockPrice,0,COLUMN())*INDEX(MO_SCA_ShareCount_EoP_Diluted,0,COLUMN())</f>
        <v/>
      </c>
      <c r="BY446" s="1637">
        <f>INDEX(MO_VA_StockPrice,0,COLUMN())*INDEX(MO_SCA_ShareCount_EoP_Diluted,0,COLUMN())</f>
        <v/>
      </c>
      <c r="BZ446" s="1637">
        <f>INDEX(MO_VA_StockPrice,0,COLUMN())*INDEX(MO_SCA_ShareCount_EoP_Diluted,0,COLUMN())</f>
        <v/>
      </c>
      <c r="CA446" s="1637">
        <f>INDEX(MO_VA_StockPrice,0,COLUMN())*INDEX(MO_SCA_ShareCount_EoP_Diluted,0,COLUMN())</f>
        <v/>
      </c>
      <c r="CB446" s="1637">
        <f>INDEX(MO_VA_StockPrice,0,COLUMN())*INDEX(MO_SCA_ShareCount_EoP_Diluted,0,COLUMN())</f>
        <v/>
      </c>
      <c r="CC446" s="1564" t="n"/>
    </row>
    <row r="447" ht="15" customFormat="1" customHeight="1" s="1561">
      <c r="A447" s="1564">
        <f>"Enterprise Value - "&amp;MO.ValuationToggle</f>
        <v/>
      </c>
      <c r="B447" s="1705" t="n"/>
      <c r="C447" s="1713">
        <f>C431+C446+C464+C465+C466</f>
        <v/>
      </c>
      <c r="D447" s="1713">
        <f>D431+D446+D464+D465+D466</f>
        <v/>
      </c>
      <c r="E447" s="1713">
        <f>E431+E446+E464+E465+E466</f>
        <v/>
      </c>
      <c r="F447" s="1713">
        <f>F431+F446+F464+F465+F466</f>
        <v/>
      </c>
      <c r="G447" s="1713">
        <f>G431+G446+G464+G465+G466</f>
        <v/>
      </c>
      <c r="H447" s="1564">
        <f>H431+H446+H464+H465+H466</f>
        <v/>
      </c>
      <c r="I447" s="1564">
        <f>I431+I446+I464+I465+I466</f>
        <v/>
      </c>
      <c r="J447" s="1564">
        <f>J431+J446+J464+J465+J466</f>
        <v/>
      </c>
      <c r="K447" s="1564">
        <f>K431+K446+K464+K465+K466</f>
        <v/>
      </c>
      <c r="L447" s="1713">
        <f>L431+L446+L464+L465+L466</f>
        <v/>
      </c>
      <c r="M447" s="1564">
        <f>M431+M446+M464+M465+M466</f>
        <v/>
      </c>
      <c r="N447" s="1564">
        <f>N431+N446+N464+N465+N466</f>
        <v/>
      </c>
      <c r="O447" s="1564">
        <f>O431+O446+O464+O465+O466</f>
        <v/>
      </c>
      <c r="P447" s="1564">
        <f>P431+P446+P464+P465+P466</f>
        <v/>
      </c>
      <c r="Q447" s="1713">
        <f>Q431+Q446+Q464+Q465+Q466</f>
        <v/>
      </c>
      <c r="R447" s="1564">
        <f>R431+R446+R464+R465+R466</f>
        <v/>
      </c>
      <c r="S447" s="1564">
        <f>S431+S446+S464+S465+S466</f>
        <v/>
      </c>
      <c r="T447" s="1564">
        <f>T431+T446+T464+T465+T466</f>
        <v/>
      </c>
      <c r="U447" s="1564">
        <f>U431+U446+U464+U465+U466</f>
        <v/>
      </c>
      <c r="V447" s="1713">
        <f>V431+V446+V464+V465+V466</f>
        <v/>
      </c>
      <c r="W447" s="1564">
        <f>W431+W446+W464+W465+W466</f>
        <v/>
      </c>
      <c r="X447" s="1564">
        <f>X431+X446+X464+X465+X466</f>
        <v/>
      </c>
      <c r="Y447" s="1564">
        <f>Y431+Y446+Y464+Y465+Y466</f>
        <v/>
      </c>
      <c r="Z447" s="1564">
        <f>Z431+Z446+Z464+Z465+Z466</f>
        <v/>
      </c>
      <c r="AA447" s="1713">
        <f>AA431+AA446+AA464+AA465+AA466</f>
        <v/>
      </c>
      <c r="AB447" s="1564">
        <f>AB431+AB446+AB464+AB465+AB466</f>
        <v/>
      </c>
      <c r="AC447" s="1564">
        <f>AC431+AC446+AC464+AC465+AC466</f>
        <v/>
      </c>
      <c r="AD447" s="1564">
        <f>AD431+AD446+AD464+AD465+AD466</f>
        <v/>
      </c>
      <c r="AE447" s="1564">
        <f>AE431+AE446+AE464+AE465+AE466</f>
        <v/>
      </c>
      <c r="AF447" s="1713">
        <f>AF431+AF446+AF464+AF465+AF466</f>
        <v/>
      </c>
      <c r="AG447" s="1564">
        <f>AG431+AG446+AG464+AG465+AG466</f>
        <v/>
      </c>
      <c r="AH447" s="1564">
        <f>AH431+AH446+AH464+AH465+AH466</f>
        <v/>
      </c>
      <c r="AI447" s="1564">
        <f>AI431+AI446+AI464+AI465+AI466</f>
        <v/>
      </c>
      <c r="AJ447" s="1564">
        <f>AJ431+AJ446+AJ464+AJ465+AJ466</f>
        <v/>
      </c>
      <c r="AK447" s="1713">
        <f>AK431+AK446+AK464+AK465+AK466</f>
        <v/>
      </c>
      <c r="AL447" s="1564">
        <f>AL431+AL446+AL464+AL465+AL466</f>
        <v/>
      </c>
      <c r="AM447" s="1564">
        <f>AM431+AM446+AM464+AM465+AM466</f>
        <v/>
      </c>
      <c r="AN447" s="1564">
        <f>AN431+AN446+AN464+AN465+AN466</f>
        <v/>
      </c>
      <c r="AO447" s="1564">
        <f>AO431+AO446+AO464+AO465+AO466</f>
        <v/>
      </c>
      <c r="AP447" s="1713">
        <f>AP431+AP446+AP464+AP465+AP466</f>
        <v/>
      </c>
      <c r="AQ447" s="1564">
        <f>AQ431+AQ446+AQ464+AQ465+AQ466</f>
        <v/>
      </c>
      <c r="AR447" s="1564">
        <f>AR431+AR446+AR464+AR465+AR466</f>
        <v/>
      </c>
      <c r="AS447" s="1564">
        <f>AS431+AS446+AS464+AS465+AS466</f>
        <v/>
      </c>
      <c r="AT447" s="1564">
        <f>AT431+AT446+AT464+AT465+AT466</f>
        <v/>
      </c>
      <c r="AU447" s="1713">
        <f>AU431+AU446+AU464+AU465+AU466</f>
        <v/>
      </c>
      <c r="AV447" s="1564">
        <f>AV431+AV446+AV464+AV465+AV466</f>
        <v/>
      </c>
      <c r="AW447" s="1564">
        <f>AW431+AW446+AW464+AW465+AW466</f>
        <v/>
      </c>
      <c r="AX447" s="1564">
        <f>AX431+AX446+AX464+AX465+AX466</f>
        <v/>
      </c>
      <c r="AY447" s="1564">
        <f>AY431+AY446+AY464+AY465+AY466</f>
        <v/>
      </c>
      <c r="AZ447" s="1713">
        <f>AZ431+AZ446+AZ464+AZ465+AZ466</f>
        <v/>
      </c>
      <c r="BA447" s="1564">
        <f>BA431+BA446+BA464+BA465+BA466</f>
        <v/>
      </c>
      <c r="BB447" s="1564">
        <f>BB431+BB446+BB464+BB465+BB466</f>
        <v/>
      </c>
      <c r="BC447" s="1564">
        <f>BC431+BC446+BC464+BC465+BC466</f>
        <v/>
      </c>
      <c r="BD447" s="1564">
        <f>BD431+BD446+BD464+BD465+BD466</f>
        <v/>
      </c>
      <c r="BE447" s="1713">
        <f>BE431+BE446+BE464+BE465+BE466</f>
        <v/>
      </c>
      <c r="BF447" s="1564">
        <f>BF431+BF446+BF464+BF465+BF466</f>
        <v/>
      </c>
      <c r="BG447" s="1564">
        <f>BG431+BG446+BG464+BG465+BG466</f>
        <v/>
      </c>
      <c r="BH447" s="1564">
        <f>BH431+BH446+BH464+BH465+BH466</f>
        <v/>
      </c>
      <c r="BI447" s="1564">
        <f>BI431+BI446+BI464+BI465+BI466</f>
        <v/>
      </c>
      <c r="BJ447" s="1713">
        <f>BJ431+BJ446+BJ464+BJ465+BJ466</f>
        <v/>
      </c>
      <c r="BK447" s="1564">
        <f>BK431+BK446+BK464+BK465+BK466</f>
        <v/>
      </c>
      <c r="BL447" s="1564">
        <f>BL431+BL446+BL464+BL465+BL466</f>
        <v/>
      </c>
      <c r="BM447" s="1564">
        <f>BM431+BM446+BM464+BM465+BM466</f>
        <v/>
      </c>
      <c r="BN447" s="1564">
        <f>BN431+BN446+BN464+BN465+BN466</f>
        <v/>
      </c>
      <c r="BO447" s="1715">
        <f>BO431+BO446+BO464+BO465+BO466</f>
        <v/>
      </c>
      <c r="BP447" s="1562">
        <f>BP431+BP446+BP464+BP465+BP466</f>
        <v/>
      </c>
      <c r="BQ447" s="1562">
        <f>BQ431+BQ446+BQ464+BQ465+BQ466</f>
        <v/>
      </c>
      <c r="BR447" s="1562">
        <f>BR431+BR446+BR464+BR465+BR466</f>
        <v/>
      </c>
      <c r="BS447" s="1562">
        <f>BS431+BS446+BS464+BS465+BS466</f>
        <v/>
      </c>
      <c r="BT447" s="1637">
        <f>BT431+BT446+BT464+BT465+BT466</f>
        <v/>
      </c>
      <c r="BU447" s="1562">
        <f>BU431+BU446+BU464+BU465+BU466</f>
        <v/>
      </c>
      <c r="BV447" s="1562">
        <f>BV431+BV446+BV464+BV465+BV466</f>
        <v/>
      </c>
      <c r="BW447" s="1562">
        <f>BW431+BW446+BW464+BW465+BW466</f>
        <v/>
      </c>
      <c r="BX447" s="1562">
        <f>BX431+BX446+BX464+BX465+BX466</f>
        <v/>
      </c>
      <c r="BY447" s="1637">
        <f>BY431+BY446+BY464+BY465+BY466</f>
        <v/>
      </c>
      <c r="BZ447" s="1637">
        <f>BZ431+BZ446+BZ464+BZ465+BZ466</f>
        <v/>
      </c>
      <c r="CA447" s="1637">
        <f>CA431+CA446+CA464+CA465+CA466</f>
        <v/>
      </c>
      <c r="CB447" s="1637">
        <f>CB431+CB446+CB464+CB465+CB466</f>
        <v/>
      </c>
      <c r="CC447" s="1564" t="n"/>
    </row>
    <row r="448" ht="15" customFormat="1" customHeight="1" s="1934">
      <c r="A448" s="1935" t="n"/>
      <c r="B448" s="1936" t="n"/>
      <c r="C448" s="1937" t="n"/>
      <c r="D448" s="1937" t="n"/>
      <c r="E448" s="1937" t="n"/>
      <c r="F448" s="1937" t="n"/>
      <c r="G448" s="1937" t="n"/>
      <c r="H448" s="1938" t="n"/>
      <c r="I448" s="1938" t="n"/>
      <c r="J448" s="1938" t="n"/>
      <c r="K448" s="1938" t="n"/>
      <c r="L448" s="1937" t="n"/>
      <c r="M448" s="1938" t="n"/>
      <c r="N448" s="1938" t="n"/>
      <c r="O448" s="1938" t="n"/>
      <c r="P448" s="1938" t="n"/>
      <c r="Q448" s="1937" t="n"/>
      <c r="R448" s="1938" t="n"/>
      <c r="S448" s="1939" t="n"/>
      <c r="T448" s="1938" t="n"/>
      <c r="U448" s="1938" t="n"/>
      <c r="V448" s="1937" t="n"/>
      <c r="W448" s="1938" t="n"/>
      <c r="X448" s="1939" t="n"/>
      <c r="Y448" s="1938" t="n"/>
      <c r="Z448" s="1938" t="n"/>
      <c r="AA448" s="1937" t="n"/>
      <c r="AB448" s="1938" t="n"/>
      <c r="AC448" s="1939" t="n"/>
      <c r="AD448" s="1938" t="n"/>
      <c r="AE448" s="1938" t="n"/>
      <c r="AF448" s="1937" t="n"/>
      <c r="AG448" s="1938" t="n"/>
      <c r="AH448" s="1939" t="n"/>
      <c r="AI448" s="1938" t="n"/>
      <c r="AJ448" s="1938" t="n"/>
      <c r="AK448" s="1937" t="n"/>
      <c r="AL448" s="1938" t="n"/>
      <c r="AM448" s="1939" t="n"/>
      <c r="AN448" s="1938" t="n"/>
      <c r="AO448" s="1938" t="n"/>
      <c r="AP448" s="1937" t="n"/>
      <c r="AQ448" s="1938" t="n"/>
      <c r="AR448" s="1939" t="n"/>
      <c r="AS448" s="1938" t="n"/>
      <c r="AT448" s="1938" t="n"/>
      <c r="AU448" s="1937" t="n"/>
      <c r="AV448" s="1938" t="n"/>
      <c r="AW448" s="1939" t="n"/>
      <c r="AX448" s="1938" t="n"/>
      <c r="AY448" s="1938" t="n"/>
      <c r="AZ448" s="1937" t="n"/>
      <c r="BA448" s="1938" t="n"/>
      <c r="BB448" s="1939" t="n"/>
      <c r="BC448" s="1938" t="n"/>
      <c r="BD448" s="1938" t="n"/>
      <c r="BE448" s="1937" t="n"/>
      <c r="BF448" s="1938" t="n"/>
      <c r="BG448" s="1939" t="n"/>
      <c r="BH448" s="1938" t="n"/>
      <c r="BI448" s="1938" t="n"/>
      <c r="BJ448" s="1937" t="n"/>
      <c r="BK448" s="1938" t="n"/>
      <c r="BL448" s="1939" t="n"/>
      <c r="BM448" s="1938" t="n"/>
      <c r="BN448" s="1938" t="n"/>
      <c r="BO448" s="1940" t="n"/>
      <c r="BP448" s="1939" t="n"/>
      <c r="BQ448" s="1939" t="n"/>
      <c r="BR448" s="1939" t="n"/>
      <c r="BS448" s="1939" t="n"/>
      <c r="BT448" s="1937" t="n"/>
      <c r="BU448" s="1939" t="n"/>
      <c r="BV448" s="1939" t="n"/>
      <c r="BW448" s="1939" t="n"/>
      <c r="BX448" s="1939" t="n"/>
      <c r="BY448" s="1937" t="n"/>
      <c r="BZ448" s="1937" t="n"/>
      <c r="CA448" s="1937" t="n"/>
      <c r="CB448" s="1937" t="n"/>
      <c r="CC448" s="1941" t="n"/>
    </row>
    <row r="449" ht="15" customFormat="1" customHeight="1" s="1934">
      <c r="A449" s="1942">
        <f>"P/E - "&amp;MO.ValuationToggle</f>
        <v/>
      </c>
      <c r="B449" s="1936" t="n"/>
      <c r="C449" s="1943">
        <f>C445/C372</f>
        <v/>
      </c>
      <c r="D449" s="1943">
        <f>D445/D372</f>
        <v/>
      </c>
      <c r="E449" s="1943">
        <f>E445/E372</f>
        <v/>
      </c>
      <c r="F449" s="1943">
        <f>F445/F372</f>
        <v/>
      </c>
      <c r="G449" s="1943">
        <f>G445/G372</f>
        <v/>
      </c>
      <c r="H449" s="1938" t="n"/>
      <c r="I449" s="1938" t="n"/>
      <c r="J449" s="1938" t="n"/>
      <c r="K449" s="1938" t="n"/>
      <c r="L449" s="1943">
        <f>L445/L372</f>
        <v/>
      </c>
      <c r="M449" s="1938" t="n"/>
      <c r="N449" s="1938" t="n"/>
      <c r="O449" s="1938" t="n"/>
      <c r="P449" s="1938" t="n"/>
      <c r="Q449" s="1943">
        <f>Q445/Q372</f>
        <v/>
      </c>
      <c r="R449" s="1938" t="n"/>
      <c r="S449" s="1939" t="n"/>
      <c r="T449" s="1938" t="n"/>
      <c r="U449" s="1938" t="n"/>
      <c r="V449" s="1943">
        <f>V445/V372</f>
        <v/>
      </c>
      <c r="W449" s="1938" t="n"/>
      <c r="X449" s="1939" t="n"/>
      <c r="Y449" s="1938" t="n"/>
      <c r="Z449" s="1938" t="n"/>
      <c r="AA449" s="1943">
        <f>AA445/AA372</f>
        <v/>
      </c>
      <c r="AB449" s="1938" t="n"/>
      <c r="AC449" s="1939" t="n"/>
      <c r="AD449" s="1938" t="n"/>
      <c r="AE449" s="1938" t="n"/>
      <c r="AF449" s="1943">
        <f>AF445/AF372</f>
        <v/>
      </c>
      <c r="AG449" s="1938" t="n"/>
      <c r="AH449" s="1939" t="n"/>
      <c r="AI449" s="1938" t="n"/>
      <c r="AJ449" s="1938" t="n"/>
      <c r="AK449" s="1943">
        <f>AK445/AK372</f>
        <v/>
      </c>
      <c r="AL449" s="1938" t="n"/>
      <c r="AM449" s="1939" t="n"/>
      <c r="AN449" s="1938" t="n"/>
      <c r="AO449" s="1938" t="n"/>
      <c r="AP449" s="1943">
        <f>AP445/AP372</f>
        <v/>
      </c>
      <c r="AQ449" s="1938" t="n"/>
      <c r="AR449" s="1939" t="n"/>
      <c r="AS449" s="1938" t="n"/>
      <c r="AT449" s="1938" t="n"/>
      <c r="AU449" s="1943">
        <f>AU445/AU372</f>
        <v/>
      </c>
      <c r="AV449" s="1938" t="n"/>
      <c r="AW449" s="1939" t="n"/>
      <c r="AX449" s="1938" t="n"/>
      <c r="AY449" s="1938" t="n"/>
      <c r="AZ449" s="1943">
        <f>AZ445/AZ372</f>
        <v/>
      </c>
      <c r="BA449" s="1938" t="n"/>
      <c r="BB449" s="1939" t="n"/>
      <c r="BC449" s="1938" t="n"/>
      <c r="BD449" s="1938" t="n"/>
      <c r="BE449" s="1943">
        <f>BE445/BE372</f>
        <v/>
      </c>
      <c r="BF449" s="1938" t="n"/>
      <c r="BG449" s="1939" t="n"/>
      <c r="BH449" s="1938" t="n"/>
      <c r="BI449" s="1938" t="n"/>
      <c r="BJ449" s="1943">
        <f>BJ445/BJ372</f>
        <v/>
      </c>
      <c r="BK449" s="1938" t="n"/>
      <c r="BL449" s="1939" t="n"/>
      <c r="BM449" s="1938" t="n"/>
      <c r="BN449" s="1938" t="n"/>
      <c r="BO449" s="1944">
        <f>BO445/BO372</f>
        <v/>
      </c>
      <c r="BP449" s="1939" t="n"/>
      <c r="BQ449" s="1939" t="n"/>
      <c r="BR449" s="1939" t="n"/>
      <c r="BS449" s="1939" t="n"/>
      <c r="BT449" s="1937">
        <f>BT445/BT372</f>
        <v/>
      </c>
      <c r="BU449" s="1939" t="n"/>
      <c r="BV449" s="1939" t="n"/>
      <c r="BW449" s="1939" t="n"/>
      <c r="BX449" s="1939" t="n"/>
      <c r="BY449" s="1937">
        <f>BY445/BY372</f>
        <v/>
      </c>
      <c r="BZ449" s="1937">
        <f>BZ445/BZ372</f>
        <v/>
      </c>
      <c r="CA449" s="1937">
        <f>CA445/CA372</f>
        <v/>
      </c>
      <c r="CB449" s="1937">
        <f>CB445/CB372</f>
        <v/>
      </c>
      <c r="CC449" s="1941" t="n"/>
    </row>
    <row r="450" ht="15" customFormat="1" customHeight="1" s="1934">
      <c r="A450" s="1942">
        <f>"EV/EBITDA - "&amp;MO.ValuationToggle</f>
        <v/>
      </c>
      <c r="B450" s="1936" t="n"/>
      <c r="C450" s="1943">
        <f>C447/C345</f>
        <v/>
      </c>
      <c r="D450" s="1943">
        <f>D447/D345</f>
        <v/>
      </c>
      <c r="E450" s="1943">
        <f>E447/E345</f>
        <v/>
      </c>
      <c r="F450" s="1943">
        <f>F447/F345</f>
        <v/>
      </c>
      <c r="G450" s="1943">
        <f>G447/G345</f>
        <v/>
      </c>
      <c r="H450" s="1938" t="n"/>
      <c r="I450" s="1938" t="n"/>
      <c r="J450" s="1938" t="n"/>
      <c r="K450" s="1938" t="n"/>
      <c r="L450" s="1943">
        <f>L447/L345</f>
        <v/>
      </c>
      <c r="M450" s="1938" t="n"/>
      <c r="N450" s="1938" t="n"/>
      <c r="O450" s="1938" t="n"/>
      <c r="P450" s="1938" t="n"/>
      <c r="Q450" s="1943">
        <f>Q447/Q345</f>
        <v/>
      </c>
      <c r="R450" s="1938" t="n"/>
      <c r="S450" s="1939" t="n"/>
      <c r="T450" s="1938" t="n"/>
      <c r="U450" s="1938" t="n"/>
      <c r="V450" s="1943">
        <f>V447/V345</f>
        <v/>
      </c>
      <c r="W450" s="1938" t="n"/>
      <c r="X450" s="1939" t="n"/>
      <c r="Y450" s="1938" t="n"/>
      <c r="Z450" s="1938" t="n"/>
      <c r="AA450" s="1943">
        <f>AA447/AA345</f>
        <v/>
      </c>
      <c r="AB450" s="1938" t="n"/>
      <c r="AC450" s="1939" t="n"/>
      <c r="AD450" s="1938" t="n"/>
      <c r="AE450" s="1938" t="n"/>
      <c r="AF450" s="1943">
        <f>AF447/AF345</f>
        <v/>
      </c>
      <c r="AG450" s="1938" t="n"/>
      <c r="AH450" s="1939" t="n"/>
      <c r="AI450" s="1938" t="n"/>
      <c r="AJ450" s="1938" t="n"/>
      <c r="AK450" s="1943">
        <f>AK447/AK345</f>
        <v/>
      </c>
      <c r="AL450" s="1938" t="n"/>
      <c r="AM450" s="1939" t="n"/>
      <c r="AN450" s="1938" t="n"/>
      <c r="AO450" s="1938" t="n"/>
      <c r="AP450" s="1943">
        <f>AP447/AP345</f>
        <v/>
      </c>
      <c r="AQ450" s="1938" t="n"/>
      <c r="AR450" s="1939" t="n"/>
      <c r="AS450" s="1938" t="n"/>
      <c r="AT450" s="1938" t="n"/>
      <c r="AU450" s="1943">
        <f>AU447/AU345</f>
        <v/>
      </c>
      <c r="AV450" s="1938" t="n"/>
      <c r="AW450" s="1939" t="n"/>
      <c r="AX450" s="1938" t="n"/>
      <c r="AY450" s="1938" t="n"/>
      <c r="AZ450" s="1943">
        <f>AZ447/AZ345</f>
        <v/>
      </c>
      <c r="BA450" s="1938" t="n"/>
      <c r="BB450" s="1939" t="n"/>
      <c r="BC450" s="1938" t="n"/>
      <c r="BD450" s="1938" t="n"/>
      <c r="BE450" s="1943">
        <f>BE447/BE345</f>
        <v/>
      </c>
      <c r="BF450" s="1938" t="n"/>
      <c r="BG450" s="1939" t="n"/>
      <c r="BH450" s="1938" t="n"/>
      <c r="BI450" s="1938" t="n"/>
      <c r="BJ450" s="1943">
        <f>BJ447/BJ345</f>
        <v/>
      </c>
      <c r="BK450" s="1938" t="n"/>
      <c r="BL450" s="1939" t="n"/>
      <c r="BM450" s="1938" t="n"/>
      <c r="BN450" s="1938" t="n"/>
      <c r="BO450" s="1944">
        <f>BO447/BO345</f>
        <v/>
      </c>
      <c r="BP450" s="1939" t="n"/>
      <c r="BQ450" s="1939" t="n"/>
      <c r="BR450" s="1939" t="n"/>
      <c r="BS450" s="1939" t="n"/>
      <c r="BT450" s="1937">
        <f>BT447/BT345</f>
        <v/>
      </c>
      <c r="BU450" s="1939" t="n"/>
      <c r="BV450" s="1939" t="n"/>
      <c r="BW450" s="1939" t="n"/>
      <c r="BX450" s="1939" t="n"/>
      <c r="BY450" s="1937">
        <f>BY447/BY345</f>
        <v/>
      </c>
      <c r="BZ450" s="1937">
        <f>BZ447/BZ345</f>
        <v/>
      </c>
      <c r="CA450" s="1937">
        <f>CA447/CA345</f>
        <v/>
      </c>
      <c r="CB450" s="1937">
        <f>CB447/CB345</f>
        <v/>
      </c>
      <c r="CC450" s="1941" t="n"/>
    </row>
    <row r="451" ht="15" customFormat="1" customHeight="1" s="1934">
      <c r="A451" s="1942">
        <f>"P/CF - "&amp;MO.ValuationToggle</f>
        <v/>
      </c>
      <c r="B451" s="1936" t="n"/>
      <c r="C451" s="1943">
        <f>C445/C401</f>
        <v/>
      </c>
      <c r="D451" s="1943">
        <f>D445/D401</f>
        <v/>
      </c>
      <c r="E451" s="1943">
        <f>E445/E401</f>
        <v/>
      </c>
      <c r="F451" s="1943">
        <f>F445/F401</f>
        <v/>
      </c>
      <c r="G451" s="1943">
        <f>G445/G401</f>
        <v/>
      </c>
      <c r="H451" s="1938" t="n"/>
      <c r="I451" s="1938" t="n"/>
      <c r="J451" s="1938" t="n"/>
      <c r="K451" s="1938" t="n"/>
      <c r="L451" s="1943">
        <f>L445/L401</f>
        <v/>
      </c>
      <c r="M451" s="1938" t="n"/>
      <c r="N451" s="1938" t="n"/>
      <c r="O451" s="1938" t="n"/>
      <c r="P451" s="1938" t="n"/>
      <c r="Q451" s="1943">
        <f>Q445/Q401</f>
        <v/>
      </c>
      <c r="R451" s="1938" t="n"/>
      <c r="S451" s="1939" t="n"/>
      <c r="T451" s="1938" t="n"/>
      <c r="U451" s="1938" t="n"/>
      <c r="V451" s="1943">
        <f>V445/V401</f>
        <v/>
      </c>
      <c r="W451" s="1938" t="n"/>
      <c r="X451" s="1939" t="n"/>
      <c r="Y451" s="1938" t="n"/>
      <c r="Z451" s="1938" t="n"/>
      <c r="AA451" s="1943">
        <f>AA445/AA401</f>
        <v/>
      </c>
      <c r="AB451" s="1938" t="n"/>
      <c r="AC451" s="1939" t="n"/>
      <c r="AD451" s="1938" t="n"/>
      <c r="AE451" s="1938" t="n"/>
      <c r="AF451" s="1943">
        <f>AF445/AF401</f>
        <v/>
      </c>
      <c r="AG451" s="1938" t="n"/>
      <c r="AH451" s="1939" t="n"/>
      <c r="AI451" s="1938" t="n"/>
      <c r="AJ451" s="1938" t="n"/>
      <c r="AK451" s="1943">
        <f>AK445/AK401</f>
        <v/>
      </c>
      <c r="AL451" s="1938" t="n"/>
      <c r="AM451" s="1939" t="n"/>
      <c r="AN451" s="1938" t="n"/>
      <c r="AO451" s="1938" t="n"/>
      <c r="AP451" s="1943">
        <f>AP445/AP401</f>
        <v/>
      </c>
      <c r="AQ451" s="1938" t="n"/>
      <c r="AR451" s="1939" t="n"/>
      <c r="AS451" s="1938" t="n"/>
      <c r="AT451" s="1938" t="n"/>
      <c r="AU451" s="1943">
        <f>AU445/AU401</f>
        <v/>
      </c>
      <c r="AV451" s="1938" t="n"/>
      <c r="AW451" s="1939" t="n"/>
      <c r="AX451" s="1938" t="n"/>
      <c r="AY451" s="1938" t="n"/>
      <c r="AZ451" s="1943">
        <f>AZ445/AZ401</f>
        <v/>
      </c>
      <c r="BA451" s="1938" t="n"/>
      <c r="BB451" s="1939" t="n"/>
      <c r="BC451" s="1938" t="n"/>
      <c r="BD451" s="1938" t="n"/>
      <c r="BE451" s="1943">
        <f>BE445/BE401</f>
        <v/>
      </c>
      <c r="BF451" s="1938" t="n"/>
      <c r="BG451" s="1939" t="n"/>
      <c r="BH451" s="1938" t="n"/>
      <c r="BI451" s="1938" t="n"/>
      <c r="BJ451" s="1943">
        <f>BJ445/BJ401</f>
        <v/>
      </c>
      <c r="BK451" s="1938" t="n"/>
      <c r="BL451" s="1939" t="n"/>
      <c r="BM451" s="1938" t="n"/>
      <c r="BN451" s="1938" t="n"/>
      <c r="BO451" s="1944">
        <f>BO445/BO401</f>
        <v/>
      </c>
      <c r="BP451" s="1939" t="n"/>
      <c r="BQ451" s="1939" t="n"/>
      <c r="BR451" s="1939" t="n"/>
      <c r="BS451" s="1939" t="n"/>
      <c r="BT451" s="1937">
        <f>BT445/BT401</f>
        <v/>
      </c>
      <c r="BU451" s="1939" t="n"/>
      <c r="BV451" s="1939" t="n"/>
      <c r="BW451" s="1939" t="n"/>
      <c r="BX451" s="1939" t="n"/>
      <c r="BY451" s="1937">
        <f>BY445/BY401</f>
        <v/>
      </c>
      <c r="BZ451" s="1937">
        <f>BZ445/BZ401</f>
        <v/>
      </c>
      <c r="CA451" s="1937">
        <f>CA445/CA401</f>
        <v/>
      </c>
      <c r="CB451" s="1937">
        <f>CB445/CB401</f>
        <v/>
      </c>
      <c r="CC451" s="1941" t="n"/>
    </row>
    <row r="452" ht="15" customFormat="1" customHeight="1" s="607">
      <c r="A452" s="29">
        <f>"FCF Yield % to "&amp;MO.ValuationToggle&amp;" Market Cap"</f>
        <v/>
      </c>
      <c r="B452" s="126" t="n"/>
      <c r="C452" s="1333">
        <f>C421/C446</f>
        <v/>
      </c>
      <c r="D452" s="1333">
        <f>D421/D446</f>
        <v/>
      </c>
      <c r="E452" s="1333">
        <f>E421/E446</f>
        <v/>
      </c>
      <c r="F452" s="1333">
        <f>F421/F446</f>
        <v/>
      </c>
      <c r="G452" s="1333">
        <f>G421/G446</f>
        <v/>
      </c>
      <c r="H452" s="686" t="n"/>
      <c r="I452" s="686" t="n"/>
      <c r="J452" s="686" t="n"/>
      <c r="K452" s="686" t="n"/>
      <c r="L452" s="1333">
        <f>L421/L446</f>
        <v/>
      </c>
      <c r="M452" s="686" t="n"/>
      <c r="N452" s="686" t="n"/>
      <c r="O452" s="686" t="n"/>
      <c r="P452" s="686" t="n"/>
      <c r="Q452" s="1333">
        <f>Q421/Q446</f>
        <v/>
      </c>
      <c r="R452" s="686" t="n"/>
      <c r="S452" s="686" t="n"/>
      <c r="T452" s="686" t="n"/>
      <c r="U452" s="686" t="n"/>
      <c r="V452" s="1333">
        <f>V421/V446</f>
        <v/>
      </c>
      <c r="W452" s="686" t="n"/>
      <c r="X452" s="686" t="n"/>
      <c r="Y452" s="686" t="n"/>
      <c r="Z452" s="686" t="n"/>
      <c r="AA452" s="1333">
        <f>AA421/AA446</f>
        <v/>
      </c>
      <c r="AB452" s="686" t="n"/>
      <c r="AC452" s="686" t="n"/>
      <c r="AD452" s="686" t="n"/>
      <c r="AE452" s="686" t="n"/>
      <c r="AF452" s="1333">
        <f>AF421/AF446</f>
        <v/>
      </c>
      <c r="AG452" s="686" t="n"/>
      <c r="AH452" s="686" t="n"/>
      <c r="AI452" s="686" t="n"/>
      <c r="AJ452" s="686" t="n"/>
      <c r="AK452" s="1333">
        <f>AK421/AK446</f>
        <v/>
      </c>
      <c r="AL452" s="686" t="n"/>
      <c r="AM452" s="686" t="n"/>
      <c r="AN452" s="686" t="n"/>
      <c r="AO452" s="686" t="n"/>
      <c r="AP452" s="1333">
        <f>AP421/AP446</f>
        <v/>
      </c>
      <c r="AQ452" s="686" t="n"/>
      <c r="AR452" s="686" t="n"/>
      <c r="AS452" s="686" t="n"/>
      <c r="AT452" s="686" t="n"/>
      <c r="AU452" s="1333">
        <f>AU421/AU446</f>
        <v/>
      </c>
      <c r="AV452" s="686" t="n"/>
      <c r="AW452" s="686" t="n"/>
      <c r="AX452" s="686" t="n"/>
      <c r="AY452" s="686" t="n"/>
      <c r="AZ452" s="1333">
        <f>AZ421/AZ446</f>
        <v/>
      </c>
      <c r="BA452" s="686" t="n"/>
      <c r="BB452" s="686" t="n"/>
      <c r="BC452" s="686" t="n"/>
      <c r="BD452" s="686" t="n"/>
      <c r="BE452" s="1333">
        <f>IFERROR(BE421/BE446,"N/A")</f>
        <v/>
      </c>
      <c r="BF452" s="686" t="n"/>
      <c r="BG452" s="686" t="n"/>
      <c r="BH452" s="686" t="n"/>
      <c r="BI452" s="686" t="n"/>
      <c r="BJ452" s="1333">
        <f>IFERROR(BJ421/BJ446,"N/A")</f>
        <v/>
      </c>
      <c r="BK452" s="686" t="n"/>
      <c r="BL452" s="686" t="n"/>
      <c r="BM452" s="686" t="n"/>
      <c r="BN452" s="686" t="n"/>
      <c r="BO452" s="1340">
        <f>IFERROR(BO421/BO446,"N/A")</f>
        <v/>
      </c>
      <c r="BP452" s="686" t="n"/>
      <c r="BQ452" s="686" t="n"/>
      <c r="BR452" s="686" t="n"/>
      <c r="BS452" s="686" t="n"/>
      <c r="BT452" s="1294">
        <f>BT421/BT446</f>
        <v/>
      </c>
      <c r="BU452" s="686" t="n"/>
      <c r="BV452" s="686" t="n"/>
      <c r="BW452" s="686" t="n"/>
      <c r="BX452" s="686" t="n"/>
      <c r="BY452" s="1294">
        <f>BY421/BY446</f>
        <v/>
      </c>
      <c r="BZ452" s="1294">
        <f>BZ421/BZ446</f>
        <v/>
      </c>
      <c r="CA452" s="1294">
        <f>CA421/CA446</f>
        <v/>
      </c>
      <c r="CB452" s="1294">
        <f>CB421/CB446</f>
        <v/>
      </c>
      <c r="CC452" s="102" t="n"/>
    </row>
    <row r="453" ht="15" customFormat="1" customHeight="1" s="607">
      <c r="A453" s="29">
        <f>"FCF Yield % to "&amp;MO.ValuationToggle&amp;" Enterprise Value"</f>
        <v/>
      </c>
      <c r="B453" s="126" t="n"/>
      <c r="C453" s="1333">
        <f>C421/C447</f>
        <v/>
      </c>
      <c r="D453" s="1333">
        <f>D421/D447</f>
        <v/>
      </c>
      <c r="E453" s="1333">
        <f>E421/E447</f>
        <v/>
      </c>
      <c r="F453" s="1333">
        <f>F421/F447</f>
        <v/>
      </c>
      <c r="G453" s="1333">
        <f>G421/G447</f>
        <v/>
      </c>
      <c r="H453" s="686" t="n"/>
      <c r="I453" s="686" t="n"/>
      <c r="J453" s="686" t="n"/>
      <c r="K453" s="686" t="n"/>
      <c r="L453" s="1333">
        <f>L421/L447</f>
        <v/>
      </c>
      <c r="M453" s="686" t="n"/>
      <c r="N453" s="686" t="n"/>
      <c r="O453" s="686" t="n"/>
      <c r="P453" s="686" t="n"/>
      <c r="Q453" s="1333">
        <f>Q421/Q447</f>
        <v/>
      </c>
      <c r="R453" s="686" t="n"/>
      <c r="S453" s="686" t="n"/>
      <c r="T453" s="686" t="n"/>
      <c r="U453" s="686" t="n"/>
      <c r="V453" s="1333">
        <f>V421/V447</f>
        <v/>
      </c>
      <c r="W453" s="686" t="n"/>
      <c r="X453" s="686" t="n"/>
      <c r="Y453" s="686" t="n"/>
      <c r="Z453" s="686" t="n"/>
      <c r="AA453" s="1333">
        <f>AA421/AA447</f>
        <v/>
      </c>
      <c r="AB453" s="686" t="n"/>
      <c r="AC453" s="686" t="n"/>
      <c r="AD453" s="686" t="n"/>
      <c r="AE453" s="686" t="n"/>
      <c r="AF453" s="1333">
        <f>AF421/AF447</f>
        <v/>
      </c>
      <c r="AG453" s="686" t="n"/>
      <c r="AH453" s="686" t="n"/>
      <c r="AI453" s="686" t="n"/>
      <c r="AJ453" s="686" t="n"/>
      <c r="AK453" s="1333">
        <f>AK421/AK447</f>
        <v/>
      </c>
      <c r="AL453" s="686" t="n"/>
      <c r="AM453" s="686" t="n"/>
      <c r="AN453" s="686" t="n"/>
      <c r="AO453" s="686" t="n"/>
      <c r="AP453" s="1333">
        <f>AP421/AP447</f>
        <v/>
      </c>
      <c r="AQ453" s="686" t="n"/>
      <c r="AR453" s="686" t="n"/>
      <c r="AS453" s="686" t="n"/>
      <c r="AT453" s="686" t="n"/>
      <c r="AU453" s="1333">
        <f>AU421/AU447</f>
        <v/>
      </c>
      <c r="AV453" s="686" t="n"/>
      <c r="AW453" s="686" t="n"/>
      <c r="AX453" s="686" t="n"/>
      <c r="AY453" s="686" t="n"/>
      <c r="AZ453" s="1333">
        <f>AZ421/AZ447</f>
        <v/>
      </c>
      <c r="BA453" s="686" t="n"/>
      <c r="BB453" s="686" t="n"/>
      <c r="BC453" s="686" t="n"/>
      <c r="BD453" s="686" t="n"/>
      <c r="BE453" s="1333">
        <f>BE421/BE447</f>
        <v/>
      </c>
      <c r="BF453" s="686" t="n"/>
      <c r="BG453" s="686" t="n"/>
      <c r="BH453" s="686" t="n"/>
      <c r="BI453" s="686" t="n"/>
      <c r="BJ453" s="1333">
        <f>BJ421/BJ447</f>
        <v/>
      </c>
      <c r="BK453" s="686" t="n"/>
      <c r="BL453" s="686" t="n"/>
      <c r="BM453" s="686" t="n"/>
      <c r="BN453" s="686" t="n"/>
      <c r="BO453" s="1340">
        <f>BO421/BO447</f>
        <v/>
      </c>
      <c r="BP453" s="686" t="n"/>
      <c r="BQ453" s="686" t="n"/>
      <c r="BR453" s="686" t="n"/>
      <c r="BS453" s="686" t="n"/>
      <c r="BT453" s="1294">
        <f>BT421/BT447</f>
        <v/>
      </c>
      <c r="BU453" s="686" t="n"/>
      <c r="BV453" s="686" t="n"/>
      <c r="BW453" s="686" t="n"/>
      <c r="BX453" s="686" t="n"/>
      <c r="BY453" s="1294">
        <f>BY421/BY447</f>
        <v/>
      </c>
      <c r="BZ453" s="1294">
        <f>BZ421/BZ447</f>
        <v/>
      </c>
      <c r="CA453" s="1294">
        <f>CA421/CA447</f>
        <v/>
      </c>
      <c r="CB453" s="1294">
        <f>CB421/CB447</f>
        <v/>
      </c>
      <c r="CC453" s="102" t="n"/>
    </row>
    <row r="454" hidden="1" outlineLevel="1" ht="15" customFormat="1" customHeight="1" s="607">
      <c r="A454" s="125" t="n"/>
      <c r="B454" s="126" t="n"/>
      <c r="C454" s="1294" t="n"/>
      <c r="D454" s="1294" t="n"/>
      <c r="E454" s="1294" t="n"/>
      <c r="F454" s="1294" t="n"/>
      <c r="G454" s="1294" t="n"/>
      <c r="H454" s="686" t="n"/>
      <c r="I454" s="686" t="n"/>
      <c r="J454" s="686" t="n"/>
      <c r="K454" s="686" t="n"/>
      <c r="L454" s="1294" t="n"/>
      <c r="M454" s="686" t="n"/>
      <c r="N454" s="686" t="n"/>
      <c r="O454" s="686" t="n"/>
      <c r="P454" s="686" t="n"/>
      <c r="Q454" s="1294" t="n"/>
      <c r="R454" s="686" t="n"/>
      <c r="S454" s="686" t="n"/>
      <c r="T454" s="686" t="n"/>
      <c r="U454" s="686" t="n"/>
      <c r="V454" s="1294" t="n"/>
      <c r="W454" s="686" t="n"/>
      <c r="X454" s="686" t="n"/>
      <c r="Y454" s="686" t="n"/>
      <c r="Z454" s="686" t="n"/>
      <c r="AA454" s="1294" t="n"/>
      <c r="AB454" s="686" t="n"/>
      <c r="AC454" s="686" t="n"/>
      <c r="AD454" s="686" t="n"/>
      <c r="AE454" s="686" t="n"/>
      <c r="AF454" s="1294" t="n"/>
      <c r="AG454" s="686" t="n"/>
      <c r="AH454" s="686" t="n"/>
      <c r="AI454" s="686" t="n"/>
      <c r="AJ454" s="686" t="n"/>
      <c r="AK454" s="1294" t="n"/>
      <c r="AL454" s="686" t="n"/>
      <c r="AM454" s="686" t="n"/>
      <c r="AN454" s="686" t="n"/>
      <c r="AO454" s="686" t="n"/>
      <c r="AP454" s="1294" t="n"/>
      <c r="AQ454" s="686" t="n"/>
      <c r="AR454" s="686" t="n"/>
      <c r="AS454" s="686" t="n"/>
      <c r="AT454" s="686" t="n"/>
      <c r="AU454" s="1294" t="n"/>
      <c r="AV454" s="686" t="n"/>
      <c r="AW454" s="686" t="n"/>
      <c r="AX454" s="686" t="n"/>
      <c r="AY454" s="686" t="n"/>
      <c r="AZ454" s="1294" t="n"/>
      <c r="BA454" s="686" t="n"/>
      <c r="BB454" s="686" t="n"/>
      <c r="BC454" s="686" t="n"/>
      <c r="BD454" s="686" t="n"/>
      <c r="BE454" s="1294" t="n"/>
      <c r="BF454" s="686" t="n"/>
      <c r="BG454" s="686" t="n"/>
      <c r="BH454" s="686" t="n"/>
      <c r="BI454" s="686" t="n"/>
      <c r="BJ454" s="1294" t="n"/>
      <c r="BK454" s="686" t="n"/>
      <c r="BL454" s="686" t="n"/>
      <c r="BM454" s="686" t="n"/>
      <c r="BN454" s="686" t="n"/>
      <c r="BO454" s="1293" t="n"/>
      <c r="BP454" s="686" t="n"/>
      <c r="BQ454" s="686" t="n"/>
      <c r="BR454" s="686" t="n"/>
      <c r="BS454" s="686" t="n"/>
      <c r="BT454" s="1294" t="n"/>
      <c r="BU454" s="686" t="n"/>
      <c r="BV454" s="686" t="n"/>
      <c r="BW454" s="686" t="n"/>
      <c r="BX454" s="686" t="n"/>
      <c r="BY454" s="1294" t="n"/>
      <c r="BZ454" s="1294" t="n"/>
      <c r="CA454" s="1294" t="n"/>
      <c r="CB454" s="1294" t="n"/>
      <c r="CC454" s="102" t="n"/>
    </row>
    <row r="455" hidden="1" outlineLevel="1" ht="15" customFormat="1" customHeight="1" s="1945">
      <c r="A455" s="1946">
        <f>"Stock High, "&amp;HP.TradeCurrency</f>
        <v/>
      </c>
      <c r="B455" s="1947" t="n"/>
      <c r="C455" s="1948">
        <f>IF(INDEX(MO_SNA_IsHistoricalPeriod,1,COLUMN())=FALSE,0,INDEX(MO_SPT_StockHigh,1,COLUMN()))</f>
        <v/>
      </c>
      <c r="D455" s="1948">
        <f>IF(INDEX(MO_SNA_IsHistoricalPeriod,1,COLUMN())=FALSE,0,INDEX(MO_SPT_StockHigh,1,COLUMN()))</f>
        <v/>
      </c>
      <c r="E455" s="1948">
        <f>IF(INDEX(MO_SNA_IsHistoricalPeriod,1,COLUMN())=FALSE,0,INDEX(MO_SPT_StockHigh,1,COLUMN()))</f>
        <v/>
      </c>
      <c r="F455" s="1948">
        <f>IF(INDEX(MO_SNA_IsHistoricalPeriod,1,COLUMN())=FALSE,0,INDEX(MO_SPT_StockHigh,1,COLUMN()))</f>
        <v/>
      </c>
      <c r="G455" s="1948">
        <f>IF(INDEX(MO_SNA_IsHistoricalPeriod,1,COLUMN())=FALSE,0,INDEX(MO_SPT_StockHigh,1,COLUMN()))</f>
        <v/>
      </c>
      <c r="H455" s="1949">
        <f>IF(INDEX(MO_SNA_IsHistoricalPeriod,1,COLUMN())=FALSE,0,INDEX(MO_SPT_StockHigh,1,COLUMN()))</f>
        <v/>
      </c>
      <c r="I455" s="1949">
        <f>IF(INDEX(MO_SNA_IsHistoricalPeriod,1,COLUMN())=FALSE,0,INDEX(MO_SPT_StockHigh,1,COLUMN()))</f>
        <v/>
      </c>
      <c r="J455" s="1949">
        <f>IF(INDEX(MO_SNA_IsHistoricalPeriod,1,COLUMN())=FALSE,0,INDEX(MO_SPT_StockHigh,1,COLUMN()))</f>
        <v/>
      </c>
      <c r="K455" s="1949">
        <f>IF(INDEX(MO_SNA_IsHistoricalPeriod,1,COLUMN())=FALSE,0,INDEX(MO_SPT_StockHigh,1,COLUMN()))</f>
        <v/>
      </c>
      <c r="L455" s="1948">
        <f>IF(INDEX(MO_SNA_IsHistoricalPeriod,1,COLUMN())=FALSE,0,INDEX(MO_SPT_StockHigh,1,COLUMN()))</f>
        <v/>
      </c>
      <c r="M455" s="1949">
        <f>IF(INDEX(MO_SNA_IsHistoricalPeriod,1,COLUMN())=FALSE,0,INDEX(MO_SPT_StockHigh,1,COLUMN()))</f>
        <v/>
      </c>
      <c r="N455" s="1949">
        <f>IF(INDEX(MO_SNA_IsHistoricalPeriod,1,COLUMN())=FALSE,0,INDEX(MO_SPT_StockHigh,1,COLUMN()))</f>
        <v/>
      </c>
      <c r="O455" s="1949">
        <f>IF(INDEX(MO_SNA_IsHistoricalPeriod,1,COLUMN())=FALSE,0,INDEX(MO_SPT_StockHigh,1,COLUMN()))</f>
        <v/>
      </c>
      <c r="P455" s="1949">
        <f>IF(INDEX(MO_SNA_IsHistoricalPeriod,1,COLUMN())=FALSE,0,INDEX(MO_SPT_StockHigh,1,COLUMN()))</f>
        <v/>
      </c>
      <c r="Q455" s="1948">
        <f>IF(INDEX(MO_SNA_IsHistoricalPeriod,1,COLUMN())=FALSE,0,INDEX(MO_SPT_StockHigh,1,COLUMN()))</f>
        <v/>
      </c>
      <c r="R455" s="1949">
        <f>IF(INDEX(MO_SNA_IsHistoricalPeriod,1,COLUMN())=FALSE,0,INDEX(MO_SPT_StockHigh,1,COLUMN()))</f>
        <v/>
      </c>
      <c r="S455" s="1949">
        <f>IF(INDEX(MO_SNA_IsHistoricalPeriod,1,COLUMN())=FALSE,0,INDEX(MO_SPT_StockHigh,1,COLUMN()))</f>
        <v/>
      </c>
      <c r="T455" s="1949">
        <f>IF(INDEX(MO_SNA_IsHistoricalPeriod,1,COLUMN())=FALSE,0,INDEX(MO_SPT_StockHigh,1,COLUMN()))</f>
        <v/>
      </c>
      <c r="U455" s="1949">
        <f>IF(INDEX(MO_SNA_IsHistoricalPeriod,1,COLUMN())=FALSE,0,INDEX(MO_SPT_StockHigh,1,COLUMN()))</f>
        <v/>
      </c>
      <c r="V455" s="1948">
        <f>IF(INDEX(MO_SNA_IsHistoricalPeriod,1,COLUMN())=FALSE,0,INDEX(MO_SPT_StockHigh,1,COLUMN()))</f>
        <v/>
      </c>
      <c r="W455" s="1949">
        <f>IF(INDEX(MO_SNA_IsHistoricalPeriod,1,COLUMN())=FALSE,0,INDEX(MO_SPT_StockHigh,1,COLUMN()))</f>
        <v/>
      </c>
      <c r="X455" s="1949">
        <f>IF(INDEX(MO_SNA_IsHistoricalPeriod,1,COLUMN())=FALSE,0,INDEX(MO_SPT_StockHigh,1,COLUMN()))</f>
        <v/>
      </c>
      <c r="Y455" s="1949">
        <f>IF(INDEX(MO_SNA_IsHistoricalPeriod,1,COLUMN())=FALSE,0,INDEX(MO_SPT_StockHigh,1,COLUMN()))</f>
        <v/>
      </c>
      <c r="Z455" s="1949">
        <f>IF(INDEX(MO_SNA_IsHistoricalPeriod,1,COLUMN())=FALSE,0,INDEX(MO_SPT_StockHigh,1,COLUMN()))</f>
        <v/>
      </c>
      <c r="AA455" s="1948">
        <f>IF(INDEX(MO_SNA_IsHistoricalPeriod,1,COLUMN())=FALSE,0,INDEX(MO_SPT_StockHigh,1,COLUMN()))</f>
        <v/>
      </c>
      <c r="AB455" s="1949">
        <f>IF(INDEX(MO_SNA_IsHistoricalPeriod,1,COLUMN())=FALSE,0,INDEX(MO_SPT_StockHigh,1,COLUMN()))</f>
        <v/>
      </c>
      <c r="AC455" s="1949">
        <f>IF(INDEX(MO_SNA_IsHistoricalPeriod,1,COLUMN())=FALSE,0,INDEX(MO_SPT_StockHigh,1,COLUMN()))</f>
        <v/>
      </c>
      <c r="AD455" s="1949">
        <f>IF(INDEX(MO_SNA_IsHistoricalPeriod,1,COLUMN())=FALSE,0,INDEX(MO_SPT_StockHigh,1,COLUMN()))</f>
        <v/>
      </c>
      <c r="AE455" s="1949">
        <f>IF(INDEX(MO_SNA_IsHistoricalPeriod,1,COLUMN())=FALSE,0,INDEX(MO_SPT_StockHigh,1,COLUMN()))</f>
        <v/>
      </c>
      <c r="AF455" s="1948">
        <f>IF(INDEX(MO_SNA_IsHistoricalPeriod,1,COLUMN())=FALSE,0,INDEX(MO_SPT_StockHigh,1,COLUMN()))</f>
        <v/>
      </c>
      <c r="AG455" s="1949">
        <f>IF(INDEX(MO_SNA_IsHistoricalPeriod,1,COLUMN())=FALSE,0,INDEX(MO_SPT_StockHigh,1,COLUMN()))</f>
        <v/>
      </c>
      <c r="AH455" s="1949">
        <f>IF(INDEX(MO_SNA_IsHistoricalPeriod,1,COLUMN())=FALSE,0,INDEX(MO_SPT_StockHigh,1,COLUMN()))</f>
        <v/>
      </c>
      <c r="AI455" s="1949">
        <f>IF(INDEX(MO_SNA_IsHistoricalPeriod,1,COLUMN())=FALSE,0,INDEX(MO_SPT_StockHigh,1,COLUMN()))</f>
        <v/>
      </c>
      <c r="AJ455" s="1949">
        <f>IF(INDEX(MO_SNA_IsHistoricalPeriod,1,COLUMN())=FALSE,0,INDEX(MO_SPT_StockHigh,1,COLUMN()))</f>
        <v/>
      </c>
      <c r="AK455" s="1948">
        <f>IF(INDEX(MO_SNA_IsHistoricalPeriod,1,COLUMN())=FALSE,0,INDEX(MO_SPT_StockHigh,1,COLUMN()))</f>
        <v/>
      </c>
      <c r="AL455" s="1949">
        <f>IF(INDEX(MO_SNA_IsHistoricalPeriod,1,COLUMN())=FALSE,0,INDEX(MO_SPT_StockHigh,1,COLUMN()))</f>
        <v/>
      </c>
      <c r="AM455" s="1949">
        <f>IF(INDEX(MO_SNA_IsHistoricalPeriod,1,COLUMN())=FALSE,0,INDEX(MO_SPT_StockHigh,1,COLUMN()))</f>
        <v/>
      </c>
      <c r="AN455" s="1949">
        <f>IF(INDEX(MO_SNA_IsHistoricalPeriod,1,COLUMN())=FALSE,0,INDEX(MO_SPT_StockHigh,1,COLUMN()))</f>
        <v/>
      </c>
      <c r="AO455" s="1949">
        <f>IF(INDEX(MO_SNA_IsHistoricalPeriod,1,COLUMN())=FALSE,0,INDEX(MO_SPT_StockHigh,1,COLUMN()))</f>
        <v/>
      </c>
      <c r="AP455" s="1948">
        <f>IF(INDEX(MO_SNA_IsHistoricalPeriod,1,COLUMN())=FALSE,0,INDEX(MO_SPT_StockHigh,1,COLUMN()))</f>
        <v/>
      </c>
      <c r="AQ455" s="1949">
        <f>IF(INDEX(MO_SNA_IsHistoricalPeriod,1,COLUMN())=FALSE,0,INDEX(MO_SPT_StockHigh,1,COLUMN()))</f>
        <v/>
      </c>
      <c r="AR455" s="1949">
        <f>IF(INDEX(MO_SNA_IsHistoricalPeriod,1,COLUMN())=FALSE,0,INDEX(MO_SPT_StockHigh,1,COLUMN()))</f>
        <v/>
      </c>
      <c r="AS455" s="1949">
        <f>IF(INDEX(MO_SNA_IsHistoricalPeriod,1,COLUMN())=FALSE,0,INDEX(MO_SPT_StockHigh,1,COLUMN()))</f>
        <v/>
      </c>
      <c r="AT455" s="1949">
        <f>IF(INDEX(MO_SNA_IsHistoricalPeriod,1,COLUMN())=FALSE,0,INDEX(MO_SPT_StockHigh,1,COLUMN()))</f>
        <v/>
      </c>
      <c r="AU455" s="1948">
        <f>IF(INDEX(MO_SNA_IsHistoricalPeriod,1,COLUMN())=FALSE,0,INDEX(MO_SPT_StockHigh,1,COLUMN()))</f>
        <v/>
      </c>
      <c r="AV455" s="1949">
        <f>IF(INDEX(MO_SNA_IsHistoricalPeriod,1,COLUMN())=FALSE,0,INDEX(MO_SPT_StockHigh,1,COLUMN()))</f>
        <v/>
      </c>
      <c r="AW455" s="1949">
        <f>IF(INDEX(MO_SNA_IsHistoricalPeriod,1,COLUMN())=FALSE,0,INDEX(MO_SPT_StockHigh,1,COLUMN()))</f>
        <v/>
      </c>
      <c r="AX455" s="1949">
        <f>IF(INDEX(MO_SNA_IsHistoricalPeriod,1,COLUMN())=FALSE,0,INDEX(MO_SPT_StockHigh,1,COLUMN()))</f>
        <v/>
      </c>
      <c r="AY455" s="1949">
        <f>IF(INDEX(MO_SNA_IsHistoricalPeriod,1,COLUMN())=FALSE,0,INDEX(MO_SPT_StockHigh,1,COLUMN()))</f>
        <v/>
      </c>
      <c r="AZ455" s="1948">
        <f>IF(INDEX(MO_SNA_IsHistoricalPeriod,1,COLUMN())=FALSE,0,INDEX(MO_SPT_StockHigh,1,COLUMN()))</f>
        <v/>
      </c>
      <c r="BA455" s="1949">
        <f>IF(INDEX(MO_SNA_IsHistoricalPeriod,1,COLUMN())=FALSE,0,INDEX(MO_SPT_StockHigh,1,COLUMN()))</f>
        <v/>
      </c>
      <c r="BB455" s="1949">
        <f>IF(INDEX(MO_SNA_IsHistoricalPeriod,1,COLUMN())=FALSE,0,INDEX(MO_SPT_StockHigh,1,COLUMN()))</f>
        <v/>
      </c>
      <c r="BC455" s="1949">
        <f>IF(INDEX(MO_SNA_IsHistoricalPeriod,1,COLUMN())=FALSE,0,INDEX(MO_SPT_StockHigh,1,COLUMN()))</f>
        <v/>
      </c>
      <c r="BD455" s="1949">
        <f>IF(INDEX(MO_SNA_IsHistoricalPeriod,1,COLUMN())=FALSE,0,INDEX(MO_SPT_StockHigh,1,COLUMN()))</f>
        <v/>
      </c>
      <c r="BE455" s="1948">
        <f>IF(INDEX(MO_SNA_IsHistoricalPeriod,1,COLUMN())=FALSE,0,INDEX(MO_SPT_StockHigh,1,COLUMN()))</f>
        <v/>
      </c>
      <c r="BF455" s="1949">
        <f>IF(INDEX(MO_SNA_IsHistoricalPeriod,1,COLUMN())=FALSE,0,INDEX(MO_SPT_StockHigh,1,COLUMN()))</f>
        <v/>
      </c>
      <c r="BG455" s="1949">
        <f>IF(INDEX(MO_SNA_IsHistoricalPeriod,1,COLUMN())=FALSE,0,INDEX(MO_SPT_StockHigh,1,COLUMN()))</f>
        <v/>
      </c>
      <c r="BH455" s="1949">
        <f>IF(INDEX(MO_SNA_IsHistoricalPeriod,1,COLUMN())=FALSE,0,INDEX(MO_SPT_StockHigh,1,COLUMN()))</f>
        <v/>
      </c>
      <c r="BI455" s="1949">
        <f>IF(INDEX(MO_SNA_IsHistoricalPeriod,1,COLUMN())=FALSE,0,INDEX(MO_SPT_StockHigh,1,COLUMN()))</f>
        <v/>
      </c>
      <c r="BJ455" s="1948">
        <f>IF(INDEX(MO_SNA_IsHistoricalPeriod,1,COLUMN())=FALSE,0,INDEX(MO_SPT_StockHigh,1,COLUMN()))</f>
        <v/>
      </c>
      <c r="BK455" s="1949">
        <f>IF(INDEX(MO_SNA_IsHistoricalPeriod,1,COLUMN())=FALSE,0,INDEX(MO_SPT_StockHigh,1,COLUMN()))</f>
        <v/>
      </c>
      <c r="BL455" s="1949">
        <f>IF(INDEX(MO_SNA_IsHistoricalPeriod,1,COLUMN())=FALSE,0,INDEX(MO_SPT_StockHigh,1,COLUMN()))</f>
        <v/>
      </c>
      <c r="BM455" s="1949">
        <f>IF(INDEX(MO_SNA_IsHistoricalPeriod,1,COLUMN())=FALSE,0,INDEX(MO_SPT_StockHigh,1,COLUMN()))</f>
        <v/>
      </c>
      <c r="BN455" s="1949">
        <f>IF(INDEX(MO_SNA_IsHistoricalPeriod,1,COLUMN())=FALSE,0,INDEX(MO_SPT_StockHigh,1,COLUMN()))</f>
        <v/>
      </c>
      <c r="BO455" s="1950">
        <f>IF(INDEX(MO_SNA_IsHistoricalPeriod,1,COLUMN())=FALSE,0,INDEX(MO_SPT_StockHigh,1,COLUMN()))</f>
        <v/>
      </c>
      <c r="BP455" s="1951">
        <f>IF(INDEX(MO_SNA_IsHistoricalPeriod,1,COLUMN())=FALSE,0,INDEX(MO_SPT_StockHigh,1,COLUMN()))</f>
        <v/>
      </c>
      <c r="BQ455" s="1951">
        <f>IF(INDEX(MO_SNA_IsHistoricalPeriod,1,COLUMN())=FALSE,0,INDEX(MO_SPT_StockHigh,1,COLUMN()))</f>
        <v/>
      </c>
      <c r="BR455" s="1951">
        <f>IF(INDEX(MO_SNA_IsHistoricalPeriod,1,COLUMN())=FALSE,0,INDEX(MO_SPT_StockHigh,1,COLUMN()))</f>
        <v/>
      </c>
      <c r="BS455" s="1951">
        <f>IF(INDEX(MO_SNA_IsHistoricalPeriod,1,COLUMN())=FALSE,0,INDEX(MO_SPT_StockHigh,1,COLUMN()))</f>
        <v/>
      </c>
      <c r="BT455" s="1952">
        <f>IF(INDEX(MO_SNA_IsHistoricalPeriod,1,COLUMN())=FALSE,0,INDEX(MO_SPT_StockHigh,1,COLUMN()))</f>
        <v/>
      </c>
      <c r="BU455" s="1951">
        <f>IF(INDEX(MO_SNA_IsHistoricalPeriod,1,COLUMN())=FALSE,0,INDEX(MO_SPT_StockHigh,1,COLUMN()))</f>
        <v/>
      </c>
      <c r="BV455" s="1951">
        <f>IF(INDEX(MO_SNA_IsHistoricalPeriod,1,COLUMN())=FALSE,0,INDEX(MO_SPT_StockHigh,1,COLUMN()))</f>
        <v/>
      </c>
      <c r="BW455" s="1951">
        <f>IF(INDEX(MO_SNA_IsHistoricalPeriod,1,COLUMN())=FALSE,0,INDEX(MO_SPT_StockHigh,1,COLUMN()))</f>
        <v/>
      </c>
      <c r="BX455" s="1951">
        <f>IF(INDEX(MO_SNA_IsHistoricalPeriod,1,COLUMN())=FALSE,0,INDEX(MO_SPT_StockHigh,1,COLUMN()))</f>
        <v/>
      </c>
      <c r="BY455" s="1952">
        <f>IF(INDEX(MO_SNA_IsHistoricalPeriod,1,COLUMN())=FALSE,0,INDEX(MO_SPT_StockHigh,1,COLUMN()))</f>
        <v/>
      </c>
      <c r="BZ455" s="1952">
        <f>IF(INDEX(MO_SNA_IsHistoricalPeriod,1,COLUMN())=FALSE,0,INDEX(MO_SPT_StockHigh,1,COLUMN()))</f>
        <v/>
      </c>
      <c r="CA455" s="1952">
        <f>IF(INDEX(MO_SNA_IsHistoricalPeriod,1,COLUMN())=FALSE,0,INDEX(MO_SPT_StockHigh,1,COLUMN()))</f>
        <v/>
      </c>
      <c r="CB455" s="1952">
        <f>IF(INDEX(MO_SNA_IsHistoricalPeriod,1,COLUMN())=FALSE,0,INDEX(MO_SPT_StockHigh,1,COLUMN()))</f>
        <v/>
      </c>
      <c r="CC455" s="1953" t="n"/>
    </row>
    <row r="456" hidden="1" outlineLevel="1" ht="15" customFormat="1" customHeight="1" s="1945">
      <c r="A456" s="1946">
        <f>"Stock Low, "&amp;HP.TradeCurrency</f>
        <v/>
      </c>
      <c r="B456" s="1947" t="n"/>
      <c r="C456" s="1948">
        <f>IF(INDEX(MO_SNA_IsHistoricalPeriod,1,COLUMN())=FALSE,0,INDEX(MO_SPT_StockLow,1,COLUMN()))</f>
        <v/>
      </c>
      <c r="D456" s="1948">
        <f>IF(INDEX(MO_SNA_IsHistoricalPeriod,1,COLUMN())=FALSE,0,INDEX(MO_SPT_StockLow,1,COLUMN()))</f>
        <v/>
      </c>
      <c r="E456" s="1948">
        <f>IF(INDEX(MO_SNA_IsHistoricalPeriod,1,COLUMN())=FALSE,0,INDEX(MO_SPT_StockLow,1,COLUMN()))</f>
        <v/>
      </c>
      <c r="F456" s="1948">
        <f>IF(INDEX(MO_SNA_IsHistoricalPeriod,1,COLUMN())=FALSE,0,INDEX(MO_SPT_StockLow,1,COLUMN()))</f>
        <v/>
      </c>
      <c r="G456" s="1948">
        <f>IF(INDEX(MO_SNA_IsHistoricalPeriod,1,COLUMN())=FALSE,0,INDEX(MO_SPT_StockLow,1,COLUMN()))</f>
        <v/>
      </c>
      <c r="H456" s="1949">
        <f>IF(INDEX(MO_SNA_IsHistoricalPeriod,1,COLUMN())=FALSE,0,INDEX(MO_SPT_StockLow,1,COLUMN()))</f>
        <v/>
      </c>
      <c r="I456" s="1949">
        <f>IF(INDEX(MO_SNA_IsHistoricalPeriod,1,COLUMN())=FALSE,0,INDEX(MO_SPT_StockLow,1,COLUMN()))</f>
        <v/>
      </c>
      <c r="J456" s="1949">
        <f>IF(INDEX(MO_SNA_IsHistoricalPeriod,1,COLUMN())=FALSE,0,INDEX(MO_SPT_StockLow,1,COLUMN()))</f>
        <v/>
      </c>
      <c r="K456" s="1949">
        <f>IF(INDEX(MO_SNA_IsHistoricalPeriod,1,COLUMN())=FALSE,0,INDEX(MO_SPT_StockLow,1,COLUMN()))</f>
        <v/>
      </c>
      <c r="L456" s="1948">
        <f>IF(INDEX(MO_SNA_IsHistoricalPeriod,1,COLUMN())=FALSE,0,INDEX(MO_SPT_StockLow,1,COLUMN()))</f>
        <v/>
      </c>
      <c r="M456" s="1949">
        <f>IF(INDEX(MO_SNA_IsHistoricalPeriod,1,COLUMN())=FALSE,0,INDEX(MO_SPT_StockLow,1,COLUMN()))</f>
        <v/>
      </c>
      <c r="N456" s="1949">
        <f>IF(INDEX(MO_SNA_IsHistoricalPeriod,1,COLUMN())=FALSE,0,INDEX(MO_SPT_StockLow,1,COLUMN()))</f>
        <v/>
      </c>
      <c r="O456" s="1949">
        <f>IF(INDEX(MO_SNA_IsHistoricalPeriod,1,COLUMN())=FALSE,0,INDEX(MO_SPT_StockLow,1,COLUMN()))</f>
        <v/>
      </c>
      <c r="P456" s="1949">
        <f>IF(INDEX(MO_SNA_IsHistoricalPeriod,1,COLUMN())=FALSE,0,INDEX(MO_SPT_StockLow,1,COLUMN()))</f>
        <v/>
      </c>
      <c r="Q456" s="1948">
        <f>IF(INDEX(MO_SNA_IsHistoricalPeriod,1,COLUMN())=FALSE,0,INDEX(MO_SPT_StockLow,1,COLUMN()))</f>
        <v/>
      </c>
      <c r="R456" s="1949">
        <f>IF(INDEX(MO_SNA_IsHistoricalPeriod,1,COLUMN())=FALSE,0,INDEX(MO_SPT_StockLow,1,COLUMN()))</f>
        <v/>
      </c>
      <c r="S456" s="1949">
        <f>IF(INDEX(MO_SNA_IsHistoricalPeriod,1,COLUMN())=FALSE,0,INDEX(MO_SPT_StockLow,1,COLUMN()))</f>
        <v/>
      </c>
      <c r="T456" s="1949">
        <f>IF(INDEX(MO_SNA_IsHistoricalPeriod,1,COLUMN())=FALSE,0,INDEX(MO_SPT_StockLow,1,COLUMN()))</f>
        <v/>
      </c>
      <c r="U456" s="1949">
        <f>IF(INDEX(MO_SNA_IsHistoricalPeriod,1,COLUMN())=FALSE,0,INDEX(MO_SPT_StockLow,1,COLUMN()))</f>
        <v/>
      </c>
      <c r="V456" s="1948">
        <f>IF(INDEX(MO_SNA_IsHistoricalPeriod,1,COLUMN())=FALSE,0,INDEX(MO_SPT_StockLow,1,COLUMN()))</f>
        <v/>
      </c>
      <c r="W456" s="1949">
        <f>IF(INDEX(MO_SNA_IsHistoricalPeriod,1,COLUMN())=FALSE,0,INDEX(MO_SPT_StockLow,1,COLUMN()))</f>
        <v/>
      </c>
      <c r="X456" s="1949">
        <f>IF(INDEX(MO_SNA_IsHistoricalPeriod,1,COLUMN())=FALSE,0,INDEX(MO_SPT_StockLow,1,COLUMN()))</f>
        <v/>
      </c>
      <c r="Y456" s="1949">
        <f>IF(INDEX(MO_SNA_IsHistoricalPeriod,1,COLUMN())=FALSE,0,INDEX(MO_SPT_StockLow,1,COLUMN()))</f>
        <v/>
      </c>
      <c r="Z456" s="1949">
        <f>IF(INDEX(MO_SNA_IsHistoricalPeriod,1,COLUMN())=FALSE,0,INDEX(MO_SPT_StockLow,1,COLUMN()))</f>
        <v/>
      </c>
      <c r="AA456" s="1948">
        <f>IF(INDEX(MO_SNA_IsHistoricalPeriod,1,COLUMN())=FALSE,0,INDEX(MO_SPT_StockLow,1,COLUMN()))</f>
        <v/>
      </c>
      <c r="AB456" s="1949">
        <f>IF(INDEX(MO_SNA_IsHistoricalPeriod,1,COLUMN())=FALSE,0,INDEX(MO_SPT_StockLow,1,COLUMN()))</f>
        <v/>
      </c>
      <c r="AC456" s="1949">
        <f>IF(INDEX(MO_SNA_IsHistoricalPeriod,1,COLUMN())=FALSE,0,INDEX(MO_SPT_StockLow,1,COLUMN()))</f>
        <v/>
      </c>
      <c r="AD456" s="1949">
        <f>IF(INDEX(MO_SNA_IsHistoricalPeriod,1,COLUMN())=FALSE,0,INDEX(MO_SPT_StockLow,1,COLUMN()))</f>
        <v/>
      </c>
      <c r="AE456" s="1949">
        <f>IF(INDEX(MO_SNA_IsHistoricalPeriod,1,COLUMN())=FALSE,0,INDEX(MO_SPT_StockLow,1,COLUMN()))</f>
        <v/>
      </c>
      <c r="AF456" s="1948">
        <f>IF(INDEX(MO_SNA_IsHistoricalPeriod,1,COLUMN())=FALSE,0,INDEX(MO_SPT_StockLow,1,COLUMN()))</f>
        <v/>
      </c>
      <c r="AG456" s="1949">
        <f>IF(INDEX(MO_SNA_IsHistoricalPeriod,1,COLUMN())=FALSE,0,INDEX(MO_SPT_StockLow,1,COLUMN()))</f>
        <v/>
      </c>
      <c r="AH456" s="1949">
        <f>IF(INDEX(MO_SNA_IsHistoricalPeriod,1,COLUMN())=FALSE,0,INDEX(MO_SPT_StockLow,1,COLUMN()))</f>
        <v/>
      </c>
      <c r="AI456" s="1949">
        <f>IF(INDEX(MO_SNA_IsHistoricalPeriod,1,COLUMN())=FALSE,0,INDEX(MO_SPT_StockLow,1,COLUMN()))</f>
        <v/>
      </c>
      <c r="AJ456" s="1949">
        <f>IF(INDEX(MO_SNA_IsHistoricalPeriod,1,COLUMN())=FALSE,0,INDEX(MO_SPT_StockLow,1,COLUMN()))</f>
        <v/>
      </c>
      <c r="AK456" s="1948">
        <f>IF(INDEX(MO_SNA_IsHistoricalPeriod,1,COLUMN())=FALSE,0,INDEX(MO_SPT_StockLow,1,COLUMN()))</f>
        <v/>
      </c>
      <c r="AL456" s="1949">
        <f>IF(INDEX(MO_SNA_IsHistoricalPeriod,1,COLUMN())=FALSE,0,INDEX(MO_SPT_StockLow,1,COLUMN()))</f>
        <v/>
      </c>
      <c r="AM456" s="1949">
        <f>IF(INDEX(MO_SNA_IsHistoricalPeriod,1,COLUMN())=FALSE,0,INDEX(MO_SPT_StockLow,1,COLUMN()))</f>
        <v/>
      </c>
      <c r="AN456" s="1949">
        <f>IF(INDEX(MO_SNA_IsHistoricalPeriod,1,COLUMN())=FALSE,0,INDEX(MO_SPT_StockLow,1,COLUMN()))</f>
        <v/>
      </c>
      <c r="AO456" s="1949">
        <f>IF(INDEX(MO_SNA_IsHistoricalPeriod,1,COLUMN())=FALSE,0,INDEX(MO_SPT_StockLow,1,COLUMN()))</f>
        <v/>
      </c>
      <c r="AP456" s="1948">
        <f>IF(INDEX(MO_SNA_IsHistoricalPeriod,1,COLUMN())=FALSE,0,INDEX(MO_SPT_StockLow,1,COLUMN()))</f>
        <v/>
      </c>
      <c r="AQ456" s="1949">
        <f>IF(INDEX(MO_SNA_IsHistoricalPeriod,1,COLUMN())=FALSE,0,INDEX(MO_SPT_StockLow,1,COLUMN()))</f>
        <v/>
      </c>
      <c r="AR456" s="1949">
        <f>IF(INDEX(MO_SNA_IsHistoricalPeriod,1,COLUMN())=FALSE,0,INDEX(MO_SPT_StockLow,1,COLUMN()))</f>
        <v/>
      </c>
      <c r="AS456" s="1949">
        <f>IF(INDEX(MO_SNA_IsHistoricalPeriod,1,COLUMN())=FALSE,0,INDEX(MO_SPT_StockLow,1,COLUMN()))</f>
        <v/>
      </c>
      <c r="AT456" s="1949">
        <f>IF(INDEX(MO_SNA_IsHistoricalPeriod,1,COLUMN())=FALSE,0,INDEX(MO_SPT_StockLow,1,COLUMN()))</f>
        <v/>
      </c>
      <c r="AU456" s="1948">
        <f>IF(INDEX(MO_SNA_IsHistoricalPeriod,1,COLUMN())=FALSE,0,INDEX(MO_SPT_StockLow,1,COLUMN()))</f>
        <v/>
      </c>
      <c r="AV456" s="1949">
        <f>IF(INDEX(MO_SNA_IsHistoricalPeriod,1,COLUMN())=FALSE,0,INDEX(MO_SPT_StockLow,1,COLUMN()))</f>
        <v/>
      </c>
      <c r="AW456" s="1949">
        <f>IF(INDEX(MO_SNA_IsHistoricalPeriod,1,COLUMN())=FALSE,0,INDEX(MO_SPT_StockLow,1,COLUMN()))</f>
        <v/>
      </c>
      <c r="AX456" s="1949">
        <f>IF(INDEX(MO_SNA_IsHistoricalPeriod,1,COLUMN())=FALSE,0,INDEX(MO_SPT_StockLow,1,COLUMN()))</f>
        <v/>
      </c>
      <c r="AY456" s="1949">
        <f>IF(INDEX(MO_SNA_IsHistoricalPeriod,1,COLUMN())=FALSE,0,INDEX(MO_SPT_StockLow,1,COLUMN()))</f>
        <v/>
      </c>
      <c r="AZ456" s="1948">
        <f>IF(INDEX(MO_SNA_IsHistoricalPeriod,1,COLUMN())=FALSE,0,INDEX(MO_SPT_StockLow,1,COLUMN()))</f>
        <v/>
      </c>
      <c r="BA456" s="1949">
        <f>IF(INDEX(MO_SNA_IsHistoricalPeriod,1,COLUMN())=FALSE,0,INDEX(MO_SPT_StockLow,1,COLUMN()))</f>
        <v/>
      </c>
      <c r="BB456" s="1949">
        <f>IF(INDEX(MO_SNA_IsHistoricalPeriod,1,COLUMN())=FALSE,0,INDEX(MO_SPT_StockLow,1,COLUMN()))</f>
        <v/>
      </c>
      <c r="BC456" s="1949">
        <f>IF(INDEX(MO_SNA_IsHistoricalPeriod,1,COLUMN())=FALSE,0,INDEX(MO_SPT_StockLow,1,COLUMN()))</f>
        <v/>
      </c>
      <c r="BD456" s="1949">
        <f>IF(INDEX(MO_SNA_IsHistoricalPeriod,1,COLUMN())=FALSE,0,INDEX(MO_SPT_StockLow,1,COLUMN()))</f>
        <v/>
      </c>
      <c r="BE456" s="1948">
        <f>IF(INDEX(MO_SNA_IsHistoricalPeriod,1,COLUMN())=FALSE,0,INDEX(MO_SPT_StockLow,1,COLUMN()))</f>
        <v/>
      </c>
      <c r="BF456" s="1949">
        <f>IF(INDEX(MO_SNA_IsHistoricalPeriod,1,COLUMN())=FALSE,0,INDEX(MO_SPT_StockLow,1,COLUMN()))</f>
        <v/>
      </c>
      <c r="BG456" s="1949">
        <f>IF(INDEX(MO_SNA_IsHistoricalPeriod,1,COLUMN())=FALSE,0,INDEX(MO_SPT_StockLow,1,COLUMN()))</f>
        <v/>
      </c>
      <c r="BH456" s="1949">
        <f>IF(INDEX(MO_SNA_IsHistoricalPeriod,1,COLUMN())=FALSE,0,INDEX(MO_SPT_StockLow,1,COLUMN()))</f>
        <v/>
      </c>
      <c r="BI456" s="1949">
        <f>IF(INDEX(MO_SNA_IsHistoricalPeriod,1,COLUMN())=FALSE,0,INDEX(MO_SPT_StockLow,1,COLUMN()))</f>
        <v/>
      </c>
      <c r="BJ456" s="1948">
        <f>IF(INDEX(MO_SNA_IsHistoricalPeriod,1,COLUMN())=FALSE,0,INDEX(MO_SPT_StockLow,1,COLUMN()))</f>
        <v/>
      </c>
      <c r="BK456" s="1949">
        <f>IF(INDEX(MO_SNA_IsHistoricalPeriod,1,COLUMN())=FALSE,0,INDEX(MO_SPT_StockLow,1,COLUMN()))</f>
        <v/>
      </c>
      <c r="BL456" s="1949">
        <f>IF(INDEX(MO_SNA_IsHistoricalPeriod,1,COLUMN())=FALSE,0,INDEX(MO_SPT_StockLow,1,COLUMN()))</f>
        <v/>
      </c>
      <c r="BM456" s="1949">
        <f>IF(INDEX(MO_SNA_IsHistoricalPeriod,1,COLUMN())=FALSE,0,INDEX(MO_SPT_StockLow,1,COLUMN()))</f>
        <v/>
      </c>
      <c r="BN456" s="1949">
        <f>IF(INDEX(MO_SNA_IsHistoricalPeriod,1,COLUMN())=FALSE,0,INDEX(MO_SPT_StockLow,1,COLUMN()))</f>
        <v/>
      </c>
      <c r="BO456" s="1950">
        <f>IF(INDEX(MO_SNA_IsHistoricalPeriod,1,COLUMN())=FALSE,0,INDEX(MO_SPT_StockLow,1,COLUMN()))</f>
        <v/>
      </c>
      <c r="BP456" s="1951">
        <f>IF(INDEX(MO_SNA_IsHistoricalPeriod,1,COLUMN())=FALSE,0,INDEX(MO_SPT_StockLow,1,COLUMN()))</f>
        <v/>
      </c>
      <c r="BQ456" s="1951">
        <f>IF(INDEX(MO_SNA_IsHistoricalPeriod,1,COLUMN())=FALSE,0,INDEX(MO_SPT_StockLow,1,COLUMN()))</f>
        <v/>
      </c>
      <c r="BR456" s="1951">
        <f>IF(INDEX(MO_SNA_IsHistoricalPeriod,1,COLUMN())=FALSE,0,INDEX(MO_SPT_StockLow,1,COLUMN()))</f>
        <v/>
      </c>
      <c r="BS456" s="1951">
        <f>IF(INDEX(MO_SNA_IsHistoricalPeriod,1,COLUMN())=FALSE,0,INDEX(MO_SPT_StockLow,1,COLUMN()))</f>
        <v/>
      </c>
      <c r="BT456" s="1952">
        <f>IF(INDEX(MO_SNA_IsHistoricalPeriod,1,COLUMN())=FALSE,0,INDEX(MO_SPT_StockLow,1,COLUMN()))</f>
        <v/>
      </c>
      <c r="BU456" s="1951">
        <f>IF(INDEX(MO_SNA_IsHistoricalPeriod,1,COLUMN())=FALSE,0,INDEX(MO_SPT_StockLow,1,COLUMN()))</f>
        <v/>
      </c>
      <c r="BV456" s="1951">
        <f>IF(INDEX(MO_SNA_IsHistoricalPeriod,1,COLUMN())=FALSE,0,INDEX(MO_SPT_StockLow,1,COLUMN()))</f>
        <v/>
      </c>
      <c r="BW456" s="1951">
        <f>IF(INDEX(MO_SNA_IsHistoricalPeriod,1,COLUMN())=FALSE,0,INDEX(MO_SPT_StockLow,1,COLUMN()))</f>
        <v/>
      </c>
      <c r="BX456" s="1951">
        <f>IF(INDEX(MO_SNA_IsHistoricalPeriod,1,COLUMN())=FALSE,0,INDEX(MO_SPT_StockLow,1,COLUMN()))</f>
        <v/>
      </c>
      <c r="BY456" s="1952">
        <f>IF(INDEX(MO_SNA_IsHistoricalPeriod,1,COLUMN())=FALSE,0,INDEX(MO_SPT_StockLow,1,COLUMN()))</f>
        <v/>
      </c>
      <c r="BZ456" s="1952">
        <f>IF(INDEX(MO_SNA_IsHistoricalPeriod,1,COLUMN())=FALSE,0,INDEX(MO_SPT_StockLow,1,COLUMN()))</f>
        <v/>
      </c>
      <c r="CA456" s="1952">
        <f>IF(INDEX(MO_SNA_IsHistoricalPeriod,1,COLUMN())=FALSE,0,INDEX(MO_SPT_StockLow,1,COLUMN()))</f>
        <v/>
      </c>
      <c r="CB456" s="1952">
        <f>IF(INDEX(MO_SNA_IsHistoricalPeriod,1,COLUMN())=FALSE,0,INDEX(MO_SPT_StockLow,1,COLUMN()))</f>
        <v/>
      </c>
      <c r="CC456" s="1953" t="n"/>
    </row>
    <row r="457" hidden="1" outlineLevel="1" ht="15" customFormat="1" customHeight="1" s="1945">
      <c r="A457" s="1946">
        <f>"Stock Average, "&amp;HP.TradeCurrency</f>
        <v/>
      </c>
      <c r="B457" s="1947" t="n"/>
      <c r="C457" s="1948">
        <f>IF(INDEX(MO_SNA_IsHistoricalPeriod,1,COLUMN())=FALSE,0,INDEX(MO_SPT_StockAverage,1,COLUMN()))</f>
        <v/>
      </c>
      <c r="D457" s="1948">
        <f>IF(INDEX(MO_SNA_IsHistoricalPeriod,1,COLUMN())=FALSE,0,INDEX(MO_SPT_StockAverage,1,COLUMN()))</f>
        <v/>
      </c>
      <c r="E457" s="1948">
        <f>IF(INDEX(MO_SNA_IsHistoricalPeriod,1,COLUMN())=FALSE,0,INDEX(MO_SPT_StockAverage,1,COLUMN()))</f>
        <v/>
      </c>
      <c r="F457" s="1948">
        <f>IF(INDEX(MO_SNA_IsHistoricalPeriod,1,COLUMN())=FALSE,0,INDEX(MO_SPT_StockAverage,1,COLUMN()))</f>
        <v/>
      </c>
      <c r="G457" s="1948">
        <f>IF(INDEX(MO_SNA_IsHistoricalPeriod,1,COLUMN())=FALSE,0,INDEX(MO_SPT_StockAverage,1,COLUMN()))</f>
        <v/>
      </c>
      <c r="H457" s="1949">
        <f>IF(INDEX(MO_SNA_IsHistoricalPeriod,1,COLUMN())=FALSE,0,INDEX(MO_SPT_StockAverage,1,COLUMN()))</f>
        <v/>
      </c>
      <c r="I457" s="1949">
        <f>IF(INDEX(MO_SNA_IsHistoricalPeriod,1,COLUMN())=FALSE,0,INDEX(MO_SPT_StockAverage,1,COLUMN()))</f>
        <v/>
      </c>
      <c r="J457" s="1949">
        <f>IF(INDEX(MO_SNA_IsHistoricalPeriod,1,COLUMN())=FALSE,0,INDEX(MO_SPT_StockAverage,1,COLUMN()))</f>
        <v/>
      </c>
      <c r="K457" s="1949">
        <f>IF(INDEX(MO_SNA_IsHistoricalPeriod,1,COLUMN())=FALSE,0,INDEX(MO_SPT_StockAverage,1,COLUMN()))</f>
        <v/>
      </c>
      <c r="L457" s="1948">
        <f>IF(INDEX(MO_SNA_IsHistoricalPeriod,1,COLUMN())=FALSE,0,INDEX(MO_SPT_StockAverage,1,COLUMN()))</f>
        <v/>
      </c>
      <c r="M457" s="1949">
        <f>IF(INDEX(MO_SNA_IsHistoricalPeriod,1,COLUMN())=FALSE,0,INDEX(MO_SPT_StockAverage,1,COLUMN()))</f>
        <v/>
      </c>
      <c r="N457" s="1949">
        <f>IF(INDEX(MO_SNA_IsHistoricalPeriod,1,COLUMN())=FALSE,0,INDEX(MO_SPT_StockAverage,1,COLUMN()))</f>
        <v/>
      </c>
      <c r="O457" s="1949">
        <f>IF(INDEX(MO_SNA_IsHistoricalPeriod,1,COLUMN())=FALSE,0,INDEX(MO_SPT_StockAverage,1,COLUMN()))</f>
        <v/>
      </c>
      <c r="P457" s="1949">
        <f>IF(INDEX(MO_SNA_IsHistoricalPeriod,1,COLUMN())=FALSE,0,INDEX(MO_SPT_StockAverage,1,COLUMN()))</f>
        <v/>
      </c>
      <c r="Q457" s="1948">
        <f>IF(INDEX(MO_SNA_IsHistoricalPeriod,1,COLUMN())=FALSE,0,INDEX(MO_SPT_StockAverage,1,COLUMN()))</f>
        <v/>
      </c>
      <c r="R457" s="1949">
        <f>IF(INDEX(MO_SNA_IsHistoricalPeriod,1,COLUMN())=FALSE,0,INDEX(MO_SPT_StockAverage,1,COLUMN()))</f>
        <v/>
      </c>
      <c r="S457" s="1949">
        <f>IF(INDEX(MO_SNA_IsHistoricalPeriod,1,COLUMN())=FALSE,0,INDEX(MO_SPT_StockAverage,1,COLUMN()))</f>
        <v/>
      </c>
      <c r="T457" s="1949">
        <f>IF(INDEX(MO_SNA_IsHistoricalPeriod,1,COLUMN())=FALSE,0,INDEX(MO_SPT_StockAverage,1,COLUMN()))</f>
        <v/>
      </c>
      <c r="U457" s="1949">
        <f>IF(INDEX(MO_SNA_IsHistoricalPeriod,1,COLUMN())=FALSE,0,INDEX(MO_SPT_StockAverage,1,COLUMN()))</f>
        <v/>
      </c>
      <c r="V457" s="1948">
        <f>IF(INDEX(MO_SNA_IsHistoricalPeriod,1,COLUMN())=FALSE,0,INDEX(MO_SPT_StockAverage,1,COLUMN()))</f>
        <v/>
      </c>
      <c r="W457" s="1949">
        <f>IF(INDEX(MO_SNA_IsHistoricalPeriod,1,COLUMN())=FALSE,0,INDEX(MO_SPT_StockAverage,1,COLUMN()))</f>
        <v/>
      </c>
      <c r="X457" s="1949">
        <f>IF(INDEX(MO_SNA_IsHistoricalPeriod,1,COLUMN())=FALSE,0,INDEX(MO_SPT_StockAverage,1,COLUMN()))</f>
        <v/>
      </c>
      <c r="Y457" s="1949">
        <f>IF(INDEX(MO_SNA_IsHistoricalPeriod,1,COLUMN())=FALSE,0,INDEX(MO_SPT_StockAverage,1,COLUMN()))</f>
        <v/>
      </c>
      <c r="Z457" s="1949">
        <f>IF(INDEX(MO_SNA_IsHistoricalPeriod,1,COLUMN())=FALSE,0,INDEX(MO_SPT_StockAverage,1,COLUMN()))</f>
        <v/>
      </c>
      <c r="AA457" s="1948">
        <f>IF(INDEX(MO_SNA_IsHistoricalPeriod,1,COLUMN())=FALSE,0,INDEX(MO_SPT_StockAverage,1,COLUMN()))</f>
        <v/>
      </c>
      <c r="AB457" s="1949">
        <f>IF(INDEX(MO_SNA_IsHistoricalPeriod,1,COLUMN())=FALSE,0,INDEX(MO_SPT_StockAverage,1,COLUMN()))</f>
        <v/>
      </c>
      <c r="AC457" s="1949">
        <f>IF(INDEX(MO_SNA_IsHistoricalPeriod,1,COLUMN())=FALSE,0,INDEX(MO_SPT_StockAverage,1,COLUMN()))</f>
        <v/>
      </c>
      <c r="AD457" s="1949">
        <f>IF(INDEX(MO_SNA_IsHistoricalPeriod,1,COLUMN())=FALSE,0,INDEX(MO_SPT_StockAverage,1,COLUMN()))</f>
        <v/>
      </c>
      <c r="AE457" s="1949">
        <f>IF(INDEX(MO_SNA_IsHistoricalPeriod,1,COLUMN())=FALSE,0,INDEX(MO_SPT_StockAverage,1,COLUMN()))</f>
        <v/>
      </c>
      <c r="AF457" s="1948">
        <f>IF(INDEX(MO_SNA_IsHistoricalPeriod,1,COLUMN())=FALSE,0,INDEX(MO_SPT_StockAverage,1,COLUMN()))</f>
        <v/>
      </c>
      <c r="AG457" s="1949">
        <f>IF(INDEX(MO_SNA_IsHistoricalPeriod,1,COLUMN())=FALSE,0,INDEX(MO_SPT_StockAverage,1,COLUMN()))</f>
        <v/>
      </c>
      <c r="AH457" s="1949">
        <f>IF(INDEX(MO_SNA_IsHistoricalPeriod,1,COLUMN())=FALSE,0,INDEX(MO_SPT_StockAverage,1,COLUMN()))</f>
        <v/>
      </c>
      <c r="AI457" s="1949">
        <f>IF(INDEX(MO_SNA_IsHistoricalPeriod,1,COLUMN())=FALSE,0,INDEX(MO_SPT_StockAverage,1,COLUMN()))</f>
        <v/>
      </c>
      <c r="AJ457" s="1949">
        <f>IF(INDEX(MO_SNA_IsHistoricalPeriod,1,COLUMN())=FALSE,0,INDEX(MO_SPT_StockAverage,1,COLUMN()))</f>
        <v/>
      </c>
      <c r="AK457" s="1948">
        <f>IF(INDEX(MO_SNA_IsHistoricalPeriod,1,COLUMN())=FALSE,0,INDEX(MO_SPT_StockAverage,1,COLUMN()))</f>
        <v/>
      </c>
      <c r="AL457" s="1949">
        <f>IF(INDEX(MO_SNA_IsHistoricalPeriod,1,COLUMN())=FALSE,0,INDEX(MO_SPT_StockAverage,1,COLUMN()))</f>
        <v/>
      </c>
      <c r="AM457" s="1949">
        <f>IF(INDEX(MO_SNA_IsHistoricalPeriod,1,COLUMN())=FALSE,0,INDEX(MO_SPT_StockAverage,1,COLUMN()))</f>
        <v/>
      </c>
      <c r="AN457" s="1949">
        <f>IF(INDEX(MO_SNA_IsHistoricalPeriod,1,COLUMN())=FALSE,0,INDEX(MO_SPT_StockAverage,1,COLUMN()))</f>
        <v/>
      </c>
      <c r="AO457" s="1949">
        <f>IF(INDEX(MO_SNA_IsHistoricalPeriod,1,COLUMN())=FALSE,0,INDEX(MO_SPT_StockAverage,1,COLUMN()))</f>
        <v/>
      </c>
      <c r="AP457" s="1948">
        <f>IF(INDEX(MO_SNA_IsHistoricalPeriod,1,COLUMN())=FALSE,0,INDEX(MO_SPT_StockAverage,1,COLUMN()))</f>
        <v/>
      </c>
      <c r="AQ457" s="1949">
        <f>IF(INDEX(MO_SNA_IsHistoricalPeriod,1,COLUMN())=FALSE,0,INDEX(MO_SPT_StockAverage,1,COLUMN()))</f>
        <v/>
      </c>
      <c r="AR457" s="1949">
        <f>IF(INDEX(MO_SNA_IsHistoricalPeriod,1,COLUMN())=FALSE,0,INDEX(MO_SPT_StockAverage,1,COLUMN()))</f>
        <v/>
      </c>
      <c r="AS457" s="1949">
        <f>IF(INDEX(MO_SNA_IsHistoricalPeriod,1,COLUMN())=FALSE,0,INDEX(MO_SPT_StockAverage,1,COLUMN()))</f>
        <v/>
      </c>
      <c r="AT457" s="1949">
        <f>IF(INDEX(MO_SNA_IsHistoricalPeriod,1,COLUMN())=FALSE,0,INDEX(MO_SPT_StockAverage,1,COLUMN()))</f>
        <v/>
      </c>
      <c r="AU457" s="1948">
        <f>IF(INDEX(MO_SNA_IsHistoricalPeriod,1,COLUMN())=FALSE,0,INDEX(MO_SPT_StockAverage,1,COLUMN()))</f>
        <v/>
      </c>
      <c r="AV457" s="1949">
        <f>IF(INDEX(MO_SNA_IsHistoricalPeriod,1,COLUMN())=FALSE,0,INDEX(MO_SPT_StockAverage,1,COLUMN()))</f>
        <v/>
      </c>
      <c r="AW457" s="1949">
        <f>IF(INDEX(MO_SNA_IsHistoricalPeriod,1,COLUMN())=FALSE,0,INDEX(MO_SPT_StockAverage,1,COLUMN()))</f>
        <v/>
      </c>
      <c r="AX457" s="1949">
        <f>IF(INDEX(MO_SNA_IsHistoricalPeriod,1,COLUMN())=FALSE,0,INDEX(MO_SPT_StockAverage,1,COLUMN()))</f>
        <v/>
      </c>
      <c r="AY457" s="1949">
        <f>IF(INDEX(MO_SNA_IsHistoricalPeriod,1,COLUMN())=FALSE,0,INDEX(MO_SPT_StockAverage,1,COLUMN()))</f>
        <v/>
      </c>
      <c r="AZ457" s="1948">
        <f>IF(INDEX(MO_SNA_IsHistoricalPeriod,1,COLUMN())=FALSE,0,INDEX(MO_SPT_StockAverage,1,COLUMN()))</f>
        <v/>
      </c>
      <c r="BA457" s="1949">
        <f>IF(INDEX(MO_SNA_IsHistoricalPeriod,1,COLUMN())=FALSE,0,INDEX(MO_SPT_StockAverage,1,COLUMN()))</f>
        <v/>
      </c>
      <c r="BB457" s="1949">
        <f>IF(INDEX(MO_SNA_IsHistoricalPeriod,1,COLUMN())=FALSE,0,INDEX(MO_SPT_StockAverage,1,COLUMN()))</f>
        <v/>
      </c>
      <c r="BC457" s="1949">
        <f>IF(INDEX(MO_SNA_IsHistoricalPeriod,1,COLUMN())=FALSE,0,INDEX(MO_SPT_StockAverage,1,COLUMN()))</f>
        <v/>
      </c>
      <c r="BD457" s="1949">
        <f>IF(INDEX(MO_SNA_IsHistoricalPeriod,1,COLUMN())=FALSE,0,INDEX(MO_SPT_StockAverage,1,COLUMN()))</f>
        <v/>
      </c>
      <c r="BE457" s="1948">
        <f>IF(INDEX(MO_SNA_IsHistoricalPeriod,1,COLUMN())=FALSE,0,INDEX(MO_SPT_StockAverage,1,COLUMN()))</f>
        <v/>
      </c>
      <c r="BF457" s="1949">
        <f>IF(INDEX(MO_SNA_IsHistoricalPeriod,1,COLUMN())=FALSE,0,INDEX(MO_SPT_StockAverage,1,COLUMN()))</f>
        <v/>
      </c>
      <c r="BG457" s="1949">
        <f>IF(INDEX(MO_SNA_IsHistoricalPeriod,1,COLUMN())=FALSE,0,INDEX(MO_SPT_StockAverage,1,COLUMN()))</f>
        <v/>
      </c>
      <c r="BH457" s="1949">
        <f>IF(INDEX(MO_SNA_IsHistoricalPeriod,1,COLUMN())=FALSE,0,INDEX(MO_SPT_StockAverage,1,COLUMN()))</f>
        <v/>
      </c>
      <c r="BI457" s="1949">
        <f>IF(INDEX(MO_SNA_IsHistoricalPeriod,1,COLUMN())=FALSE,0,INDEX(MO_SPT_StockAverage,1,COLUMN()))</f>
        <v/>
      </c>
      <c r="BJ457" s="1948">
        <f>IF(INDEX(MO_SNA_IsHistoricalPeriod,1,COLUMN())=FALSE,0,INDEX(MO_SPT_StockAverage,1,COLUMN()))</f>
        <v/>
      </c>
      <c r="BK457" s="1949">
        <f>IF(INDEX(MO_SNA_IsHistoricalPeriod,1,COLUMN())=FALSE,0,INDEX(MO_SPT_StockAverage,1,COLUMN()))</f>
        <v/>
      </c>
      <c r="BL457" s="1949">
        <f>IF(INDEX(MO_SNA_IsHistoricalPeriod,1,COLUMN())=FALSE,0,INDEX(MO_SPT_StockAverage,1,COLUMN()))</f>
        <v/>
      </c>
      <c r="BM457" s="1949">
        <f>IF(INDEX(MO_SNA_IsHistoricalPeriod,1,COLUMN())=FALSE,0,INDEX(MO_SPT_StockAverage,1,COLUMN()))</f>
        <v/>
      </c>
      <c r="BN457" s="1949">
        <f>IF(INDEX(MO_SNA_IsHistoricalPeriod,1,COLUMN())=FALSE,0,INDEX(MO_SPT_StockAverage,1,COLUMN()))</f>
        <v/>
      </c>
      <c r="BO457" s="1950">
        <f>IF(INDEX(MO_SNA_IsHistoricalPeriod,1,COLUMN())=FALSE,0,INDEX(MO_SPT_StockAverage,1,COLUMN()))</f>
        <v/>
      </c>
      <c r="BP457" s="1951">
        <f>IF(INDEX(MO_SNA_IsHistoricalPeriod,1,COLUMN())=FALSE,0,INDEX(MO_SPT_StockAverage,1,COLUMN()))</f>
        <v/>
      </c>
      <c r="BQ457" s="1951">
        <f>IF(INDEX(MO_SNA_IsHistoricalPeriod,1,COLUMN())=FALSE,0,INDEX(MO_SPT_StockAverage,1,COLUMN()))</f>
        <v/>
      </c>
      <c r="BR457" s="1951">
        <f>IF(INDEX(MO_SNA_IsHistoricalPeriod,1,COLUMN())=FALSE,0,INDEX(MO_SPT_StockAverage,1,COLUMN()))</f>
        <v/>
      </c>
      <c r="BS457" s="1951">
        <f>IF(INDEX(MO_SNA_IsHistoricalPeriod,1,COLUMN())=FALSE,0,INDEX(MO_SPT_StockAverage,1,COLUMN()))</f>
        <v/>
      </c>
      <c r="BT457" s="1952">
        <f>IF(INDEX(MO_SNA_IsHistoricalPeriod,1,COLUMN())=FALSE,0,INDEX(MO_SPT_StockAverage,1,COLUMN()))</f>
        <v/>
      </c>
      <c r="BU457" s="1951">
        <f>IF(INDEX(MO_SNA_IsHistoricalPeriod,1,COLUMN())=FALSE,0,INDEX(MO_SPT_StockAverage,1,COLUMN()))</f>
        <v/>
      </c>
      <c r="BV457" s="1951">
        <f>IF(INDEX(MO_SNA_IsHistoricalPeriod,1,COLUMN())=FALSE,0,INDEX(MO_SPT_StockAverage,1,COLUMN()))</f>
        <v/>
      </c>
      <c r="BW457" s="1951">
        <f>IF(INDEX(MO_SNA_IsHistoricalPeriod,1,COLUMN())=FALSE,0,INDEX(MO_SPT_StockAverage,1,COLUMN()))</f>
        <v/>
      </c>
      <c r="BX457" s="1951">
        <f>IF(INDEX(MO_SNA_IsHistoricalPeriod,1,COLUMN())=FALSE,0,INDEX(MO_SPT_StockAverage,1,COLUMN()))</f>
        <v/>
      </c>
      <c r="BY457" s="1952">
        <f>IF(INDEX(MO_SNA_IsHistoricalPeriod,1,COLUMN())=FALSE,0,INDEX(MO_SPT_StockAverage,1,COLUMN()))</f>
        <v/>
      </c>
      <c r="BZ457" s="1952">
        <f>IF(INDEX(MO_SNA_IsHistoricalPeriod,1,COLUMN())=FALSE,0,INDEX(MO_SPT_StockAverage,1,COLUMN()))</f>
        <v/>
      </c>
      <c r="CA457" s="1952">
        <f>IF(INDEX(MO_SNA_IsHistoricalPeriod,1,COLUMN())=FALSE,0,INDEX(MO_SPT_StockAverage,1,COLUMN()))</f>
        <v/>
      </c>
      <c r="CB457" s="1952">
        <f>IF(INDEX(MO_SNA_IsHistoricalPeriod,1,COLUMN())=FALSE,0,INDEX(MO_SPT_StockAverage,1,COLUMN()))</f>
        <v/>
      </c>
      <c r="CC457" s="1953" t="n"/>
    </row>
    <row r="458" hidden="1" outlineLevel="1" ht="15" customFormat="1" customHeight="1" s="1945">
      <c r="A458" s="1946">
        <f>"Stock EoP, "&amp;HP.TradeCurrency</f>
        <v/>
      </c>
      <c r="B458" s="1947" t="n"/>
      <c r="C458" s="1948">
        <f>IF(INDEX(MO_SNA_IsHistoricalPeriod,1,COLUMN())=FALSE,MO.LastPrice,INDEX(MO_SPT_StockEoP,1,COLUMN()))</f>
        <v/>
      </c>
      <c r="D458" s="1948">
        <f>IF(INDEX(MO_SNA_IsHistoricalPeriod,1,COLUMN())=FALSE,MO.LastPrice,INDEX(MO_SPT_StockEoP,1,COLUMN()))</f>
        <v/>
      </c>
      <c r="E458" s="1948">
        <f>IF(INDEX(MO_SNA_IsHistoricalPeriod,1,COLUMN())=FALSE,MO.LastPrice,INDEX(MO_SPT_StockEoP,1,COLUMN()))</f>
        <v/>
      </c>
      <c r="F458" s="1948">
        <f>IF(INDEX(MO_SNA_IsHistoricalPeriod,1,COLUMN())=FALSE,MO.LastPrice,INDEX(MO_SPT_StockEoP,1,COLUMN()))</f>
        <v/>
      </c>
      <c r="G458" s="1948">
        <f>IF(INDEX(MO_SNA_IsHistoricalPeriod,1,COLUMN())=FALSE,MO.LastPrice,INDEX(MO_SPT_StockEoP,1,COLUMN()))</f>
        <v/>
      </c>
      <c r="H458" s="1949">
        <f>IF(INDEX(MO_SNA_IsHistoricalPeriod,1,COLUMN())=FALSE,MO.LastPrice,INDEX(MO_SPT_StockEoP,1,COLUMN()))</f>
        <v/>
      </c>
      <c r="I458" s="1949">
        <f>IF(INDEX(MO_SNA_IsHistoricalPeriod,1,COLUMN())=FALSE,MO.LastPrice,INDEX(MO_SPT_StockEoP,1,COLUMN()))</f>
        <v/>
      </c>
      <c r="J458" s="1949">
        <f>IF(INDEX(MO_SNA_IsHistoricalPeriod,1,COLUMN())=FALSE,MO.LastPrice,INDEX(MO_SPT_StockEoP,1,COLUMN()))</f>
        <v/>
      </c>
      <c r="K458" s="1949">
        <f>IF(INDEX(MO_SNA_IsHistoricalPeriod,1,COLUMN())=FALSE,MO.LastPrice,INDEX(MO_SPT_StockEoP,1,COLUMN()))</f>
        <v/>
      </c>
      <c r="L458" s="1948">
        <f>IF(INDEX(MO_SNA_IsHistoricalPeriod,1,COLUMN())=FALSE,MO.LastPrice,INDEX(MO_SPT_StockEoP,1,COLUMN()))</f>
        <v/>
      </c>
      <c r="M458" s="1949">
        <f>IF(INDEX(MO_SNA_IsHistoricalPeriod,1,COLUMN())=FALSE,MO.LastPrice,INDEX(MO_SPT_StockEoP,1,COLUMN()))</f>
        <v/>
      </c>
      <c r="N458" s="1949">
        <f>IF(INDEX(MO_SNA_IsHistoricalPeriod,1,COLUMN())=FALSE,MO.LastPrice,INDEX(MO_SPT_StockEoP,1,COLUMN()))</f>
        <v/>
      </c>
      <c r="O458" s="1949">
        <f>IF(INDEX(MO_SNA_IsHistoricalPeriod,1,COLUMN())=FALSE,MO.LastPrice,INDEX(MO_SPT_StockEoP,1,COLUMN()))</f>
        <v/>
      </c>
      <c r="P458" s="1949">
        <f>IF(INDEX(MO_SNA_IsHistoricalPeriod,1,COLUMN())=FALSE,MO.LastPrice,INDEX(MO_SPT_StockEoP,1,COLUMN()))</f>
        <v/>
      </c>
      <c r="Q458" s="1948">
        <f>IF(INDEX(MO_SNA_IsHistoricalPeriod,1,COLUMN())=FALSE,MO.LastPrice,INDEX(MO_SPT_StockEoP,1,COLUMN()))</f>
        <v/>
      </c>
      <c r="R458" s="1949">
        <f>IF(INDEX(MO_SNA_IsHistoricalPeriod,1,COLUMN())=FALSE,MO.LastPrice,INDEX(MO_SPT_StockEoP,1,COLUMN()))</f>
        <v/>
      </c>
      <c r="S458" s="1949">
        <f>IF(INDEX(MO_SNA_IsHistoricalPeriod,1,COLUMN())=FALSE,MO.LastPrice,INDEX(MO_SPT_StockEoP,1,COLUMN()))</f>
        <v/>
      </c>
      <c r="T458" s="1949">
        <f>IF(INDEX(MO_SNA_IsHistoricalPeriod,1,COLUMN())=FALSE,MO.LastPrice,INDEX(MO_SPT_StockEoP,1,COLUMN()))</f>
        <v/>
      </c>
      <c r="U458" s="1949">
        <f>IF(INDEX(MO_SNA_IsHistoricalPeriod,1,COLUMN())=FALSE,MO.LastPrice,INDEX(MO_SPT_StockEoP,1,COLUMN()))</f>
        <v/>
      </c>
      <c r="V458" s="1948">
        <f>IF(INDEX(MO_SNA_IsHistoricalPeriod,1,COLUMN())=FALSE,MO.LastPrice,INDEX(MO_SPT_StockEoP,1,COLUMN()))</f>
        <v/>
      </c>
      <c r="W458" s="1949">
        <f>IF(INDEX(MO_SNA_IsHistoricalPeriod,1,COLUMN())=FALSE,MO.LastPrice,INDEX(MO_SPT_StockEoP,1,COLUMN()))</f>
        <v/>
      </c>
      <c r="X458" s="1949">
        <f>IF(INDEX(MO_SNA_IsHistoricalPeriod,1,COLUMN())=FALSE,MO.LastPrice,INDEX(MO_SPT_StockEoP,1,COLUMN()))</f>
        <v/>
      </c>
      <c r="Y458" s="1949">
        <f>IF(INDEX(MO_SNA_IsHistoricalPeriod,1,COLUMN())=FALSE,MO.LastPrice,INDEX(MO_SPT_StockEoP,1,COLUMN()))</f>
        <v/>
      </c>
      <c r="Z458" s="1949">
        <f>IF(INDEX(MO_SNA_IsHistoricalPeriod,1,COLUMN())=FALSE,MO.LastPrice,INDEX(MO_SPT_StockEoP,1,COLUMN()))</f>
        <v/>
      </c>
      <c r="AA458" s="1948">
        <f>IF(INDEX(MO_SNA_IsHistoricalPeriod,1,COLUMN())=FALSE,MO.LastPrice,INDEX(MO_SPT_StockEoP,1,COLUMN()))</f>
        <v/>
      </c>
      <c r="AB458" s="1949">
        <f>IF(INDEX(MO_SNA_IsHistoricalPeriod,1,COLUMN())=FALSE,MO.LastPrice,INDEX(MO_SPT_StockEoP,1,COLUMN()))</f>
        <v/>
      </c>
      <c r="AC458" s="1949">
        <f>IF(INDEX(MO_SNA_IsHistoricalPeriod,1,COLUMN())=FALSE,MO.LastPrice,INDEX(MO_SPT_StockEoP,1,COLUMN()))</f>
        <v/>
      </c>
      <c r="AD458" s="1949">
        <f>IF(INDEX(MO_SNA_IsHistoricalPeriod,1,COLUMN())=FALSE,MO.LastPrice,INDEX(MO_SPT_StockEoP,1,COLUMN()))</f>
        <v/>
      </c>
      <c r="AE458" s="1949">
        <f>IF(INDEX(MO_SNA_IsHistoricalPeriod,1,COLUMN())=FALSE,MO.LastPrice,INDEX(MO_SPT_StockEoP,1,COLUMN()))</f>
        <v/>
      </c>
      <c r="AF458" s="1948">
        <f>IF(INDEX(MO_SNA_IsHistoricalPeriod,1,COLUMN())=FALSE,MO.LastPrice,INDEX(MO_SPT_StockEoP,1,COLUMN()))</f>
        <v/>
      </c>
      <c r="AG458" s="1949">
        <f>IF(INDEX(MO_SNA_IsHistoricalPeriod,1,COLUMN())=FALSE,MO.LastPrice,INDEX(MO_SPT_StockEoP,1,COLUMN()))</f>
        <v/>
      </c>
      <c r="AH458" s="1949">
        <f>IF(INDEX(MO_SNA_IsHistoricalPeriod,1,COLUMN())=FALSE,MO.LastPrice,INDEX(MO_SPT_StockEoP,1,COLUMN()))</f>
        <v/>
      </c>
      <c r="AI458" s="1949">
        <f>IF(INDEX(MO_SNA_IsHistoricalPeriod,1,COLUMN())=FALSE,MO.LastPrice,INDEX(MO_SPT_StockEoP,1,COLUMN()))</f>
        <v/>
      </c>
      <c r="AJ458" s="1949">
        <f>IF(INDEX(MO_SNA_IsHistoricalPeriod,1,COLUMN())=FALSE,MO.LastPrice,INDEX(MO_SPT_StockEoP,1,COLUMN()))</f>
        <v/>
      </c>
      <c r="AK458" s="1948">
        <f>IF(INDEX(MO_SNA_IsHistoricalPeriod,1,COLUMN())=FALSE,MO.LastPrice,INDEX(MO_SPT_StockEoP,1,COLUMN()))</f>
        <v/>
      </c>
      <c r="AL458" s="1949">
        <f>IF(INDEX(MO_SNA_IsHistoricalPeriod,1,COLUMN())=FALSE,MO.LastPrice,INDEX(MO_SPT_StockEoP,1,COLUMN()))</f>
        <v/>
      </c>
      <c r="AM458" s="1949">
        <f>IF(INDEX(MO_SNA_IsHistoricalPeriod,1,COLUMN())=FALSE,MO.LastPrice,INDEX(MO_SPT_StockEoP,1,COLUMN()))</f>
        <v/>
      </c>
      <c r="AN458" s="1949">
        <f>IF(INDEX(MO_SNA_IsHistoricalPeriod,1,COLUMN())=FALSE,MO.LastPrice,INDEX(MO_SPT_StockEoP,1,COLUMN()))</f>
        <v/>
      </c>
      <c r="AO458" s="1949">
        <f>IF(INDEX(MO_SNA_IsHistoricalPeriod,1,COLUMN())=FALSE,MO.LastPrice,INDEX(MO_SPT_StockEoP,1,COLUMN()))</f>
        <v/>
      </c>
      <c r="AP458" s="1948">
        <f>IF(INDEX(MO_SNA_IsHistoricalPeriod,1,COLUMN())=FALSE,MO.LastPrice,INDEX(MO_SPT_StockEoP,1,COLUMN()))</f>
        <v/>
      </c>
      <c r="AQ458" s="1949">
        <f>IF(INDEX(MO_SNA_IsHistoricalPeriod,1,COLUMN())=FALSE,MO.LastPrice,INDEX(MO_SPT_StockEoP,1,COLUMN()))</f>
        <v/>
      </c>
      <c r="AR458" s="1949">
        <f>IF(INDEX(MO_SNA_IsHistoricalPeriod,1,COLUMN())=FALSE,MO.LastPrice,INDEX(MO_SPT_StockEoP,1,COLUMN()))</f>
        <v/>
      </c>
      <c r="AS458" s="1949">
        <f>IF(INDEX(MO_SNA_IsHistoricalPeriod,1,COLUMN())=FALSE,MO.LastPrice,INDEX(MO_SPT_StockEoP,1,COLUMN()))</f>
        <v/>
      </c>
      <c r="AT458" s="1949">
        <f>IF(INDEX(MO_SNA_IsHistoricalPeriod,1,COLUMN())=FALSE,MO.LastPrice,INDEX(MO_SPT_StockEoP,1,COLUMN()))</f>
        <v/>
      </c>
      <c r="AU458" s="1948">
        <f>IF(INDEX(MO_SNA_IsHistoricalPeriod,1,COLUMN())=FALSE,MO.LastPrice,INDEX(MO_SPT_StockEoP,1,COLUMN()))</f>
        <v/>
      </c>
      <c r="AV458" s="1949">
        <f>IF(INDEX(MO_SNA_IsHistoricalPeriod,1,COLUMN())=FALSE,MO.LastPrice,INDEX(MO_SPT_StockEoP,1,COLUMN()))</f>
        <v/>
      </c>
      <c r="AW458" s="1949">
        <f>IF(INDEX(MO_SNA_IsHistoricalPeriod,1,COLUMN())=FALSE,MO.LastPrice,INDEX(MO_SPT_StockEoP,1,COLUMN()))</f>
        <v/>
      </c>
      <c r="AX458" s="1949">
        <f>IF(INDEX(MO_SNA_IsHistoricalPeriod,1,COLUMN())=FALSE,MO.LastPrice,INDEX(MO_SPT_StockEoP,1,COLUMN()))</f>
        <v/>
      </c>
      <c r="AY458" s="1949">
        <f>IF(INDEX(MO_SNA_IsHistoricalPeriod,1,COLUMN())=FALSE,MO.LastPrice,INDEX(MO_SPT_StockEoP,1,COLUMN()))</f>
        <v/>
      </c>
      <c r="AZ458" s="1948">
        <f>IF(INDEX(MO_SNA_IsHistoricalPeriod,1,COLUMN())=FALSE,MO.LastPrice,INDEX(MO_SPT_StockEoP,1,COLUMN()))</f>
        <v/>
      </c>
      <c r="BA458" s="1949">
        <f>IF(INDEX(MO_SNA_IsHistoricalPeriod,1,COLUMN())=FALSE,MO.LastPrice,INDEX(MO_SPT_StockEoP,1,COLUMN()))</f>
        <v/>
      </c>
      <c r="BB458" s="1949">
        <f>IF(INDEX(MO_SNA_IsHistoricalPeriod,1,COLUMN())=FALSE,MO.LastPrice,INDEX(MO_SPT_StockEoP,1,COLUMN()))</f>
        <v/>
      </c>
      <c r="BC458" s="1949">
        <f>IF(INDEX(MO_SNA_IsHistoricalPeriod,1,COLUMN())=FALSE,MO.LastPrice,INDEX(MO_SPT_StockEoP,1,COLUMN()))</f>
        <v/>
      </c>
      <c r="BD458" s="1949">
        <f>IF(INDEX(MO_SNA_IsHistoricalPeriod,1,COLUMN())=FALSE,MO.LastPrice,INDEX(MO_SPT_StockEoP,1,COLUMN()))</f>
        <v/>
      </c>
      <c r="BE458" s="1948">
        <f>IF(INDEX(MO_SNA_IsHistoricalPeriod,1,COLUMN())=FALSE,MO.LastPrice,INDEX(MO_SPT_StockEoP,1,COLUMN()))</f>
        <v/>
      </c>
      <c r="BF458" s="1949">
        <f>IF(INDEX(MO_SNA_IsHistoricalPeriod,1,COLUMN())=FALSE,MO.LastPrice,INDEX(MO_SPT_StockEoP,1,COLUMN()))</f>
        <v/>
      </c>
      <c r="BG458" s="1949">
        <f>IF(INDEX(MO_SNA_IsHistoricalPeriod,1,COLUMN())=FALSE,MO.LastPrice,INDEX(MO_SPT_StockEoP,1,COLUMN()))</f>
        <v/>
      </c>
      <c r="BH458" s="1949">
        <f>IF(INDEX(MO_SNA_IsHistoricalPeriod,1,COLUMN())=FALSE,MO.LastPrice,INDEX(MO_SPT_StockEoP,1,COLUMN()))</f>
        <v/>
      </c>
      <c r="BI458" s="1949">
        <f>IF(INDEX(MO_SNA_IsHistoricalPeriod,1,COLUMN())=FALSE,MO.LastPrice,INDEX(MO_SPT_StockEoP,1,COLUMN()))</f>
        <v/>
      </c>
      <c r="BJ458" s="1948">
        <f>IF(INDEX(MO_SNA_IsHistoricalPeriod,1,COLUMN())=FALSE,MO.LastPrice,INDEX(MO_SPT_StockEoP,1,COLUMN()))</f>
        <v/>
      </c>
      <c r="BK458" s="1949">
        <f>IF(INDEX(MO_SNA_IsHistoricalPeriod,1,COLUMN())=FALSE,MO.LastPrice,INDEX(MO_SPT_StockEoP,1,COLUMN()))</f>
        <v/>
      </c>
      <c r="BL458" s="1949">
        <f>IF(INDEX(MO_SNA_IsHistoricalPeriod,1,COLUMN())=FALSE,MO.LastPrice,INDEX(MO_SPT_StockEoP,1,COLUMN()))</f>
        <v/>
      </c>
      <c r="BM458" s="1949">
        <f>IF(INDEX(MO_SNA_IsHistoricalPeriod,1,COLUMN())=FALSE,MO.LastPrice,INDEX(MO_SPT_StockEoP,1,COLUMN()))</f>
        <v/>
      </c>
      <c r="BN458" s="1949">
        <f>IF(INDEX(MO_SNA_IsHistoricalPeriod,1,COLUMN())=FALSE,MO.LastPrice,INDEX(MO_SPT_StockEoP,1,COLUMN()))</f>
        <v/>
      </c>
      <c r="BO458" s="1950">
        <f>IF(INDEX(MO_SNA_IsHistoricalPeriod,1,COLUMN())=FALSE,MO.LastPrice,INDEX(MO_SPT_StockEoP,1,COLUMN()))</f>
        <v/>
      </c>
      <c r="BP458" s="1951">
        <f>IF(INDEX(MO_SNA_IsHistoricalPeriod,1,COLUMN())=FALSE,MO.LastPrice,INDEX(MO_SPT_StockEoP,1,COLUMN()))</f>
        <v/>
      </c>
      <c r="BQ458" s="1951">
        <f>IF(INDEX(MO_SNA_IsHistoricalPeriod,1,COLUMN())=FALSE,MO.LastPrice,INDEX(MO_SPT_StockEoP,1,COLUMN()))</f>
        <v/>
      </c>
      <c r="BR458" s="1951">
        <f>IF(INDEX(MO_SNA_IsHistoricalPeriod,1,COLUMN())=FALSE,MO.LastPrice,INDEX(MO_SPT_StockEoP,1,COLUMN()))</f>
        <v/>
      </c>
      <c r="BS458" s="1951">
        <f>IF(INDEX(MO_SNA_IsHistoricalPeriod,1,COLUMN())=FALSE,MO.LastPrice,INDEX(MO_SPT_StockEoP,1,COLUMN()))</f>
        <v/>
      </c>
      <c r="BT458" s="1952">
        <f>IF(INDEX(MO_SNA_IsHistoricalPeriod,1,COLUMN())=FALSE,MO.LastPrice,INDEX(MO_SPT_StockEoP,1,COLUMN()))</f>
        <v/>
      </c>
      <c r="BU458" s="1951">
        <f>IF(INDEX(MO_SNA_IsHistoricalPeriod,1,COLUMN())=FALSE,MO.LastPrice,INDEX(MO_SPT_StockEoP,1,COLUMN()))</f>
        <v/>
      </c>
      <c r="BV458" s="1951">
        <f>IF(INDEX(MO_SNA_IsHistoricalPeriod,1,COLUMN())=FALSE,MO.LastPrice,INDEX(MO_SPT_StockEoP,1,COLUMN()))</f>
        <v/>
      </c>
      <c r="BW458" s="1951">
        <f>IF(INDEX(MO_SNA_IsHistoricalPeriod,1,COLUMN())=FALSE,MO.LastPrice,INDEX(MO_SPT_StockEoP,1,COLUMN()))</f>
        <v/>
      </c>
      <c r="BX458" s="1951">
        <f>IF(INDEX(MO_SNA_IsHistoricalPeriod,1,COLUMN())=FALSE,MO.LastPrice,INDEX(MO_SPT_StockEoP,1,COLUMN()))</f>
        <v/>
      </c>
      <c r="BY458" s="1952">
        <f>IF(INDEX(MO_SNA_IsHistoricalPeriod,1,COLUMN())=FALSE,MO.LastPrice,INDEX(MO_SPT_StockEoP,1,COLUMN()))</f>
        <v/>
      </c>
      <c r="BZ458" s="1952">
        <f>IF(INDEX(MO_SNA_IsHistoricalPeriod,1,COLUMN())=FALSE,MO.LastPrice,INDEX(MO_SPT_StockEoP,1,COLUMN()))</f>
        <v/>
      </c>
      <c r="CA458" s="1952">
        <f>IF(INDEX(MO_SNA_IsHistoricalPeriod,1,COLUMN())=FALSE,MO.LastPrice,INDEX(MO_SPT_StockEoP,1,COLUMN()))</f>
        <v/>
      </c>
      <c r="CB458" s="1952">
        <f>IF(INDEX(MO_SNA_IsHistoricalPeriod,1,COLUMN())=FALSE,MO.LastPrice,INDEX(MO_SPT_StockEoP,1,COLUMN()))</f>
        <v/>
      </c>
      <c r="CC458" s="1953" t="n"/>
    </row>
    <row r="459" hidden="1" outlineLevel="1" ht="15" customFormat="1" customHeight="1" s="1954">
      <c r="A459" s="1955">
        <f>"Average FX Rate, "&amp;HP.TradeCurrency&amp;"/"&amp;MO.ReportCurrency</f>
        <v/>
      </c>
      <c r="B459" s="1956" t="n"/>
      <c r="C459" s="1957">
        <f>IF(INDEX(MO_SPT_FXAverage,1,COLUMN())=0,1,INDEX(MO_SPT_FXAverage,1,COLUMN()))</f>
        <v/>
      </c>
      <c r="D459" s="1957">
        <f>IF(INDEX(MO_SPT_FXAverage,1,COLUMN())=0,1,INDEX(MO_SPT_FXAverage,1,COLUMN()))</f>
        <v/>
      </c>
      <c r="E459" s="1957">
        <f>IF(INDEX(MO_SPT_FXAverage,1,COLUMN())=0,1,INDEX(MO_SPT_FXAverage,1,COLUMN()))</f>
        <v/>
      </c>
      <c r="F459" s="1957">
        <f>IF(INDEX(MO_SPT_FXAverage,1,COLUMN())=0,1,INDEX(MO_SPT_FXAverage,1,COLUMN()))</f>
        <v/>
      </c>
      <c r="G459" s="1957">
        <f>IF(INDEX(MO_SPT_FXAverage,1,COLUMN())=0,1,INDEX(MO_SPT_FXAverage,1,COLUMN()))</f>
        <v/>
      </c>
      <c r="H459" s="1958">
        <f>IF(INDEX(MO_SPT_FXAverage,1,COLUMN())=0,1,INDEX(MO_SPT_FXAverage,1,COLUMN()))</f>
        <v/>
      </c>
      <c r="I459" s="1958">
        <f>IF(INDEX(MO_SPT_FXAverage,1,COLUMN())=0,1,INDEX(MO_SPT_FXAverage,1,COLUMN()))</f>
        <v/>
      </c>
      <c r="J459" s="1958">
        <f>IF(INDEX(MO_SPT_FXAverage,1,COLUMN())=0,1,INDEX(MO_SPT_FXAverage,1,COLUMN()))</f>
        <v/>
      </c>
      <c r="K459" s="1958">
        <f>IF(INDEX(MO_SPT_FXAverage,1,COLUMN())=0,1,INDEX(MO_SPT_FXAverage,1,COLUMN()))</f>
        <v/>
      </c>
      <c r="L459" s="1957">
        <f>IF(INDEX(MO_SPT_FXAverage,1,COLUMN())=0,1,INDEX(MO_SPT_FXAverage,1,COLUMN()))</f>
        <v/>
      </c>
      <c r="M459" s="1958">
        <f>IF(INDEX(MO_SPT_FXAverage,1,COLUMN())=0,1,INDEX(MO_SPT_FXAverage,1,COLUMN()))</f>
        <v/>
      </c>
      <c r="N459" s="1958">
        <f>IF(INDEX(MO_SPT_FXAverage,1,COLUMN())=0,1,INDEX(MO_SPT_FXAverage,1,COLUMN()))</f>
        <v/>
      </c>
      <c r="O459" s="1958">
        <f>IF(INDEX(MO_SPT_FXAverage,1,COLUMN())=0,1,INDEX(MO_SPT_FXAverage,1,COLUMN()))</f>
        <v/>
      </c>
      <c r="P459" s="1958">
        <f>IF(INDEX(MO_SPT_FXAverage,1,COLUMN())=0,1,INDEX(MO_SPT_FXAverage,1,COLUMN()))</f>
        <v/>
      </c>
      <c r="Q459" s="1957">
        <f>IF(INDEX(MO_SPT_FXAverage,1,COLUMN())=0,1,INDEX(MO_SPT_FXAverage,1,COLUMN()))</f>
        <v/>
      </c>
      <c r="R459" s="1958">
        <f>IF(INDEX(MO_SPT_FXAverage,1,COLUMN())=0,1,INDEX(MO_SPT_FXAverage,1,COLUMN()))</f>
        <v/>
      </c>
      <c r="S459" s="1958">
        <f>IF(INDEX(MO_SPT_FXAverage,1,COLUMN())=0,1,INDEX(MO_SPT_FXAverage,1,COLUMN()))</f>
        <v/>
      </c>
      <c r="T459" s="1958">
        <f>IF(INDEX(MO_SPT_FXAverage,1,COLUMN())=0,1,INDEX(MO_SPT_FXAverage,1,COLUMN()))</f>
        <v/>
      </c>
      <c r="U459" s="1958">
        <f>IF(INDEX(MO_SPT_FXAverage,1,COLUMN())=0,1,INDEX(MO_SPT_FXAverage,1,COLUMN()))</f>
        <v/>
      </c>
      <c r="V459" s="1957">
        <f>IF(INDEX(MO_SPT_FXAverage,1,COLUMN())=0,1,INDEX(MO_SPT_FXAverage,1,COLUMN()))</f>
        <v/>
      </c>
      <c r="W459" s="1958">
        <f>IF(INDEX(MO_SPT_FXAverage,1,COLUMN())=0,1,INDEX(MO_SPT_FXAverage,1,COLUMN()))</f>
        <v/>
      </c>
      <c r="X459" s="1958">
        <f>IF(INDEX(MO_SPT_FXAverage,1,COLUMN())=0,1,INDEX(MO_SPT_FXAverage,1,COLUMN()))</f>
        <v/>
      </c>
      <c r="Y459" s="1958">
        <f>IF(INDEX(MO_SPT_FXAverage,1,COLUMN())=0,1,INDEX(MO_SPT_FXAverage,1,COLUMN()))</f>
        <v/>
      </c>
      <c r="Z459" s="1958">
        <f>IF(INDEX(MO_SPT_FXAverage,1,COLUMN())=0,1,INDEX(MO_SPT_FXAverage,1,COLUMN()))</f>
        <v/>
      </c>
      <c r="AA459" s="1957">
        <f>IF(INDEX(MO_SPT_FXAverage,1,COLUMN())=0,1,INDEX(MO_SPT_FXAverage,1,COLUMN()))</f>
        <v/>
      </c>
      <c r="AB459" s="1958">
        <f>IF(INDEX(MO_SPT_FXAverage,1,COLUMN())=0,1,INDEX(MO_SPT_FXAverage,1,COLUMN()))</f>
        <v/>
      </c>
      <c r="AC459" s="1958">
        <f>IF(INDEX(MO_SPT_FXAverage,1,COLUMN())=0,1,INDEX(MO_SPT_FXAverage,1,COLUMN()))</f>
        <v/>
      </c>
      <c r="AD459" s="1958">
        <f>IF(INDEX(MO_SPT_FXAverage,1,COLUMN())=0,1,INDEX(MO_SPT_FXAverage,1,COLUMN()))</f>
        <v/>
      </c>
      <c r="AE459" s="1958">
        <f>IF(INDEX(MO_SPT_FXAverage,1,COLUMN())=0,1,INDEX(MO_SPT_FXAverage,1,COLUMN()))</f>
        <v/>
      </c>
      <c r="AF459" s="1957">
        <f>IF(INDEX(MO_SPT_FXAverage,1,COLUMN())=0,1,INDEX(MO_SPT_FXAverage,1,COLUMN()))</f>
        <v/>
      </c>
      <c r="AG459" s="1958">
        <f>IF(INDEX(MO_SPT_FXAverage,1,COLUMN())=0,1,INDEX(MO_SPT_FXAverage,1,COLUMN()))</f>
        <v/>
      </c>
      <c r="AH459" s="1958">
        <f>IF(INDEX(MO_SPT_FXAverage,1,COLUMN())=0,1,INDEX(MO_SPT_FXAverage,1,COLUMN()))</f>
        <v/>
      </c>
      <c r="AI459" s="1958">
        <f>IF(INDEX(MO_SPT_FXAverage,1,COLUMN())=0,1,INDEX(MO_SPT_FXAverage,1,COLUMN()))</f>
        <v/>
      </c>
      <c r="AJ459" s="1958">
        <f>IF(INDEX(MO_SPT_FXAverage,1,COLUMN())=0,1,INDEX(MO_SPT_FXAverage,1,COLUMN()))</f>
        <v/>
      </c>
      <c r="AK459" s="1957">
        <f>IF(INDEX(MO_SPT_FXAverage,1,COLUMN())=0,1,INDEX(MO_SPT_FXAverage,1,COLUMN()))</f>
        <v/>
      </c>
      <c r="AL459" s="1958">
        <f>IF(INDEX(MO_SPT_FXAverage,1,COLUMN())=0,1,INDEX(MO_SPT_FXAverage,1,COLUMN()))</f>
        <v/>
      </c>
      <c r="AM459" s="1958">
        <f>IF(INDEX(MO_SPT_FXAverage,1,COLUMN())=0,1,INDEX(MO_SPT_FXAverage,1,COLUMN()))</f>
        <v/>
      </c>
      <c r="AN459" s="1958">
        <f>IF(INDEX(MO_SPT_FXAverage,1,COLUMN())=0,1,INDEX(MO_SPT_FXAverage,1,COLUMN()))</f>
        <v/>
      </c>
      <c r="AO459" s="1958">
        <f>IF(INDEX(MO_SPT_FXAverage,1,COLUMN())=0,1,INDEX(MO_SPT_FXAverage,1,COLUMN()))</f>
        <v/>
      </c>
      <c r="AP459" s="1957">
        <f>IF(INDEX(MO_SPT_FXAverage,1,COLUMN())=0,1,INDEX(MO_SPT_FXAverage,1,COLUMN()))</f>
        <v/>
      </c>
      <c r="AQ459" s="1958">
        <f>IF(INDEX(MO_SPT_FXAverage,1,COLUMN())=0,1,INDEX(MO_SPT_FXAverage,1,COLUMN()))</f>
        <v/>
      </c>
      <c r="AR459" s="1958">
        <f>IF(INDEX(MO_SPT_FXAverage,1,COLUMN())=0,1,INDEX(MO_SPT_FXAverage,1,COLUMN()))</f>
        <v/>
      </c>
      <c r="AS459" s="1958">
        <f>IF(INDEX(MO_SPT_FXAverage,1,COLUMN())=0,1,INDEX(MO_SPT_FXAverage,1,COLUMN()))</f>
        <v/>
      </c>
      <c r="AT459" s="1958">
        <f>IF(INDEX(MO_SPT_FXAverage,1,COLUMN())=0,1,INDEX(MO_SPT_FXAverage,1,COLUMN()))</f>
        <v/>
      </c>
      <c r="AU459" s="1957">
        <f>IF(INDEX(MO_SPT_FXAverage,1,COLUMN())=0,1,INDEX(MO_SPT_FXAverage,1,COLUMN()))</f>
        <v/>
      </c>
      <c r="AV459" s="1958">
        <f>IF(INDEX(MO_SPT_FXAverage,1,COLUMN())=0,1,INDEX(MO_SPT_FXAverage,1,COLUMN()))</f>
        <v/>
      </c>
      <c r="AW459" s="1958">
        <f>IF(INDEX(MO_SPT_FXAverage,1,COLUMN())=0,1,INDEX(MO_SPT_FXAverage,1,COLUMN()))</f>
        <v/>
      </c>
      <c r="AX459" s="1958">
        <f>IF(INDEX(MO_SPT_FXAverage,1,COLUMN())=0,1,INDEX(MO_SPT_FXAverage,1,COLUMN()))</f>
        <v/>
      </c>
      <c r="AY459" s="1958">
        <f>IF(INDEX(MO_SPT_FXAverage,1,COLUMN())=0,1,INDEX(MO_SPT_FXAverage,1,COLUMN()))</f>
        <v/>
      </c>
      <c r="AZ459" s="1957">
        <f>IF(INDEX(MO_SPT_FXAverage,1,COLUMN())=0,1,INDEX(MO_SPT_FXAverage,1,COLUMN()))</f>
        <v/>
      </c>
      <c r="BA459" s="1958">
        <f>IF(INDEX(MO_SPT_FXAverage,1,COLUMN())=0,1,INDEX(MO_SPT_FXAverage,1,COLUMN()))</f>
        <v/>
      </c>
      <c r="BB459" s="1958">
        <f>IF(INDEX(MO_SPT_FXAverage,1,COLUMN())=0,1,INDEX(MO_SPT_FXAverage,1,COLUMN()))</f>
        <v/>
      </c>
      <c r="BC459" s="1958">
        <f>IF(INDEX(MO_SPT_FXAverage,1,COLUMN())=0,1,INDEX(MO_SPT_FXAverage,1,COLUMN()))</f>
        <v/>
      </c>
      <c r="BD459" s="1958">
        <f>IF(INDEX(MO_SPT_FXAverage,1,COLUMN())=0,1,INDEX(MO_SPT_FXAverage,1,COLUMN()))</f>
        <v/>
      </c>
      <c r="BE459" s="1957">
        <f>IF(INDEX(MO_SPT_FXAverage,1,COLUMN())=0,1,INDEX(MO_SPT_FXAverage,1,COLUMN()))</f>
        <v/>
      </c>
      <c r="BF459" s="1958">
        <f>IF(INDEX(MO_SPT_FXAverage,1,COLUMN())=0,1,INDEX(MO_SPT_FXAverage,1,COLUMN()))</f>
        <v/>
      </c>
      <c r="BG459" s="1958">
        <f>IF(INDEX(MO_SPT_FXAverage,1,COLUMN())=0,1,INDEX(MO_SPT_FXAverage,1,COLUMN()))</f>
        <v/>
      </c>
      <c r="BH459" s="1958">
        <f>IF(INDEX(MO_SPT_FXAverage,1,COLUMN())=0,1,INDEX(MO_SPT_FXAverage,1,COLUMN()))</f>
        <v/>
      </c>
      <c r="BI459" s="1958">
        <f>IF(INDEX(MO_SPT_FXAverage,1,COLUMN())=0,1,INDEX(MO_SPT_FXAverage,1,COLUMN()))</f>
        <v/>
      </c>
      <c r="BJ459" s="1957">
        <f>IF(INDEX(MO_SPT_FXAverage,1,COLUMN())=0,1,INDEX(MO_SPT_FXAverage,1,COLUMN()))</f>
        <v/>
      </c>
      <c r="BK459" s="1958">
        <f>IF(INDEX(MO_SPT_FXAverage,1,COLUMN())=0,1,INDEX(MO_SPT_FXAverage,1,COLUMN()))</f>
        <v/>
      </c>
      <c r="BL459" s="1958">
        <f>IF(INDEX(MO_SPT_FXAverage,1,COLUMN())=0,1,INDEX(MO_SPT_FXAverage,1,COLUMN()))</f>
        <v/>
      </c>
      <c r="BM459" s="1958">
        <f>IF(INDEX(MO_SPT_FXAverage,1,COLUMN())=0,1,INDEX(MO_SPT_FXAverage,1,COLUMN()))</f>
        <v/>
      </c>
      <c r="BN459" s="1958">
        <f>IF(INDEX(MO_SPT_FXAverage,1,COLUMN())=0,1,INDEX(MO_SPT_FXAverage,1,COLUMN()))</f>
        <v/>
      </c>
      <c r="BO459" s="1959">
        <f>IF(INDEX(MO_SPT_FXAverage,1,COLUMN())=0,1,INDEX(MO_SPT_FXAverage,1,COLUMN()))</f>
        <v/>
      </c>
      <c r="BP459" s="1960">
        <f>IF(INDEX(MO_SPT_FXAverage,1,COLUMN())=0,1,INDEX(MO_SPT_FXAverage,1,COLUMN()))</f>
        <v/>
      </c>
      <c r="BQ459" s="1960">
        <f>IF(INDEX(MO_SPT_FXAverage,1,COLUMN())=0,1,INDEX(MO_SPT_FXAverage,1,COLUMN()))</f>
        <v/>
      </c>
      <c r="BR459" s="1960">
        <f>IF(INDEX(MO_SPT_FXAverage,1,COLUMN())=0,1,INDEX(MO_SPT_FXAverage,1,COLUMN()))</f>
        <v/>
      </c>
      <c r="BS459" s="1960">
        <f>IF(INDEX(MO_SPT_FXAverage,1,COLUMN())=0,1,INDEX(MO_SPT_FXAverage,1,COLUMN()))</f>
        <v/>
      </c>
      <c r="BT459" s="1961">
        <f>IF(INDEX(MO_SPT_FXAverage,1,COLUMN())=0,1,INDEX(MO_SPT_FXAverage,1,COLUMN()))</f>
        <v/>
      </c>
      <c r="BU459" s="1960">
        <f>IF(INDEX(MO_SPT_FXAverage,1,COLUMN())=0,1,INDEX(MO_SPT_FXAverage,1,COLUMN()))</f>
        <v/>
      </c>
      <c r="BV459" s="1960">
        <f>IF(INDEX(MO_SPT_FXAverage,1,COLUMN())=0,1,INDEX(MO_SPT_FXAverage,1,COLUMN()))</f>
        <v/>
      </c>
      <c r="BW459" s="1960">
        <f>IF(INDEX(MO_SPT_FXAverage,1,COLUMN())=0,1,INDEX(MO_SPT_FXAverage,1,COLUMN()))</f>
        <v/>
      </c>
      <c r="BX459" s="1960">
        <f>IF(INDEX(MO_SPT_FXAverage,1,COLUMN())=0,1,INDEX(MO_SPT_FXAverage,1,COLUMN()))</f>
        <v/>
      </c>
      <c r="BY459" s="1961">
        <f>IF(INDEX(MO_SPT_FXAverage,1,COLUMN())=0,1,INDEX(MO_SPT_FXAverage,1,COLUMN()))</f>
        <v/>
      </c>
      <c r="BZ459" s="1961">
        <f>IF(INDEX(MO_SPT_FXAverage,1,COLUMN())=0,1,INDEX(MO_SPT_FXAverage,1,COLUMN()))</f>
        <v/>
      </c>
      <c r="CA459" s="1961">
        <f>IF(INDEX(MO_SPT_FXAverage,1,COLUMN())=0,1,INDEX(MO_SPT_FXAverage,1,COLUMN()))</f>
        <v/>
      </c>
      <c r="CB459" s="1961">
        <f>IF(INDEX(MO_SPT_FXAverage,1,COLUMN())=0,1,INDEX(MO_SPT_FXAverage,1,COLUMN()))</f>
        <v/>
      </c>
      <c r="CC459" s="1962" t="n"/>
    </row>
    <row r="460" hidden="1" outlineLevel="1" ht="15" customFormat="1" customHeight="1" s="1954">
      <c r="A460" s="1955">
        <f>"EoP FX Rate, "&amp;HP.TradeCurrency&amp;"/"&amp;MO.ReportCurrency</f>
        <v/>
      </c>
      <c r="B460" s="1956" t="n"/>
      <c r="C460" s="1957">
        <f>IF(INDEX(MO_SNA_IsHistoricalPeriod,1,COLUMN())=FALSE,HP.MRFX,INDEX(MO_SPT_FXEoP,1,COLUMN()))</f>
        <v/>
      </c>
      <c r="D460" s="1957">
        <f>IF(INDEX(MO_SNA_IsHistoricalPeriod,1,COLUMN())=FALSE,HP.MRFX,INDEX(MO_SPT_FXEoP,1,COLUMN()))</f>
        <v/>
      </c>
      <c r="E460" s="1957">
        <f>IF(INDEX(MO_SNA_IsHistoricalPeriod,1,COLUMN())=FALSE,HP.MRFX,INDEX(MO_SPT_FXEoP,1,COLUMN()))</f>
        <v/>
      </c>
      <c r="F460" s="1957">
        <f>IF(INDEX(MO_SNA_IsHistoricalPeriod,1,COLUMN())=FALSE,HP.MRFX,INDEX(MO_SPT_FXEoP,1,COLUMN()))</f>
        <v/>
      </c>
      <c r="G460" s="1957">
        <f>IF(INDEX(MO_SNA_IsHistoricalPeriod,1,COLUMN())=FALSE,HP.MRFX,INDEX(MO_SPT_FXEoP,1,COLUMN()))</f>
        <v/>
      </c>
      <c r="H460" s="1958">
        <f>IF(INDEX(MO_SNA_IsHistoricalPeriod,1,COLUMN())=FALSE,HP.MRFX,INDEX(MO_SPT_FXEoP,1,COLUMN()))</f>
        <v/>
      </c>
      <c r="I460" s="1958">
        <f>IF(INDEX(MO_SNA_IsHistoricalPeriod,1,COLUMN())=FALSE,HP.MRFX,INDEX(MO_SPT_FXEoP,1,COLUMN()))</f>
        <v/>
      </c>
      <c r="J460" s="1958">
        <f>IF(INDEX(MO_SNA_IsHistoricalPeriod,1,COLUMN())=FALSE,HP.MRFX,INDEX(MO_SPT_FXEoP,1,COLUMN()))</f>
        <v/>
      </c>
      <c r="K460" s="1958">
        <f>IF(INDEX(MO_SNA_IsHistoricalPeriod,1,COLUMN())=FALSE,HP.MRFX,INDEX(MO_SPT_FXEoP,1,COLUMN()))</f>
        <v/>
      </c>
      <c r="L460" s="1957">
        <f>IF(INDEX(MO_SNA_IsHistoricalPeriod,1,COLUMN())=FALSE,HP.MRFX,INDEX(MO_SPT_FXEoP,1,COLUMN()))</f>
        <v/>
      </c>
      <c r="M460" s="1958">
        <f>IF(INDEX(MO_SNA_IsHistoricalPeriod,1,COLUMN())=FALSE,HP.MRFX,INDEX(MO_SPT_FXEoP,1,COLUMN()))</f>
        <v/>
      </c>
      <c r="N460" s="1958">
        <f>IF(INDEX(MO_SNA_IsHistoricalPeriod,1,COLUMN())=FALSE,HP.MRFX,INDEX(MO_SPT_FXEoP,1,COLUMN()))</f>
        <v/>
      </c>
      <c r="O460" s="1958">
        <f>IF(INDEX(MO_SNA_IsHistoricalPeriod,1,COLUMN())=FALSE,HP.MRFX,INDEX(MO_SPT_FXEoP,1,COLUMN()))</f>
        <v/>
      </c>
      <c r="P460" s="1958">
        <f>IF(INDEX(MO_SNA_IsHistoricalPeriod,1,COLUMN())=FALSE,HP.MRFX,INDEX(MO_SPT_FXEoP,1,COLUMN()))</f>
        <v/>
      </c>
      <c r="Q460" s="1957">
        <f>IF(INDEX(MO_SNA_IsHistoricalPeriod,1,COLUMN())=FALSE,HP.MRFX,INDEX(MO_SPT_FXEoP,1,COLUMN()))</f>
        <v/>
      </c>
      <c r="R460" s="1958">
        <f>IF(INDEX(MO_SNA_IsHistoricalPeriod,1,COLUMN())=FALSE,HP.MRFX,INDEX(MO_SPT_FXEoP,1,COLUMN()))</f>
        <v/>
      </c>
      <c r="S460" s="1958">
        <f>IF(INDEX(MO_SNA_IsHistoricalPeriod,1,COLUMN())=FALSE,HP.MRFX,INDEX(MO_SPT_FXEoP,1,COLUMN()))</f>
        <v/>
      </c>
      <c r="T460" s="1958">
        <f>IF(INDEX(MO_SNA_IsHistoricalPeriod,1,COLUMN())=FALSE,HP.MRFX,INDEX(MO_SPT_FXEoP,1,COLUMN()))</f>
        <v/>
      </c>
      <c r="U460" s="1958">
        <f>IF(INDEX(MO_SNA_IsHistoricalPeriod,1,COLUMN())=FALSE,HP.MRFX,INDEX(MO_SPT_FXEoP,1,COLUMN()))</f>
        <v/>
      </c>
      <c r="V460" s="1957">
        <f>IF(INDEX(MO_SNA_IsHistoricalPeriod,1,COLUMN())=FALSE,HP.MRFX,INDEX(MO_SPT_FXEoP,1,COLUMN()))</f>
        <v/>
      </c>
      <c r="W460" s="1958">
        <f>IF(INDEX(MO_SNA_IsHistoricalPeriod,1,COLUMN())=FALSE,HP.MRFX,INDEX(MO_SPT_FXEoP,1,COLUMN()))</f>
        <v/>
      </c>
      <c r="X460" s="1958">
        <f>IF(INDEX(MO_SNA_IsHistoricalPeriod,1,COLUMN())=FALSE,HP.MRFX,INDEX(MO_SPT_FXEoP,1,COLUMN()))</f>
        <v/>
      </c>
      <c r="Y460" s="1958">
        <f>IF(INDEX(MO_SNA_IsHistoricalPeriod,1,COLUMN())=FALSE,HP.MRFX,INDEX(MO_SPT_FXEoP,1,COLUMN()))</f>
        <v/>
      </c>
      <c r="Z460" s="1958">
        <f>IF(INDEX(MO_SNA_IsHistoricalPeriod,1,COLUMN())=FALSE,HP.MRFX,INDEX(MO_SPT_FXEoP,1,COLUMN()))</f>
        <v/>
      </c>
      <c r="AA460" s="1957">
        <f>IF(INDEX(MO_SNA_IsHistoricalPeriod,1,COLUMN())=FALSE,HP.MRFX,INDEX(MO_SPT_FXEoP,1,COLUMN()))</f>
        <v/>
      </c>
      <c r="AB460" s="1958">
        <f>IF(INDEX(MO_SNA_IsHistoricalPeriod,1,COLUMN())=FALSE,HP.MRFX,INDEX(MO_SPT_FXEoP,1,COLUMN()))</f>
        <v/>
      </c>
      <c r="AC460" s="1958">
        <f>IF(INDEX(MO_SNA_IsHistoricalPeriod,1,COLUMN())=FALSE,HP.MRFX,INDEX(MO_SPT_FXEoP,1,COLUMN()))</f>
        <v/>
      </c>
      <c r="AD460" s="1958">
        <f>IF(INDEX(MO_SNA_IsHistoricalPeriod,1,COLUMN())=FALSE,HP.MRFX,INDEX(MO_SPT_FXEoP,1,COLUMN()))</f>
        <v/>
      </c>
      <c r="AE460" s="1958">
        <f>IF(INDEX(MO_SNA_IsHistoricalPeriod,1,COLUMN())=FALSE,HP.MRFX,INDEX(MO_SPT_FXEoP,1,COLUMN()))</f>
        <v/>
      </c>
      <c r="AF460" s="1957">
        <f>IF(INDEX(MO_SNA_IsHistoricalPeriod,1,COLUMN())=FALSE,HP.MRFX,INDEX(MO_SPT_FXEoP,1,COLUMN()))</f>
        <v/>
      </c>
      <c r="AG460" s="1958">
        <f>IF(INDEX(MO_SNA_IsHistoricalPeriod,1,COLUMN())=FALSE,HP.MRFX,INDEX(MO_SPT_FXEoP,1,COLUMN()))</f>
        <v/>
      </c>
      <c r="AH460" s="1958">
        <f>IF(INDEX(MO_SNA_IsHistoricalPeriod,1,COLUMN())=FALSE,HP.MRFX,INDEX(MO_SPT_FXEoP,1,COLUMN()))</f>
        <v/>
      </c>
      <c r="AI460" s="1958">
        <f>IF(INDEX(MO_SNA_IsHistoricalPeriod,1,COLUMN())=FALSE,HP.MRFX,INDEX(MO_SPT_FXEoP,1,COLUMN()))</f>
        <v/>
      </c>
      <c r="AJ460" s="1958">
        <f>IF(INDEX(MO_SNA_IsHistoricalPeriod,1,COLUMN())=FALSE,HP.MRFX,INDEX(MO_SPT_FXEoP,1,COLUMN()))</f>
        <v/>
      </c>
      <c r="AK460" s="1957">
        <f>IF(INDEX(MO_SNA_IsHistoricalPeriod,1,COLUMN())=FALSE,HP.MRFX,INDEX(MO_SPT_FXEoP,1,COLUMN()))</f>
        <v/>
      </c>
      <c r="AL460" s="1958">
        <f>IF(INDEX(MO_SNA_IsHistoricalPeriod,1,COLUMN())=FALSE,HP.MRFX,INDEX(MO_SPT_FXEoP,1,COLUMN()))</f>
        <v/>
      </c>
      <c r="AM460" s="1958">
        <f>IF(INDEX(MO_SNA_IsHistoricalPeriod,1,COLUMN())=FALSE,HP.MRFX,INDEX(MO_SPT_FXEoP,1,COLUMN()))</f>
        <v/>
      </c>
      <c r="AN460" s="1958">
        <f>IF(INDEX(MO_SNA_IsHistoricalPeriod,1,COLUMN())=FALSE,HP.MRFX,INDEX(MO_SPT_FXEoP,1,COLUMN()))</f>
        <v/>
      </c>
      <c r="AO460" s="1958">
        <f>IF(INDEX(MO_SNA_IsHistoricalPeriod,1,COLUMN())=FALSE,HP.MRFX,INDEX(MO_SPT_FXEoP,1,COLUMN()))</f>
        <v/>
      </c>
      <c r="AP460" s="1957">
        <f>IF(INDEX(MO_SNA_IsHistoricalPeriod,1,COLUMN())=FALSE,HP.MRFX,INDEX(MO_SPT_FXEoP,1,COLUMN()))</f>
        <v/>
      </c>
      <c r="AQ460" s="1958">
        <f>IF(INDEX(MO_SNA_IsHistoricalPeriod,1,COLUMN())=FALSE,HP.MRFX,INDEX(MO_SPT_FXEoP,1,COLUMN()))</f>
        <v/>
      </c>
      <c r="AR460" s="1958">
        <f>IF(INDEX(MO_SNA_IsHistoricalPeriod,1,COLUMN())=FALSE,HP.MRFX,INDEX(MO_SPT_FXEoP,1,COLUMN()))</f>
        <v/>
      </c>
      <c r="AS460" s="1958">
        <f>IF(INDEX(MO_SNA_IsHistoricalPeriod,1,COLUMN())=FALSE,HP.MRFX,INDEX(MO_SPT_FXEoP,1,COLUMN()))</f>
        <v/>
      </c>
      <c r="AT460" s="1958">
        <f>IF(INDEX(MO_SNA_IsHistoricalPeriod,1,COLUMN())=FALSE,HP.MRFX,INDEX(MO_SPT_FXEoP,1,COLUMN()))</f>
        <v/>
      </c>
      <c r="AU460" s="1957">
        <f>IF(INDEX(MO_SNA_IsHistoricalPeriod,1,COLUMN())=FALSE,HP.MRFX,INDEX(MO_SPT_FXEoP,1,COLUMN()))</f>
        <v/>
      </c>
      <c r="AV460" s="1958">
        <f>IF(INDEX(MO_SNA_IsHistoricalPeriod,1,COLUMN())=FALSE,HP.MRFX,INDEX(MO_SPT_FXEoP,1,COLUMN()))</f>
        <v/>
      </c>
      <c r="AW460" s="1958">
        <f>IF(INDEX(MO_SNA_IsHistoricalPeriod,1,COLUMN())=FALSE,HP.MRFX,INDEX(MO_SPT_FXEoP,1,COLUMN()))</f>
        <v/>
      </c>
      <c r="AX460" s="1958">
        <f>IF(INDEX(MO_SNA_IsHistoricalPeriod,1,COLUMN())=FALSE,HP.MRFX,INDEX(MO_SPT_FXEoP,1,COLUMN()))</f>
        <v/>
      </c>
      <c r="AY460" s="1958">
        <f>IF(INDEX(MO_SNA_IsHistoricalPeriod,1,COLUMN())=FALSE,HP.MRFX,INDEX(MO_SPT_FXEoP,1,COLUMN()))</f>
        <v/>
      </c>
      <c r="AZ460" s="1957">
        <f>IF(INDEX(MO_SNA_IsHistoricalPeriod,1,COLUMN())=FALSE,HP.MRFX,INDEX(MO_SPT_FXEoP,1,COLUMN()))</f>
        <v/>
      </c>
      <c r="BA460" s="1958">
        <f>IF(INDEX(MO_SNA_IsHistoricalPeriod,1,COLUMN())=FALSE,HP.MRFX,INDEX(MO_SPT_FXEoP,1,COLUMN()))</f>
        <v/>
      </c>
      <c r="BB460" s="1958">
        <f>IF(INDEX(MO_SNA_IsHistoricalPeriod,1,COLUMN())=FALSE,HP.MRFX,INDEX(MO_SPT_FXEoP,1,COLUMN()))</f>
        <v/>
      </c>
      <c r="BC460" s="1958">
        <f>IF(INDEX(MO_SNA_IsHistoricalPeriod,1,COLUMN())=FALSE,HP.MRFX,INDEX(MO_SPT_FXEoP,1,COLUMN()))</f>
        <v/>
      </c>
      <c r="BD460" s="1958">
        <f>IF(INDEX(MO_SNA_IsHistoricalPeriod,1,COLUMN())=FALSE,HP.MRFX,INDEX(MO_SPT_FXEoP,1,COLUMN()))</f>
        <v/>
      </c>
      <c r="BE460" s="1957">
        <f>IF(INDEX(MO_SNA_IsHistoricalPeriod,1,COLUMN())=FALSE,HP.MRFX,INDEX(MO_SPT_FXEoP,1,COLUMN()))</f>
        <v/>
      </c>
      <c r="BF460" s="1958">
        <f>IF(INDEX(MO_SNA_IsHistoricalPeriod,1,COLUMN())=FALSE,HP.MRFX,INDEX(MO_SPT_FXEoP,1,COLUMN()))</f>
        <v/>
      </c>
      <c r="BG460" s="1958">
        <f>IF(INDEX(MO_SNA_IsHistoricalPeriod,1,COLUMN())=FALSE,HP.MRFX,INDEX(MO_SPT_FXEoP,1,COLUMN()))</f>
        <v/>
      </c>
      <c r="BH460" s="1958">
        <f>IF(INDEX(MO_SNA_IsHistoricalPeriod,1,COLUMN())=FALSE,HP.MRFX,INDEX(MO_SPT_FXEoP,1,COLUMN()))</f>
        <v/>
      </c>
      <c r="BI460" s="1958">
        <f>IF(INDEX(MO_SNA_IsHistoricalPeriod,1,COLUMN())=FALSE,HP.MRFX,INDEX(MO_SPT_FXEoP,1,COLUMN()))</f>
        <v/>
      </c>
      <c r="BJ460" s="1957">
        <f>IF(INDEX(MO_SNA_IsHistoricalPeriod,1,COLUMN())=FALSE,HP.MRFX,INDEX(MO_SPT_FXEoP,1,COLUMN()))</f>
        <v/>
      </c>
      <c r="BK460" s="1958">
        <f>IF(INDEX(MO_SNA_IsHistoricalPeriod,1,COLUMN())=FALSE,HP.MRFX,INDEX(MO_SPT_FXEoP,1,COLUMN()))</f>
        <v/>
      </c>
      <c r="BL460" s="1958">
        <f>IF(INDEX(MO_SNA_IsHistoricalPeriod,1,COLUMN())=FALSE,HP.MRFX,INDEX(MO_SPT_FXEoP,1,COLUMN()))</f>
        <v/>
      </c>
      <c r="BM460" s="1958">
        <f>IF(INDEX(MO_SNA_IsHistoricalPeriod,1,COLUMN())=FALSE,HP.MRFX,INDEX(MO_SPT_FXEoP,1,COLUMN()))</f>
        <v/>
      </c>
      <c r="BN460" s="1958">
        <f>IF(INDEX(MO_SNA_IsHistoricalPeriod,1,COLUMN())=FALSE,HP.MRFX,INDEX(MO_SPT_FXEoP,1,COLUMN()))</f>
        <v/>
      </c>
      <c r="BO460" s="1959">
        <f>IF(INDEX(MO_SNA_IsHistoricalPeriod,1,COLUMN())=FALSE,HP.MRFX,INDEX(MO_SPT_FXEoP,1,COLUMN()))</f>
        <v/>
      </c>
      <c r="BP460" s="1960">
        <f>IF(INDEX(MO_SNA_IsHistoricalPeriod,1,COLUMN())=FALSE,HP.MRFX,INDEX(MO_SPT_FXEoP,1,COLUMN()))</f>
        <v/>
      </c>
      <c r="BQ460" s="1960">
        <f>IF(INDEX(MO_SNA_IsHistoricalPeriod,1,COLUMN())=FALSE,HP.MRFX,INDEX(MO_SPT_FXEoP,1,COLUMN()))</f>
        <v/>
      </c>
      <c r="BR460" s="1960">
        <f>IF(INDEX(MO_SNA_IsHistoricalPeriod,1,COLUMN())=FALSE,HP.MRFX,INDEX(MO_SPT_FXEoP,1,COLUMN()))</f>
        <v/>
      </c>
      <c r="BS460" s="1960">
        <f>IF(INDEX(MO_SNA_IsHistoricalPeriod,1,COLUMN())=FALSE,HP.MRFX,INDEX(MO_SPT_FXEoP,1,COLUMN()))</f>
        <v/>
      </c>
      <c r="BT460" s="1961">
        <f>IF(INDEX(MO_SNA_IsHistoricalPeriod,1,COLUMN())=FALSE,HP.MRFX,INDEX(MO_SPT_FXEoP,1,COLUMN()))</f>
        <v/>
      </c>
      <c r="BU460" s="1960">
        <f>IF(INDEX(MO_SNA_IsHistoricalPeriod,1,COLUMN())=FALSE,HP.MRFX,INDEX(MO_SPT_FXEoP,1,COLUMN()))</f>
        <v/>
      </c>
      <c r="BV460" s="1960">
        <f>IF(INDEX(MO_SNA_IsHistoricalPeriod,1,COLUMN())=FALSE,HP.MRFX,INDEX(MO_SPT_FXEoP,1,COLUMN()))</f>
        <v/>
      </c>
      <c r="BW460" s="1960">
        <f>IF(INDEX(MO_SNA_IsHistoricalPeriod,1,COLUMN())=FALSE,HP.MRFX,INDEX(MO_SPT_FXEoP,1,COLUMN()))</f>
        <v/>
      </c>
      <c r="BX460" s="1960">
        <f>IF(INDEX(MO_SNA_IsHistoricalPeriod,1,COLUMN())=FALSE,HP.MRFX,INDEX(MO_SPT_FXEoP,1,COLUMN()))</f>
        <v/>
      </c>
      <c r="BY460" s="1961">
        <f>IF(INDEX(MO_SNA_IsHistoricalPeriod,1,COLUMN())=FALSE,HP.MRFX,INDEX(MO_SPT_FXEoP,1,COLUMN()))</f>
        <v/>
      </c>
      <c r="BZ460" s="1961">
        <f>IF(INDEX(MO_SNA_IsHistoricalPeriod,1,COLUMN())=FALSE,HP.MRFX,INDEX(MO_SPT_FXEoP,1,COLUMN()))</f>
        <v/>
      </c>
      <c r="CA460" s="1961">
        <f>IF(INDEX(MO_SNA_IsHistoricalPeriod,1,COLUMN())=FALSE,HP.MRFX,INDEX(MO_SPT_FXEoP,1,COLUMN()))</f>
        <v/>
      </c>
      <c r="CB460" s="1961">
        <f>IF(INDEX(MO_SNA_IsHistoricalPeriod,1,COLUMN())=FALSE,HP.MRFX,INDEX(MO_SPT_FXEoP,1,COLUMN()))</f>
        <v/>
      </c>
      <c r="CC460" s="1962" t="n"/>
    </row>
    <row r="461" hidden="1" outlineLevel="1" ht="15" customFormat="1" customHeight="1" s="1963">
      <c r="A461" s="1964">
        <f>"Stock Price (Trading Cur.) - "&amp;MO.ValuationToggle&amp;", "&amp;HP.TradeCurrency</f>
        <v/>
      </c>
      <c r="B461" s="1965" t="n"/>
      <c r="C461" s="1948">
        <f>IF(INDEX(MO_SNA_IsHistoricalPeriod,1,COLUMN())=FALSE,MO.LastPrice,CHOOSE(VLOOKUP(MO.ValuationToggle,tb_ValuationToggle,COLUMNS(tb_ValuationToggle),FALSE),C455,C456,C457,C458))</f>
        <v/>
      </c>
      <c r="D461" s="1948">
        <f>IF(INDEX(MO_SNA_IsHistoricalPeriod,1,COLUMN())=FALSE,MO.LastPrice,CHOOSE(VLOOKUP(MO.ValuationToggle,tb_ValuationToggle,COLUMNS(tb_ValuationToggle),FALSE),D455,D456,D457,D458))</f>
        <v/>
      </c>
      <c r="E461" s="1948">
        <f>IF(INDEX(MO_SNA_IsHistoricalPeriod,1,COLUMN())=FALSE,MO.LastPrice,CHOOSE(VLOOKUP(MO.ValuationToggle,tb_ValuationToggle,COLUMNS(tb_ValuationToggle),FALSE),E455,E456,E457,E458))</f>
        <v/>
      </c>
      <c r="F461" s="1948">
        <f>IF(INDEX(MO_SNA_IsHistoricalPeriod,1,COLUMN())=FALSE,MO.LastPrice,CHOOSE(VLOOKUP(MO.ValuationToggle,tb_ValuationToggle,COLUMNS(tb_ValuationToggle),FALSE),F455,F456,F457,F458))</f>
        <v/>
      </c>
      <c r="G461" s="1948">
        <f>IF(INDEX(MO_SNA_IsHistoricalPeriod,1,COLUMN())=FALSE,MO.LastPrice,CHOOSE(VLOOKUP(MO.ValuationToggle,tb_ValuationToggle,COLUMNS(tb_ValuationToggle),FALSE),G455,G456,G457,G458))</f>
        <v/>
      </c>
      <c r="H461" s="1949">
        <f>IF(INDEX(MO_SNA_IsHistoricalPeriod,1,COLUMN())=FALSE,MO.LastPrice,CHOOSE(VLOOKUP(MO.ValuationToggle,tb_ValuationToggle,COLUMNS(tb_ValuationToggle),FALSE),H455,H456,H457,H458))</f>
        <v/>
      </c>
      <c r="I461" s="1949">
        <f>IF(INDEX(MO_SNA_IsHistoricalPeriod,1,COLUMN())=FALSE,MO.LastPrice,CHOOSE(VLOOKUP(MO.ValuationToggle,tb_ValuationToggle,COLUMNS(tb_ValuationToggle),FALSE),I455,I456,I457,I458))</f>
        <v/>
      </c>
      <c r="J461" s="1949">
        <f>IF(INDEX(MO_SNA_IsHistoricalPeriod,1,COLUMN())=FALSE,MO.LastPrice,CHOOSE(VLOOKUP(MO.ValuationToggle,tb_ValuationToggle,COLUMNS(tb_ValuationToggle),FALSE),J455,J456,J457,J458))</f>
        <v/>
      </c>
      <c r="K461" s="1949">
        <f>IF(INDEX(MO_SNA_IsHistoricalPeriod,1,COLUMN())=FALSE,MO.LastPrice,CHOOSE(VLOOKUP(MO.ValuationToggle,tb_ValuationToggle,COLUMNS(tb_ValuationToggle),FALSE),K455,K456,K457,K458))</f>
        <v/>
      </c>
      <c r="L461" s="1948">
        <f>IF(INDEX(MO_SNA_IsHistoricalPeriod,1,COLUMN())=FALSE,MO.LastPrice,CHOOSE(VLOOKUP(MO.ValuationToggle,tb_ValuationToggle,COLUMNS(tb_ValuationToggle),FALSE),L455,L456,L457,L458))</f>
        <v/>
      </c>
      <c r="M461" s="1949">
        <f>IF(INDEX(MO_SNA_IsHistoricalPeriod,1,COLUMN())=FALSE,MO.LastPrice,CHOOSE(VLOOKUP(MO.ValuationToggle,tb_ValuationToggle,COLUMNS(tb_ValuationToggle),FALSE),M455,M456,M457,M458))</f>
        <v/>
      </c>
      <c r="N461" s="1949">
        <f>IF(INDEX(MO_SNA_IsHistoricalPeriod,1,COLUMN())=FALSE,MO.LastPrice,CHOOSE(VLOOKUP(MO.ValuationToggle,tb_ValuationToggle,COLUMNS(tb_ValuationToggle),FALSE),N455,N456,N457,N458))</f>
        <v/>
      </c>
      <c r="O461" s="1949">
        <f>IF(INDEX(MO_SNA_IsHistoricalPeriod,1,COLUMN())=FALSE,MO.LastPrice,CHOOSE(VLOOKUP(MO.ValuationToggle,tb_ValuationToggle,COLUMNS(tb_ValuationToggle),FALSE),O455,O456,O457,O458))</f>
        <v/>
      </c>
      <c r="P461" s="1949">
        <f>IF(INDEX(MO_SNA_IsHistoricalPeriod,1,COLUMN())=FALSE,MO.LastPrice,CHOOSE(VLOOKUP(MO.ValuationToggle,tb_ValuationToggle,COLUMNS(tb_ValuationToggle),FALSE),P455,P456,P457,P458))</f>
        <v/>
      </c>
      <c r="Q461" s="1948">
        <f>IF(INDEX(MO_SNA_IsHistoricalPeriod,1,COLUMN())=FALSE,MO.LastPrice,CHOOSE(VLOOKUP(MO.ValuationToggle,tb_ValuationToggle,COLUMNS(tb_ValuationToggle),FALSE),Q455,Q456,Q457,Q458))</f>
        <v/>
      </c>
      <c r="R461" s="1949">
        <f>IF(INDEX(MO_SNA_IsHistoricalPeriod,1,COLUMN())=FALSE,MO.LastPrice,CHOOSE(VLOOKUP(MO.ValuationToggle,tb_ValuationToggle,COLUMNS(tb_ValuationToggle),FALSE),R455,R456,R457,R458))</f>
        <v/>
      </c>
      <c r="S461" s="1949">
        <f>IF(INDEX(MO_SNA_IsHistoricalPeriod,1,COLUMN())=FALSE,MO.LastPrice,CHOOSE(VLOOKUP(MO.ValuationToggle,tb_ValuationToggle,COLUMNS(tb_ValuationToggle),FALSE),S455,S456,S457,S458))</f>
        <v/>
      </c>
      <c r="T461" s="1949">
        <f>IF(INDEX(MO_SNA_IsHistoricalPeriod,1,COLUMN())=FALSE,MO.LastPrice,CHOOSE(VLOOKUP(MO.ValuationToggle,tb_ValuationToggle,COLUMNS(tb_ValuationToggle),FALSE),T455,T456,T457,T458))</f>
        <v/>
      </c>
      <c r="U461" s="1949">
        <f>IF(INDEX(MO_SNA_IsHistoricalPeriod,1,COLUMN())=FALSE,MO.LastPrice,CHOOSE(VLOOKUP(MO.ValuationToggle,tb_ValuationToggle,COLUMNS(tb_ValuationToggle),FALSE),U455,U456,U457,U458))</f>
        <v/>
      </c>
      <c r="V461" s="1948">
        <f>IF(INDEX(MO_SNA_IsHistoricalPeriod,1,COLUMN())=FALSE,MO.LastPrice,CHOOSE(VLOOKUP(MO.ValuationToggle,tb_ValuationToggle,COLUMNS(tb_ValuationToggle),FALSE),V455,V456,V457,V458))</f>
        <v/>
      </c>
      <c r="W461" s="1949">
        <f>IF(INDEX(MO_SNA_IsHistoricalPeriod,1,COLUMN())=FALSE,MO.LastPrice,CHOOSE(VLOOKUP(MO.ValuationToggle,tb_ValuationToggle,COLUMNS(tb_ValuationToggle),FALSE),W455,W456,W457,W458))</f>
        <v/>
      </c>
      <c r="X461" s="1949">
        <f>IF(INDEX(MO_SNA_IsHistoricalPeriod,1,COLUMN())=FALSE,MO.LastPrice,CHOOSE(VLOOKUP(MO.ValuationToggle,tb_ValuationToggle,COLUMNS(tb_ValuationToggle),FALSE),X455,X456,X457,X458))</f>
        <v/>
      </c>
      <c r="Y461" s="1949">
        <f>IF(INDEX(MO_SNA_IsHistoricalPeriod,1,COLUMN())=FALSE,MO.LastPrice,CHOOSE(VLOOKUP(MO.ValuationToggle,tb_ValuationToggle,COLUMNS(tb_ValuationToggle),FALSE),Y455,Y456,Y457,Y458))</f>
        <v/>
      </c>
      <c r="Z461" s="1949">
        <f>IF(INDEX(MO_SNA_IsHistoricalPeriod,1,COLUMN())=FALSE,MO.LastPrice,CHOOSE(VLOOKUP(MO.ValuationToggle,tb_ValuationToggle,COLUMNS(tb_ValuationToggle),FALSE),Z455,Z456,Z457,Z458))</f>
        <v/>
      </c>
      <c r="AA461" s="1948">
        <f>IF(INDEX(MO_SNA_IsHistoricalPeriod,1,COLUMN())=FALSE,MO.LastPrice,CHOOSE(VLOOKUP(MO.ValuationToggle,tb_ValuationToggle,COLUMNS(tb_ValuationToggle),FALSE),AA455,AA456,AA457,AA458))</f>
        <v/>
      </c>
      <c r="AB461" s="1949">
        <f>IF(INDEX(MO_SNA_IsHistoricalPeriod,1,COLUMN())=FALSE,MO.LastPrice,CHOOSE(VLOOKUP(MO.ValuationToggle,tb_ValuationToggle,COLUMNS(tb_ValuationToggle),FALSE),AB455,AB456,AB457,AB458))</f>
        <v/>
      </c>
      <c r="AC461" s="1949">
        <f>IF(INDEX(MO_SNA_IsHistoricalPeriod,1,COLUMN())=FALSE,MO.LastPrice,CHOOSE(VLOOKUP(MO.ValuationToggle,tb_ValuationToggle,COLUMNS(tb_ValuationToggle),FALSE),AC455,AC456,AC457,AC458))</f>
        <v/>
      </c>
      <c r="AD461" s="1949">
        <f>IF(INDEX(MO_SNA_IsHistoricalPeriod,1,COLUMN())=FALSE,MO.LastPrice,CHOOSE(VLOOKUP(MO.ValuationToggle,tb_ValuationToggle,COLUMNS(tb_ValuationToggle),FALSE),AD455,AD456,AD457,AD458))</f>
        <v/>
      </c>
      <c r="AE461" s="1949">
        <f>IF(INDEX(MO_SNA_IsHistoricalPeriod,1,COLUMN())=FALSE,MO.LastPrice,CHOOSE(VLOOKUP(MO.ValuationToggle,tb_ValuationToggle,COLUMNS(tb_ValuationToggle),FALSE),AE455,AE456,AE457,AE458))</f>
        <v/>
      </c>
      <c r="AF461" s="1948">
        <f>IF(INDEX(MO_SNA_IsHistoricalPeriod,1,COLUMN())=FALSE,MO.LastPrice,CHOOSE(VLOOKUP(MO.ValuationToggle,tb_ValuationToggle,COLUMNS(tb_ValuationToggle),FALSE),AF455,AF456,AF457,AF458))</f>
        <v/>
      </c>
      <c r="AG461" s="1949">
        <f>IF(INDEX(MO_SNA_IsHistoricalPeriod,1,COLUMN())=FALSE,MO.LastPrice,CHOOSE(VLOOKUP(MO.ValuationToggle,tb_ValuationToggle,COLUMNS(tb_ValuationToggle),FALSE),AG455,AG456,AG457,AG458))</f>
        <v/>
      </c>
      <c r="AH461" s="1949">
        <f>IF(INDEX(MO_SNA_IsHistoricalPeriod,1,COLUMN())=FALSE,MO.LastPrice,CHOOSE(VLOOKUP(MO.ValuationToggle,tb_ValuationToggle,COLUMNS(tb_ValuationToggle),FALSE),AH455,AH456,AH457,AH458))</f>
        <v/>
      </c>
      <c r="AI461" s="1949">
        <f>IF(INDEX(MO_SNA_IsHistoricalPeriod,1,COLUMN())=FALSE,MO.LastPrice,CHOOSE(VLOOKUP(MO.ValuationToggle,tb_ValuationToggle,COLUMNS(tb_ValuationToggle),FALSE),AI455,AI456,AI457,AI458))</f>
        <v/>
      </c>
      <c r="AJ461" s="1949">
        <f>IF(INDEX(MO_SNA_IsHistoricalPeriod,1,COLUMN())=FALSE,MO.LastPrice,CHOOSE(VLOOKUP(MO.ValuationToggle,tb_ValuationToggle,COLUMNS(tb_ValuationToggle),FALSE),AJ455,AJ456,AJ457,AJ458))</f>
        <v/>
      </c>
      <c r="AK461" s="1948">
        <f>IF(INDEX(MO_SNA_IsHistoricalPeriod,1,COLUMN())=FALSE,MO.LastPrice,CHOOSE(VLOOKUP(MO.ValuationToggle,tb_ValuationToggle,COLUMNS(tb_ValuationToggle),FALSE),AK455,AK456,AK457,AK458))</f>
        <v/>
      </c>
      <c r="AL461" s="1949">
        <f>IF(INDEX(MO_SNA_IsHistoricalPeriod,1,COLUMN())=FALSE,MO.LastPrice,CHOOSE(VLOOKUP(MO.ValuationToggle,tb_ValuationToggle,COLUMNS(tb_ValuationToggle),FALSE),AL455,AL456,AL457,AL458))</f>
        <v/>
      </c>
      <c r="AM461" s="1949">
        <f>IF(INDEX(MO_SNA_IsHistoricalPeriod,1,COLUMN())=FALSE,MO.LastPrice,CHOOSE(VLOOKUP(MO.ValuationToggle,tb_ValuationToggle,COLUMNS(tb_ValuationToggle),FALSE),AM455,AM456,AM457,AM458))</f>
        <v/>
      </c>
      <c r="AN461" s="1949">
        <f>IF(INDEX(MO_SNA_IsHistoricalPeriod,1,COLUMN())=FALSE,MO.LastPrice,CHOOSE(VLOOKUP(MO.ValuationToggle,tb_ValuationToggle,COLUMNS(tb_ValuationToggle),FALSE),AN455,AN456,AN457,AN458))</f>
        <v/>
      </c>
      <c r="AO461" s="1949">
        <f>IF(INDEX(MO_SNA_IsHistoricalPeriod,1,COLUMN())=FALSE,MO.LastPrice,CHOOSE(VLOOKUP(MO.ValuationToggle,tb_ValuationToggle,COLUMNS(tb_ValuationToggle),FALSE),AO455,AO456,AO457,AO458))</f>
        <v/>
      </c>
      <c r="AP461" s="1948">
        <f>IF(INDEX(MO_SNA_IsHistoricalPeriod,1,COLUMN())=FALSE,MO.LastPrice,CHOOSE(VLOOKUP(MO.ValuationToggle,tb_ValuationToggle,COLUMNS(tb_ValuationToggle),FALSE),AP455,AP456,AP457,AP458))</f>
        <v/>
      </c>
      <c r="AQ461" s="1949">
        <f>IF(INDEX(MO_SNA_IsHistoricalPeriod,1,COLUMN())=FALSE,MO.LastPrice,CHOOSE(VLOOKUP(MO.ValuationToggle,tb_ValuationToggle,COLUMNS(tb_ValuationToggle),FALSE),AQ455,AQ456,AQ457,AQ458))</f>
        <v/>
      </c>
      <c r="AR461" s="1949">
        <f>IF(INDEX(MO_SNA_IsHistoricalPeriod,1,COLUMN())=FALSE,MO.LastPrice,CHOOSE(VLOOKUP(MO.ValuationToggle,tb_ValuationToggle,COLUMNS(tb_ValuationToggle),FALSE),AR455,AR456,AR457,AR458))</f>
        <v/>
      </c>
      <c r="AS461" s="1949">
        <f>IF(INDEX(MO_SNA_IsHistoricalPeriod,1,COLUMN())=FALSE,MO.LastPrice,CHOOSE(VLOOKUP(MO.ValuationToggle,tb_ValuationToggle,COLUMNS(tb_ValuationToggle),FALSE),AS455,AS456,AS457,AS458))</f>
        <v/>
      </c>
      <c r="AT461" s="1949">
        <f>IF(INDEX(MO_SNA_IsHistoricalPeriod,1,COLUMN())=FALSE,MO.LastPrice,CHOOSE(VLOOKUP(MO.ValuationToggle,tb_ValuationToggle,COLUMNS(tb_ValuationToggle),FALSE),AT455,AT456,AT457,AT458))</f>
        <v/>
      </c>
      <c r="AU461" s="1948">
        <f>IF(INDEX(MO_SNA_IsHistoricalPeriod,1,COLUMN())=FALSE,MO.LastPrice,CHOOSE(VLOOKUP(MO.ValuationToggle,tb_ValuationToggle,COLUMNS(tb_ValuationToggle),FALSE),AU455,AU456,AU457,AU458))</f>
        <v/>
      </c>
      <c r="AV461" s="1949">
        <f>IF(INDEX(MO_SNA_IsHistoricalPeriod,1,COLUMN())=FALSE,MO.LastPrice,CHOOSE(VLOOKUP(MO.ValuationToggle,tb_ValuationToggle,COLUMNS(tb_ValuationToggle),FALSE),AV455,AV456,AV457,AV458))</f>
        <v/>
      </c>
      <c r="AW461" s="1949">
        <f>IF(INDEX(MO_SNA_IsHistoricalPeriod,1,COLUMN())=FALSE,MO.LastPrice,CHOOSE(VLOOKUP(MO.ValuationToggle,tb_ValuationToggle,COLUMNS(tb_ValuationToggle),FALSE),AW455,AW456,AW457,AW458))</f>
        <v/>
      </c>
      <c r="AX461" s="1949">
        <f>IF(INDEX(MO_SNA_IsHistoricalPeriod,1,COLUMN())=FALSE,MO.LastPrice,CHOOSE(VLOOKUP(MO.ValuationToggle,tb_ValuationToggle,COLUMNS(tb_ValuationToggle),FALSE),AX455,AX456,AX457,AX458))</f>
        <v/>
      </c>
      <c r="AY461" s="1949">
        <f>IF(INDEX(MO_SNA_IsHistoricalPeriod,1,COLUMN())=FALSE,MO.LastPrice,CHOOSE(VLOOKUP(MO.ValuationToggle,tb_ValuationToggle,COLUMNS(tb_ValuationToggle),FALSE),AY455,AY456,AY457,AY458))</f>
        <v/>
      </c>
      <c r="AZ461" s="1948">
        <f>IF(INDEX(MO_SNA_IsHistoricalPeriod,1,COLUMN())=FALSE,MO.LastPrice,CHOOSE(VLOOKUP(MO.ValuationToggle,tb_ValuationToggle,COLUMNS(tb_ValuationToggle),FALSE),AZ455,AZ456,AZ457,AZ458))</f>
        <v/>
      </c>
      <c r="BA461" s="1949">
        <f>IF(INDEX(MO_SNA_IsHistoricalPeriod,1,COLUMN())=FALSE,MO.LastPrice,CHOOSE(VLOOKUP(MO.ValuationToggle,tb_ValuationToggle,COLUMNS(tb_ValuationToggle),FALSE),BA455,BA456,BA457,BA458))</f>
        <v/>
      </c>
      <c r="BB461" s="1949">
        <f>IF(INDEX(MO_SNA_IsHistoricalPeriod,1,COLUMN())=FALSE,MO.LastPrice,CHOOSE(VLOOKUP(MO.ValuationToggle,tb_ValuationToggle,COLUMNS(tb_ValuationToggle),FALSE),BB455,BB456,BB457,BB458))</f>
        <v/>
      </c>
      <c r="BC461" s="1949">
        <f>IF(INDEX(MO_SNA_IsHistoricalPeriod,1,COLUMN())=FALSE,MO.LastPrice,CHOOSE(VLOOKUP(MO.ValuationToggle,tb_ValuationToggle,COLUMNS(tb_ValuationToggle),FALSE),BC455,BC456,BC457,BC458))</f>
        <v/>
      </c>
      <c r="BD461" s="1949">
        <f>IF(INDEX(MO_SNA_IsHistoricalPeriod,1,COLUMN())=FALSE,MO.LastPrice,CHOOSE(VLOOKUP(MO.ValuationToggle,tb_ValuationToggle,COLUMNS(tb_ValuationToggle),FALSE),BD455,BD456,BD457,BD458))</f>
        <v/>
      </c>
      <c r="BE461" s="1948">
        <f>IF(INDEX(MO_SNA_IsHistoricalPeriod,1,COLUMN())=FALSE,MO.LastPrice,CHOOSE(VLOOKUP(MO.ValuationToggle,tb_ValuationToggle,COLUMNS(tb_ValuationToggle),FALSE),BE455,BE456,BE457,BE458))</f>
        <v/>
      </c>
      <c r="BF461" s="1949">
        <f>IF(INDEX(MO_SNA_IsHistoricalPeriod,1,COLUMN())=FALSE,MO.LastPrice,CHOOSE(VLOOKUP(MO.ValuationToggle,tb_ValuationToggle,COLUMNS(tb_ValuationToggle),FALSE),BF455,BF456,BF457,BF458))</f>
        <v/>
      </c>
      <c r="BG461" s="1949">
        <f>IF(INDEX(MO_SNA_IsHistoricalPeriod,1,COLUMN())=FALSE,MO.LastPrice,CHOOSE(VLOOKUP(MO.ValuationToggle,tb_ValuationToggle,COLUMNS(tb_ValuationToggle),FALSE),BG455,BG456,BG457,BG458))</f>
        <v/>
      </c>
      <c r="BH461" s="1949">
        <f>IF(INDEX(MO_SNA_IsHistoricalPeriod,1,COLUMN())=FALSE,MO.LastPrice,CHOOSE(VLOOKUP(MO.ValuationToggle,tb_ValuationToggle,COLUMNS(tb_ValuationToggle),FALSE),BH455,BH456,BH457,BH458))</f>
        <v/>
      </c>
      <c r="BI461" s="1949">
        <f>IF(INDEX(MO_SNA_IsHistoricalPeriod,1,COLUMN())=FALSE,MO.LastPrice,CHOOSE(VLOOKUP(MO.ValuationToggle,tb_ValuationToggle,COLUMNS(tb_ValuationToggle),FALSE),BI455,BI456,BI457,BI458))</f>
        <v/>
      </c>
      <c r="BJ461" s="1948">
        <f>IF(INDEX(MO_SNA_IsHistoricalPeriod,1,COLUMN())=FALSE,MO.LastPrice,CHOOSE(VLOOKUP(MO.ValuationToggle,tb_ValuationToggle,COLUMNS(tb_ValuationToggle),FALSE),BJ455,BJ456,BJ457,BJ458))</f>
        <v/>
      </c>
      <c r="BK461" s="1949">
        <f>IF(INDEX(MO_SNA_IsHistoricalPeriod,1,COLUMN())=FALSE,MO.LastPrice,CHOOSE(VLOOKUP(MO.ValuationToggle,tb_ValuationToggle,COLUMNS(tb_ValuationToggle),FALSE),BK455,BK456,BK457,BK458))</f>
        <v/>
      </c>
      <c r="BL461" s="1949">
        <f>IF(INDEX(MO_SNA_IsHistoricalPeriod,1,COLUMN())=FALSE,MO.LastPrice,CHOOSE(VLOOKUP(MO.ValuationToggle,tb_ValuationToggle,COLUMNS(tb_ValuationToggle),FALSE),BL455,BL456,BL457,BL458))</f>
        <v/>
      </c>
      <c r="BM461" s="1949">
        <f>IF(INDEX(MO_SNA_IsHistoricalPeriod,1,COLUMN())=FALSE,MO.LastPrice,CHOOSE(VLOOKUP(MO.ValuationToggle,tb_ValuationToggle,COLUMNS(tb_ValuationToggle),FALSE),BM455,BM456,BM457,BM458))</f>
        <v/>
      </c>
      <c r="BN461" s="1949">
        <f>IF(INDEX(MO_SNA_IsHistoricalPeriod,1,COLUMN())=FALSE,MO.LastPrice,CHOOSE(VLOOKUP(MO.ValuationToggle,tb_ValuationToggle,COLUMNS(tb_ValuationToggle),FALSE),BN455,BN456,BN457,BN458))</f>
        <v/>
      </c>
      <c r="BO461" s="1950">
        <f>IF(INDEX(MO_SNA_IsHistoricalPeriod,1,COLUMN())=FALSE,MO.LastPrice,CHOOSE(VLOOKUP(MO.ValuationToggle,tb_ValuationToggle,COLUMNS(tb_ValuationToggle),FALSE),BO455,BO456,BO457,BO458))</f>
        <v/>
      </c>
      <c r="BP461" s="1951">
        <f>IF(INDEX(MO_SNA_IsHistoricalPeriod,1,COLUMN())=FALSE,MO.LastPrice,CHOOSE(VLOOKUP(MO.ValuationToggle,tb_ValuationToggle,COLUMNS(tb_ValuationToggle),FALSE),BP455,BP456,BP457,BP458))</f>
        <v/>
      </c>
      <c r="BQ461" s="1951">
        <f>IF(INDEX(MO_SNA_IsHistoricalPeriod,1,COLUMN())=FALSE,MO.LastPrice,CHOOSE(VLOOKUP(MO.ValuationToggle,tb_ValuationToggle,COLUMNS(tb_ValuationToggle),FALSE),BQ455,BQ456,BQ457,BQ458))</f>
        <v/>
      </c>
      <c r="BR461" s="1951">
        <f>IF(INDEX(MO_SNA_IsHistoricalPeriod,1,COLUMN())=FALSE,MO.LastPrice,CHOOSE(VLOOKUP(MO.ValuationToggle,tb_ValuationToggle,COLUMNS(tb_ValuationToggle),FALSE),BR455,BR456,BR457,BR458))</f>
        <v/>
      </c>
      <c r="BS461" s="1951">
        <f>IF(INDEX(MO_SNA_IsHistoricalPeriod,1,COLUMN())=FALSE,MO.LastPrice,CHOOSE(VLOOKUP(MO.ValuationToggle,tb_ValuationToggle,COLUMNS(tb_ValuationToggle),FALSE),BS455,BS456,BS457,BS458))</f>
        <v/>
      </c>
      <c r="BT461" s="1952">
        <f>IF(INDEX(MO_SNA_IsHistoricalPeriod,1,COLUMN())=FALSE,MO.LastPrice,CHOOSE(VLOOKUP(MO.ValuationToggle,tb_ValuationToggle,COLUMNS(tb_ValuationToggle),FALSE),BT455,BT456,BT457,BT458))</f>
        <v/>
      </c>
      <c r="BU461" s="1951">
        <f>IF(INDEX(MO_SNA_IsHistoricalPeriod,1,COLUMN())=FALSE,MO.LastPrice,CHOOSE(VLOOKUP(MO.ValuationToggle,tb_ValuationToggle,COLUMNS(tb_ValuationToggle),FALSE),BU455,BU456,BU457,BU458))</f>
        <v/>
      </c>
      <c r="BV461" s="1951">
        <f>IF(INDEX(MO_SNA_IsHistoricalPeriod,1,COLUMN())=FALSE,MO.LastPrice,CHOOSE(VLOOKUP(MO.ValuationToggle,tb_ValuationToggle,COLUMNS(tb_ValuationToggle),FALSE),BV455,BV456,BV457,BV458))</f>
        <v/>
      </c>
      <c r="BW461" s="1951">
        <f>IF(INDEX(MO_SNA_IsHistoricalPeriod,1,COLUMN())=FALSE,MO.LastPrice,CHOOSE(VLOOKUP(MO.ValuationToggle,tb_ValuationToggle,COLUMNS(tb_ValuationToggle),FALSE),BW455,BW456,BW457,BW458))</f>
        <v/>
      </c>
      <c r="BX461" s="1951">
        <f>IF(INDEX(MO_SNA_IsHistoricalPeriod,1,COLUMN())=FALSE,MO.LastPrice,CHOOSE(VLOOKUP(MO.ValuationToggle,tb_ValuationToggle,COLUMNS(tb_ValuationToggle),FALSE),BX455,BX456,BX457,BX458))</f>
        <v/>
      </c>
      <c r="BY461" s="1952">
        <f>IF(INDEX(MO_SNA_IsHistoricalPeriod,1,COLUMN())=FALSE,MO.LastPrice,CHOOSE(VLOOKUP(MO.ValuationToggle,tb_ValuationToggle,COLUMNS(tb_ValuationToggle),FALSE),BY455,BY456,BY457,BY458))</f>
        <v/>
      </c>
      <c r="BZ461" s="1952">
        <f>IF(INDEX(MO_SNA_IsHistoricalPeriod,1,COLUMN())=FALSE,MO.LastPrice,CHOOSE(VLOOKUP(MO.ValuationToggle,tb_ValuationToggle,COLUMNS(tb_ValuationToggle),FALSE),BZ455,BZ456,BZ457,BZ458))</f>
        <v/>
      </c>
      <c r="CA461" s="1952">
        <f>IF(INDEX(MO_SNA_IsHistoricalPeriod,1,COLUMN())=FALSE,MO.LastPrice,CHOOSE(VLOOKUP(MO.ValuationToggle,tb_ValuationToggle,COLUMNS(tb_ValuationToggle),FALSE),CA455,CA456,CA457,CA458))</f>
        <v/>
      </c>
      <c r="CB461" s="1952">
        <f>IF(INDEX(MO_SNA_IsHistoricalPeriod,1,COLUMN())=FALSE,MO.LastPrice,CHOOSE(VLOOKUP(MO.ValuationToggle,tb_ValuationToggle,COLUMNS(tb_ValuationToggle),FALSE),CB455,CB456,CB457,CB458))</f>
        <v/>
      </c>
      <c r="CC461" s="1966" t="n"/>
    </row>
    <row r="462" hidden="1" outlineLevel="1" ht="15" customFormat="1" customHeight="1" s="1561">
      <c r="A462" s="1622" t="n"/>
      <c r="B462" s="1705" t="n"/>
      <c r="C462" s="1637" t="n"/>
      <c r="D462" s="1637" t="n"/>
      <c r="E462" s="1637" t="n"/>
      <c r="F462" s="1637" t="n"/>
      <c r="G462" s="1637" t="n"/>
      <c r="H462" s="1562" t="n"/>
      <c r="I462" s="1562" t="n"/>
      <c r="J462" s="1562" t="n"/>
      <c r="K462" s="1562" t="n"/>
      <c r="L462" s="1637" t="n"/>
      <c r="M462" s="1562" t="n"/>
      <c r="N462" s="1562" t="n"/>
      <c r="O462" s="1562" t="n"/>
      <c r="P462" s="1562" t="n"/>
      <c r="Q462" s="1637" t="n"/>
      <c r="R462" s="1562" t="n"/>
      <c r="S462" s="1562" t="n"/>
      <c r="T462" s="1562" t="n"/>
      <c r="U462" s="1562" t="n"/>
      <c r="V462" s="1637" t="n"/>
      <c r="W462" s="1562" t="n"/>
      <c r="X462" s="1562" t="n"/>
      <c r="Y462" s="1562" t="n"/>
      <c r="Z462" s="1562" t="n"/>
      <c r="AA462" s="1637" t="n"/>
      <c r="AB462" s="1562" t="n"/>
      <c r="AC462" s="1562" t="n"/>
      <c r="AD462" s="1562" t="n"/>
      <c r="AE462" s="1562" t="n"/>
      <c r="AF462" s="1637" t="n"/>
      <c r="AG462" s="1562" t="n"/>
      <c r="AH462" s="1562" t="n"/>
      <c r="AI462" s="1562" t="n"/>
      <c r="AJ462" s="1562" t="n"/>
      <c r="AK462" s="1637" t="n"/>
      <c r="AL462" s="1562" t="n"/>
      <c r="AM462" s="1562" t="n"/>
      <c r="AN462" s="1562" t="n"/>
      <c r="AO462" s="1562" t="n"/>
      <c r="AP462" s="1637" t="n"/>
      <c r="AQ462" s="1562" t="n"/>
      <c r="AR462" s="1562" t="n"/>
      <c r="AS462" s="1562" t="n"/>
      <c r="AT462" s="1562" t="n"/>
      <c r="AU462" s="1637" t="n"/>
      <c r="AV462" s="1562" t="n"/>
      <c r="AW462" s="1562" t="n"/>
      <c r="AX462" s="1562" t="n"/>
      <c r="AY462" s="1562" t="n"/>
      <c r="AZ462" s="1637" t="n"/>
      <c r="BA462" s="1562" t="n"/>
      <c r="BB462" s="1562" t="n"/>
      <c r="BC462" s="1562" t="n"/>
      <c r="BD462" s="1562" t="n"/>
      <c r="BE462" s="1637" t="n"/>
      <c r="BF462" s="1562" t="n"/>
      <c r="BG462" s="1562" t="n"/>
      <c r="BH462" s="1562" t="n"/>
      <c r="BI462" s="1562" t="n"/>
      <c r="BJ462" s="1637" t="n"/>
      <c r="BK462" s="1562" t="n"/>
      <c r="BL462" s="1562" t="n"/>
      <c r="BM462" s="1562" t="n"/>
      <c r="BN462" s="1562" t="n"/>
      <c r="BO462" s="1638" t="n"/>
      <c r="BP462" s="1562" t="n"/>
      <c r="BQ462" s="1562" t="n"/>
      <c r="BR462" s="1562" t="n"/>
      <c r="BS462" s="1562" t="n"/>
      <c r="BT462" s="1637" t="n"/>
      <c r="BU462" s="1562" t="n"/>
      <c r="BV462" s="1562" t="n"/>
      <c r="BW462" s="1562" t="n"/>
      <c r="BX462" s="1562" t="n"/>
      <c r="BY462" s="1637" t="n"/>
      <c r="BZ462" s="1637" t="n"/>
      <c r="CA462" s="1637" t="n"/>
      <c r="CB462" s="1637" t="n"/>
      <c r="CC462" s="1564" t="n"/>
    </row>
    <row r="463" hidden="1" outlineLevel="1" ht="15" customFormat="1" customHeight="1" s="1561">
      <c r="A463" s="1967" t="inlineStr">
        <is>
          <t>Enterprise Value Components</t>
        </is>
      </c>
      <c r="B463" s="1705" t="n"/>
      <c r="C463" s="1637" t="n"/>
      <c r="D463" s="1637" t="n"/>
      <c r="E463" s="1637" t="n"/>
      <c r="F463" s="1637" t="n"/>
      <c r="G463" s="1637" t="n"/>
      <c r="H463" s="1562" t="n"/>
      <c r="I463" s="1562" t="n"/>
      <c r="J463" s="1562" t="n"/>
      <c r="K463" s="1562" t="n"/>
      <c r="L463" s="1637" t="n"/>
      <c r="M463" s="1562" t="n"/>
      <c r="N463" s="1562" t="n"/>
      <c r="O463" s="1562" t="n"/>
      <c r="P463" s="1562" t="n"/>
      <c r="Q463" s="1637" t="n"/>
      <c r="R463" s="1562" t="n"/>
      <c r="S463" s="1562" t="n"/>
      <c r="T463" s="1562" t="n"/>
      <c r="U463" s="1562" t="n"/>
      <c r="V463" s="1637" t="n"/>
      <c r="W463" s="1562" t="n"/>
      <c r="X463" s="1562" t="n"/>
      <c r="Y463" s="1562" t="n"/>
      <c r="Z463" s="1562" t="n"/>
      <c r="AA463" s="1637" t="n"/>
      <c r="AB463" s="1562" t="n"/>
      <c r="AC463" s="1562" t="n"/>
      <c r="AD463" s="1562" t="n"/>
      <c r="AE463" s="1562" t="n"/>
      <c r="AF463" s="1637" t="n"/>
      <c r="AG463" s="1562" t="n"/>
      <c r="AH463" s="1562" t="n"/>
      <c r="AI463" s="1562" t="n"/>
      <c r="AJ463" s="1562" t="n"/>
      <c r="AK463" s="1637" t="n"/>
      <c r="AL463" s="1562" t="n"/>
      <c r="AM463" s="1562" t="n"/>
      <c r="AN463" s="1562" t="n"/>
      <c r="AO463" s="1562" t="n"/>
      <c r="AP463" s="1637" t="n"/>
      <c r="AQ463" s="1562" t="n"/>
      <c r="AR463" s="1562" t="n"/>
      <c r="AS463" s="1562" t="n"/>
      <c r="AT463" s="1562" t="n"/>
      <c r="AU463" s="1637" t="n"/>
      <c r="AV463" s="1562" t="n"/>
      <c r="AW463" s="1562" t="n"/>
      <c r="AX463" s="1562" t="n"/>
      <c r="AY463" s="1562" t="n"/>
      <c r="AZ463" s="1637" t="n"/>
      <c r="BA463" s="1562" t="n"/>
      <c r="BB463" s="1562" t="n"/>
      <c r="BC463" s="1562" t="n"/>
      <c r="BD463" s="1562" t="n"/>
      <c r="BE463" s="1637" t="n"/>
      <c r="BF463" s="1562" t="n"/>
      <c r="BG463" s="1562" t="n"/>
      <c r="BH463" s="1562" t="n"/>
      <c r="BI463" s="1562" t="n"/>
      <c r="BJ463" s="1637" t="n"/>
      <c r="BK463" s="1562" t="n"/>
      <c r="BL463" s="1562" t="n"/>
      <c r="BM463" s="1562" t="n"/>
      <c r="BN463" s="1562" t="n"/>
      <c r="BO463" s="1638" t="n"/>
      <c r="BP463" s="1562" t="n"/>
      <c r="BQ463" s="1562" t="n"/>
      <c r="BR463" s="1562" t="n"/>
      <c r="BS463" s="1562" t="n"/>
      <c r="BT463" s="1637" t="n"/>
      <c r="BU463" s="1562" t="n"/>
      <c r="BV463" s="1562" t="n"/>
      <c r="BW463" s="1562" t="n"/>
      <c r="BX463" s="1562" t="n"/>
      <c r="BY463" s="1637" t="n"/>
      <c r="BZ463" s="1637" t="n"/>
      <c r="CA463" s="1637" t="n"/>
      <c r="CB463" s="1637" t="n"/>
      <c r="CC463" s="1564" t="n"/>
    </row>
    <row r="464" hidden="1" outlineLevel="1" ht="15" customFormat="1" customHeight="1" s="1574">
      <c r="A464" s="1752" t="inlineStr">
        <is>
          <t>Noncontrolling Interest</t>
        </is>
      </c>
      <c r="B464" s="1575" t="n"/>
      <c r="C464" s="1968">
        <f>C682</f>
        <v/>
      </c>
      <c r="D464" s="1968">
        <f>D682</f>
        <v/>
      </c>
      <c r="E464" s="1968">
        <f>E682</f>
        <v/>
      </c>
      <c r="F464" s="1968">
        <f>F682</f>
        <v/>
      </c>
      <c r="G464" s="1968">
        <f>G682</f>
        <v/>
      </c>
      <c r="H464" s="1582">
        <f>H682</f>
        <v/>
      </c>
      <c r="I464" s="1582">
        <f>I682</f>
        <v/>
      </c>
      <c r="J464" s="1582">
        <f>J682</f>
        <v/>
      </c>
      <c r="K464" s="1582">
        <f>K682</f>
        <v/>
      </c>
      <c r="L464" s="1968">
        <f>L682</f>
        <v/>
      </c>
      <c r="M464" s="1582">
        <f>M682</f>
        <v/>
      </c>
      <c r="N464" s="1582">
        <f>N682</f>
        <v/>
      </c>
      <c r="O464" s="1582">
        <f>O682</f>
        <v/>
      </c>
      <c r="P464" s="1582">
        <f>P682</f>
        <v/>
      </c>
      <c r="Q464" s="1968">
        <f>Q682</f>
        <v/>
      </c>
      <c r="R464" s="1582">
        <f>R682</f>
        <v/>
      </c>
      <c r="S464" s="1582">
        <f>S682</f>
        <v/>
      </c>
      <c r="T464" s="1582">
        <f>T682</f>
        <v/>
      </c>
      <c r="U464" s="1582">
        <f>U682</f>
        <v/>
      </c>
      <c r="V464" s="1968">
        <f>V682</f>
        <v/>
      </c>
      <c r="W464" s="1582">
        <f>W682</f>
        <v/>
      </c>
      <c r="X464" s="1582">
        <f>X682</f>
        <v/>
      </c>
      <c r="Y464" s="1582">
        <f>Y682</f>
        <v/>
      </c>
      <c r="Z464" s="1582">
        <f>Z682</f>
        <v/>
      </c>
      <c r="AA464" s="1968">
        <f>AA682</f>
        <v/>
      </c>
      <c r="AB464" s="1582">
        <f>AB682</f>
        <v/>
      </c>
      <c r="AC464" s="1582">
        <f>AC682</f>
        <v/>
      </c>
      <c r="AD464" s="1582">
        <f>AD682</f>
        <v/>
      </c>
      <c r="AE464" s="1582">
        <f>AE682</f>
        <v/>
      </c>
      <c r="AF464" s="1968">
        <f>AF682</f>
        <v/>
      </c>
      <c r="AG464" s="1582">
        <f>AG682</f>
        <v/>
      </c>
      <c r="AH464" s="1582">
        <f>AH682</f>
        <v/>
      </c>
      <c r="AI464" s="1582">
        <f>AI682</f>
        <v/>
      </c>
      <c r="AJ464" s="1582">
        <f>AJ682</f>
        <v/>
      </c>
      <c r="AK464" s="1968">
        <f>AK682</f>
        <v/>
      </c>
      <c r="AL464" s="1582">
        <f>AL682</f>
        <v/>
      </c>
      <c r="AM464" s="1582">
        <f>AM682</f>
        <v/>
      </c>
      <c r="AN464" s="1582">
        <f>AN682</f>
        <v/>
      </c>
      <c r="AO464" s="1582">
        <f>AO682</f>
        <v/>
      </c>
      <c r="AP464" s="1968">
        <f>AP682</f>
        <v/>
      </c>
      <c r="AQ464" s="1582">
        <f>AQ682</f>
        <v/>
      </c>
      <c r="AR464" s="1582">
        <f>AR682</f>
        <v/>
      </c>
      <c r="AS464" s="1582">
        <f>AS682</f>
        <v/>
      </c>
      <c r="AT464" s="1582">
        <f>AT682</f>
        <v/>
      </c>
      <c r="AU464" s="1968">
        <f>AU682</f>
        <v/>
      </c>
      <c r="AV464" s="1582">
        <f>AV682</f>
        <v/>
      </c>
      <c r="AW464" s="1582">
        <f>AW682</f>
        <v/>
      </c>
      <c r="AX464" s="1582">
        <f>AX682</f>
        <v/>
      </c>
      <c r="AY464" s="1582">
        <f>AY682</f>
        <v/>
      </c>
      <c r="AZ464" s="1968">
        <f>AZ682</f>
        <v/>
      </c>
      <c r="BA464" s="1582">
        <f>BA682</f>
        <v/>
      </c>
      <c r="BB464" s="1582">
        <f>BB682</f>
        <v/>
      </c>
      <c r="BC464" s="1582">
        <f>BC682</f>
        <v/>
      </c>
      <c r="BD464" s="1582">
        <f>BD682</f>
        <v/>
      </c>
      <c r="BE464" s="1968">
        <f>BE682</f>
        <v/>
      </c>
      <c r="BF464" s="1582">
        <f>BF682</f>
        <v/>
      </c>
      <c r="BG464" s="1582">
        <f>BG682</f>
        <v/>
      </c>
      <c r="BH464" s="1582">
        <f>BH682</f>
        <v/>
      </c>
      <c r="BI464" s="1582">
        <f>BI682</f>
        <v/>
      </c>
      <c r="BJ464" s="1968">
        <f>BJ682</f>
        <v/>
      </c>
      <c r="BK464" s="1582">
        <f>BK682</f>
        <v/>
      </c>
      <c r="BL464" s="1582">
        <f>BL682</f>
        <v/>
      </c>
      <c r="BM464" s="1582">
        <f>BM682</f>
        <v/>
      </c>
      <c r="BN464" s="1582">
        <f>BN682</f>
        <v/>
      </c>
      <c r="BO464" s="1969">
        <f>BO682</f>
        <v/>
      </c>
      <c r="BP464" s="1675">
        <f>BP682</f>
        <v/>
      </c>
      <c r="BQ464" s="1675">
        <f>BQ682</f>
        <v/>
      </c>
      <c r="BR464" s="1675">
        <f>BR682</f>
        <v/>
      </c>
      <c r="BS464" s="1675">
        <f>BS682</f>
        <v/>
      </c>
      <c r="BT464" s="1674">
        <f>BT682</f>
        <v/>
      </c>
      <c r="BU464" s="1675">
        <f>BU682</f>
        <v/>
      </c>
      <c r="BV464" s="1675">
        <f>BV682</f>
        <v/>
      </c>
      <c r="BW464" s="1675">
        <f>BW682</f>
        <v/>
      </c>
      <c r="BX464" s="1675">
        <f>BX682</f>
        <v/>
      </c>
      <c r="BY464" s="1674">
        <f>BY682</f>
        <v/>
      </c>
      <c r="BZ464" s="1674">
        <f>BZ682</f>
        <v/>
      </c>
      <c r="CA464" s="1674">
        <f>CA682</f>
        <v/>
      </c>
      <c r="CB464" s="1674">
        <f>CB682</f>
        <v/>
      </c>
      <c r="CC464" s="1582" t="n"/>
    </row>
    <row r="465" hidden="1" outlineLevel="1" ht="15" customFormat="1" customHeight="1" s="1574">
      <c r="A465" s="1752" t="inlineStr">
        <is>
          <t>Preferred Shares</t>
        </is>
      </c>
      <c r="B465" s="1575" t="n"/>
      <c r="C465" s="1674" t="n"/>
      <c r="D465" s="1674" t="n"/>
      <c r="E465" s="1674" t="n"/>
      <c r="F465" s="1674" t="n"/>
      <c r="G465" s="1674" t="n"/>
      <c r="H465" s="1675" t="n"/>
      <c r="I465" s="1675" t="n"/>
      <c r="J465" s="1675" t="n"/>
      <c r="K465" s="1675" t="n"/>
      <c r="L465" s="1674" t="n"/>
      <c r="M465" s="1675" t="n"/>
      <c r="N465" s="1675" t="n"/>
      <c r="O465" s="1675" t="n"/>
      <c r="P465" s="1675" t="n"/>
      <c r="Q465" s="1674" t="n"/>
      <c r="R465" s="1675" t="n"/>
      <c r="S465" s="1675" t="n"/>
      <c r="T465" s="1675" t="n"/>
      <c r="U465" s="1675" t="n"/>
      <c r="V465" s="1674" t="n"/>
      <c r="W465" s="1675" t="n"/>
      <c r="X465" s="1675" t="n"/>
      <c r="Y465" s="1675" t="n"/>
      <c r="Z465" s="1675" t="n"/>
      <c r="AA465" s="1674" t="n"/>
      <c r="AB465" s="1675" t="n"/>
      <c r="AC465" s="1675" t="n"/>
      <c r="AD465" s="1675" t="n"/>
      <c r="AE465" s="1675" t="n"/>
      <c r="AF465" s="1674" t="n"/>
      <c r="AG465" s="1675" t="n"/>
      <c r="AH465" s="1675" t="n"/>
      <c r="AI465" s="1675" t="n"/>
      <c r="AJ465" s="1675" t="n"/>
      <c r="AK465" s="1674" t="n"/>
      <c r="AL465" s="1675" t="n"/>
      <c r="AM465" s="1675" t="n"/>
      <c r="AN465" s="1675" t="n"/>
      <c r="AO465" s="1675" t="n"/>
      <c r="AP465" s="1674" t="n"/>
      <c r="AQ465" s="1675" t="n"/>
      <c r="AR465" s="1675" t="n"/>
      <c r="AS465" s="1675" t="n"/>
      <c r="AT465" s="1675" t="n"/>
      <c r="AU465" s="1674" t="n"/>
      <c r="AV465" s="1675" t="n"/>
      <c r="AW465" s="1675" t="n"/>
      <c r="AX465" s="1675" t="n"/>
      <c r="AY465" s="1675" t="n"/>
      <c r="AZ465" s="1674" t="n"/>
      <c r="BA465" s="1675" t="n"/>
      <c r="BB465" s="1675" t="n"/>
      <c r="BC465" s="1675" t="n"/>
      <c r="BD465" s="1675" t="n"/>
      <c r="BE465" s="1674" t="n"/>
      <c r="BF465" s="1675" t="n"/>
      <c r="BG465" s="1675" t="n"/>
      <c r="BH465" s="1675" t="n"/>
      <c r="BI465" s="1675" t="n"/>
      <c r="BJ465" s="1674" t="n"/>
      <c r="BK465" s="1675" t="n"/>
      <c r="BL465" s="1675" t="n"/>
      <c r="BM465" s="1675" t="n"/>
      <c r="BN465" s="1675" t="n"/>
      <c r="BO465" s="1678" t="n"/>
      <c r="BP465" s="1675" t="n"/>
      <c r="BQ465" s="1675" t="n"/>
      <c r="BR465" s="1675" t="n"/>
      <c r="BS465" s="1675" t="n"/>
      <c r="BT465" s="1674" t="n"/>
      <c r="BU465" s="1675" t="n"/>
      <c r="BV465" s="1675" t="n"/>
      <c r="BW465" s="1675" t="n"/>
      <c r="BX465" s="1675" t="n"/>
      <c r="BY465" s="1674" t="n"/>
      <c r="BZ465" s="1674" t="n"/>
      <c r="CA465" s="1674" t="n"/>
      <c r="CB465" s="1674" t="n"/>
      <c r="CC465" s="1582" t="n"/>
    </row>
    <row r="466" hidden="1" outlineLevel="1" ht="15" customFormat="1" customHeight="1" s="1574">
      <c r="A466" s="1752" t="inlineStr">
        <is>
          <t>Other EV Components</t>
        </is>
      </c>
      <c r="B466" s="1575" t="n"/>
      <c r="C466" s="1674" t="n"/>
      <c r="D466" s="1674" t="n"/>
      <c r="E466" s="1674" t="n"/>
      <c r="F466" s="1674" t="n"/>
      <c r="G466" s="1674" t="n"/>
      <c r="H466" s="1675" t="n"/>
      <c r="I466" s="1675" t="n"/>
      <c r="J466" s="1675" t="n"/>
      <c r="K466" s="1675" t="n"/>
      <c r="L466" s="1674" t="n"/>
      <c r="M466" s="1675" t="n"/>
      <c r="N466" s="1675" t="n"/>
      <c r="O466" s="1675" t="n"/>
      <c r="P466" s="1675" t="n"/>
      <c r="Q466" s="1674" t="n"/>
      <c r="R466" s="1675" t="n"/>
      <c r="S466" s="1675" t="n"/>
      <c r="T466" s="1675" t="n"/>
      <c r="U466" s="1675" t="n"/>
      <c r="V466" s="1674" t="n"/>
      <c r="W466" s="1675" t="n"/>
      <c r="X466" s="1675" t="n"/>
      <c r="Y466" s="1675" t="n"/>
      <c r="Z466" s="1675" t="n"/>
      <c r="AA466" s="1674" t="n"/>
      <c r="AB466" s="1675" t="n"/>
      <c r="AC466" s="1675" t="n"/>
      <c r="AD466" s="1675" t="n"/>
      <c r="AE466" s="1675" t="n"/>
      <c r="AF466" s="1674" t="n"/>
      <c r="AG466" s="1675" t="n"/>
      <c r="AH466" s="1675" t="n"/>
      <c r="AI466" s="1675" t="n"/>
      <c r="AJ466" s="1675" t="n"/>
      <c r="AK466" s="1674" t="n"/>
      <c r="AL466" s="1675" t="n"/>
      <c r="AM466" s="1675" t="n"/>
      <c r="AN466" s="1675" t="n"/>
      <c r="AO466" s="1675" t="n"/>
      <c r="AP466" s="1674" t="n"/>
      <c r="AQ466" s="1675" t="n"/>
      <c r="AR466" s="1675" t="n"/>
      <c r="AS466" s="1675" t="n"/>
      <c r="AT466" s="1675" t="n"/>
      <c r="AU466" s="1674" t="n"/>
      <c r="AV466" s="1675" t="n"/>
      <c r="AW466" s="1675" t="n"/>
      <c r="AX466" s="1675" t="n"/>
      <c r="AY466" s="1675" t="n"/>
      <c r="AZ466" s="1674" t="n"/>
      <c r="BA466" s="1675" t="n"/>
      <c r="BB466" s="1675" t="n"/>
      <c r="BC466" s="1675" t="n"/>
      <c r="BD466" s="1675" t="n"/>
      <c r="BE466" s="1674" t="n"/>
      <c r="BF466" s="1675" t="n"/>
      <c r="BG466" s="1675" t="n"/>
      <c r="BH466" s="1675" t="n"/>
      <c r="BI466" s="1675" t="n"/>
      <c r="BJ466" s="1674" t="n"/>
      <c r="BK466" s="1675" t="n"/>
      <c r="BL466" s="1675" t="n"/>
      <c r="BM466" s="1675" t="n"/>
      <c r="BN466" s="1675" t="n"/>
      <c r="BO466" s="1678" t="n"/>
      <c r="BP466" s="1675" t="n"/>
      <c r="BQ466" s="1675" t="n"/>
      <c r="BR466" s="1675" t="n"/>
      <c r="BS466" s="1675" t="n"/>
      <c r="BT466" s="1674" t="n"/>
      <c r="BU466" s="1675" t="n"/>
      <c r="BV466" s="1675" t="n"/>
      <c r="BW466" s="1675" t="n"/>
      <c r="BX466" s="1675" t="n"/>
      <c r="BY466" s="1674" t="n"/>
      <c r="BZ466" s="1674" t="n"/>
      <c r="CA466" s="1674" t="n"/>
      <c r="CB466" s="1674" t="n"/>
      <c r="CC466" s="1582" t="n"/>
    </row>
    <row r="467" collapsed="1" ht="15" customFormat="1" customHeight="1" s="1561">
      <c r="A467" s="1704" t="n"/>
      <c r="B467" s="1705" t="n"/>
      <c r="C467" s="1637" t="n"/>
      <c r="D467" s="1637" t="n"/>
      <c r="E467" s="1637" t="n"/>
      <c r="F467" s="1637" t="n"/>
      <c r="G467" s="1637" t="n"/>
      <c r="H467" s="1562" t="n"/>
      <c r="I467" s="1562" t="n"/>
      <c r="J467" s="1562" t="n"/>
      <c r="K467" s="1562" t="n"/>
      <c r="L467" s="1637" t="n"/>
      <c r="M467" s="1562" t="n"/>
      <c r="N467" s="1562" t="n"/>
      <c r="O467" s="1562" t="n"/>
      <c r="P467" s="1562" t="n"/>
      <c r="Q467" s="1637" t="n"/>
      <c r="R467" s="1562" t="n"/>
      <c r="S467" s="1562" t="n"/>
      <c r="T467" s="1562" t="n"/>
      <c r="U467" s="1562" t="n"/>
      <c r="V467" s="1637" t="n"/>
      <c r="W467" s="1562" t="n"/>
      <c r="X467" s="1562" t="n"/>
      <c r="Y467" s="1562" t="n"/>
      <c r="Z467" s="1562" t="n"/>
      <c r="AA467" s="1637" t="n"/>
      <c r="AB467" s="1562" t="n"/>
      <c r="AC467" s="1562" t="n"/>
      <c r="AD467" s="1562" t="n"/>
      <c r="AE467" s="1562" t="n"/>
      <c r="AF467" s="1637" t="n"/>
      <c r="AG467" s="1562" t="n"/>
      <c r="AH467" s="1562" t="n"/>
      <c r="AI467" s="1562" t="n"/>
      <c r="AJ467" s="1562" t="n"/>
      <c r="AK467" s="1637" t="n"/>
      <c r="AL467" s="1562" t="n"/>
      <c r="AM467" s="1562" t="n"/>
      <c r="AN467" s="1562" t="n"/>
      <c r="AO467" s="1562" t="n"/>
      <c r="AP467" s="1637" t="n"/>
      <c r="AQ467" s="1562" t="n"/>
      <c r="AR467" s="1562" t="n"/>
      <c r="AS467" s="1562" t="n"/>
      <c r="AT467" s="1562" t="n"/>
      <c r="AU467" s="1637" t="n"/>
      <c r="AV467" s="1562" t="n"/>
      <c r="AW467" s="1562" t="n"/>
      <c r="AX467" s="1562" t="n"/>
      <c r="AY467" s="1562" t="n"/>
      <c r="AZ467" s="1637" t="n"/>
      <c r="BA467" s="1562" t="n"/>
      <c r="BB467" s="1562" t="n"/>
      <c r="BC467" s="1562" t="n"/>
      <c r="BD467" s="1562" t="n"/>
      <c r="BE467" s="1637" t="n"/>
      <c r="BF467" s="1562" t="n"/>
      <c r="BG467" s="1562" t="n"/>
      <c r="BH467" s="1562" t="n"/>
      <c r="BI467" s="1562" t="n"/>
      <c r="BJ467" s="1637" t="n"/>
      <c r="BK467" s="1562" t="n"/>
      <c r="BL467" s="1562" t="n"/>
      <c r="BM467" s="1562" t="n"/>
      <c r="BN467" s="1562" t="n"/>
      <c r="BO467" s="1638" t="n"/>
      <c r="BP467" s="1562" t="n"/>
      <c r="BQ467" s="1562" t="n"/>
      <c r="BR467" s="1562" t="n"/>
      <c r="BS467" s="1562" t="n"/>
      <c r="BT467" s="1637" t="n"/>
      <c r="BU467" s="1562" t="n"/>
      <c r="BV467" s="1562" t="n"/>
      <c r="BW467" s="1562" t="n"/>
      <c r="BX467" s="1562" t="n"/>
      <c r="BY467" s="1637" t="n"/>
      <c r="BZ467" s="1637" t="n"/>
      <c r="CA467" s="1637" t="n"/>
      <c r="CB467" s="1637" t="n"/>
      <c r="CC467" s="1564" t="n"/>
    </row>
    <row r="468" ht="15" customFormat="1" customHeight="1" s="1628">
      <c r="A468" s="1786" t="inlineStr">
        <is>
          <t>Cumulative Cash Flow Statement</t>
        </is>
      </c>
      <c r="B468" s="1786" t="n"/>
      <c r="C468" s="1786" t="n"/>
      <c r="D468" s="1786" t="n"/>
      <c r="E468" s="1786" t="n"/>
      <c r="F468" s="1786" t="n"/>
      <c r="G468" s="1786" t="n"/>
      <c r="H468" s="1786" t="n"/>
      <c r="I468" s="1786" t="n"/>
      <c r="J468" s="1786" t="n"/>
      <c r="K468" s="1786" t="n"/>
      <c r="L468" s="1786" t="n"/>
      <c r="M468" s="1786" t="n"/>
      <c r="N468" s="1786" t="n"/>
      <c r="O468" s="1786" t="n"/>
      <c r="P468" s="1786" t="n"/>
      <c r="Q468" s="1786" t="n"/>
      <c r="R468" s="1786" t="n"/>
      <c r="S468" s="1786" t="n"/>
      <c r="T468" s="1786" t="n"/>
      <c r="U468" s="1786" t="n"/>
      <c r="V468" s="1786" t="n"/>
      <c r="W468" s="1786" t="n"/>
      <c r="X468" s="1786" t="n"/>
      <c r="Y468" s="1786" t="n"/>
      <c r="Z468" s="1786" t="n"/>
      <c r="AA468" s="1786" t="n"/>
      <c r="AB468" s="1786" t="n"/>
      <c r="AC468" s="1786" t="n"/>
      <c r="AD468" s="1786" t="n"/>
      <c r="AE468" s="1786" t="n"/>
      <c r="AF468" s="1786" t="n"/>
      <c r="AG468" s="1786" t="n"/>
      <c r="AH468" s="1786" t="n"/>
      <c r="AI468" s="1786" t="n"/>
      <c r="AJ468" s="1786" t="n"/>
      <c r="AK468" s="1786" t="n"/>
      <c r="AL468" s="1786" t="n"/>
      <c r="AM468" s="1786" t="n"/>
      <c r="AN468" s="1786" t="n"/>
      <c r="AO468" s="1786" t="n"/>
      <c r="AP468" s="1786" t="n"/>
      <c r="AQ468" s="1786" t="n"/>
      <c r="AR468" s="1786" t="n"/>
      <c r="AS468" s="1786" t="n"/>
      <c r="AT468" s="1786" t="n"/>
      <c r="AU468" s="1786" t="n"/>
      <c r="AV468" s="1786" t="n"/>
      <c r="AW468" s="1786" t="n"/>
      <c r="AX468" s="1786" t="n"/>
      <c r="AY468" s="1786" t="n"/>
      <c r="AZ468" s="1786" t="n"/>
      <c r="BA468" s="1786" t="n"/>
      <c r="BB468" s="1786" t="n"/>
      <c r="BC468" s="1786" t="n"/>
      <c r="BD468" s="1786" t="n"/>
      <c r="BE468" s="1786" t="n"/>
      <c r="BF468" s="1786" t="n"/>
      <c r="BG468" s="1786" t="n"/>
      <c r="BH468" s="1786" t="n"/>
      <c r="BI468" s="1786" t="n"/>
      <c r="BJ468" s="1786" t="n"/>
      <c r="BK468" s="1786" t="n"/>
      <c r="BL468" s="1786" t="n"/>
      <c r="BM468" s="1786" t="n"/>
      <c r="BN468" s="1786" t="n"/>
      <c r="BO468" s="1826" t="n"/>
      <c r="BP468" s="1786" t="n"/>
      <c r="BQ468" s="1786" t="n"/>
      <c r="BR468" s="1786" t="n"/>
      <c r="BS468" s="1786" t="n"/>
      <c r="BT468" s="1786" t="n"/>
      <c r="BU468" s="1786" t="n"/>
      <c r="BV468" s="1786" t="n"/>
      <c r="BW468" s="1786" t="n"/>
      <c r="BX468" s="1786" t="n"/>
      <c r="BY468" s="1786" t="n"/>
      <c r="BZ468" s="1786" t="n"/>
      <c r="CA468" s="1786" t="n"/>
      <c r="CB468" s="1786" t="n"/>
      <c r="CC468" s="1634" t="n"/>
    </row>
    <row r="469" hidden="1" outlineLevel="1" ht="15" customFormat="1" customHeight="1" s="1561">
      <c r="A469" s="1681" t="inlineStr">
        <is>
          <t>CFO</t>
        </is>
      </c>
      <c r="B469" s="1717" t="n"/>
      <c r="C469" s="1637" t="n"/>
      <c r="D469" s="1637" t="n"/>
      <c r="E469" s="1637" t="n"/>
      <c r="F469" s="1637" t="n"/>
      <c r="G469" s="1637" t="n"/>
      <c r="H469" s="1562" t="n"/>
      <c r="I469" s="1562" t="n"/>
      <c r="J469" s="1562" t="n"/>
      <c r="K469" s="1562" t="n"/>
      <c r="L469" s="1637" t="n"/>
      <c r="M469" s="1562" t="n"/>
      <c r="N469" s="1562" t="n"/>
      <c r="O469" s="1562" t="n"/>
      <c r="P469" s="1562" t="n"/>
      <c r="Q469" s="1637" t="n"/>
      <c r="R469" s="1562" t="n"/>
      <c r="S469" s="1562" t="n"/>
      <c r="T469" s="1562" t="n"/>
      <c r="U469" s="1562" t="n"/>
      <c r="V469" s="1637" t="n"/>
      <c r="W469" s="1562" t="n"/>
      <c r="X469" s="1562" t="n"/>
      <c r="Y469" s="1562" t="n"/>
      <c r="Z469" s="1562" t="n"/>
      <c r="AA469" s="1637" t="n"/>
      <c r="AB469" s="1562" t="n"/>
      <c r="AC469" s="1562" t="n"/>
      <c r="AD469" s="1562" t="n"/>
      <c r="AE469" s="1562" t="n"/>
      <c r="AF469" s="1637" t="n"/>
      <c r="AG469" s="1562" t="n"/>
      <c r="AH469" s="1562" t="n"/>
      <c r="AI469" s="1562" t="n"/>
      <c r="AJ469" s="1562" t="n"/>
      <c r="AK469" s="1637" t="n"/>
      <c r="AL469" s="1562" t="n"/>
      <c r="AM469" s="1562" t="n"/>
      <c r="AN469" s="1562" t="n"/>
      <c r="AO469" s="1562" t="n"/>
      <c r="AP469" s="1637" t="n"/>
      <c r="AQ469" s="1562" t="n"/>
      <c r="AR469" s="1562" t="n"/>
      <c r="AS469" s="1562" t="n"/>
      <c r="AT469" s="1562" t="n"/>
      <c r="AU469" s="1637" t="n"/>
      <c r="AV469" s="1562" t="n"/>
      <c r="AW469" s="1562" t="n"/>
      <c r="AX469" s="1562" t="n"/>
      <c r="AY469" s="1562" t="n"/>
      <c r="AZ469" s="1637" t="n"/>
      <c r="BA469" s="1562" t="n"/>
      <c r="BB469" s="1562" t="n"/>
      <c r="BC469" s="1562" t="n"/>
      <c r="BD469" s="1562" t="n"/>
      <c r="BE469" s="1637" t="n"/>
      <c r="BF469" s="1562" t="n"/>
      <c r="BG469" s="1562" t="n"/>
      <c r="BH469" s="1562" t="n"/>
      <c r="BI469" s="1562" t="n"/>
      <c r="BJ469" s="1637" t="n"/>
      <c r="BK469" s="1562" t="n"/>
      <c r="BL469" s="1562" t="n"/>
      <c r="BM469" s="1562" t="n"/>
      <c r="BN469" s="1562" t="n"/>
      <c r="BO469" s="1638" t="n"/>
      <c r="BP469" s="1562" t="n"/>
      <c r="BQ469" s="1562" t="n"/>
      <c r="BR469" s="1562" t="n"/>
      <c r="BS469" s="1562" t="n"/>
      <c r="BT469" s="1637" t="n"/>
      <c r="BU469" s="1562" t="n"/>
      <c r="BV469" s="1562" t="n"/>
      <c r="BW469" s="1562" t="n"/>
      <c r="BX469" s="1562" t="n"/>
      <c r="BY469" s="1637" t="n"/>
      <c r="BZ469" s="1637" t="n"/>
      <c r="CA469" s="1637" t="n"/>
      <c r="CB469" s="1637" t="n"/>
      <c r="CC469" s="1564" t="n"/>
    </row>
    <row r="470" hidden="1" outlineLevel="1" ht="15" customFormat="1" customHeight="1" s="1561">
      <c r="A470" s="1721" t="inlineStr">
        <is>
          <t>Net income</t>
        </is>
      </c>
      <c r="B470" s="1705" t="n"/>
      <c r="C470" s="1787" t="n">
        <v>-150.925</v>
      </c>
      <c r="D470" s="1787" t="n">
        <v>1021.82</v>
      </c>
      <c r="E470" s="1787" t="n">
        <v>1466.96</v>
      </c>
      <c r="F470" s="1787" t="n">
        <v>1146.316</v>
      </c>
      <c r="G470" s="1787" t="n">
        <v>1015.49</v>
      </c>
      <c r="H470" s="1861" t="n">
        <v>249.1</v>
      </c>
      <c r="I470" s="1861" t="n">
        <v>647.8</v>
      </c>
      <c r="J470" s="1861" t="n">
        <v>891.8</v>
      </c>
      <c r="K470" s="1863">
        <f>L470</f>
        <v/>
      </c>
      <c r="L470" s="1787" t="n">
        <v>1196.64</v>
      </c>
      <c r="M470" s="1861" t="n">
        <v>402.7</v>
      </c>
      <c r="N470" s="1861" t="n">
        <v>772.4</v>
      </c>
      <c r="O470" s="1861" t="n">
        <v>1094.8</v>
      </c>
      <c r="P470" s="1863">
        <f>Q470</f>
        <v/>
      </c>
      <c r="Q470" s="1787" t="n">
        <v>1387.174</v>
      </c>
      <c r="R470" s="1861" t="n">
        <v>198</v>
      </c>
      <c r="S470" s="1714" t="n">
        <v>551.8</v>
      </c>
      <c r="T470" s="1714" t="n">
        <v>947.7</v>
      </c>
      <c r="U470" s="1564">
        <f>V470</f>
        <v/>
      </c>
      <c r="V470" s="1706" t="n">
        <v>1471.9</v>
      </c>
      <c r="W470" s="1714" t="n">
        <v>452.1</v>
      </c>
      <c r="X470" s="1714" t="n">
        <v>918.4</v>
      </c>
      <c r="Y470" s="1714" t="n">
        <v>1475.5</v>
      </c>
      <c r="Z470" s="1564">
        <f>AA470</f>
        <v/>
      </c>
      <c r="AA470" s="1706" t="n">
        <v>2118.5</v>
      </c>
      <c r="AB470" s="1714" t="n">
        <v>539.7</v>
      </c>
      <c r="AC470" s="1714" t="n">
        <v>1123.7</v>
      </c>
      <c r="AD470" s="1714" t="n">
        <v>1804.1</v>
      </c>
      <c r="AE470" s="1564">
        <f>AF470</f>
        <v/>
      </c>
      <c r="AF470" s="1706" t="n">
        <v>2591.6</v>
      </c>
      <c r="AG470" s="1714" t="n">
        <v>355.4</v>
      </c>
      <c r="AH470" s="1714" t="n">
        <v>831.4</v>
      </c>
      <c r="AI470" s="1714" t="n">
        <v>1458.2</v>
      </c>
      <c r="AJ470" s="1564">
        <f>AK470</f>
        <v/>
      </c>
      <c r="AK470" s="1706" t="n">
        <v>2592.3</v>
      </c>
      <c r="AL470" s="1714" t="n">
        <v>390.6</v>
      </c>
      <c r="AM470" s="1714" t="n">
        <v>1141.6</v>
      </c>
      <c r="AN470" s="1714" t="n">
        <v>2203.1</v>
      </c>
      <c r="AO470" s="1564">
        <f>AP470</f>
        <v/>
      </c>
      <c r="AP470" s="1706" t="n">
        <v>3553.7</v>
      </c>
      <c r="AQ470" s="1714" t="n">
        <v>1331.4</v>
      </c>
      <c r="AR470" s="1714" t="n">
        <v>2369.6</v>
      </c>
      <c r="AS470" s="1714" t="n">
        <v>4109.8</v>
      </c>
      <c r="AT470" s="1564">
        <f>AU470</f>
        <v/>
      </c>
      <c r="AU470" s="1706" t="n">
        <v>5883.2</v>
      </c>
      <c r="AV470" s="1714" t="n">
        <v>695.3</v>
      </c>
      <c r="AW470" s="1714" t="n">
        <v>2106.2</v>
      </c>
      <c r="AX470" s="1714" t="n">
        <v>3807.7</v>
      </c>
      <c r="AY470" s="1564">
        <f>AZ470</f>
        <v/>
      </c>
      <c r="AZ470" s="1706" t="n">
        <v>5624.2</v>
      </c>
      <c r="BA470" s="1714" t="n">
        <v>1955.8</v>
      </c>
      <c r="BB470" s="1714" t="n">
        <v>3897.5</v>
      </c>
      <c r="BC470" s="1714" t="n">
        <v>5790.9</v>
      </c>
      <c r="BD470" s="1564">
        <f>BE470</f>
        <v/>
      </c>
      <c r="BE470" s="1706" t="n">
        <v>7839</v>
      </c>
      <c r="BF470" s="1714" t="n">
        <v>1223.8</v>
      </c>
      <c r="BG470" s="1714" t="n">
        <v>2801.7</v>
      </c>
      <c r="BH470" s="1714" t="n">
        <v>4878.2</v>
      </c>
      <c r="BI470" s="1564">
        <f>BJ470</f>
        <v/>
      </c>
      <c r="BJ470" s="1706" t="n">
        <v>7571.6</v>
      </c>
      <c r="BK470" s="1714" t="n">
        <v>2355</v>
      </c>
      <c r="BL470" s="1714" t="n">
        <v>4645.3</v>
      </c>
      <c r="BM470" s="1714" t="n">
        <v>6769.8</v>
      </c>
      <c r="BN470" s="1564">
        <f>BO470</f>
        <v/>
      </c>
      <c r="BO470" s="1788" t="n">
        <v>9609.4</v>
      </c>
      <c r="BP470" s="1562" t="n"/>
      <c r="BQ470" s="1562" t="n"/>
      <c r="BR470" s="1562" t="n"/>
      <c r="BS470" s="1562" t="n"/>
      <c r="BT470" s="1637" t="n"/>
      <c r="BU470" s="1562" t="n"/>
      <c r="BV470" s="1562" t="n"/>
      <c r="BW470" s="1562" t="n"/>
      <c r="BX470" s="1562" t="n"/>
      <c r="BY470" s="1637" t="n"/>
      <c r="BZ470" s="1637" t="n"/>
      <c r="CA470" s="1637" t="n"/>
      <c r="CB470" s="1637" t="n"/>
      <c r="CC470" s="1564" t="n"/>
    </row>
    <row r="471" hidden="1" outlineLevel="1" ht="15" customFormat="1" customHeight="1" s="1561">
      <c r="A471" s="1721" t="inlineStr">
        <is>
          <t>Depreciation and amortization</t>
        </is>
      </c>
      <c r="B471" s="1705" t="n"/>
      <c r="C471" s="1787" t="n">
        <v>141.631</v>
      </c>
      <c r="D471" s="1787" t="n">
        <v>151.444</v>
      </c>
      <c r="E471" s="1787" t="n">
        <v>165.185</v>
      </c>
      <c r="F471" s="1787" t="n">
        <v>186.62</v>
      </c>
      <c r="G471" s="1787" t="n">
        <v>228.775</v>
      </c>
      <c r="H471" s="1861" t="n">
        <v>64.7</v>
      </c>
      <c r="I471" s="1861" t="n">
        <v>131.7</v>
      </c>
      <c r="J471" s="1861" t="n">
        <v>192.1</v>
      </c>
      <c r="K471" s="1863">
        <f>L471</f>
        <v/>
      </c>
      <c r="L471" s="1787" t="n">
        <v>254.644</v>
      </c>
      <c r="M471" s="1861" t="n">
        <v>66.09999999999999</v>
      </c>
      <c r="N471" s="1861" t="n">
        <v>138.9</v>
      </c>
      <c r="O471" s="1861" t="n">
        <v>216.4</v>
      </c>
      <c r="P471" s="1863">
        <f>Q471</f>
        <v/>
      </c>
      <c r="Q471" s="1787" t="n">
        <v>296.884</v>
      </c>
      <c r="R471" s="1861" t="n">
        <v>82</v>
      </c>
      <c r="S471" s="1714" t="n">
        <v>166.1</v>
      </c>
      <c r="T471" s="1714" t="n">
        <v>253.8</v>
      </c>
      <c r="U471" s="1564">
        <f>V471</f>
        <v/>
      </c>
      <c r="V471" s="1706" t="n">
        <v>356.9</v>
      </c>
      <c r="W471" s="1714" t="n">
        <v>110.1</v>
      </c>
      <c r="X471" s="1714" t="n">
        <v>214</v>
      </c>
      <c r="Y471" s="1714" t="n">
        <v>315.2</v>
      </c>
      <c r="Z471" s="1564">
        <f>AA471</f>
        <v/>
      </c>
      <c r="AA471" s="1706" t="n">
        <v>417.5</v>
      </c>
      <c r="AB471" s="1714" t="n">
        <v>102.6</v>
      </c>
      <c r="AC471" s="1714" t="n">
        <v>202.3</v>
      </c>
      <c r="AD471" s="1714" t="n">
        <v>312.3</v>
      </c>
      <c r="AE471" s="1564">
        <f>AF471</f>
        <v/>
      </c>
      <c r="AF471" s="1706" t="n">
        <v>422.7</v>
      </c>
      <c r="AG471" s="1714" t="n">
        <v>104.8</v>
      </c>
      <c r="AH471" s="1714" t="n">
        <v>213.2</v>
      </c>
      <c r="AI471" s="1714" t="n">
        <v>325.6</v>
      </c>
      <c r="AJ471" s="1564">
        <f>AK471</f>
        <v/>
      </c>
      <c r="AK471" s="1706" t="n">
        <v>448.5</v>
      </c>
      <c r="AL471" s="1714" t="n">
        <v>118.3</v>
      </c>
      <c r="AM471" s="1714" t="n">
        <v>243.4</v>
      </c>
      <c r="AN471" s="1714" t="n">
        <v>365.4</v>
      </c>
      <c r="AO471" s="1564">
        <f>AP471</f>
        <v/>
      </c>
      <c r="AP471" s="1706" t="n">
        <v>490.8</v>
      </c>
      <c r="AQ471" s="1714" t="n">
        <v>117.9</v>
      </c>
      <c r="AR471" s="1714" t="n">
        <v>230.6</v>
      </c>
      <c r="AS471" s="1714" t="n">
        <v>346.8</v>
      </c>
      <c r="AT471" s="1564">
        <f>AU471</f>
        <v/>
      </c>
      <c r="AU471" s="1706" t="n">
        <v>471</v>
      </c>
      <c r="AV471" s="1714" t="n">
        <v>131</v>
      </c>
      <c r="AW471" s="1714" t="n">
        <v>262.5</v>
      </c>
      <c r="AX471" s="1714" t="n">
        <v>400.4</v>
      </c>
      <c r="AY471" s="1564">
        <f>AZ471</f>
        <v/>
      </c>
      <c r="AZ471" s="1706" t="n">
        <v>583.6</v>
      </c>
      <c r="BA471" s="1714" t="n">
        <v>170.3</v>
      </c>
      <c r="BB471" s="1714" t="n">
        <v>351.5</v>
      </c>
      <c r="BC471" s="1714" t="n">
        <v>527.7</v>
      </c>
      <c r="BD471" s="1564">
        <f>BE471</f>
        <v/>
      </c>
      <c r="BE471" s="1706" t="n">
        <v>739.8</v>
      </c>
      <c r="BF471" s="1714" t="n">
        <v>214.4</v>
      </c>
      <c r="BG471" s="1714" t="n">
        <v>441.9</v>
      </c>
      <c r="BH471" s="1714" t="n">
        <v>677.6</v>
      </c>
      <c r="BI471" s="1564">
        <f>BJ471</f>
        <v/>
      </c>
      <c r="BJ471" s="1706" t="n">
        <v>918.6</v>
      </c>
      <c r="BK471" s="1714" t="n">
        <v>241.3</v>
      </c>
      <c r="BL471" s="1714" t="n">
        <v>496.2</v>
      </c>
      <c r="BM471" s="1714" t="n">
        <v>770.8</v>
      </c>
      <c r="BN471" s="1564">
        <f>BO471</f>
        <v/>
      </c>
      <c r="BO471" s="1788" t="n">
        <v>1025.9</v>
      </c>
      <c r="BP471" s="1562" t="n"/>
      <c r="BQ471" s="1562" t="n"/>
      <c r="BR471" s="1562" t="n"/>
      <c r="BS471" s="1562" t="n"/>
      <c r="BT471" s="1637" t="n"/>
      <c r="BU471" s="1562" t="n"/>
      <c r="BV471" s="1562" t="n"/>
      <c r="BW471" s="1562" t="n"/>
      <c r="BX471" s="1562" t="n"/>
      <c r="BY471" s="1637" t="n"/>
      <c r="BZ471" s="1637" t="n"/>
      <c r="CA471" s="1637" t="n"/>
      <c r="CB471" s="1637" t="n"/>
      <c r="CC471" s="1564" t="n"/>
    </row>
    <row r="472" hidden="1" outlineLevel="1" ht="15" customFormat="1" customHeight="1" s="1561">
      <c r="A472" s="1721" t="inlineStr">
        <is>
          <t>Impairment</t>
        </is>
      </c>
      <c r="B472" s="1705" t="n"/>
      <c r="C472" s="1787" t="n">
        <v>15.896</v>
      </c>
      <c r="D472" s="1787" t="n">
        <v>8.563000000000001</v>
      </c>
      <c r="E472" s="1787" t="n">
        <v>12.272</v>
      </c>
      <c r="F472" s="1787" t="n">
        <v>3.234</v>
      </c>
      <c r="G472" s="1787" t="n">
        <v>13.057</v>
      </c>
      <c r="H472" s="1861" t="n">
        <v>3.9</v>
      </c>
      <c r="I472" s="1861" t="n">
        <v>6.4</v>
      </c>
      <c r="J472" s="1861" t="n">
        <v>10</v>
      </c>
      <c r="K472" s="1863">
        <f>L472</f>
        <v/>
      </c>
      <c r="L472" s="1787" t="n">
        <v>10.528</v>
      </c>
      <c r="M472" s="1970" t="n"/>
      <c r="N472" s="1861" t="n">
        <v>0.6</v>
      </c>
      <c r="O472" s="1861" t="n">
        <v>0.8</v>
      </c>
      <c r="P472" s="1863">
        <f>Q472</f>
        <v/>
      </c>
      <c r="Q472" s="1787" t="n">
        <v>2.287</v>
      </c>
      <c r="R472" s="1861" t="n">
        <v>0.5</v>
      </c>
      <c r="S472" s="1714" t="n">
        <v>0.9</v>
      </c>
      <c r="T472" s="1714" t="n">
        <v>2.3</v>
      </c>
      <c r="U472" s="1564">
        <f>V472</f>
        <v/>
      </c>
      <c r="V472" s="1706" t="n">
        <v>3.5</v>
      </c>
      <c r="W472" s="1714" t="n">
        <v>0.2</v>
      </c>
      <c r="X472" s="1714" t="n">
        <v>7.8</v>
      </c>
      <c r="Y472" s="1714" t="n">
        <v>7.8</v>
      </c>
      <c r="Z472" s="1564">
        <f>AA472</f>
        <v/>
      </c>
      <c r="AA472" s="1706" t="n">
        <v>9</v>
      </c>
      <c r="AB472" s="1714" t="n">
        <v>2</v>
      </c>
      <c r="AC472" s="1714" t="n">
        <v>4.6</v>
      </c>
      <c r="AD472" s="1714" t="n">
        <v>5.8</v>
      </c>
      <c r="AE472" s="1564">
        <f>AF472</f>
        <v/>
      </c>
      <c r="AF472" s="1706" t="n">
        <v>15.4</v>
      </c>
      <c r="AG472" s="1714" t="n">
        <v>2.7</v>
      </c>
      <c r="AH472" s="1714" t="n">
        <v>2.7</v>
      </c>
      <c r="AI472" s="1714" t="n">
        <v>4.7</v>
      </c>
      <c r="AJ472" s="1564">
        <f>AK472</f>
        <v/>
      </c>
      <c r="AK472" s="1706" t="n">
        <v>4.7</v>
      </c>
      <c r="AL472" s="1714" t="n">
        <v>2.7</v>
      </c>
      <c r="AM472" s="1714" t="n">
        <v>2.7</v>
      </c>
      <c r="AN472" s="1714" t="n">
        <v>2.7</v>
      </c>
      <c r="AO472" s="1564">
        <f>AP472</f>
        <v/>
      </c>
      <c r="AP472" s="1706" t="n">
        <v>2.7</v>
      </c>
      <c r="AQ472" s="1562" t="n"/>
      <c r="AR472" s="1562" t="n"/>
      <c r="AS472" s="1562" t="n"/>
      <c r="AT472" s="1564">
        <f>AU472</f>
        <v/>
      </c>
      <c r="AU472" s="1637" t="n"/>
      <c r="AV472" s="1562" t="n"/>
      <c r="AW472" s="1562" t="n"/>
      <c r="AX472" s="1562" t="n"/>
      <c r="AY472" s="1564">
        <f>AZ472</f>
        <v/>
      </c>
      <c r="AZ472" s="1637" t="n"/>
      <c r="BA472" s="1562" t="n"/>
      <c r="BB472" s="1562" t="n"/>
      <c r="BC472" s="1562" t="n"/>
      <c r="BD472" s="1564">
        <f>BE472</f>
        <v/>
      </c>
      <c r="BE472" s="1637" t="n"/>
      <c r="BF472" s="1562" t="n"/>
      <c r="BG472" s="1562" t="n"/>
      <c r="BH472" s="1562" t="n"/>
      <c r="BI472" s="1564">
        <f>BJ472</f>
        <v/>
      </c>
      <c r="BJ472" s="1637" t="n"/>
      <c r="BK472" s="1562" t="n"/>
      <c r="BL472" s="1562" t="n"/>
      <c r="BM472" s="1562" t="n"/>
      <c r="BN472" s="1564">
        <f>BO472</f>
        <v/>
      </c>
      <c r="BO472" s="1638" t="n"/>
      <c r="BP472" s="1562" t="n"/>
      <c r="BQ472" s="1562" t="n"/>
      <c r="BR472" s="1562" t="n"/>
      <c r="BS472" s="1562" t="n"/>
      <c r="BT472" s="1637" t="n"/>
      <c r="BU472" s="1562" t="n"/>
      <c r="BV472" s="1562" t="n"/>
      <c r="BW472" s="1562" t="n"/>
      <c r="BX472" s="1562" t="n"/>
      <c r="BY472" s="1637" t="n"/>
      <c r="BZ472" s="1637" t="n"/>
      <c r="CA472" s="1637" t="n"/>
      <c r="CB472" s="1637" t="n"/>
      <c r="CC472" s="1564" t="n"/>
    </row>
    <row r="473" hidden="1" outlineLevel="1" ht="15" customFormat="1" customHeight="1" s="1561">
      <c r="A473" s="1721" t="inlineStr">
        <is>
          <t>Loss on disposal of property, plant and equipment</t>
        </is>
      </c>
      <c r="B473" s="1705" t="n"/>
      <c r="C473" s="1787" t="n">
        <v>4.053</v>
      </c>
      <c r="D473" s="1787" t="n">
        <v>2.913</v>
      </c>
      <c r="E473" s="1787" t="n">
        <v>3.368</v>
      </c>
      <c r="F473" s="1787" t="n">
        <v>2.272</v>
      </c>
      <c r="G473" s="1787" t="n">
        <v>2.823</v>
      </c>
      <c r="H473" s="1861" t="n">
        <v>0.7</v>
      </c>
      <c r="I473" s="1861" t="n">
        <v>1.2</v>
      </c>
      <c r="J473" s="1861" t="n">
        <v>2.1</v>
      </c>
      <c r="K473" s="1863">
        <f>L473</f>
        <v/>
      </c>
      <c r="L473" s="1787" t="n">
        <v>3.502</v>
      </c>
      <c r="M473" s="1861" t="n">
        <v>0.9</v>
      </c>
      <c r="N473" s="1861" t="n">
        <v>1.3</v>
      </c>
      <c r="O473" s="1861" t="n">
        <v>1.6</v>
      </c>
      <c r="P473" s="1863">
        <f>Q473</f>
        <v/>
      </c>
      <c r="Q473" s="1787" t="n">
        <v>1.63</v>
      </c>
      <c r="R473" s="1861" t="n">
        <v>1.2</v>
      </c>
      <c r="S473" s="1714" t="n">
        <v>2.1</v>
      </c>
      <c r="T473" s="1714" t="n">
        <v>3.8</v>
      </c>
      <c r="U473" s="1564">
        <f>V473</f>
        <v/>
      </c>
      <c r="V473" s="1706" t="n">
        <v>5.2</v>
      </c>
      <c r="W473" s="1714" t="n">
        <v>0.3</v>
      </c>
      <c r="X473" s="1714" t="n">
        <v>1.1</v>
      </c>
      <c r="Y473" s="1714" t="n">
        <v>1.2</v>
      </c>
      <c r="Z473" s="1564">
        <f>AA473</f>
        <v/>
      </c>
      <c r="AA473" s="1706" t="n">
        <v>2.8</v>
      </c>
      <c r="AB473" s="1714" t="n">
        <v>0.4</v>
      </c>
      <c r="AC473" s="1714" t="n">
        <v>3.4</v>
      </c>
      <c r="AD473" s="1714" t="n">
        <v>3.5</v>
      </c>
      <c r="AE473" s="1564">
        <f>AF473</f>
        <v/>
      </c>
      <c r="AF473" s="1706" t="n">
        <v>3.6</v>
      </c>
      <c r="AG473" s="1714" t="n">
        <v>0.6</v>
      </c>
      <c r="AH473" s="1714" t="n">
        <v>2</v>
      </c>
      <c r="AI473" s="1714" t="n">
        <v>2.3</v>
      </c>
      <c r="AJ473" s="1564">
        <f>AK473</f>
        <v/>
      </c>
      <c r="AK473" s="1706" t="n">
        <v>3.1</v>
      </c>
      <c r="AL473" s="1714" t="n">
        <v>1</v>
      </c>
      <c r="AM473" s="1714" t="n">
        <v>1.2</v>
      </c>
      <c r="AN473" s="1714" t="n">
        <v>2</v>
      </c>
      <c r="AO473" s="1564">
        <f>AP473</f>
        <v/>
      </c>
      <c r="AP473" s="1706" t="n">
        <v>2.8</v>
      </c>
      <c r="AQ473" s="1714" t="n">
        <v>6.2</v>
      </c>
      <c r="AR473" s="1714" t="n">
        <v>6.4</v>
      </c>
      <c r="AS473" s="1714" t="n">
        <v>-33.4</v>
      </c>
      <c r="AT473" s="1564">
        <f>AU473</f>
        <v/>
      </c>
      <c r="AU473" s="1706" t="n">
        <v>-15.9</v>
      </c>
      <c r="AV473" s="1714" t="n">
        <v>12.1</v>
      </c>
      <c r="AW473" s="1714" t="n">
        <v>12.4</v>
      </c>
      <c r="AX473" s="1714" t="n">
        <v>25.6</v>
      </c>
      <c r="AY473" s="1564">
        <f>AZ473</f>
        <v/>
      </c>
      <c r="AZ473" s="1706" t="n">
        <v>39.3</v>
      </c>
      <c r="BA473" s="1714" t="n">
        <v>3.2</v>
      </c>
      <c r="BB473" s="1714" t="n">
        <v>7.1</v>
      </c>
      <c r="BC473" s="1714" t="n">
        <v>27.5</v>
      </c>
      <c r="BD473" s="1564">
        <f>BE473</f>
        <v/>
      </c>
      <c r="BE473" s="1706" t="n">
        <v>37.5</v>
      </c>
      <c r="BF473" s="1714" t="n">
        <v>4.2</v>
      </c>
      <c r="BG473" s="1714" t="n">
        <v>17.9</v>
      </c>
      <c r="BH473" s="1714" t="n">
        <v>24.7</v>
      </c>
      <c r="BI473" s="1564">
        <f>BJ473</f>
        <v/>
      </c>
      <c r="BJ473" s="1706" t="n">
        <v>35.8</v>
      </c>
      <c r="BK473" s="1714" t="n">
        <v>2.1</v>
      </c>
      <c r="BL473" s="1714" t="n">
        <v>18.6</v>
      </c>
      <c r="BM473" s="1714" t="n">
        <v>21.7</v>
      </c>
      <c r="BN473" s="1564">
        <f>BO473</f>
        <v/>
      </c>
      <c r="BO473" s="1788" t="n">
        <v>49.7</v>
      </c>
      <c r="BP473" s="1562" t="n"/>
      <c r="BQ473" s="1562" t="n"/>
      <c r="BR473" s="1562" t="n"/>
      <c r="BS473" s="1562" t="n"/>
      <c r="BT473" s="1637" t="n"/>
      <c r="BU473" s="1562" t="n"/>
      <c r="BV473" s="1562" t="n"/>
      <c r="BW473" s="1562" t="n"/>
      <c r="BX473" s="1562" t="n"/>
      <c r="BY473" s="1637" t="n"/>
      <c r="BZ473" s="1637" t="n"/>
      <c r="CA473" s="1637" t="n"/>
      <c r="CB473" s="1637" t="n"/>
      <c r="CC473" s="1564" t="n"/>
    </row>
    <row r="474" hidden="1" outlineLevel="1" ht="15" customFormat="1" customHeight="1" s="1561">
      <c r="A474" s="1721" t="inlineStr">
        <is>
          <t>Share-based payments</t>
        </is>
      </c>
      <c r="B474" s="1705" t="n"/>
      <c r="C474" s="1787" t="n">
        <v>13.394</v>
      </c>
      <c r="D474" s="1787" t="n">
        <v>12.109</v>
      </c>
      <c r="E474" s="1787" t="n">
        <v>12.43</v>
      </c>
      <c r="F474" s="1787" t="n">
        <v>18.714</v>
      </c>
      <c r="G474" s="1787" t="n">
        <v>52.371</v>
      </c>
      <c r="H474" s="1861" t="n">
        <v>23.1</v>
      </c>
      <c r="I474" s="1861" t="n">
        <v>36.6</v>
      </c>
      <c r="J474" s="1861" t="n">
        <v>50.3</v>
      </c>
      <c r="K474" s="1863">
        <f>L474</f>
        <v/>
      </c>
      <c r="L474" s="1787" t="n">
        <v>63.38</v>
      </c>
      <c r="M474" s="1861" t="n">
        <v>14.6</v>
      </c>
      <c r="N474" s="1861" t="n">
        <v>29.6</v>
      </c>
      <c r="O474" s="1861" t="n">
        <v>44.4</v>
      </c>
      <c r="P474" s="1863">
        <f>Q474</f>
        <v/>
      </c>
      <c r="Q474" s="1787" t="n">
        <v>59.07</v>
      </c>
      <c r="R474" s="1861" t="n">
        <v>13.2</v>
      </c>
      <c r="S474" s="1714" t="n">
        <v>24.1</v>
      </c>
      <c r="T474" s="1714" t="n">
        <v>35.7</v>
      </c>
      <c r="U474" s="1564">
        <f>V474</f>
        <v/>
      </c>
      <c r="V474" s="1706" t="n">
        <v>47.7</v>
      </c>
      <c r="W474" s="1714" t="n">
        <v>13.5</v>
      </c>
      <c r="X474" s="1714" t="n">
        <v>23.6</v>
      </c>
      <c r="Y474" s="1714" t="n">
        <v>38.4</v>
      </c>
      <c r="Z474" s="1564">
        <f>AA474</f>
        <v/>
      </c>
      <c r="AA474" s="1706" t="n">
        <v>53.1</v>
      </c>
      <c r="AB474" s="1714" t="n">
        <v>12.2</v>
      </c>
      <c r="AC474" s="1714" t="n">
        <v>21.4</v>
      </c>
      <c r="AD474" s="1714" t="n">
        <v>38</v>
      </c>
      <c r="AE474" s="1564">
        <f>AF474</f>
        <v/>
      </c>
      <c r="AF474" s="1706" t="n">
        <v>46.3</v>
      </c>
      <c r="AG474" s="1714" t="n">
        <v>14.9</v>
      </c>
      <c r="AH474" s="1714" t="n">
        <v>27.4</v>
      </c>
      <c r="AI474" s="1714" t="n">
        <v>45.4</v>
      </c>
      <c r="AJ474" s="1564">
        <f>AK474</f>
        <v/>
      </c>
      <c r="AK474" s="1706" t="n">
        <v>74.59999999999999</v>
      </c>
      <c r="AL474" s="1714" t="n">
        <v>14.9</v>
      </c>
      <c r="AM474" s="1714" t="n">
        <v>25.2</v>
      </c>
      <c r="AN474" s="1714" t="n">
        <v>47.7</v>
      </c>
      <c r="AO474" s="1564">
        <f>AP474</f>
        <v/>
      </c>
      <c r="AP474" s="1706" t="n">
        <v>53.9</v>
      </c>
      <c r="AQ474" s="1714" t="n">
        <v>21</v>
      </c>
      <c r="AR474" s="1714" t="n">
        <v>50</v>
      </c>
      <c r="AS474" s="1714" t="n">
        <v>84</v>
      </c>
      <c r="AT474" s="1564">
        <f>AU474</f>
        <v/>
      </c>
      <c r="AU474" s="1706" t="n">
        <v>117.5</v>
      </c>
      <c r="AV474" s="1714" t="n">
        <v>11.5</v>
      </c>
      <c r="AW474" s="1714" t="n">
        <v>25.4</v>
      </c>
      <c r="AX474" s="1714" t="n">
        <v>47.9</v>
      </c>
      <c r="AY474" s="1564">
        <f>AZ474</f>
        <v/>
      </c>
      <c r="AZ474" s="1706" t="n">
        <v>68.90000000000001</v>
      </c>
      <c r="BA474" s="1714" t="n">
        <v>18.3</v>
      </c>
      <c r="BB474" s="1714" t="n">
        <v>51.7</v>
      </c>
      <c r="BC474" s="1714" t="n">
        <v>93.2</v>
      </c>
      <c r="BD474" s="1564">
        <f>BE474</f>
        <v/>
      </c>
      <c r="BE474" s="1706" t="n">
        <v>134.8</v>
      </c>
      <c r="BF474" s="1714" t="n">
        <v>19.8</v>
      </c>
      <c r="BG474" s="1714" t="n">
        <v>66.3</v>
      </c>
      <c r="BH474" s="1714" t="n">
        <v>119.6</v>
      </c>
      <c r="BI474" s="1564">
        <f>BJ474</f>
        <v/>
      </c>
      <c r="BJ474" s="1706" t="n">
        <v>172.6</v>
      </c>
      <c r="BK474" s="1714" t="n">
        <v>40</v>
      </c>
      <c r="BL474" s="1714" t="n">
        <v>89</v>
      </c>
      <c r="BM474" s="1714" t="n">
        <v>146.7</v>
      </c>
      <c r="BN474" s="1564">
        <f>BO474</f>
        <v/>
      </c>
      <c r="BO474" s="1788" t="n">
        <v>202.3</v>
      </c>
      <c r="BP474" s="1562" t="n"/>
      <c r="BQ474" s="1562" t="n"/>
      <c r="BR474" s="1562" t="n"/>
      <c r="BS474" s="1562" t="n"/>
      <c r="BT474" s="1637" t="n"/>
      <c r="BU474" s="1562" t="n"/>
      <c r="BV474" s="1562" t="n"/>
      <c r="BW474" s="1562" t="n"/>
      <c r="BX474" s="1562" t="n"/>
      <c r="BY474" s="1637" t="n"/>
      <c r="BZ474" s="1637" t="n"/>
      <c r="CA474" s="1637" t="n"/>
      <c r="CB474" s="1637" t="n"/>
      <c r="CC474" s="1564" t="n"/>
    </row>
    <row r="475" hidden="1" outlineLevel="1" ht="15" customFormat="1" customHeight="1" s="1561">
      <c r="A475" s="1721" t="inlineStr">
        <is>
          <t>Gain on sale of subsidiaries</t>
        </is>
      </c>
      <c r="B475" s="1705" t="n"/>
      <c r="C475" s="1804" t="n"/>
      <c r="D475" s="1804" t="n"/>
      <c r="E475" s="1804" t="n"/>
      <c r="F475" s="1804" t="n"/>
      <c r="G475" s="1804" t="n"/>
      <c r="H475" s="1970" t="n"/>
      <c r="I475" s="1970" t="n"/>
      <c r="J475" s="1970" t="n"/>
      <c r="K475" s="1970" t="n"/>
      <c r="L475" s="1804" t="n"/>
      <c r="M475" s="1970" t="n"/>
      <c r="N475" s="1970" t="n"/>
      <c r="O475" s="1970" t="n"/>
      <c r="P475" s="1970" t="n"/>
      <c r="Q475" s="1804" t="n"/>
      <c r="R475" s="1970" t="n"/>
      <c r="S475" s="1562" t="n"/>
      <c r="T475" s="1562" t="n"/>
      <c r="U475" s="1562" t="n"/>
      <c r="V475" s="1637" t="n"/>
      <c r="W475" s="1562" t="n"/>
      <c r="X475" s="1562" t="n"/>
      <c r="Y475" s="1562" t="n"/>
      <c r="Z475" s="1562" t="n"/>
      <c r="AA475" s="1637" t="n"/>
      <c r="AB475" s="1562" t="n"/>
      <c r="AC475" s="1562" t="n"/>
      <c r="AD475" s="1562" t="n"/>
      <c r="AE475" s="1562" t="n"/>
      <c r="AF475" s="1637" t="n"/>
      <c r="AG475" s="1562" t="n"/>
      <c r="AH475" s="1562" t="n"/>
      <c r="AI475" s="1562" t="n"/>
      <c r="AJ475" s="1562" t="n"/>
      <c r="AK475" s="1637" t="n"/>
      <c r="AL475" s="1562" t="n"/>
      <c r="AM475" s="1562" t="n"/>
      <c r="AN475" s="1562" t="n"/>
      <c r="AO475" s="1562" t="n"/>
      <c r="AP475" s="1637" t="n"/>
      <c r="AQ475" s="1562" t="n"/>
      <c r="AR475" s="1562" t="n"/>
      <c r="AS475" s="1562" t="n"/>
      <c r="AT475" s="1564">
        <f>AU475</f>
        <v/>
      </c>
      <c r="AU475" s="1706" t="n">
        <v>-213.7</v>
      </c>
      <c r="AV475" s="1562" t="n"/>
      <c r="AW475" s="1562" t="n"/>
      <c r="AX475" s="1562" t="n"/>
      <c r="AY475" s="1564">
        <f>AZ475</f>
        <v/>
      </c>
      <c r="AZ475" s="1637" t="n"/>
      <c r="BA475" s="1562" t="n"/>
      <c r="BB475" s="1562" t="n"/>
      <c r="BC475" s="1562" t="n"/>
      <c r="BD475" s="1564">
        <f>BE475</f>
        <v/>
      </c>
      <c r="BE475" s="1637" t="n"/>
      <c r="BF475" s="1562" t="n"/>
      <c r="BG475" s="1562" t="n"/>
      <c r="BH475" s="1562" t="n"/>
      <c r="BI475" s="1564">
        <f>BJ475</f>
        <v/>
      </c>
      <c r="BJ475" s="1637" t="n"/>
      <c r="BK475" s="1562" t="n"/>
      <c r="BL475" s="1562" t="n"/>
      <c r="BM475" s="1562" t="n"/>
      <c r="BN475" s="1564">
        <f>BO475</f>
        <v/>
      </c>
      <c r="BO475" s="1638" t="n"/>
      <c r="BP475" s="1562" t="n"/>
      <c r="BQ475" s="1562" t="n"/>
      <c r="BR475" s="1562" t="n"/>
      <c r="BS475" s="1562" t="n"/>
      <c r="BT475" s="1637" t="n"/>
      <c r="BU475" s="1562" t="n"/>
      <c r="BV475" s="1562" t="n"/>
      <c r="BW475" s="1562" t="n"/>
      <c r="BX475" s="1562" t="n"/>
      <c r="BY475" s="1637" t="n"/>
      <c r="BZ475" s="1637" t="n"/>
      <c r="CA475" s="1637" t="n"/>
      <c r="CB475" s="1637" t="n"/>
      <c r="CC475" s="1564" t="n"/>
    </row>
    <row r="476" hidden="1" outlineLevel="1" ht="15" customFormat="1" customHeight="1" s="1561">
      <c r="A476" s="1721" t="inlineStr">
        <is>
          <t>Allowance for doubtful receivables</t>
        </is>
      </c>
      <c r="B476" s="1705" t="n"/>
      <c r="C476" s="1787" t="n">
        <v>1.889</v>
      </c>
      <c r="D476" s="1787" t="n">
        <v>-1.256</v>
      </c>
      <c r="E476" s="1787" t="n">
        <v>0.849</v>
      </c>
      <c r="F476" s="1787" t="n">
        <v>0.458</v>
      </c>
      <c r="G476" s="1787" t="n">
        <v>1.062</v>
      </c>
      <c r="H476" s="1861" t="n">
        <v>0.1</v>
      </c>
      <c r="I476" s="1861" t="n">
        <v>0.2</v>
      </c>
      <c r="J476" s="1861" t="n">
        <v>0.3</v>
      </c>
      <c r="K476" s="1863">
        <f>L476</f>
        <v/>
      </c>
      <c r="L476" s="1787" t="n">
        <v>0.133</v>
      </c>
      <c r="M476" s="1861" t="n">
        <v>0.4</v>
      </c>
      <c r="N476" s="1861" t="n">
        <v>2.1</v>
      </c>
      <c r="O476" s="1861" t="n">
        <v>2.7</v>
      </c>
      <c r="P476" s="1863">
        <f>Q476</f>
        <v/>
      </c>
      <c r="Q476" s="1787" t="n">
        <v>3.87</v>
      </c>
      <c r="R476" s="1861" t="n">
        <v>0.9</v>
      </c>
      <c r="S476" s="1714" t="n">
        <v>1.7</v>
      </c>
      <c r="T476" s="1714" t="n">
        <v>2.4</v>
      </c>
      <c r="U476" s="1564">
        <f>V476</f>
        <v/>
      </c>
      <c r="V476" s="1706" t="n">
        <v>3.2</v>
      </c>
      <c r="W476" s="1714" t="n">
        <v>1.2</v>
      </c>
      <c r="X476" s="1714" t="n">
        <v>2.5</v>
      </c>
      <c r="Y476" s="1714" t="n">
        <v>5.6</v>
      </c>
      <c r="Z476" s="1564">
        <f>AA476</f>
        <v/>
      </c>
      <c r="AA476" s="1706" t="n">
        <v>7.8</v>
      </c>
      <c r="AB476" s="1714" t="n">
        <v>2.4</v>
      </c>
      <c r="AC476" s="1714" t="n">
        <v>5.3</v>
      </c>
      <c r="AD476" s="1714" t="n">
        <v>8</v>
      </c>
      <c r="AE476" s="1564">
        <f>AF476</f>
        <v/>
      </c>
      <c r="AF476" s="1706" t="n">
        <v>11.2</v>
      </c>
      <c r="AG476" s="1714" t="n">
        <v>0.6</v>
      </c>
      <c r="AH476" s="1562" t="n"/>
      <c r="AI476" s="1562" t="n"/>
      <c r="AJ476" s="1564">
        <f>AK476</f>
        <v/>
      </c>
      <c r="AK476" s="1637" t="n"/>
      <c r="AL476" s="1562" t="n"/>
      <c r="AM476" s="1562" t="n"/>
      <c r="AN476" s="1562" t="n"/>
      <c r="AO476" s="1564">
        <f>AP476</f>
        <v/>
      </c>
      <c r="AP476" s="1637" t="n"/>
      <c r="AQ476" s="1562" t="n"/>
      <c r="AR476" s="1562" t="n"/>
      <c r="AS476" s="1562" t="n"/>
      <c r="AT476" s="1564">
        <f>AU476</f>
        <v/>
      </c>
      <c r="AU476" s="1637" t="n"/>
      <c r="AV476" s="1562" t="n"/>
      <c r="AW476" s="1562" t="n"/>
      <c r="AX476" s="1562" t="n"/>
      <c r="AY476" s="1564">
        <f>AZ476</f>
        <v/>
      </c>
      <c r="AZ476" s="1637" t="n"/>
      <c r="BA476" s="1562" t="n"/>
      <c r="BB476" s="1562" t="n"/>
      <c r="BC476" s="1562" t="n"/>
      <c r="BD476" s="1564">
        <f>BE476</f>
        <v/>
      </c>
      <c r="BE476" s="1637" t="n"/>
      <c r="BF476" s="1562" t="n"/>
      <c r="BG476" s="1562" t="n"/>
      <c r="BH476" s="1562" t="n"/>
      <c r="BI476" s="1564">
        <f>BJ476</f>
        <v/>
      </c>
      <c r="BJ476" s="1637" t="n"/>
      <c r="BK476" s="1562" t="n"/>
      <c r="BL476" s="1562" t="n"/>
      <c r="BM476" s="1562" t="n"/>
      <c r="BN476" s="1564">
        <f>BO476</f>
        <v/>
      </c>
      <c r="BO476" s="1638" t="n"/>
      <c r="BP476" s="1562" t="n"/>
      <c r="BQ476" s="1562" t="n"/>
      <c r="BR476" s="1562" t="n"/>
      <c r="BS476" s="1562" t="n"/>
      <c r="BT476" s="1637" t="n"/>
      <c r="BU476" s="1562" t="n"/>
      <c r="BV476" s="1562" t="n"/>
      <c r="BW476" s="1562" t="n"/>
      <c r="BX476" s="1562" t="n"/>
      <c r="BY476" s="1637" t="n"/>
      <c r="BZ476" s="1637" t="n"/>
      <c r="CA476" s="1637" t="n"/>
      <c r="CB476" s="1637" t="n"/>
      <c r="CC476" s="1564" t="n"/>
    </row>
    <row r="477" hidden="1" outlineLevel="1" ht="15" customFormat="1" customHeight="1" s="1561">
      <c r="A477" s="1721" t="inlineStr">
        <is>
          <t>Allowance for obsolete inventory</t>
        </is>
      </c>
      <c r="B477" s="1705" t="n"/>
      <c r="C477" s="1787" t="n">
        <v>86.636</v>
      </c>
      <c r="D477" s="1787" t="n">
        <v>55.691</v>
      </c>
      <c r="E477" s="1787" t="n">
        <v>60.3</v>
      </c>
      <c r="F477" s="1787" t="n">
        <v>130.911</v>
      </c>
      <c r="G477" s="1787" t="n">
        <v>164.852</v>
      </c>
      <c r="H477" s="1861" t="n">
        <v>41.5</v>
      </c>
      <c r="I477" s="1861" t="n">
        <v>86.7</v>
      </c>
      <c r="J477" s="1861" t="n">
        <v>122.5</v>
      </c>
      <c r="K477" s="1863">
        <f>L477</f>
        <v/>
      </c>
      <c r="L477" s="1787" t="n">
        <v>162.821</v>
      </c>
      <c r="M477" s="1861" t="n">
        <v>37</v>
      </c>
      <c r="N477" s="1861" t="n">
        <v>97.3</v>
      </c>
      <c r="O477" s="1861" t="n">
        <v>153.6</v>
      </c>
      <c r="P477" s="1863">
        <f>Q477</f>
        <v/>
      </c>
      <c r="Q477" s="1787" t="n">
        <v>211.801</v>
      </c>
      <c r="R477" s="1861" t="n">
        <v>36.6</v>
      </c>
      <c r="S477" s="1714" t="n">
        <v>59.1</v>
      </c>
      <c r="T477" s="1714" t="n">
        <v>62</v>
      </c>
      <c r="U477" s="1564">
        <f>V477</f>
        <v/>
      </c>
      <c r="V477" s="1706" t="n">
        <v>73</v>
      </c>
      <c r="W477" s="1714" t="n">
        <v>29.3</v>
      </c>
      <c r="X477" s="1714" t="n">
        <v>60.6</v>
      </c>
      <c r="Y477" s="1714" t="n">
        <v>101.2</v>
      </c>
      <c r="Z477" s="1564">
        <f>AA477</f>
        <v/>
      </c>
      <c r="AA477" s="1706" t="n">
        <v>120.1</v>
      </c>
      <c r="AB477" s="1714" t="n">
        <v>59</v>
      </c>
      <c r="AC477" s="1714" t="n">
        <v>100.7</v>
      </c>
      <c r="AD477" s="1714" t="n">
        <v>146.2</v>
      </c>
      <c r="AE477" s="1564">
        <f>AF477</f>
        <v/>
      </c>
      <c r="AF477" s="1706" t="n">
        <v>218.2</v>
      </c>
      <c r="AG477" s="1714" t="n">
        <v>72.09999999999999</v>
      </c>
      <c r="AH477" s="1714" t="n">
        <v>121.2</v>
      </c>
      <c r="AI477" s="1714" t="n">
        <v>167.3</v>
      </c>
      <c r="AJ477" s="1564">
        <f>AK477</f>
        <v/>
      </c>
      <c r="AK477" s="1706" t="n">
        <v>221.5</v>
      </c>
      <c r="AL477" s="1714" t="n">
        <v>39.3</v>
      </c>
      <c r="AM477" s="1714" t="n">
        <v>78.5</v>
      </c>
      <c r="AN477" s="1714" t="n">
        <v>114.8</v>
      </c>
      <c r="AO477" s="1564">
        <f>AP477</f>
        <v/>
      </c>
      <c r="AP477" s="1706" t="n">
        <v>192.4</v>
      </c>
      <c r="AQ477" s="1714" t="n">
        <v>34.4</v>
      </c>
      <c r="AR477" s="1714" t="n">
        <v>78.40000000000001</v>
      </c>
      <c r="AS477" s="1714" t="n">
        <v>131.3</v>
      </c>
      <c r="AT477" s="1564">
        <f>AU477</f>
        <v/>
      </c>
      <c r="AU477" s="1706" t="n">
        <v>180.7</v>
      </c>
      <c r="AV477" s="1714" t="n">
        <v>50.2</v>
      </c>
      <c r="AW477" s="1714" t="n">
        <v>125.4</v>
      </c>
      <c r="AX477" s="1714" t="n">
        <v>207.2</v>
      </c>
      <c r="AY477" s="1564">
        <f>AZ477</f>
        <v/>
      </c>
      <c r="AZ477" s="1706" t="n">
        <v>278.5</v>
      </c>
      <c r="BA477" s="1714" t="n">
        <v>81.7</v>
      </c>
      <c r="BB477" s="1714" t="n">
        <v>172.3</v>
      </c>
      <c r="BC477" s="1714" t="n">
        <v>274.6</v>
      </c>
      <c r="BD477" s="1564">
        <f>BE477</f>
        <v/>
      </c>
      <c r="BE477" s="1706" t="n">
        <v>485.3</v>
      </c>
      <c r="BF477" s="1714" t="n">
        <v>121.5</v>
      </c>
      <c r="BG477" s="1714" t="n">
        <v>232.2</v>
      </c>
      <c r="BH477" s="1714" t="n">
        <v>387</v>
      </c>
      <c r="BI477" s="1564">
        <f>BJ477</f>
        <v/>
      </c>
      <c r="BJ477" s="1706" t="n">
        <v>554.7</v>
      </c>
      <c r="BK477" s="1714" t="n">
        <v>59.6</v>
      </c>
      <c r="BL477" s="1714" t="n">
        <v>159.3</v>
      </c>
      <c r="BM477" s="1714" t="n">
        <v>297.9</v>
      </c>
      <c r="BN477" s="1564">
        <f>BO477</f>
        <v/>
      </c>
      <c r="BO477" s="1788" t="n">
        <v>469.4</v>
      </c>
      <c r="BP477" s="1562" t="n"/>
      <c r="BQ477" s="1562" t="n"/>
      <c r="BR477" s="1562" t="n"/>
      <c r="BS477" s="1562" t="n"/>
      <c r="BT477" s="1637" t="n"/>
      <c r="BU477" s="1562" t="n"/>
      <c r="BV477" s="1562" t="n"/>
      <c r="BW477" s="1562" t="n"/>
      <c r="BX477" s="1562" t="n"/>
      <c r="BY477" s="1637" t="n"/>
      <c r="BZ477" s="1637" t="n"/>
      <c r="CA477" s="1637" t="n"/>
      <c r="CB477" s="1637" t="n"/>
      <c r="CC477" s="1564" t="n"/>
    </row>
    <row r="478" hidden="1" outlineLevel="1" ht="15" customFormat="1" customHeight="1" s="1561">
      <c r="A478" s="1721" t="inlineStr">
        <is>
          <t>Deferred income taxes</t>
        </is>
      </c>
      <c r="B478" s="1705" t="n"/>
      <c r="C478" s="1787" t="n">
        <v>-49.423</v>
      </c>
      <c r="D478" s="1787" t="n">
        <v>28.053</v>
      </c>
      <c r="E478" s="1787" t="n">
        <v>63.25</v>
      </c>
      <c r="F478" s="1787" t="n">
        <v>-72.374</v>
      </c>
      <c r="G478" s="1787" t="n">
        <v>-22.658</v>
      </c>
      <c r="H478" s="1861" t="n">
        <v>-29.9</v>
      </c>
      <c r="I478" s="1861" t="n">
        <v>-18.9</v>
      </c>
      <c r="J478" s="1861" t="n">
        <v>-57.9</v>
      </c>
      <c r="K478" s="1863">
        <f>L478</f>
        <v/>
      </c>
      <c r="L478" s="1787" t="n">
        <v>-59.05</v>
      </c>
      <c r="M478" s="1861" t="n">
        <v>16.5</v>
      </c>
      <c r="N478" s="1861" t="n">
        <v>7.1</v>
      </c>
      <c r="O478" s="1861" t="n">
        <v>48.1</v>
      </c>
      <c r="P478" s="1863">
        <f>Q478</f>
        <v/>
      </c>
      <c r="Q478" s="1787" t="n">
        <v>45.349</v>
      </c>
      <c r="R478" s="1861" t="n">
        <v>-4.5</v>
      </c>
      <c r="S478" s="1714" t="n">
        <v>-11.1</v>
      </c>
      <c r="T478" s="1714" t="n">
        <v>26.1</v>
      </c>
      <c r="U478" s="1564">
        <f>V478</f>
        <v/>
      </c>
      <c r="V478" s="1706" t="n">
        <v>-0.6</v>
      </c>
      <c r="W478" s="1714" t="n">
        <v>16.3</v>
      </c>
      <c r="X478" s="1714" t="n">
        <v>14.8</v>
      </c>
      <c r="Y478" s="1714" t="n">
        <v>8.300000000000001</v>
      </c>
      <c r="Z478" s="1564">
        <f>AA478</f>
        <v/>
      </c>
      <c r="AA478" s="1706" t="n">
        <v>-7.6</v>
      </c>
      <c r="AB478" s="1714" t="n">
        <v>8.6</v>
      </c>
      <c r="AC478" s="1714" t="n">
        <v>38.6</v>
      </c>
      <c r="AD478" s="1714" t="n">
        <v>-1.6</v>
      </c>
      <c r="AE478" s="1564">
        <f>AF478</f>
        <v/>
      </c>
      <c r="AF478" s="1706" t="n">
        <v>-238.5</v>
      </c>
      <c r="AG478" s="1714" t="n">
        <v>-76.5</v>
      </c>
      <c r="AH478" s="1714" t="n">
        <v>-141.6</v>
      </c>
      <c r="AI478" s="1714" t="n">
        <v>-119.1</v>
      </c>
      <c r="AJ478" s="1564">
        <f>AK478</f>
        <v/>
      </c>
      <c r="AK478" s="1706" t="n">
        <v>-236.8</v>
      </c>
      <c r="AL478" s="1714" t="n">
        <v>-24.6</v>
      </c>
      <c r="AM478" s="1714" t="n">
        <v>-40</v>
      </c>
      <c r="AN478" s="1714" t="n">
        <v>-150.6</v>
      </c>
      <c r="AO478" s="1564">
        <f>AP478</f>
        <v/>
      </c>
      <c r="AP478" s="1706" t="n">
        <v>-211.3</v>
      </c>
      <c r="AQ478" s="1714" t="n">
        <v>-35.8</v>
      </c>
      <c r="AR478" s="1714" t="n">
        <v>-43.3</v>
      </c>
      <c r="AS478" s="1714" t="n">
        <v>-313.4</v>
      </c>
      <c r="AT478" s="1564">
        <f>AU478</f>
        <v/>
      </c>
      <c r="AU478" s="1706" t="n">
        <v>-419.6</v>
      </c>
      <c r="AV478" s="1714" t="n">
        <v>-39.7</v>
      </c>
      <c r="AW478" s="1714" t="n">
        <v>-134.4</v>
      </c>
      <c r="AX478" s="1714" t="n">
        <v>-475.2</v>
      </c>
      <c r="AY478" s="1564">
        <f>AZ478</f>
        <v/>
      </c>
      <c r="AZ478" s="1706" t="n">
        <v>-564.2</v>
      </c>
      <c r="BA478" s="1714" t="n">
        <v>12.7</v>
      </c>
      <c r="BB478" s="1714" t="n">
        <v>54.2</v>
      </c>
      <c r="BC478" s="1714" t="n">
        <v>-84.7</v>
      </c>
      <c r="BD478" s="1564">
        <f>BE478</f>
        <v/>
      </c>
      <c r="BE478" s="1706" t="n">
        <v>-133.6</v>
      </c>
      <c r="BF478" s="1714" t="n">
        <v>-2.7</v>
      </c>
      <c r="BG478" s="1714" t="n">
        <v>-1.9</v>
      </c>
      <c r="BH478" s="1714" t="n">
        <v>-116.5</v>
      </c>
      <c r="BI478" s="1564">
        <f>BJ478</f>
        <v/>
      </c>
      <c r="BJ478" s="1706" t="n">
        <v>-144.8</v>
      </c>
      <c r="BK478" s="1714" t="n">
        <v>79.09999999999999</v>
      </c>
      <c r="BL478" s="1714" t="n">
        <v>117.2</v>
      </c>
      <c r="BM478" s="1714" t="n">
        <v>61.9</v>
      </c>
      <c r="BN478" s="1564">
        <f>BO478</f>
        <v/>
      </c>
      <c r="BO478" s="1788" t="n">
        <v>180.7</v>
      </c>
      <c r="BP478" s="1562" t="n"/>
      <c r="BQ478" s="1562" t="n"/>
      <c r="BR478" s="1562" t="n"/>
      <c r="BS478" s="1562" t="n"/>
      <c r="BT478" s="1637" t="n"/>
      <c r="BU478" s="1562" t="n"/>
      <c r="BV478" s="1562" t="n"/>
      <c r="BW478" s="1562" t="n"/>
      <c r="BX478" s="1562" t="n"/>
      <c r="BY478" s="1637" t="n"/>
      <c r="BZ478" s="1637" t="n"/>
      <c r="CA478" s="1637" t="n"/>
      <c r="CB478" s="1637" t="n"/>
      <c r="CC478" s="1564" t="n"/>
    </row>
    <row r="479" hidden="1" outlineLevel="1" ht="15" customFormat="1" customHeight="1" s="1561">
      <c r="A479" s="1686" t="inlineStr">
        <is>
          <t>Equity method investments, net of income taxes</t>
        </is>
      </c>
      <c r="B479" s="1708" t="n"/>
      <c r="C479" s="1810" t="n"/>
      <c r="D479" s="1810" t="n"/>
      <c r="E479" s="1810" t="n"/>
      <c r="F479" s="1810" t="n"/>
      <c r="G479" s="1810" t="n"/>
      <c r="H479" s="1971" t="n"/>
      <c r="I479" s="1971" t="n"/>
      <c r="J479" s="1971" t="n"/>
      <c r="K479" s="1972">
        <f>L479</f>
        <v/>
      </c>
      <c r="L479" s="1810" t="n"/>
      <c r="M479" s="1971" t="n"/>
      <c r="N479" s="1971" t="n"/>
      <c r="O479" s="1971" t="n"/>
      <c r="P479" s="1972">
        <f>Q479</f>
        <v/>
      </c>
      <c r="Q479" s="1810" t="n"/>
      <c r="R479" s="1971" t="n"/>
      <c r="S479" s="1710" t="n"/>
      <c r="T479" s="1710" t="n"/>
      <c r="U479" s="1791">
        <f>V479</f>
        <v/>
      </c>
      <c r="V479" s="1712" t="n"/>
      <c r="W479" s="1710" t="n"/>
      <c r="X479" s="1710" t="n"/>
      <c r="Y479" s="1710" t="n"/>
      <c r="Z479" s="1791">
        <f>AA479</f>
        <v/>
      </c>
      <c r="AA479" s="1709" t="n">
        <v>16.7</v>
      </c>
      <c r="AB479" s="1716" t="n">
        <v>17.6</v>
      </c>
      <c r="AC479" s="1716" t="n">
        <v>13.3</v>
      </c>
      <c r="AD479" s="1716" t="n">
        <v>13</v>
      </c>
      <c r="AE479" s="1791">
        <f>AF479</f>
        <v/>
      </c>
      <c r="AF479" s="1709" t="n">
        <v>61.6</v>
      </c>
      <c r="AG479" s="1716" t="n">
        <v>-17</v>
      </c>
      <c r="AH479" s="1716" t="n">
        <v>-32.3</v>
      </c>
      <c r="AI479" s="1716" t="n">
        <v>-50.9</v>
      </c>
      <c r="AJ479" s="1791">
        <f>AK479</f>
        <v/>
      </c>
      <c r="AK479" s="1709" t="n">
        <v>56.9</v>
      </c>
      <c r="AL479" s="1716" t="n">
        <v>-32.3</v>
      </c>
      <c r="AM479" s="1716" t="n">
        <v>-58.7</v>
      </c>
      <c r="AN479" s="1716" t="n">
        <v>-84.8</v>
      </c>
      <c r="AO479" s="1791">
        <f>AP479</f>
        <v/>
      </c>
      <c r="AP479" s="1709" t="n">
        <v>11</v>
      </c>
      <c r="AQ479" s="1716" t="n">
        <v>-21.5</v>
      </c>
      <c r="AR479" s="1716" t="n">
        <v>-44</v>
      </c>
      <c r="AS479" s="1716" t="n">
        <v>-141.2</v>
      </c>
      <c r="AT479" s="1791">
        <f>AU479</f>
        <v/>
      </c>
      <c r="AU479" s="1709" t="n">
        <v>-49.8</v>
      </c>
      <c r="AV479" s="1716" t="n">
        <v>-47.5</v>
      </c>
      <c r="AW479" s="1716" t="n">
        <v>-68.59999999999999</v>
      </c>
      <c r="AX479" s="1716" t="n">
        <v>-105.5</v>
      </c>
      <c r="AY479" s="1791">
        <f>AZ479</f>
        <v/>
      </c>
      <c r="AZ479" s="1709" t="n">
        <v>15.3</v>
      </c>
      <c r="BA479" s="1716" t="n">
        <v>-46.8</v>
      </c>
      <c r="BB479" s="1716" t="n">
        <v>-117.7</v>
      </c>
      <c r="BC479" s="1716" t="n">
        <v>-171.5</v>
      </c>
      <c r="BD479" s="1791">
        <f>BE479</f>
        <v/>
      </c>
      <c r="BE479" s="1709" t="n">
        <v>4.2</v>
      </c>
      <c r="BF479" s="1716" t="n">
        <v>-33.9</v>
      </c>
      <c r="BG479" s="1716" t="n">
        <v>-84.5</v>
      </c>
      <c r="BH479" s="1716" t="n">
        <v>-165.5</v>
      </c>
      <c r="BI479" s="1791">
        <f>BJ479</f>
        <v/>
      </c>
      <c r="BJ479" s="1709" t="n">
        <v>4.4</v>
      </c>
      <c r="BK479" s="1716" t="n">
        <v>-34.9</v>
      </c>
      <c r="BL479" s="1716" t="n">
        <v>-125.6</v>
      </c>
      <c r="BM479" s="1716" t="n">
        <v>-206.4</v>
      </c>
      <c r="BN479" s="1791">
        <f>BO479</f>
        <v/>
      </c>
      <c r="BO479" s="1792" t="n">
        <v>94.59999999999999</v>
      </c>
      <c r="BP479" s="1710" t="n"/>
      <c r="BQ479" s="1710" t="n"/>
      <c r="BR479" s="1710" t="n"/>
      <c r="BS479" s="1710" t="n"/>
      <c r="BT479" s="1712" t="n"/>
      <c r="BU479" s="1710" t="n"/>
      <c r="BV479" s="1710" t="n"/>
      <c r="BW479" s="1710" t="n"/>
      <c r="BX479" s="1710" t="n"/>
      <c r="BY479" s="1712" t="n"/>
      <c r="BZ479" s="1712" t="n"/>
      <c r="CA479" s="1712" t="n"/>
      <c r="CB479" s="1712" t="n"/>
      <c r="CC479" s="1564" t="n"/>
    </row>
    <row r="480" hidden="1" outlineLevel="1" ht="15" customFormat="1" customHeight="1" s="1628">
      <c r="A480" s="1695" t="inlineStr">
        <is>
          <t>CFO before WC</t>
        </is>
      </c>
      <c r="B480" s="1793" t="n"/>
      <c r="C480" s="1779">
        <f>SUM(C470:C479)</f>
        <v/>
      </c>
      <c r="D480" s="1779">
        <f>SUM(D470:D479)</f>
        <v/>
      </c>
      <c r="E480" s="1779">
        <f>SUM(E470:E479)</f>
        <v/>
      </c>
      <c r="F480" s="1779">
        <f>SUM(F470:F479)</f>
        <v/>
      </c>
      <c r="G480" s="1779">
        <f>SUM(G470:G479)</f>
        <v/>
      </c>
      <c r="H480" s="1795">
        <f>SUM(H470:H479)</f>
        <v/>
      </c>
      <c r="I480" s="1795">
        <f>SUM(I470:I479)</f>
        <v/>
      </c>
      <c r="J480" s="1795">
        <f>SUM(J470:J479)</f>
        <v/>
      </c>
      <c r="K480" s="1795">
        <f>SUM(K470:K479)</f>
        <v/>
      </c>
      <c r="L480" s="1779">
        <f>SUM(L470:L479)</f>
        <v/>
      </c>
      <c r="M480" s="1795">
        <f>SUM(M470:M479)</f>
        <v/>
      </c>
      <c r="N480" s="1795">
        <f>SUM(N470:N479)</f>
        <v/>
      </c>
      <c r="O480" s="1795">
        <f>SUM(O470:O479)</f>
        <v/>
      </c>
      <c r="P480" s="1795">
        <f>SUM(P470:P479)</f>
        <v/>
      </c>
      <c r="Q480" s="1779">
        <f>SUM(Q470:Q479)</f>
        <v/>
      </c>
      <c r="R480" s="1795">
        <f>SUM(R470:R479)</f>
        <v/>
      </c>
      <c r="S480" s="1795">
        <f>SUM(S470:S479)</f>
        <v/>
      </c>
      <c r="T480" s="1795">
        <f>SUM(T470:T479)</f>
        <v/>
      </c>
      <c r="U480" s="1795">
        <f>SUM(U470:U479)</f>
        <v/>
      </c>
      <c r="V480" s="1779">
        <f>SUM(V470:V479)</f>
        <v/>
      </c>
      <c r="W480" s="1795">
        <f>SUM(W470:W479)</f>
        <v/>
      </c>
      <c r="X480" s="1795">
        <f>SUM(X470:X479)</f>
        <v/>
      </c>
      <c r="Y480" s="1795">
        <f>SUM(Y470:Y479)</f>
        <v/>
      </c>
      <c r="Z480" s="1795">
        <f>SUM(Z470:Z479)</f>
        <v/>
      </c>
      <c r="AA480" s="1779">
        <f>SUM(AA470:AA479)</f>
        <v/>
      </c>
      <c r="AB480" s="1795">
        <f>SUM(AB470:AB479)</f>
        <v/>
      </c>
      <c r="AC480" s="1795">
        <f>SUM(AC470:AC479)</f>
        <v/>
      </c>
      <c r="AD480" s="1795">
        <f>SUM(AD470:AD479)</f>
        <v/>
      </c>
      <c r="AE480" s="1795">
        <f>SUM(AE470:AE479)</f>
        <v/>
      </c>
      <c r="AF480" s="1779">
        <f>SUM(AF470:AF479)</f>
        <v/>
      </c>
      <c r="AG480" s="1795">
        <f>SUM(AG470:AG479)</f>
        <v/>
      </c>
      <c r="AH480" s="1795">
        <f>SUM(AH470:AH479)</f>
        <v/>
      </c>
      <c r="AI480" s="1795">
        <f>SUM(AI470:AI479)</f>
        <v/>
      </c>
      <c r="AJ480" s="1795">
        <f>SUM(AJ470:AJ479)</f>
        <v/>
      </c>
      <c r="AK480" s="1779">
        <f>SUM(AK470:AK479)</f>
        <v/>
      </c>
      <c r="AL480" s="1795">
        <f>SUM(AL470:AL479)</f>
        <v/>
      </c>
      <c r="AM480" s="1795">
        <f>SUM(AM470:AM479)</f>
        <v/>
      </c>
      <c r="AN480" s="1795">
        <f>SUM(AN470:AN479)</f>
        <v/>
      </c>
      <c r="AO480" s="1795">
        <f>SUM(AO470:AO479)</f>
        <v/>
      </c>
      <c r="AP480" s="1779">
        <f>SUM(AP470:AP479)</f>
        <v/>
      </c>
      <c r="AQ480" s="1795">
        <f>SUM(AQ470:AQ479)</f>
        <v/>
      </c>
      <c r="AR480" s="1795">
        <f>SUM(AR470:AR479)</f>
        <v/>
      </c>
      <c r="AS480" s="1795">
        <f>SUM(AS470:AS479)</f>
        <v/>
      </c>
      <c r="AT480" s="1795">
        <f>SUM(AT470:AT479)</f>
        <v/>
      </c>
      <c r="AU480" s="1779">
        <f>SUM(AU470:AU479)</f>
        <v/>
      </c>
      <c r="AV480" s="1795">
        <f>SUM(AV470:AV479)</f>
        <v/>
      </c>
      <c r="AW480" s="1795">
        <f>SUM(AW470:AW479)</f>
        <v/>
      </c>
      <c r="AX480" s="1795">
        <f>SUM(AX470:AX479)</f>
        <v/>
      </c>
      <c r="AY480" s="1795">
        <f>SUM(AY470:AY479)</f>
        <v/>
      </c>
      <c r="AZ480" s="1779">
        <f>SUM(AZ470:AZ479)</f>
        <v/>
      </c>
      <c r="BA480" s="1795">
        <f>SUM(BA470:BA479)</f>
        <v/>
      </c>
      <c r="BB480" s="1795">
        <f>SUM(BB470:BB479)</f>
        <v/>
      </c>
      <c r="BC480" s="1795">
        <f>SUM(BC470:BC479)</f>
        <v/>
      </c>
      <c r="BD480" s="1795">
        <f>SUM(BD470:BD479)</f>
        <v/>
      </c>
      <c r="BE480" s="1779">
        <f>SUM(BE470:BE479)</f>
        <v/>
      </c>
      <c r="BF480" s="1795">
        <f>SUM(BF470:BF479)</f>
        <v/>
      </c>
      <c r="BG480" s="1795">
        <f>SUM(BG470:BG479)</f>
        <v/>
      </c>
      <c r="BH480" s="1795">
        <f>SUM(BH470:BH479)</f>
        <v/>
      </c>
      <c r="BI480" s="1795">
        <f>SUM(BI470:BI479)</f>
        <v/>
      </c>
      <c r="BJ480" s="1779">
        <f>SUM(BJ470:BJ479)</f>
        <v/>
      </c>
      <c r="BK480" s="1795">
        <f>SUM(BK470:BK479)</f>
        <v/>
      </c>
      <c r="BL480" s="1795">
        <f>SUM(BL470:BL479)</f>
        <v/>
      </c>
      <c r="BM480" s="1795">
        <f>SUM(BM470:BM479)</f>
        <v/>
      </c>
      <c r="BN480" s="1795">
        <f>SUM(BN470:BN479)</f>
        <v/>
      </c>
      <c r="BO480" s="1796">
        <f>SUM(BO470:BO479)</f>
        <v/>
      </c>
      <c r="BP480" s="1642" t="n"/>
      <c r="BQ480" s="1642" t="n"/>
      <c r="BR480" s="1642" t="n"/>
      <c r="BS480" s="1642" t="n"/>
      <c r="BT480" s="1641" t="n"/>
      <c r="BU480" s="1642" t="n"/>
      <c r="BV480" s="1642" t="n"/>
      <c r="BW480" s="1642" t="n"/>
      <c r="BX480" s="1642" t="n"/>
      <c r="BY480" s="1641" t="n"/>
      <c r="BZ480" s="1641" t="n"/>
      <c r="CA480" s="1641" t="n"/>
      <c r="CB480" s="1641" t="n"/>
      <c r="CC480" s="1634" t="n"/>
    </row>
    <row r="481" hidden="1" outlineLevel="1" ht="15" customFormat="1" customHeight="1" s="1561">
      <c r="A481" s="1721" t="inlineStr">
        <is>
          <t>Accounts receivable</t>
        </is>
      </c>
      <c r="B481" s="1705" t="n"/>
      <c r="C481" s="1787" t="n">
        <v>81.83799999999999</v>
      </c>
      <c r="D481" s="1787" t="n">
        <v>-748.898</v>
      </c>
      <c r="E481" s="1787" t="n">
        <v>267.209</v>
      </c>
      <c r="F481" s="1787" t="n">
        <v>246.982</v>
      </c>
      <c r="G481" s="1787" t="n">
        <v>-192.149</v>
      </c>
      <c r="H481" s="1970" t="n"/>
      <c r="I481" s="1970" t="n"/>
      <c r="J481" s="1970" t="n"/>
      <c r="K481" s="1970" t="n"/>
      <c r="L481" s="1787" t="n">
        <v>-164.85</v>
      </c>
      <c r="M481" s="1970" t="n"/>
      <c r="N481" s="1970" t="n"/>
      <c r="O481" s="1970" t="n"/>
      <c r="P481" s="1970" t="n"/>
      <c r="Q481" s="1787" t="n">
        <v>243.097</v>
      </c>
      <c r="R481" s="1970" t="n"/>
      <c r="S481" s="1562" t="n"/>
      <c r="T481" s="1562" t="n"/>
      <c r="U481" s="1562" t="n"/>
      <c r="V481" s="1706" t="n">
        <v>187.4</v>
      </c>
      <c r="W481" s="1562" t="n"/>
      <c r="X481" s="1562" t="n"/>
      <c r="Y481" s="1562" t="n"/>
      <c r="Z481" s="1562" t="n"/>
      <c r="AA481" s="1706" t="n">
        <v>-1142.4</v>
      </c>
      <c r="AB481" s="1562" t="n"/>
      <c r="AC481" s="1562" t="n"/>
      <c r="AD481" s="1562" t="n"/>
      <c r="AE481" s="1562" t="n"/>
      <c r="AF481" s="1706" t="n">
        <v>201.2</v>
      </c>
      <c r="AG481" s="1562" t="n"/>
      <c r="AH481" s="1562" t="n"/>
      <c r="AI481" s="1562" t="n"/>
      <c r="AJ481" s="1562" t="n"/>
      <c r="AK481" s="1706" t="n">
        <v>-255</v>
      </c>
      <c r="AL481" s="1562" t="n"/>
      <c r="AM481" s="1562" t="n"/>
      <c r="AN481" s="1562" t="n"/>
      <c r="AO481" s="1562" t="n"/>
      <c r="AP481" s="1706" t="n">
        <v>507.5</v>
      </c>
      <c r="AQ481" s="1562" t="n"/>
      <c r="AR481" s="1562" t="n"/>
      <c r="AS481" s="1562" t="n"/>
      <c r="AT481" s="1562" t="n"/>
      <c r="AU481" s="1706" t="n">
        <v>-1754.9</v>
      </c>
      <c r="AV481" s="1562" t="n"/>
      <c r="AW481" s="1562" t="n"/>
      <c r="AX481" s="1562" t="n"/>
      <c r="AY481" s="1562" t="n"/>
      <c r="AZ481" s="1706" t="n">
        <v>-2338</v>
      </c>
      <c r="BA481" s="1562" t="n"/>
      <c r="BB481" s="1562" t="n"/>
      <c r="BC481" s="1562" t="n"/>
      <c r="BD481" s="1562" t="n"/>
      <c r="BE481" s="1706" t="n">
        <v>959.9</v>
      </c>
      <c r="BF481" s="1562" t="n"/>
      <c r="BG481" s="1562" t="n"/>
      <c r="BH481" s="1562" t="n"/>
      <c r="BI481" s="1562" t="n"/>
      <c r="BJ481" s="1706" t="n">
        <v>-139.9</v>
      </c>
      <c r="BK481" s="1562" t="n"/>
      <c r="BL481" s="1562" t="n"/>
      <c r="BM481" s="1562" t="n"/>
      <c r="BN481" s="1562" t="n"/>
      <c r="BO481" s="1638" t="n"/>
      <c r="BP481" s="1562" t="n"/>
      <c r="BQ481" s="1562" t="n"/>
      <c r="BR481" s="1562" t="n"/>
      <c r="BS481" s="1562" t="n"/>
      <c r="BT481" s="1637" t="n"/>
      <c r="BU481" s="1562" t="n"/>
      <c r="BV481" s="1562" t="n"/>
      <c r="BW481" s="1562" t="n"/>
      <c r="BX481" s="1562" t="n"/>
      <c r="BY481" s="1637" t="n"/>
      <c r="BZ481" s="1637" t="n"/>
      <c r="CA481" s="1637" t="n"/>
      <c r="CB481" s="1637" t="n"/>
      <c r="CC481" s="1564" t="n"/>
    </row>
    <row r="482" hidden="1" outlineLevel="1" ht="15" customFormat="1" customHeight="1" s="1561">
      <c r="A482" s="1721" t="inlineStr">
        <is>
          <t>Finance receivables</t>
        </is>
      </c>
      <c r="B482" s="1705" t="n"/>
      <c r="C482" s="1787" t="n">
        <v>15.702</v>
      </c>
      <c r="D482" s="1787" t="n">
        <v>-20</v>
      </c>
      <c r="E482" s="1787" t="n">
        <v>-37.301</v>
      </c>
      <c r="F482" s="1787" t="n">
        <v>-225.103</v>
      </c>
      <c r="G482" s="1787" t="n">
        <v>9.276999999999999</v>
      </c>
      <c r="H482" s="1970" t="n"/>
      <c r="I482" s="1970" t="n"/>
      <c r="J482" s="1970" t="n"/>
      <c r="K482" s="1970" t="n"/>
      <c r="L482" s="1787" t="n">
        <v>51.132</v>
      </c>
      <c r="M482" s="1970" t="n"/>
      <c r="N482" s="1970" t="n"/>
      <c r="O482" s="1970" t="n"/>
      <c r="P482" s="1970" t="n"/>
      <c r="Q482" s="1787" t="n">
        <v>-145.278</v>
      </c>
      <c r="R482" s="1970" t="n"/>
      <c r="S482" s="1562" t="n"/>
      <c r="T482" s="1562" t="n"/>
      <c r="U482" s="1562" t="n"/>
      <c r="V482" s="1706" t="n">
        <v>-156.1</v>
      </c>
      <c r="W482" s="1562" t="n"/>
      <c r="X482" s="1562" t="n"/>
      <c r="Y482" s="1562" t="n"/>
      <c r="Z482" s="1562" t="n"/>
      <c r="AA482" s="1706" t="n">
        <v>224.8</v>
      </c>
      <c r="AB482" s="1562" t="n"/>
      <c r="AC482" s="1562" t="n"/>
      <c r="AD482" s="1562" t="n"/>
      <c r="AE482" s="1562" t="n"/>
      <c r="AF482" s="1706" t="n">
        <v>-664.9</v>
      </c>
      <c r="AG482" s="1562" t="n"/>
      <c r="AH482" s="1562" t="n"/>
      <c r="AI482" s="1562" t="n"/>
      <c r="AJ482" s="1562" t="n"/>
      <c r="AK482" s="1706" t="n">
        <v>-95.3</v>
      </c>
      <c r="AL482" s="1562" t="n"/>
      <c r="AM482" s="1562" t="n"/>
      <c r="AN482" s="1562" t="n"/>
      <c r="AO482" s="1562" t="n"/>
      <c r="AP482" s="1706" t="n">
        <v>-1125.4</v>
      </c>
      <c r="AQ482" s="1562" t="n"/>
      <c r="AR482" s="1562" t="n"/>
      <c r="AS482" s="1562" t="n"/>
      <c r="AT482" s="1562" t="n"/>
      <c r="AU482" s="1706" t="n">
        <v>542.3</v>
      </c>
      <c r="AV482" s="1562" t="n"/>
      <c r="AW482" s="1562" t="n"/>
      <c r="AX482" s="1562" t="n"/>
      <c r="AY482" s="1562" t="n"/>
      <c r="AZ482" s="1706" t="n">
        <v>212.2</v>
      </c>
      <c r="BA482" s="1562" t="n"/>
      <c r="BB482" s="1562" t="n"/>
      <c r="BC482" s="1562" t="n"/>
      <c r="BD482" s="1562" t="n"/>
      <c r="BE482" s="1706" t="n">
        <v>-88.59999999999999</v>
      </c>
      <c r="BF482" s="1562" t="n"/>
      <c r="BG482" s="1562" t="n"/>
      <c r="BH482" s="1562" t="n"/>
      <c r="BI482" s="1562" t="n"/>
      <c r="BJ482" s="1706" t="n">
        <v>1038.7</v>
      </c>
      <c r="BK482" s="1562" t="n"/>
      <c r="BL482" s="1562" t="n"/>
      <c r="BM482" s="1562" t="n"/>
      <c r="BN482" s="1562" t="n"/>
      <c r="BO482" s="1638" t="n"/>
      <c r="BP482" s="1562" t="n"/>
      <c r="BQ482" s="1562" t="n"/>
      <c r="BR482" s="1562" t="n"/>
      <c r="BS482" s="1562" t="n"/>
      <c r="BT482" s="1637" t="n"/>
      <c r="BU482" s="1562" t="n"/>
      <c r="BV482" s="1562" t="n"/>
      <c r="BW482" s="1562" t="n"/>
      <c r="BX482" s="1562" t="n"/>
      <c r="BY482" s="1637" t="n"/>
      <c r="BZ482" s="1637" t="n"/>
      <c r="CA482" s="1637" t="n"/>
      <c r="CB482" s="1637" t="n"/>
      <c r="CC482" s="1564" t="n"/>
    </row>
    <row r="483" hidden="1" outlineLevel="1" ht="15" customFormat="1" customHeight="1" s="1561">
      <c r="A483" s="1721" t="inlineStr">
        <is>
          <t>Inventories</t>
        </is>
      </c>
      <c r="B483" s="1705" t="n"/>
      <c r="C483" s="1787" t="n">
        <v>-158.024</v>
      </c>
      <c r="D483" s="1787" t="n">
        <v>-706.2329999999999</v>
      </c>
      <c r="E483" s="1787" t="n">
        <v>-276.243</v>
      </c>
      <c r="F483" s="1787" t="n">
        <v>-352.716</v>
      </c>
      <c r="G483" s="1787" t="n">
        <v>-518.121</v>
      </c>
      <c r="H483" s="1970" t="n"/>
      <c r="I483" s="1970" t="n"/>
      <c r="J483" s="1970" t="n"/>
      <c r="K483" s="1970" t="n"/>
      <c r="L483" s="1787" t="n">
        <v>-293.404</v>
      </c>
      <c r="M483" s="1970" t="n"/>
      <c r="N483" s="1970" t="n"/>
      <c r="O483" s="1970" t="n"/>
      <c r="P483" s="1970" t="n"/>
      <c r="Q483" s="1787" t="n">
        <v>-87.777</v>
      </c>
      <c r="R483" s="1970" t="n"/>
      <c r="S483" s="1562" t="n"/>
      <c r="T483" s="1562" t="n"/>
      <c r="U483" s="1562" t="n"/>
      <c r="V483" s="1706" t="n">
        <v>-43.7</v>
      </c>
      <c r="W483" s="1562" t="n"/>
      <c r="X483" s="1562" t="n"/>
      <c r="Y483" s="1562" t="n"/>
      <c r="Z483" s="1562" t="n"/>
      <c r="AA483" s="1706" t="n">
        <v>-237.8</v>
      </c>
      <c r="AB483" s="1562" t="n"/>
      <c r="AC483" s="1562" t="n"/>
      <c r="AD483" s="1562" t="n"/>
      <c r="AE483" s="1562" t="n"/>
      <c r="AF483" s="1706" t="n">
        <v>-515.7</v>
      </c>
      <c r="AG483" s="1562" t="n"/>
      <c r="AH483" s="1562" t="n"/>
      <c r="AI483" s="1562" t="n"/>
      <c r="AJ483" s="1562" t="n"/>
      <c r="AK483" s="1706" t="n">
        <v>-404.7</v>
      </c>
      <c r="AL483" s="1562" t="n"/>
      <c r="AM483" s="1562" t="n"/>
      <c r="AN483" s="1562" t="n"/>
      <c r="AO483" s="1562" t="n"/>
      <c r="AP483" s="1706" t="n">
        <v>-706.7</v>
      </c>
      <c r="AQ483" s="1562" t="n"/>
      <c r="AR483" s="1562" t="n"/>
      <c r="AS483" s="1562" t="n"/>
      <c r="AT483" s="1562" t="n"/>
      <c r="AU483" s="1706" t="n">
        <v>-483.2</v>
      </c>
      <c r="AV483" s="1562" t="n"/>
      <c r="AW483" s="1562" t="n"/>
      <c r="AX483" s="1562" t="n"/>
      <c r="AY483" s="1562" t="n"/>
      <c r="AZ483" s="1706" t="n">
        <v>-2080.9</v>
      </c>
      <c r="BA483" s="1562" t="n"/>
      <c r="BB483" s="1562" t="n"/>
      <c r="BC483" s="1562" t="n"/>
      <c r="BD483" s="1562" t="n"/>
      <c r="BE483" s="1706" t="n">
        <v>-1646.9</v>
      </c>
      <c r="BF483" s="1562" t="n"/>
      <c r="BG483" s="1562" t="n"/>
      <c r="BH483" s="1562" t="n"/>
      <c r="BI483" s="1562" t="n"/>
      <c r="BJ483" s="1706" t="n">
        <v>-1860.9</v>
      </c>
      <c r="BK483" s="1562" t="n"/>
      <c r="BL483" s="1562" t="n"/>
      <c r="BM483" s="1562" t="n"/>
      <c r="BN483" s="1562" t="n"/>
      <c r="BO483" s="1638" t="n"/>
      <c r="BP483" s="1562" t="n"/>
      <c r="BQ483" s="1562" t="n"/>
      <c r="BR483" s="1562" t="n"/>
      <c r="BS483" s="1562" t="n"/>
      <c r="BT483" s="1637" t="n"/>
      <c r="BU483" s="1562" t="n"/>
      <c r="BV483" s="1562" t="n"/>
      <c r="BW483" s="1562" t="n"/>
      <c r="BX483" s="1562" t="n"/>
      <c r="BY483" s="1637" t="n"/>
      <c r="BZ483" s="1637" t="n"/>
      <c r="CA483" s="1637" t="n"/>
      <c r="CB483" s="1637" t="n"/>
      <c r="CC483" s="1564" t="n"/>
    </row>
    <row r="484" hidden="1" outlineLevel="1" ht="15" customFormat="1" customHeight="1" s="1561">
      <c r="A484" s="1721" t="inlineStr">
        <is>
          <t>Other assets</t>
        </is>
      </c>
      <c r="B484" s="1705" t="n"/>
      <c r="C484" s="1787" t="n">
        <v>4.893</v>
      </c>
      <c r="D484" s="1787" t="n">
        <v>-114.003</v>
      </c>
      <c r="E484" s="1787" t="n">
        <v>-58.292</v>
      </c>
      <c r="F484" s="1787" t="n">
        <v>19.117</v>
      </c>
      <c r="G484" s="1787" t="n">
        <v>-32.941</v>
      </c>
      <c r="H484" s="1970" t="n"/>
      <c r="I484" s="1970" t="n"/>
      <c r="J484" s="1970" t="n"/>
      <c r="K484" s="1970" t="n"/>
      <c r="L484" s="1787" t="n">
        <v>-112.424</v>
      </c>
      <c r="M484" s="1970" t="n"/>
      <c r="N484" s="1970" t="n"/>
      <c r="O484" s="1970" t="n"/>
      <c r="P484" s="1970" t="n"/>
      <c r="Q484" s="1787" t="n">
        <v>-146.272</v>
      </c>
      <c r="R484" s="1970" t="n"/>
      <c r="S484" s="1562" t="n"/>
      <c r="T484" s="1562" t="n"/>
      <c r="U484" s="1562" t="n"/>
      <c r="V484" s="1706" t="n">
        <v>-152.9</v>
      </c>
      <c r="W484" s="1562" t="n"/>
      <c r="X484" s="1562" t="n"/>
      <c r="Y484" s="1562" t="n"/>
      <c r="Z484" s="1562" t="n"/>
      <c r="AA484" s="1706" t="n">
        <v>-389.8</v>
      </c>
      <c r="AB484" s="1562" t="n"/>
      <c r="AC484" s="1562" t="n"/>
      <c r="AD484" s="1562" t="n"/>
      <c r="AE484" s="1562" t="n"/>
      <c r="AF484" s="1706" t="n">
        <v>-404</v>
      </c>
      <c r="AG484" s="1562" t="n"/>
      <c r="AH484" s="1562" t="n"/>
      <c r="AI484" s="1562" t="n"/>
      <c r="AJ484" s="1562" t="n"/>
      <c r="AK484" s="1706" t="n">
        <v>-199.1</v>
      </c>
      <c r="AL484" s="1562" t="n"/>
      <c r="AM484" s="1562" t="n"/>
      <c r="AN484" s="1562" t="n"/>
      <c r="AO484" s="1562" t="n"/>
      <c r="AP484" s="1706" t="n">
        <v>-75.09999999999999</v>
      </c>
      <c r="AQ484" s="1562" t="n"/>
      <c r="AR484" s="1562" t="n"/>
      <c r="AS484" s="1562" t="n"/>
      <c r="AT484" s="1562" t="n"/>
      <c r="AU484" s="1706" t="n">
        <v>-222.2</v>
      </c>
      <c r="AV484" s="1562" t="n"/>
      <c r="AW484" s="1562" t="n"/>
      <c r="AX484" s="1562" t="n"/>
      <c r="AY484" s="1562" t="n"/>
      <c r="AZ484" s="1706" t="n">
        <v>-864.3</v>
      </c>
      <c r="BA484" s="1562" t="n"/>
      <c r="BB484" s="1562" t="n"/>
      <c r="BC484" s="1562" t="n"/>
      <c r="BD484" s="1562" t="n"/>
      <c r="BE484" s="1706" t="n">
        <v>-344.3</v>
      </c>
      <c r="BF484" s="1562" t="n"/>
      <c r="BG484" s="1562" t="n"/>
      <c r="BH484" s="1562" t="n"/>
      <c r="BI484" s="1562" t="n"/>
      <c r="BJ484" s="1706" t="n">
        <v>-1299</v>
      </c>
      <c r="BK484" s="1562" t="n"/>
      <c r="BL484" s="1562" t="n"/>
      <c r="BM484" s="1562" t="n"/>
      <c r="BN484" s="1562" t="n"/>
      <c r="BO484" s="1638" t="n"/>
      <c r="BP484" s="1562" t="n"/>
      <c r="BQ484" s="1562" t="n"/>
      <c r="BR484" s="1562" t="n"/>
      <c r="BS484" s="1562" t="n"/>
      <c r="BT484" s="1637" t="n"/>
      <c r="BU484" s="1562" t="n"/>
      <c r="BV484" s="1562" t="n"/>
      <c r="BW484" s="1562" t="n"/>
      <c r="BX484" s="1562" t="n"/>
      <c r="BY484" s="1637" t="n"/>
      <c r="BZ484" s="1637" t="n"/>
      <c r="CA484" s="1637" t="n"/>
      <c r="CB484" s="1637" t="n"/>
      <c r="CC484" s="1564" t="n"/>
    </row>
    <row r="485" hidden="1" outlineLevel="1" ht="15" customFormat="1" customHeight="1" s="1561">
      <c r="A485" s="1721" t="inlineStr">
        <is>
          <t>Accrued and other liabilities</t>
        </is>
      </c>
      <c r="B485" s="1705" t="n"/>
      <c r="C485" s="1787" t="n">
        <v>10.43</v>
      </c>
      <c r="D485" s="1787" t="n">
        <v>862.919</v>
      </c>
      <c r="E485" s="1787" t="n">
        <v>589.217</v>
      </c>
      <c r="F485" s="1787" t="n">
        <v>-147.691</v>
      </c>
      <c r="G485" s="1787" t="n">
        <v>-57.282</v>
      </c>
      <c r="H485" s="1970" t="n"/>
      <c r="I485" s="1970" t="n"/>
      <c r="J485" s="1970" t="n"/>
      <c r="K485" s="1970" t="n"/>
      <c r="L485" s="1787" t="n">
        <v>36.524</v>
      </c>
      <c r="M485" s="1970" t="n"/>
      <c r="N485" s="1970" t="n"/>
      <c r="O485" s="1970" t="n"/>
      <c r="P485" s="1970" t="n"/>
      <c r="Q485" s="1787" t="n">
        <v>235.446</v>
      </c>
      <c r="R485" s="1970" t="n"/>
      <c r="S485" s="1562" t="n"/>
      <c r="T485" s="1562" t="n"/>
      <c r="U485" s="1562" t="n"/>
      <c r="V485" s="1706" t="n">
        <v>-273.9</v>
      </c>
      <c r="W485" s="1562" t="n"/>
      <c r="X485" s="1562" t="n"/>
      <c r="Y485" s="1562" t="n"/>
      <c r="Z485" s="1562" t="n"/>
      <c r="AA485" s="1706" t="n">
        <v>491.2</v>
      </c>
      <c r="AB485" s="1562" t="n"/>
      <c r="AC485" s="1562" t="n"/>
      <c r="AD485" s="1562" t="n"/>
      <c r="AE485" s="1562" t="n"/>
      <c r="AF485" s="1706" t="n">
        <v>237.7</v>
      </c>
      <c r="AG485" s="1562" t="n"/>
      <c r="AH485" s="1562" t="n"/>
      <c r="AI485" s="1562" t="n"/>
      <c r="AJ485" s="1562" t="n"/>
      <c r="AK485" s="1706" t="n">
        <v>82.09999999999999</v>
      </c>
      <c r="AL485" s="1562" t="n"/>
      <c r="AM485" s="1562" t="n"/>
      <c r="AN485" s="1562" t="n"/>
      <c r="AO485" s="1562" t="n"/>
      <c r="AP485" s="1706" t="n">
        <v>47.5</v>
      </c>
      <c r="AQ485" s="1562" t="n"/>
      <c r="AR485" s="1562" t="n"/>
      <c r="AS485" s="1562" t="n"/>
      <c r="AT485" s="1562" t="n"/>
      <c r="AU485" s="1706" t="n">
        <v>347.6</v>
      </c>
      <c r="AV485" s="1562" t="n"/>
      <c r="AW485" s="1562" t="n"/>
      <c r="AX485" s="1562" t="n"/>
      <c r="AY485" s="1562" t="n"/>
      <c r="AZ485" s="1706" t="n">
        <v>439.7</v>
      </c>
      <c r="BA485" s="1562" t="n"/>
      <c r="BB485" s="1562" t="n"/>
      <c r="BC485" s="1562" t="n"/>
      <c r="BD485" s="1562" t="n"/>
      <c r="BE485" s="1706" t="n">
        <v>222</v>
      </c>
      <c r="BF485" s="1562" t="n"/>
      <c r="BG485" s="1562" t="n"/>
      <c r="BH485" s="1562" t="n"/>
      <c r="BI485" s="1562" t="n"/>
      <c r="BJ485" s="1706" t="n">
        <v>625.5</v>
      </c>
      <c r="BK485" s="1562" t="n"/>
      <c r="BL485" s="1562" t="n"/>
      <c r="BM485" s="1562" t="n"/>
      <c r="BN485" s="1562" t="n"/>
      <c r="BO485" s="1638" t="n"/>
      <c r="BP485" s="1562" t="n"/>
      <c r="BQ485" s="1562" t="n"/>
      <c r="BR485" s="1562" t="n"/>
      <c r="BS485" s="1562" t="n"/>
      <c r="BT485" s="1637" t="n"/>
      <c r="BU485" s="1562" t="n"/>
      <c r="BV485" s="1562" t="n"/>
      <c r="BW485" s="1562" t="n"/>
      <c r="BX485" s="1562" t="n"/>
      <c r="BY485" s="1637" t="n"/>
      <c r="BZ485" s="1637" t="n"/>
      <c r="CA485" s="1637" t="n"/>
      <c r="CB485" s="1637" t="n"/>
      <c r="CC485" s="1564" t="n"/>
    </row>
    <row r="486" hidden="1" outlineLevel="1" ht="15" customFormat="1" customHeight="1" s="1561">
      <c r="A486" s="1721" t="inlineStr">
        <is>
          <t>Accounts payable</t>
        </is>
      </c>
      <c r="B486" s="1705" t="n"/>
      <c r="C486" s="1787" t="n">
        <v>71.267</v>
      </c>
      <c r="D486" s="1787" t="n">
        <v>350.231</v>
      </c>
      <c r="E486" s="1787" t="n">
        <v>-126.234</v>
      </c>
      <c r="F486" s="1787" t="n">
        <v>-225.083</v>
      </c>
      <c r="G486" s="1787" t="n">
        <v>321.486</v>
      </c>
      <c r="H486" s="1970" t="n"/>
      <c r="I486" s="1970" t="n"/>
      <c r="J486" s="1970" t="n"/>
      <c r="K486" s="1970" t="n"/>
      <c r="L486" s="1787" t="n">
        <v>-136.192</v>
      </c>
      <c r="M486" s="1970" t="n"/>
      <c r="N486" s="1970" t="n"/>
      <c r="O486" s="1970" t="n"/>
      <c r="P486" s="1970" t="n"/>
      <c r="Q486" s="1787" t="n">
        <v>-77.09</v>
      </c>
      <c r="R486" s="1970" t="n"/>
      <c r="S486" s="1562" t="n"/>
      <c r="T486" s="1562" t="n"/>
      <c r="U486" s="1562" t="n"/>
      <c r="V486" s="1706" t="n">
        <v>50.9</v>
      </c>
      <c r="W486" s="1562" t="n"/>
      <c r="X486" s="1562" t="n"/>
      <c r="Y486" s="1562" t="n"/>
      <c r="Z486" s="1562" t="n"/>
      <c r="AA486" s="1706" t="n">
        <v>266.5</v>
      </c>
      <c r="AB486" s="1562" t="n"/>
      <c r="AC486" s="1562" t="n"/>
      <c r="AD486" s="1562" t="n"/>
      <c r="AE486" s="1562" t="n"/>
      <c r="AF486" s="1706" t="n">
        <v>97.90000000000001</v>
      </c>
      <c r="AG486" s="1562" t="n"/>
      <c r="AH486" s="1562" t="n"/>
      <c r="AI486" s="1562" t="n"/>
      <c r="AJ486" s="1562" t="n"/>
      <c r="AK486" s="1706" t="n">
        <v>-12.1</v>
      </c>
      <c r="AL486" s="1562" t="n"/>
      <c r="AM486" s="1562" t="n"/>
      <c r="AN486" s="1562" t="n"/>
      <c r="AO486" s="1562" t="n"/>
      <c r="AP486" s="1706" t="n">
        <v>334.3</v>
      </c>
      <c r="AQ486" s="1562" t="n"/>
      <c r="AR486" s="1562" t="n"/>
      <c r="AS486" s="1562" t="n"/>
      <c r="AT486" s="1562" t="n"/>
      <c r="AU486" s="1706" t="n">
        <v>718.6</v>
      </c>
      <c r="AV486" s="1562" t="n"/>
      <c r="AW486" s="1562" t="n"/>
      <c r="AX486" s="1562" t="n"/>
      <c r="AY486" s="1562" t="n"/>
      <c r="AZ486" s="1706" t="n">
        <v>406.2</v>
      </c>
      <c r="BA486" s="1562" t="n"/>
      <c r="BB486" s="1562" t="n"/>
      <c r="BC486" s="1562" t="n"/>
      <c r="BD486" s="1562" t="n"/>
      <c r="BE486" s="1706" t="n">
        <v>-261.7</v>
      </c>
      <c r="BF486" s="1562" t="n"/>
      <c r="BG486" s="1562" t="n"/>
      <c r="BH486" s="1562" t="n"/>
      <c r="BI486" s="1562" t="n"/>
      <c r="BJ486" s="1706" t="n">
        <v>1127.6</v>
      </c>
      <c r="BK486" s="1562" t="n"/>
      <c r="BL486" s="1562" t="n"/>
      <c r="BM486" s="1562" t="n"/>
      <c r="BN486" s="1562" t="n"/>
      <c r="BO486" s="1638" t="n"/>
      <c r="BP486" s="1562" t="n"/>
      <c r="BQ486" s="1562" t="n"/>
      <c r="BR486" s="1562" t="n"/>
      <c r="BS486" s="1562" t="n"/>
      <c r="BT486" s="1637" t="n"/>
      <c r="BU486" s="1562" t="n"/>
      <c r="BV486" s="1562" t="n"/>
      <c r="BW486" s="1562" t="n"/>
      <c r="BX486" s="1562" t="n"/>
      <c r="BY486" s="1637" t="n"/>
      <c r="BZ486" s="1637" t="n"/>
      <c r="CA486" s="1637" t="n"/>
      <c r="CB486" s="1637" t="n"/>
      <c r="CC486" s="1564" t="n"/>
    </row>
    <row r="487" hidden="1" outlineLevel="1" ht="15" customFormat="1" customHeight="1" s="1561">
      <c r="A487" s="1721" t="inlineStr">
        <is>
          <t>Contract assets and liabilities</t>
        </is>
      </c>
      <c r="B487" s="1705" t="n"/>
      <c r="C487" s="1804" t="n"/>
      <c r="D487" s="1804" t="n"/>
      <c r="E487" s="1804" t="n"/>
      <c r="F487" s="1804" t="n"/>
      <c r="G487" s="1804" t="n"/>
      <c r="H487" s="1970" t="n"/>
      <c r="I487" s="1970" t="n"/>
      <c r="J487" s="1970" t="n"/>
      <c r="K487" s="1970" t="n"/>
      <c r="L487" s="1804" t="n"/>
      <c r="M487" s="1970" t="n"/>
      <c r="N487" s="1970" t="n"/>
      <c r="O487" s="1970" t="n"/>
      <c r="P487" s="1970" t="n"/>
      <c r="Q487" s="1804" t="n"/>
      <c r="R487" s="1970" t="n"/>
      <c r="S487" s="1562" t="n"/>
      <c r="T487" s="1562" t="n"/>
      <c r="U487" s="1562" t="n"/>
      <c r="V487" s="1637" t="n"/>
      <c r="W487" s="1562" t="n"/>
      <c r="X487" s="1562" t="n"/>
      <c r="Y487" s="1562" t="n"/>
      <c r="Z487" s="1562" t="n"/>
      <c r="AA487" s="1637" t="n"/>
      <c r="AB487" s="1562" t="n"/>
      <c r="AC487" s="1562" t="n"/>
      <c r="AD487" s="1562" t="n"/>
      <c r="AE487" s="1562" t="n"/>
      <c r="AF487" s="1706" t="n">
        <v>975.3</v>
      </c>
      <c r="AG487" s="1562" t="n"/>
      <c r="AH487" s="1562" t="n"/>
      <c r="AI487" s="1562" t="n"/>
      <c r="AJ487" s="1562" t="n"/>
      <c r="AK487" s="1706" t="n">
        <v>1198.3</v>
      </c>
      <c r="AL487" s="1562" t="n"/>
      <c r="AM487" s="1562" t="n"/>
      <c r="AN487" s="1562" t="n"/>
      <c r="AO487" s="1562" t="n"/>
      <c r="AP487" s="1706" t="n">
        <v>1418</v>
      </c>
      <c r="AQ487" s="1562" t="n"/>
      <c r="AR487" s="1562" t="n"/>
      <c r="AS487" s="1562" t="n"/>
      <c r="AT487" s="1562" t="n"/>
      <c r="AU487" s="1706" t="n">
        <v>5529.8</v>
      </c>
      <c r="AV487" s="1562" t="n"/>
      <c r="AW487" s="1562" t="n"/>
      <c r="AX487" s="1562" t="n"/>
      <c r="AY487" s="1562" t="n"/>
      <c r="AZ487" s="1706" t="n">
        <v>6632.7</v>
      </c>
      <c r="BA487" s="1562" t="n"/>
      <c r="BB487" s="1562" t="n"/>
      <c r="BC487" s="1562" t="n"/>
      <c r="BD487" s="1562" t="n"/>
      <c r="BE487" s="1706" t="n">
        <v>-1564.6</v>
      </c>
      <c r="BF487" s="1562" t="n"/>
      <c r="BG487" s="1562" t="n"/>
      <c r="BH487" s="1562" t="n"/>
      <c r="BI487" s="1562" t="n"/>
      <c r="BJ487" s="1706" t="n">
        <v>1871.8</v>
      </c>
      <c r="BK487" s="1562" t="n"/>
      <c r="BL487" s="1562" t="n"/>
      <c r="BM487" s="1562" t="n"/>
      <c r="BN487" s="1562" t="n"/>
      <c r="BO487" s="1638" t="n"/>
      <c r="BP487" s="1562" t="n"/>
      <c r="BQ487" s="1562" t="n"/>
      <c r="BR487" s="1562" t="n"/>
      <c r="BS487" s="1562" t="n"/>
      <c r="BT487" s="1637" t="n"/>
      <c r="BU487" s="1562" t="n"/>
      <c r="BV487" s="1562" t="n"/>
      <c r="BW487" s="1562" t="n"/>
      <c r="BX487" s="1562" t="n"/>
      <c r="BY487" s="1637" t="n"/>
      <c r="BZ487" s="1637" t="n"/>
      <c r="CA487" s="1637" t="n"/>
      <c r="CB487" s="1637" t="n"/>
      <c r="CC487" s="1564" t="n"/>
    </row>
    <row r="488" hidden="1" outlineLevel="1" ht="15" customFormat="1" customHeight="1" s="1561">
      <c r="A488" s="1686" t="inlineStr">
        <is>
          <t>Current tax assets and liabilities</t>
        </is>
      </c>
      <c r="B488" s="1708" t="n"/>
      <c r="C488" s="1790" t="n">
        <v>9.936999999999999</v>
      </c>
      <c r="D488" s="1790" t="n">
        <v>36.695</v>
      </c>
      <c r="E488" s="1790" t="n">
        <v>-72.53</v>
      </c>
      <c r="F488" s="1790" t="n">
        <v>-28.179</v>
      </c>
      <c r="G488" s="1790" t="n">
        <v>68.131</v>
      </c>
      <c r="H488" s="1971" t="n"/>
      <c r="I488" s="1971" t="n"/>
      <c r="J488" s="1971" t="n"/>
      <c r="K488" s="1971" t="n"/>
      <c r="L488" s="1790" t="n">
        <v>11.822</v>
      </c>
      <c r="M488" s="1971" t="n"/>
      <c r="N488" s="1971" t="n"/>
      <c r="O488" s="1971" t="n"/>
      <c r="P488" s="1971" t="n"/>
      <c r="Q488" s="1790" t="n">
        <v>-4.611</v>
      </c>
      <c r="R488" s="1971" t="n"/>
      <c r="S488" s="1710" t="n"/>
      <c r="T488" s="1710" t="n"/>
      <c r="U488" s="1710" t="n"/>
      <c r="V488" s="1709" t="n">
        <v>93.40000000000001</v>
      </c>
      <c r="W488" s="1710" t="n"/>
      <c r="X488" s="1710" t="n"/>
      <c r="Y488" s="1710" t="n"/>
      <c r="Z488" s="1710" t="n"/>
      <c r="AA488" s="1709" t="n">
        <v>-151.8</v>
      </c>
      <c r="AB488" s="1710" t="n"/>
      <c r="AC488" s="1710" t="n"/>
      <c r="AD488" s="1710" t="n"/>
      <c r="AE488" s="1710" t="n"/>
      <c r="AF488" s="1709" t="n">
        <v>13.1</v>
      </c>
      <c r="AG488" s="1710" t="n"/>
      <c r="AH488" s="1710" t="n"/>
      <c r="AI488" s="1710" t="n"/>
      <c r="AJ488" s="1710" t="n"/>
      <c r="AK488" s="1709" t="n">
        <v>-202.6</v>
      </c>
      <c r="AL488" s="1710" t="n"/>
      <c r="AM488" s="1710" t="n"/>
      <c r="AN488" s="1710" t="n"/>
      <c r="AO488" s="1710" t="n"/>
      <c r="AP488" s="1709" t="n">
        <v>131.5</v>
      </c>
      <c r="AQ488" s="1710" t="n"/>
      <c r="AR488" s="1710" t="n"/>
      <c r="AS488" s="1710" t="n"/>
      <c r="AT488" s="1710" t="n"/>
      <c r="AU488" s="1709" t="n">
        <v>214.4</v>
      </c>
      <c r="AV488" s="1710" t="n"/>
      <c r="AW488" s="1710" t="n"/>
      <c r="AX488" s="1710" t="n"/>
      <c r="AY488" s="1710" t="n"/>
      <c r="AZ488" s="1709" t="n">
        <v>33.6</v>
      </c>
      <c r="BA488" s="1710" t="n"/>
      <c r="BB488" s="1710" t="n"/>
      <c r="BC488" s="1710" t="n"/>
      <c r="BD488" s="1710" t="n"/>
      <c r="BE488" s="1709" t="n">
        <v>-939.4</v>
      </c>
      <c r="BF488" s="1710" t="n"/>
      <c r="BG488" s="1710" t="n"/>
      <c r="BH488" s="1710" t="n"/>
      <c r="BI488" s="1710" t="n"/>
      <c r="BJ488" s="1709" t="n">
        <v>689.5</v>
      </c>
      <c r="BK488" s="1710" t="n"/>
      <c r="BL488" s="1710" t="n"/>
      <c r="BM488" s="1710" t="n"/>
      <c r="BN488" s="1710" t="n"/>
      <c r="BO488" s="1711" t="n"/>
      <c r="BP488" s="1710" t="n"/>
      <c r="BQ488" s="1710" t="n"/>
      <c r="BR488" s="1710" t="n"/>
      <c r="BS488" s="1710" t="n"/>
      <c r="BT488" s="1712" t="n"/>
      <c r="BU488" s="1710" t="n"/>
      <c r="BV488" s="1710" t="n"/>
      <c r="BW488" s="1710" t="n"/>
      <c r="BX488" s="1710" t="n"/>
      <c r="BY488" s="1712" t="n"/>
      <c r="BZ488" s="1712" t="n"/>
      <c r="CA488" s="1712" t="n"/>
      <c r="CB488" s="1712" t="n"/>
      <c r="CC488" s="1564" t="n"/>
    </row>
    <row r="489" hidden="1" outlineLevel="1" ht="15" customFormat="1" customHeight="1" s="1561">
      <c r="A489" s="1973" t="inlineStr">
        <is>
          <t>Changes in assets and liabilities</t>
        </is>
      </c>
      <c r="B489" s="1837" t="n"/>
      <c r="C489" s="1974">
        <f>SUM(C481:C488)</f>
        <v/>
      </c>
      <c r="D489" s="1974">
        <f>SUM(D481:D488)</f>
        <v/>
      </c>
      <c r="E489" s="1974">
        <f>SUM(E481:E488)</f>
        <v/>
      </c>
      <c r="F489" s="1974">
        <f>SUM(F481:F488)</f>
        <v/>
      </c>
      <c r="G489" s="1974">
        <f>SUM(G481:G488)</f>
        <v/>
      </c>
      <c r="H489" s="1975" t="n">
        <v>-149.8</v>
      </c>
      <c r="I489" s="1975" t="n">
        <v>-489.9</v>
      </c>
      <c r="J489" s="1975" t="n">
        <v>-595.2</v>
      </c>
      <c r="K489" s="1976">
        <f>L489</f>
        <v/>
      </c>
      <c r="L489" s="1974">
        <f>SUM(L481:L488)</f>
        <v/>
      </c>
      <c r="M489" s="1975" t="n">
        <v>-201</v>
      </c>
      <c r="N489" s="1975" t="n">
        <v>-428.3</v>
      </c>
      <c r="O489" s="1975" t="n">
        <v>-521.6</v>
      </c>
      <c r="P489" s="1976">
        <f>Q489</f>
        <v/>
      </c>
      <c r="Q489" s="1974">
        <f>SUM(Q481:Q488)</f>
        <v/>
      </c>
      <c r="R489" s="1975" t="n">
        <v>-333.7</v>
      </c>
      <c r="S489" s="1977" t="n">
        <v>-319.4</v>
      </c>
      <c r="T489" s="1977" t="n">
        <v>-861.2</v>
      </c>
      <c r="U489" s="1978">
        <f>V489</f>
        <v/>
      </c>
      <c r="V489" s="1974">
        <f>SUM(V481:V488)</f>
        <v/>
      </c>
      <c r="W489" s="1977" t="n">
        <v>-791.4</v>
      </c>
      <c r="X489" s="1977" t="n">
        <v>-880.9</v>
      </c>
      <c r="Y489" s="1977" t="n">
        <v>-1191.3</v>
      </c>
      <c r="Z489" s="1978">
        <f>AA489</f>
        <v/>
      </c>
      <c r="AA489" s="1974">
        <f>SUM(AA481:AA488)</f>
        <v/>
      </c>
      <c r="AB489" s="1977" t="n">
        <v>-553.5</v>
      </c>
      <c r="AC489" s="1977" t="n">
        <v>-563.2</v>
      </c>
      <c r="AD489" s="1977" t="n">
        <v>-887</v>
      </c>
      <c r="AE489" s="1978">
        <f>AF489</f>
        <v/>
      </c>
      <c r="AF489" s="1979" t="n">
        <v>-59.4</v>
      </c>
      <c r="AG489" s="1977" t="n">
        <v>-938.4</v>
      </c>
      <c r="AH489" s="1977" t="n">
        <v>-1405.3</v>
      </c>
      <c r="AI489" s="1977" t="n">
        <v>-2145.4</v>
      </c>
      <c r="AJ489" s="1978">
        <f>AK489</f>
        <v/>
      </c>
      <c r="AK489" s="1974">
        <f>SUM(AK481:AK488)</f>
        <v/>
      </c>
      <c r="AL489" s="1977" t="n">
        <v>-1115.7</v>
      </c>
      <c r="AM489" s="1977" t="n">
        <v>-1627.8</v>
      </c>
      <c r="AN489" s="1977" t="n">
        <v>-2543.1</v>
      </c>
      <c r="AO489" s="1978">
        <f>AP489</f>
        <v/>
      </c>
      <c r="AP489" s="1974">
        <f>SUM(AP481:AP488)</f>
        <v/>
      </c>
      <c r="AQ489" s="1977" t="n">
        <v>-2395.3</v>
      </c>
      <c r="AR489" s="1977" t="n">
        <v>-20.5</v>
      </c>
      <c r="AS489" s="1977" t="n">
        <v>244.9</v>
      </c>
      <c r="AT489" s="1978">
        <f>AU489</f>
        <v/>
      </c>
      <c r="AU489" s="1974">
        <f>SUM(AU481:AU488)</f>
        <v/>
      </c>
      <c r="AV489" s="1977" t="n">
        <v>-1399</v>
      </c>
      <c r="AW489" s="1977" t="n">
        <v>-362.1</v>
      </c>
      <c r="AX489" s="1977" t="n">
        <v>-771.8</v>
      </c>
      <c r="AY489" s="1978">
        <f>AZ489</f>
        <v/>
      </c>
      <c r="AZ489" s="1974">
        <f>SUM(AZ481:AZ488)</f>
        <v/>
      </c>
      <c r="BA489" s="1977" t="n">
        <v>-1461.6</v>
      </c>
      <c r="BB489" s="1977" t="n">
        <v>-3298.3</v>
      </c>
      <c r="BC489" s="1977" t="n">
        <v>-4211.3</v>
      </c>
      <c r="BD489" s="1978">
        <f>BE489</f>
        <v/>
      </c>
      <c r="BE489" s="1980">
        <f>SUM(BE481:BE488)</f>
        <v/>
      </c>
      <c r="BF489" s="1977" t="n">
        <v>-1799</v>
      </c>
      <c r="BG489" s="1977" t="n">
        <v>-2802.1</v>
      </c>
      <c r="BH489" s="1977" t="n">
        <v>-4183.7</v>
      </c>
      <c r="BI489" s="1978">
        <f>BJ489</f>
        <v/>
      </c>
      <c r="BJ489" s="1980">
        <f>SUM(BJ481:BJ488)</f>
        <v/>
      </c>
      <c r="BK489" s="1977" t="n">
        <v>-2800.8</v>
      </c>
      <c r="BL489" s="1977" t="n">
        <v>-4710.9</v>
      </c>
      <c r="BM489" s="1977" t="n">
        <v>-6614.2</v>
      </c>
      <c r="BN489" s="1978">
        <f>BO489</f>
        <v/>
      </c>
      <c r="BO489" s="1981" t="n">
        <v>1026.5</v>
      </c>
      <c r="BP489" s="1839" t="n"/>
      <c r="BQ489" s="1839" t="n"/>
      <c r="BR489" s="1839" t="n"/>
      <c r="BS489" s="1839" t="n"/>
      <c r="BT489" s="1980" t="n"/>
      <c r="BU489" s="1839" t="n"/>
      <c r="BV489" s="1839" t="n"/>
      <c r="BW489" s="1839" t="n"/>
      <c r="BX489" s="1839" t="n"/>
      <c r="BY489" s="1980" t="n"/>
      <c r="BZ489" s="1980" t="n"/>
      <c r="CA489" s="1980" t="n"/>
      <c r="CB489" s="1980" t="n"/>
      <c r="CC489" s="1564" t="n"/>
    </row>
    <row r="490" hidden="1" outlineLevel="1" ht="15" customFormat="1" customHeight="1" s="1628">
      <c r="A490" s="1695" t="inlineStr">
        <is>
          <t>Net CFO</t>
        </is>
      </c>
      <c r="B490" s="1793" t="n"/>
      <c r="C490" s="1779">
        <f>C489+C480</f>
        <v/>
      </c>
      <c r="D490" s="1779">
        <f>D489+D480</f>
        <v/>
      </c>
      <c r="E490" s="1779">
        <f>E489+E480</f>
        <v/>
      </c>
      <c r="F490" s="1779">
        <f>F489+F480</f>
        <v/>
      </c>
      <c r="G490" s="1779">
        <f>G489+G480</f>
        <v/>
      </c>
      <c r="H490" s="1795">
        <f>H489+H480</f>
        <v/>
      </c>
      <c r="I490" s="1795">
        <f>I489+I480</f>
        <v/>
      </c>
      <c r="J490" s="1795">
        <f>J489+J480</f>
        <v/>
      </c>
      <c r="K490" s="1795">
        <f>K489+K480</f>
        <v/>
      </c>
      <c r="L490" s="1779">
        <f>L489+L480</f>
        <v/>
      </c>
      <c r="M490" s="1795">
        <f>M489+M480</f>
        <v/>
      </c>
      <c r="N490" s="1795">
        <f>N489+N480</f>
        <v/>
      </c>
      <c r="O490" s="1795">
        <f>O489+O480</f>
        <v/>
      </c>
      <c r="P490" s="1795">
        <f>P489+P480</f>
        <v/>
      </c>
      <c r="Q490" s="1779">
        <f>Q489+Q480</f>
        <v/>
      </c>
      <c r="R490" s="1795">
        <f>R489+R480</f>
        <v/>
      </c>
      <c r="S490" s="1795">
        <f>S489+S480</f>
        <v/>
      </c>
      <c r="T490" s="1795">
        <f>T489+T480</f>
        <v/>
      </c>
      <c r="U490" s="1795">
        <f>U489+U480</f>
        <v/>
      </c>
      <c r="V490" s="1779">
        <f>V489+V480</f>
        <v/>
      </c>
      <c r="W490" s="1795">
        <f>W489+W480</f>
        <v/>
      </c>
      <c r="X490" s="1795">
        <f>X489+X480</f>
        <v/>
      </c>
      <c r="Y490" s="1795">
        <f>Y489+Y480</f>
        <v/>
      </c>
      <c r="Z490" s="1795">
        <f>Z489+Z480</f>
        <v/>
      </c>
      <c r="AA490" s="1779">
        <f>AA489+AA480</f>
        <v/>
      </c>
      <c r="AB490" s="1795">
        <f>AB489+AB480</f>
        <v/>
      </c>
      <c r="AC490" s="1795">
        <f>AC489+AC480</f>
        <v/>
      </c>
      <c r="AD490" s="1795">
        <f>AD489+AD480</f>
        <v/>
      </c>
      <c r="AE490" s="1795">
        <f>AE489+AE480</f>
        <v/>
      </c>
      <c r="AF490" s="1779">
        <f>AF489+AF480</f>
        <v/>
      </c>
      <c r="AG490" s="1795">
        <f>AG489+AG480</f>
        <v/>
      </c>
      <c r="AH490" s="1795">
        <f>AH489+AH480</f>
        <v/>
      </c>
      <c r="AI490" s="1795">
        <f>AI489+AI480</f>
        <v/>
      </c>
      <c r="AJ490" s="1795">
        <f>AJ489+AJ480</f>
        <v/>
      </c>
      <c r="AK490" s="1779">
        <f>AK489+AK480</f>
        <v/>
      </c>
      <c r="AL490" s="1795">
        <f>AL489+AL480</f>
        <v/>
      </c>
      <c r="AM490" s="1795">
        <f>AM489+AM480</f>
        <v/>
      </c>
      <c r="AN490" s="1795">
        <f>AN489+AN480</f>
        <v/>
      </c>
      <c r="AO490" s="1795">
        <f>AO489+AO480</f>
        <v/>
      </c>
      <c r="AP490" s="1779">
        <f>AP489+AP480</f>
        <v/>
      </c>
      <c r="AQ490" s="1795">
        <f>AQ489+AQ480</f>
        <v/>
      </c>
      <c r="AR490" s="1795">
        <f>AR489+AR480</f>
        <v/>
      </c>
      <c r="AS490" s="1795">
        <f>AS489+AS480</f>
        <v/>
      </c>
      <c r="AT490" s="1795">
        <f>AT489+AT480</f>
        <v/>
      </c>
      <c r="AU490" s="1779">
        <f>AU489+AU480</f>
        <v/>
      </c>
      <c r="AV490" s="1795">
        <f>AV489+AV480</f>
        <v/>
      </c>
      <c r="AW490" s="1795">
        <f>AW489+AW480</f>
        <v/>
      </c>
      <c r="AX490" s="1795">
        <f>AX489+AX480</f>
        <v/>
      </c>
      <c r="AY490" s="1795">
        <f>AY489+AY480</f>
        <v/>
      </c>
      <c r="AZ490" s="1779">
        <f>AZ489+AZ480</f>
        <v/>
      </c>
      <c r="BA490" s="1795">
        <f>BA489+BA480</f>
        <v/>
      </c>
      <c r="BB490" s="1795">
        <f>BB489+BB480</f>
        <v/>
      </c>
      <c r="BC490" s="1795">
        <f>BC489+BC480</f>
        <v/>
      </c>
      <c r="BD490" s="1795">
        <f>BD489+BD480</f>
        <v/>
      </c>
      <c r="BE490" s="1779">
        <f>BE489+BE480</f>
        <v/>
      </c>
      <c r="BF490" s="1795">
        <f>BF489+BF480</f>
        <v/>
      </c>
      <c r="BG490" s="1795">
        <f>BG489+BG480</f>
        <v/>
      </c>
      <c r="BH490" s="1795">
        <f>BH489+BH480</f>
        <v/>
      </c>
      <c r="BI490" s="1795">
        <f>BI489+BI480</f>
        <v/>
      </c>
      <c r="BJ490" s="1779">
        <f>BJ489+BJ480</f>
        <v/>
      </c>
      <c r="BK490" s="1795">
        <f>BK489+BK480</f>
        <v/>
      </c>
      <c r="BL490" s="1795">
        <f>BL489+BL480</f>
        <v/>
      </c>
      <c r="BM490" s="1795">
        <f>BM489+BM480</f>
        <v/>
      </c>
      <c r="BN490" s="1795">
        <f>BN489+BN480</f>
        <v/>
      </c>
      <c r="BO490" s="1796">
        <f>BO489+BO480</f>
        <v/>
      </c>
      <c r="BP490" s="1642" t="n"/>
      <c r="BQ490" s="1642" t="n"/>
      <c r="BR490" s="1642" t="n"/>
      <c r="BS490" s="1642" t="n"/>
      <c r="BT490" s="1641" t="n"/>
      <c r="BU490" s="1642" t="n"/>
      <c r="BV490" s="1642" t="n"/>
      <c r="BW490" s="1642" t="n"/>
      <c r="BX490" s="1642" t="n"/>
      <c r="BY490" s="1641" t="n"/>
      <c r="BZ490" s="1641" t="n"/>
      <c r="CA490" s="1641" t="n"/>
      <c r="CB490" s="1641" t="n"/>
      <c r="CC490" s="1634" t="n"/>
    </row>
    <row r="491" hidden="1" outlineLevel="1" ht="15" customFormat="1" customHeight="1" s="1628">
      <c r="A491" s="1703" t="n"/>
      <c r="B491" s="1717" t="n"/>
      <c r="C491" s="1718" t="n"/>
      <c r="D491" s="1718" t="n"/>
      <c r="E491" s="1718" t="n"/>
      <c r="F491" s="1718" t="n"/>
      <c r="G491" s="1718" t="n"/>
      <c r="H491" s="1719" t="n"/>
      <c r="I491" s="1719" t="n"/>
      <c r="J491" s="1719" t="n"/>
      <c r="K491" s="1719" t="n"/>
      <c r="L491" s="1718" t="n"/>
      <c r="M491" s="1719" t="n"/>
      <c r="N491" s="1719" t="n"/>
      <c r="O491" s="1719" t="n"/>
      <c r="P491" s="1719" t="n"/>
      <c r="Q491" s="1718" t="n"/>
      <c r="R491" s="1719" t="n"/>
      <c r="S491" s="1719" t="n"/>
      <c r="T491" s="1719" t="n"/>
      <c r="U491" s="1719" t="n"/>
      <c r="V491" s="1718" t="n"/>
      <c r="W491" s="1719" t="n"/>
      <c r="X491" s="1719" t="n"/>
      <c r="Y491" s="1719" t="n"/>
      <c r="Z491" s="1719" t="n"/>
      <c r="AA491" s="1718" t="n"/>
      <c r="AB491" s="1719" t="n"/>
      <c r="AC491" s="1719" t="n"/>
      <c r="AD491" s="1719" t="n"/>
      <c r="AE491" s="1719" t="n"/>
      <c r="AF491" s="1718" t="n"/>
      <c r="AG491" s="1719" t="n"/>
      <c r="AH491" s="1719" t="n"/>
      <c r="AI491" s="1719" t="n"/>
      <c r="AJ491" s="1719" t="n"/>
      <c r="AK491" s="1718" t="n"/>
      <c r="AL491" s="1719" t="n"/>
      <c r="AM491" s="1719" t="n"/>
      <c r="AN491" s="1719" t="n"/>
      <c r="AO491" s="1719" t="n"/>
      <c r="AP491" s="1718" t="n"/>
      <c r="AQ491" s="1719" t="n"/>
      <c r="AR491" s="1719" t="n"/>
      <c r="AS491" s="1719" t="n"/>
      <c r="AT491" s="1719" t="n"/>
      <c r="AU491" s="1718" t="n"/>
      <c r="AV491" s="1719" t="n"/>
      <c r="AW491" s="1719" t="n"/>
      <c r="AX491" s="1719" t="n"/>
      <c r="AY491" s="1719" t="n"/>
      <c r="AZ491" s="1718" t="n"/>
      <c r="BA491" s="1719" t="n"/>
      <c r="BB491" s="1719" t="n"/>
      <c r="BC491" s="1719" t="n"/>
      <c r="BD491" s="1719" t="n"/>
      <c r="BE491" s="1718" t="n"/>
      <c r="BF491" s="1719" t="n"/>
      <c r="BG491" s="1719" t="n"/>
      <c r="BH491" s="1719" t="n"/>
      <c r="BI491" s="1719" t="n"/>
      <c r="BJ491" s="1718" t="n"/>
      <c r="BK491" s="1719" t="n"/>
      <c r="BL491" s="1719" t="n"/>
      <c r="BM491" s="1719" t="n"/>
      <c r="BN491" s="1719" t="n"/>
      <c r="BO491" s="1720" t="n"/>
      <c r="BP491" s="1719" t="n"/>
      <c r="BQ491" s="1719" t="n"/>
      <c r="BR491" s="1719" t="n"/>
      <c r="BS491" s="1719" t="n"/>
      <c r="BT491" s="1718" t="n"/>
      <c r="BU491" s="1719" t="n"/>
      <c r="BV491" s="1719" t="n"/>
      <c r="BW491" s="1719" t="n"/>
      <c r="BX491" s="1719" t="n"/>
      <c r="BY491" s="1718" t="n"/>
      <c r="BZ491" s="1718" t="n"/>
      <c r="CA491" s="1718" t="n"/>
      <c r="CB491" s="1718" t="n"/>
      <c r="CC491" s="1634" t="n"/>
    </row>
    <row r="492" hidden="1" outlineLevel="1" ht="15" customFormat="1" customHeight="1" s="1628">
      <c r="A492" s="1681" t="inlineStr">
        <is>
          <t>CFI</t>
        </is>
      </c>
      <c r="B492" s="1717" t="n"/>
      <c r="C492" s="1718" t="n"/>
      <c r="D492" s="1718" t="n"/>
      <c r="E492" s="1718" t="n"/>
      <c r="F492" s="1718" t="n"/>
      <c r="G492" s="1718" t="n"/>
      <c r="H492" s="1719" t="n"/>
      <c r="I492" s="1719" t="n"/>
      <c r="J492" s="1719" t="n"/>
      <c r="K492" s="1719" t="n"/>
      <c r="L492" s="1718" t="n"/>
      <c r="M492" s="1719" t="n"/>
      <c r="N492" s="1719" t="n"/>
      <c r="O492" s="1719" t="n"/>
      <c r="P492" s="1719" t="n"/>
      <c r="Q492" s="1718" t="n"/>
      <c r="R492" s="1719" t="n"/>
      <c r="S492" s="1719" t="n"/>
      <c r="T492" s="1719" t="n"/>
      <c r="U492" s="1719" t="n"/>
      <c r="V492" s="1718" t="n"/>
      <c r="W492" s="1719" t="n"/>
      <c r="X492" s="1719" t="n"/>
      <c r="Y492" s="1719" t="n"/>
      <c r="Z492" s="1719" t="n"/>
      <c r="AA492" s="1718" t="n"/>
      <c r="AB492" s="1719" t="n"/>
      <c r="AC492" s="1719" t="n"/>
      <c r="AD492" s="1719" t="n"/>
      <c r="AE492" s="1719" t="n"/>
      <c r="AF492" s="1718" t="n"/>
      <c r="AG492" s="1719" t="n"/>
      <c r="AH492" s="1719" t="n"/>
      <c r="AI492" s="1719" t="n"/>
      <c r="AJ492" s="1719" t="n"/>
      <c r="AK492" s="1718" t="n"/>
      <c r="AL492" s="1719" t="n"/>
      <c r="AM492" s="1719" t="n"/>
      <c r="AN492" s="1719" t="n"/>
      <c r="AO492" s="1719" t="n"/>
      <c r="AP492" s="1718" t="n"/>
      <c r="AQ492" s="1719" t="n"/>
      <c r="AR492" s="1719" t="n"/>
      <c r="AS492" s="1719" t="n"/>
      <c r="AT492" s="1719" t="n"/>
      <c r="AU492" s="1718" t="n"/>
      <c r="AV492" s="1719" t="n"/>
      <c r="AW492" s="1719" t="n"/>
      <c r="AX492" s="1719" t="n"/>
      <c r="AY492" s="1719" t="n"/>
      <c r="AZ492" s="1718" t="n"/>
      <c r="BA492" s="1719" t="n"/>
      <c r="BB492" s="1719" t="n"/>
      <c r="BC492" s="1719" t="n"/>
      <c r="BD492" s="1719" t="n"/>
      <c r="BE492" s="1718" t="n"/>
      <c r="BF492" s="1719" t="n"/>
      <c r="BG492" s="1719" t="n"/>
      <c r="BH492" s="1719" t="n"/>
      <c r="BI492" s="1719" t="n"/>
      <c r="BJ492" s="1718" t="n"/>
      <c r="BK492" s="1719" t="n"/>
      <c r="BL492" s="1719" t="n"/>
      <c r="BM492" s="1719" t="n"/>
      <c r="BN492" s="1719" t="n"/>
      <c r="BO492" s="1720" t="n"/>
      <c r="BP492" s="1719" t="n"/>
      <c r="BQ492" s="1719" t="n"/>
      <c r="BR492" s="1719" t="n"/>
      <c r="BS492" s="1719" t="n"/>
      <c r="BT492" s="1718" t="n"/>
      <c r="BU492" s="1719" t="n"/>
      <c r="BV492" s="1719" t="n"/>
      <c r="BW492" s="1719" t="n"/>
      <c r="BX492" s="1719" t="n"/>
      <c r="BY492" s="1718" t="n"/>
      <c r="BZ492" s="1718" t="n"/>
      <c r="CA492" s="1718" t="n"/>
      <c r="CB492" s="1718" t="n"/>
      <c r="CC492" s="1634" t="n"/>
    </row>
    <row r="493" hidden="1" outlineLevel="1" ht="15" customFormat="1" customHeight="1" s="1561">
      <c r="A493" s="1734" t="inlineStr">
        <is>
          <t>Purchase of property, plant and equipment</t>
        </is>
      </c>
      <c r="B493" s="1705" t="n"/>
      <c r="C493" s="1787" t="n">
        <v>-104.959</v>
      </c>
      <c r="D493" s="1787" t="n">
        <v>-128.728</v>
      </c>
      <c r="E493" s="1787" t="n">
        <v>-300.898</v>
      </c>
      <c r="F493" s="1787" t="n">
        <v>-171.878</v>
      </c>
      <c r="G493" s="1787" t="n">
        <v>-210.804</v>
      </c>
      <c r="H493" s="1861" t="n">
        <v>-75.5</v>
      </c>
      <c r="I493" s="1861" t="n">
        <v>-146.2</v>
      </c>
      <c r="J493" s="1861" t="n">
        <v>-230.4</v>
      </c>
      <c r="K493" s="1863">
        <f>L493</f>
        <v/>
      </c>
      <c r="L493" s="1787" t="n">
        <v>-358.28</v>
      </c>
      <c r="M493" s="1861" t="n">
        <v>-85.59999999999999</v>
      </c>
      <c r="N493" s="1861" t="n">
        <v>-164.8</v>
      </c>
      <c r="O493" s="1861" t="n">
        <v>-251.3</v>
      </c>
      <c r="P493" s="1863">
        <f>Q493</f>
        <v/>
      </c>
      <c r="Q493" s="1787" t="n">
        <v>-371.77</v>
      </c>
      <c r="R493" s="1861" t="n">
        <v>-55.2</v>
      </c>
      <c r="S493" s="1714" t="n">
        <v>-154.1</v>
      </c>
      <c r="T493" s="1714" t="n">
        <v>-220.4</v>
      </c>
      <c r="U493" s="1564">
        <f>V493</f>
        <v/>
      </c>
      <c r="V493" s="1706" t="n">
        <v>-316.3</v>
      </c>
      <c r="W493" s="1714" t="n">
        <v>-38.6</v>
      </c>
      <c r="X493" s="1714" t="n">
        <v>-94.90000000000001</v>
      </c>
      <c r="Y493" s="1714" t="n">
        <v>-190.6</v>
      </c>
      <c r="Z493" s="1564">
        <f>AA493</f>
        <v/>
      </c>
      <c r="AA493" s="1706" t="n">
        <v>-338.9</v>
      </c>
      <c r="AB493" s="1714" t="n">
        <v>-129.2</v>
      </c>
      <c r="AC493" s="1714" t="n">
        <v>-254.8</v>
      </c>
      <c r="AD493" s="1714" t="n">
        <v>-383.9</v>
      </c>
      <c r="AE493" s="1564">
        <f>AF493</f>
        <v/>
      </c>
      <c r="AF493" s="1706" t="n">
        <v>-574</v>
      </c>
      <c r="AG493" s="1714" t="n">
        <v>-147</v>
      </c>
      <c r="AH493" s="1714" t="n">
        <v>-275.3</v>
      </c>
      <c r="AI493" s="1714" t="n">
        <v>-461.1</v>
      </c>
      <c r="AJ493" s="1564">
        <f>AK493</f>
        <v/>
      </c>
      <c r="AK493" s="1706" t="n">
        <v>-766.6</v>
      </c>
      <c r="AL493" s="1714" t="n">
        <v>-231.5</v>
      </c>
      <c r="AM493" s="1714" t="n">
        <v>-456.6</v>
      </c>
      <c r="AN493" s="1714" t="n">
        <v>-669.1</v>
      </c>
      <c r="AO493" s="1564">
        <f>AP493</f>
        <v/>
      </c>
      <c r="AP493" s="1706" t="n">
        <v>-962</v>
      </c>
      <c r="AQ493" s="1714" t="n">
        <v>-189.4</v>
      </c>
      <c r="AR493" s="1714" t="n">
        <v>-430.5</v>
      </c>
      <c r="AS493" s="1714" t="n">
        <v>-627.5</v>
      </c>
      <c r="AT493" s="1564">
        <f>AU493</f>
        <v/>
      </c>
      <c r="AU493" s="1706" t="n">
        <v>-900.7</v>
      </c>
      <c r="AV493" s="1714" t="n">
        <v>-240.1</v>
      </c>
      <c r="AW493" s="1714" t="n">
        <v>-471.6</v>
      </c>
      <c r="AX493" s="1714" t="n">
        <v>-828.2</v>
      </c>
      <c r="AY493" s="1564">
        <f>AZ493</f>
        <v/>
      </c>
      <c r="AZ493" s="1706" t="n">
        <v>-1281.8</v>
      </c>
      <c r="BA493" s="1714" t="n">
        <v>-532</v>
      </c>
      <c r="BB493" s="1714" t="n">
        <v>-1069.8</v>
      </c>
      <c r="BC493" s="1714" t="n">
        <v>-1571.6</v>
      </c>
      <c r="BD493" s="1564">
        <f>BE493</f>
        <v/>
      </c>
      <c r="BE493" s="1706" t="n">
        <v>-2155.6</v>
      </c>
      <c r="BF493" s="1714" t="n">
        <v>-417.3</v>
      </c>
      <c r="BG493" s="1714" t="n">
        <v>-948.3</v>
      </c>
      <c r="BH493" s="1714" t="n">
        <v>-1363.2</v>
      </c>
      <c r="BI493" s="1564">
        <f>BJ493</f>
        <v/>
      </c>
      <c r="BJ493" s="1706" t="n">
        <v>-2067.2</v>
      </c>
      <c r="BK493" s="1714" t="n">
        <v>-415</v>
      </c>
      <c r="BL493" s="1714" t="n">
        <v>-829.8</v>
      </c>
      <c r="BM493" s="1714" t="n">
        <v>-1125.7</v>
      </c>
      <c r="BN493" s="1564">
        <f>BO493</f>
        <v/>
      </c>
      <c r="BO493" s="1788" t="n">
        <v>-1573.6</v>
      </c>
      <c r="BP493" s="1562" t="n"/>
      <c r="BQ493" s="1562" t="n"/>
      <c r="BR493" s="1562" t="n"/>
      <c r="BS493" s="1562" t="n"/>
      <c r="BT493" s="1637" t="n"/>
      <c r="BU493" s="1562" t="n"/>
      <c r="BV493" s="1562" t="n"/>
      <c r="BW493" s="1562" t="n"/>
      <c r="BX493" s="1562" t="n"/>
      <c r="BY493" s="1637" t="n"/>
      <c r="BZ493" s="1637" t="n"/>
      <c r="CA493" s="1637" t="n"/>
      <c r="CB493" s="1637" t="n"/>
      <c r="CC493" s="1564" t="n"/>
    </row>
    <row r="494" hidden="1" outlineLevel="1" ht="15" customFormat="1" customHeight="1" s="1561">
      <c r="A494" s="1734" t="inlineStr">
        <is>
          <t>Purchase of intangible assets</t>
        </is>
      </c>
      <c r="B494" s="1705" t="n"/>
      <c r="C494" s="1804" t="n"/>
      <c r="D494" s="1804" t="n"/>
      <c r="E494" s="1804" t="n"/>
      <c r="F494" s="1787" t="n">
        <v>-7.658</v>
      </c>
      <c r="G494" s="1787" t="n">
        <v>-4</v>
      </c>
      <c r="H494" s="1970" t="n"/>
      <c r="I494" s="1861" t="n">
        <v>-3</v>
      </c>
      <c r="J494" s="1861" t="n">
        <v>-3</v>
      </c>
      <c r="K494" s="1863">
        <f>L494</f>
        <v/>
      </c>
      <c r="L494" s="1787" t="n">
        <v>-2.952</v>
      </c>
      <c r="M494" s="1861" t="n">
        <v>-1.1</v>
      </c>
      <c r="N494" s="1861" t="n">
        <v>-1.1</v>
      </c>
      <c r="O494" s="1861" t="n">
        <v>-1.1</v>
      </c>
      <c r="P494" s="1863">
        <f>Q494</f>
        <v/>
      </c>
      <c r="Q494" s="1787" t="n">
        <v>-1.108</v>
      </c>
      <c r="R494" s="1861" t="n">
        <v>-3.6</v>
      </c>
      <c r="S494" s="1714" t="n">
        <v>-4.9</v>
      </c>
      <c r="T494" s="1714" t="n">
        <v>-7.5</v>
      </c>
      <c r="U494" s="1564">
        <f>V494</f>
        <v/>
      </c>
      <c r="V494" s="1706" t="n">
        <v>-8.4</v>
      </c>
      <c r="W494" s="1714" t="n">
        <v>-5.2</v>
      </c>
      <c r="X494" s="1714" t="n">
        <v>-10.2</v>
      </c>
      <c r="Y494" s="1714" t="n">
        <v>-12.3</v>
      </c>
      <c r="Z494" s="1564">
        <f>AA494</f>
        <v/>
      </c>
      <c r="AA494" s="1706" t="n">
        <v>-19.1</v>
      </c>
      <c r="AB494" s="1714" t="n">
        <v>-6.1</v>
      </c>
      <c r="AC494" s="1714" t="n">
        <v>-15.9</v>
      </c>
      <c r="AD494" s="1714" t="n">
        <v>-21.1</v>
      </c>
      <c r="AE494" s="1564">
        <f>AF494</f>
        <v/>
      </c>
      <c r="AF494" s="1706" t="n">
        <v>-35.5</v>
      </c>
      <c r="AG494" s="1714" t="n">
        <v>-86.7</v>
      </c>
      <c r="AH494" s="1714" t="n">
        <v>-98.40000000000001</v>
      </c>
      <c r="AI494" s="1714" t="n">
        <v>-109.6</v>
      </c>
      <c r="AJ494" s="1564">
        <f>AK494</f>
        <v/>
      </c>
      <c r="AK494" s="1706" t="n">
        <v>-119.3</v>
      </c>
      <c r="AL494" s="1714" t="n">
        <v>-10.8</v>
      </c>
      <c r="AM494" s="1714" t="n">
        <v>-17.5</v>
      </c>
      <c r="AN494" s="1714" t="n">
        <v>-26.6</v>
      </c>
      <c r="AO494" s="1564">
        <f>AP494</f>
        <v/>
      </c>
      <c r="AP494" s="1706" t="n">
        <v>-38.8</v>
      </c>
      <c r="AQ494" s="1714" t="n">
        <v>-7.9</v>
      </c>
      <c r="AR494" s="1714" t="n">
        <v>-14.2</v>
      </c>
      <c r="AS494" s="1714" t="n">
        <v>-22.2</v>
      </c>
      <c r="AT494" s="1564">
        <f>AU494</f>
        <v/>
      </c>
      <c r="AU494" s="1706" t="n">
        <v>-39.6</v>
      </c>
      <c r="AV494" s="1714" t="n">
        <v>-11.5</v>
      </c>
      <c r="AW494" s="1714" t="n">
        <v>-17.5</v>
      </c>
      <c r="AX494" s="1714" t="n">
        <v>-25.2</v>
      </c>
      <c r="AY494" s="1564">
        <f>AZ494</f>
        <v/>
      </c>
      <c r="AZ494" s="1706" t="n">
        <v>-37.5</v>
      </c>
      <c r="BA494" s="1714" t="n">
        <v>-7.4</v>
      </c>
      <c r="BB494" s="1714" t="n">
        <v>-14</v>
      </c>
      <c r="BC494" s="1714" t="n">
        <v>-22.3</v>
      </c>
      <c r="BD494" s="1564">
        <f>BE494</f>
        <v/>
      </c>
      <c r="BE494" s="1706" t="n">
        <v>-40.6</v>
      </c>
      <c r="BF494" s="1714" t="n">
        <v>-6.5</v>
      </c>
      <c r="BG494" s="1714" t="n">
        <v>-13.5</v>
      </c>
      <c r="BH494" s="1714" t="n">
        <v>-14.4</v>
      </c>
      <c r="BI494" s="1564">
        <f>BJ494</f>
        <v/>
      </c>
      <c r="BJ494" s="1706" t="n">
        <v>-15.9</v>
      </c>
      <c r="BK494" s="1714" t="n">
        <v>-1.5</v>
      </c>
      <c r="BL494" s="1714" t="n">
        <v>-15.6</v>
      </c>
      <c r="BM494" s="1714" t="n">
        <v>-35.1</v>
      </c>
      <c r="BN494" s="1564">
        <f>BO494</f>
        <v/>
      </c>
      <c r="BO494" s="1788" t="n">
        <v>-57.6</v>
      </c>
      <c r="BP494" s="1562" t="n"/>
      <c r="BQ494" s="1562" t="n"/>
      <c r="BR494" s="1562" t="n"/>
      <c r="BS494" s="1562" t="n"/>
      <c r="BT494" s="1637" t="n"/>
      <c r="BU494" s="1562" t="n"/>
      <c r="BV494" s="1562" t="n"/>
      <c r="BW494" s="1562" t="n"/>
      <c r="BX494" s="1562" t="n"/>
      <c r="BY494" s="1637" t="n"/>
      <c r="BZ494" s="1637" t="n"/>
      <c r="CA494" s="1637" t="n"/>
      <c r="CB494" s="1637" t="n"/>
      <c r="CC494" s="1564" t="n"/>
    </row>
    <row r="495" hidden="1" outlineLevel="1" ht="15" customFormat="1" customHeight="1" s="1561">
      <c r="A495" s="1734" t="inlineStr">
        <is>
          <t>Purchase of short-term investments</t>
        </is>
      </c>
      <c r="B495" s="1705" t="n"/>
      <c r="C495" s="1804" t="n"/>
      <c r="D495" s="1804" t="n"/>
      <c r="E495" s="1804" t="n"/>
      <c r="F495" s="1787" t="n">
        <v>-1379.997</v>
      </c>
      <c r="G495" s="1787" t="n">
        <v>-904.856</v>
      </c>
      <c r="H495" s="1861" t="n">
        <v>-194.8</v>
      </c>
      <c r="I495" s="1861" t="n">
        <v>-369.7</v>
      </c>
      <c r="J495" s="1861" t="n">
        <v>-479.7</v>
      </c>
      <c r="K495" s="1863">
        <f>L495</f>
        <v/>
      </c>
      <c r="L495" s="1787" t="n">
        <v>-504.756</v>
      </c>
      <c r="M495" s="1970" t="n"/>
      <c r="N495" s="1970" t="n"/>
      <c r="O495" s="1970" t="n"/>
      <c r="P495" s="1863">
        <f>Q495</f>
        <v/>
      </c>
      <c r="Q495" s="1787" t="n">
        <v>-950</v>
      </c>
      <c r="R495" s="1861" t="n">
        <v>-350</v>
      </c>
      <c r="S495" s="1714" t="n">
        <v>-700</v>
      </c>
      <c r="T495" s="1714" t="n">
        <v>-1470</v>
      </c>
      <c r="U495" s="1564">
        <f>V495</f>
        <v/>
      </c>
      <c r="V495" s="1706" t="n">
        <v>-2520</v>
      </c>
      <c r="W495" s="1714" t="n">
        <v>-75</v>
      </c>
      <c r="X495" s="1714" t="n">
        <v>-350</v>
      </c>
      <c r="Y495" s="1714" t="n">
        <v>-450</v>
      </c>
      <c r="Z495" s="1564">
        <f>AA495</f>
        <v/>
      </c>
      <c r="AA495" s="1706" t="n">
        <v>-1129.3</v>
      </c>
      <c r="AB495" s="1714" t="n">
        <v>-79.3</v>
      </c>
      <c r="AC495" s="1714" t="n">
        <v>-183.8</v>
      </c>
      <c r="AD495" s="1714" t="n">
        <v>-398.6</v>
      </c>
      <c r="AE495" s="1564">
        <f>AF495</f>
        <v/>
      </c>
      <c r="AF495" s="1706" t="n">
        <v>-918.1</v>
      </c>
      <c r="AG495" s="1714" t="n">
        <v>-288.1</v>
      </c>
      <c r="AH495" s="1714" t="n">
        <v>-288.8</v>
      </c>
      <c r="AI495" s="1714" t="n">
        <v>-389.1</v>
      </c>
      <c r="AJ495" s="1564">
        <f>AK495</f>
        <v/>
      </c>
      <c r="AK495" s="1706" t="n">
        <v>-1291.5</v>
      </c>
      <c r="AL495" s="1714" t="n">
        <v>-310.5</v>
      </c>
      <c r="AM495" s="1714" t="n">
        <v>-311</v>
      </c>
      <c r="AN495" s="1714" t="n">
        <v>-654.7</v>
      </c>
      <c r="AO495" s="1564">
        <f>AP495</f>
        <v/>
      </c>
      <c r="AP495" s="1706" t="n">
        <v>-1475.5</v>
      </c>
      <c r="AQ495" s="1714" t="n">
        <v>-608.5</v>
      </c>
      <c r="AR495" s="1714" t="n">
        <v>-608.5</v>
      </c>
      <c r="AS495" s="1714" t="n">
        <v>-658.5</v>
      </c>
      <c r="AT495" s="1564">
        <f>AU495</f>
        <v/>
      </c>
      <c r="AU495" s="1706" t="n">
        <v>-1162.7</v>
      </c>
      <c r="AV495" s="1714" t="n">
        <v>-19.6</v>
      </c>
      <c r="AW495" s="1714" t="n">
        <v>-226</v>
      </c>
      <c r="AX495" s="1714" t="n">
        <v>-330.1</v>
      </c>
      <c r="AY495" s="1564">
        <f>AZ495</f>
        <v/>
      </c>
      <c r="AZ495" s="1706" t="n">
        <v>-334.3</v>
      </c>
      <c r="BA495" s="1714" t="n">
        <v>-18.2</v>
      </c>
      <c r="BB495" s="1714" t="n">
        <v>-18.7</v>
      </c>
      <c r="BC495" s="1714" t="n">
        <v>-22.6</v>
      </c>
      <c r="BD495" s="1564">
        <f>BE495</f>
        <v/>
      </c>
      <c r="BE495" s="1706" t="n">
        <v>-23.6</v>
      </c>
      <c r="BF495" s="1714" t="n">
        <v>-300</v>
      </c>
      <c r="BG495" s="1714" t="n">
        <v>-300.5</v>
      </c>
      <c r="BH495" s="1714" t="n">
        <v>-304.3</v>
      </c>
      <c r="BI495" s="1564">
        <f>BJ495</f>
        <v/>
      </c>
      <c r="BJ495" s="1706" t="n">
        <v>-305.2</v>
      </c>
      <c r="BK495" s="1714" t="n">
        <v>0</v>
      </c>
      <c r="BL495" s="1562" t="n"/>
      <c r="BM495" s="1714" t="n">
        <v>3.5</v>
      </c>
      <c r="BN495" s="1564">
        <f>BO495</f>
        <v/>
      </c>
      <c r="BO495" s="1788" t="n">
        <v>-406.2</v>
      </c>
      <c r="BP495" s="1562" t="n"/>
      <c r="BQ495" s="1562" t="n"/>
      <c r="BR495" s="1562" t="n"/>
      <c r="BS495" s="1562" t="n"/>
      <c r="BT495" s="1637" t="n"/>
      <c r="BU495" s="1562" t="n"/>
      <c r="BV495" s="1562" t="n"/>
      <c r="BW495" s="1562" t="n"/>
      <c r="BX495" s="1562" t="n"/>
      <c r="BY495" s="1637" t="n"/>
      <c r="BZ495" s="1637" t="n"/>
      <c r="CA495" s="1637" t="n"/>
      <c r="CB495" s="1637" t="n"/>
      <c r="CC495" s="1564" t="n"/>
    </row>
    <row r="496" hidden="1" outlineLevel="1" ht="15" customFormat="1" customHeight="1" s="1561">
      <c r="A496" s="1734" t="inlineStr">
        <is>
          <t>Maturity of short-term investments</t>
        </is>
      </c>
      <c r="B496" s="1705" t="n"/>
      <c r="C496" s="1804" t="n"/>
      <c r="D496" s="1804" t="n"/>
      <c r="E496" s="1804" t="n"/>
      <c r="F496" s="1787" t="n">
        <v>449.992</v>
      </c>
      <c r="G496" s="1787" t="n">
        <v>1195.031</v>
      </c>
      <c r="H496" s="1861" t="n">
        <v>275</v>
      </c>
      <c r="I496" s="1861" t="n">
        <v>450</v>
      </c>
      <c r="J496" s="1861" t="n">
        <v>619.9</v>
      </c>
      <c r="K496" s="1863">
        <f>L496</f>
        <v/>
      </c>
      <c r="L496" s="1787" t="n">
        <v>849.776</v>
      </c>
      <c r="M496" s="1861" t="n">
        <v>274.9</v>
      </c>
      <c r="N496" s="1861" t="n">
        <v>309.9</v>
      </c>
      <c r="O496" s="1861" t="n">
        <v>334.9</v>
      </c>
      <c r="P496" s="1863">
        <f>Q496</f>
        <v/>
      </c>
      <c r="Q496" s="1787" t="n">
        <v>334.864</v>
      </c>
      <c r="R496" s="1861" t="n">
        <v>225</v>
      </c>
      <c r="S496" s="1714" t="n">
        <v>650</v>
      </c>
      <c r="T496" s="1714" t="n">
        <v>1020</v>
      </c>
      <c r="U496" s="1564">
        <f>V496</f>
        <v/>
      </c>
      <c r="V496" s="1706" t="n">
        <v>2320</v>
      </c>
      <c r="W496" s="1714" t="n">
        <v>300</v>
      </c>
      <c r="X496" s="1714" t="n">
        <v>900</v>
      </c>
      <c r="Y496" s="1714" t="n">
        <v>1000</v>
      </c>
      <c r="Z496" s="1564">
        <f>AA496</f>
        <v/>
      </c>
      <c r="AA496" s="1706" t="n">
        <v>1250</v>
      </c>
      <c r="AB496" s="1714" t="n">
        <v>379.3</v>
      </c>
      <c r="AC496" s="1714" t="n">
        <v>558.8</v>
      </c>
      <c r="AD496" s="1714" t="n">
        <v>683.7</v>
      </c>
      <c r="AE496" s="1564">
        <f>AF496</f>
        <v/>
      </c>
      <c r="AF496" s="1706" t="n">
        <v>1034.1</v>
      </c>
      <c r="AG496" s="1714" t="n">
        <v>179.4</v>
      </c>
      <c r="AH496" s="1714" t="n">
        <v>528.7</v>
      </c>
      <c r="AI496" s="1714" t="n">
        <v>818.7</v>
      </c>
      <c r="AJ496" s="1564">
        <f>AK496</f>
        <v/>
      </c>
      <c r="AK496" s="1706" t="n">
        <v>1019</v>
      </c>
      <c r="AL496" s="1714" t="n">
        <v>108.2</v>
      </c>
      <c r="AM496" s="1714" t="n">
        <v>555.6</v>
      </c>
      <c r="AN496" s="1714" t="n">
        <v>964.3</v>
      </c>
      <c r="AO496" s="1564">
        <f>AP496</f>
        <v/>
      </c>
      <c r="AP496" s="1706" t="n">
        <v>1359.1</v>
      </c>
      <c r="AQ496" s="1714" t="n">
        <v>499.1</v>
      </c>
      <c r="AR496" s="1714" t="n">
        <v>1724</v>
      </c>
      <c r="AS496" s="1714" t="n">
        <v>1823.7</v>
      </c>
      <c r="AT496" s="1564">
        <f>AU496</f>
        <v/>
      </c>
      <c r="AU496" s="1706" t="n">
        <v>1826.4</v>
      </c>
      <c r="AV496" s="1714" t="n">
        <v>259.5</v>
      </c>
      <c r="AW496" s="1714" t="n">
        <v>559.1</v>
      </c>
      <c r="AX496" s="1714" t="n">
        <v>758.6</v>
      </c>
      <c r="AY496" s="1564">
        <f>AZ496</f>
        <v/>
      </c>
      <c r="AZ496" s="1706" t="n">
        <v>864.7</v>
      </c>
      <c r="BA496" s="1714" t="n">
        <v>121.1</v>
      </c>
      <c r="BB496" s="1714" t="n">
        <v>121.1</v>
      </c>
      <c r="BC496" s="1714" t="n">
        <v>124.7</v>
      </c>
      <c r="BD496" s="1564">
        <f>BE496</f>
        <v/>
      </c>
      <c r="BE496" s="1706" t="n">
        <v>125.6</v>
      </c>
      <c r="BF496" s="1562" t="n"/>
      <c r="BG496" s="1714" t="n">
        <v>100.4</v>
      </c>
      <c r="BH496" s="1714" t="n">
        <v>304.3</v>
      </c>
      <c r="BI496" s="1564">
        <f>BJ496</f>
        <v/>
      </c>
      <c r="BJ496" s="1706" t="n">
        <v>305.2</v>
      </c>
      <c r="BK496" s="1562" t="n"/>
      <c r="BL496" s="1562" t="n"/>
      <c r="BM496" s="1562" t="n"/>
      <c r="BN496" s="1564">
        <f>BO496</f>
        <v/>
      </c>
      <c r="BO496" s="1788" t="n">
        <v>5.3</v>
      </c>
      <c r="BP496" s="1562" t="n"/>
      <c r="BQ496" s="1562" t="n"/>
      <c r="BR496" s="1562" t="n"/>
      <c r="BS496" s="1562" t="n"/>
      <c r="BT496" s="1637" t="n"/>
      <c r="BU496" s="1562" t="n"/>
      <c r="BV496" s="1562" t="n"/>
      <c r="BW496" s="1562" t="n"/>
      <c r="BX496" s="1562" t="n"/>
      <c r="BY496" s="1637" t="n"/>
      <c r="BZ496" s="1637" t="n"/>
      <c r="CA496" s="1637" t="n"/>
      <c r="CB496" s="1637" t="n"/>
      <c r="CC496" s="1564" t="n"/>
    </row>
    <row r="497" hidden="1" outlineLevel="1" ht="15" customFormat="1" customHeight="1" s="1561">
      <c r="A497" s="1734" t="inlineStr">
        <is>
          <t>Cash from (used for) derivative financial instruments</t>
        </is>
      </c>
      <c r="B497" s="1705" t="n"/>
      <c r="C497" s="1804" t="n"/>
      <c r="D497" s="1804" t="n"/>
      <c r="E497" s="1804" t="n"/>
      <c r="F497" s="1804" t="n"/>
      <c r="G497" s="1804" t="n"/>
      <c r="H497" s="1970" t="n"/>
      <c r="I497" s="1970" t="n"/>
      <c r="J497" s="1970" t="n"/>
      <c r="K497" s="1863">
        <f>L497</f>
        <v/>
      </c>
      <c r="L497" s="1804" t="n"/>
      <c r="M497" s="1861" t="n">
        <v>-64</v>
      </c>
      <c r="N497" s="1861" t="n">
        <v>-127</v>
      </c>
      <c r="O497" s="1861" t="n">
        <v>-164.8</v>
      </c>
      <c r="P497" s="1863">
        <f>Q497</f>
        <v/>
      </c>
      <c r="Q497" s="1787" t="n">
        <v>-171.899</v>
      </c>
      <c r="R497" s="1861" t="n">
        <v>1.1</v>
      </c>
      <c r="S497" s="1714" t="n">
        <v>8.800000000000001</v>
      </c>
      <c r="T497" s="1714" t="n">
        <v>-5.6</v>
      </c>
      <c r="U497" s="1564">
        <f>V497</f>
        <v/>
      </c>
      <c r="V497" s="1706" t="n">
        <v>-15</v>
      </c>
      <c r="W497" s="1714" t="n">
        <v>-30.7</v>
      </c>
      <c r="X497" s="1714" t="n">
        <v>-47.2</v>
      </c>
      <c r="Y497" s="1714" t="n">
        <v>-15.2</v>
      </c>
      <c r="Z497" s="1564">
        <f>AA497</f>
        <v/>
      </c>
      <c r="AA497" s="1706" t="n">
        <v>27</v>
      </c>
      <c r="AB497" s="1714" t="n">
        <v>23.6</v>
      </c>
      <c r="AC497" s="1714" t="n">
        <v>27.1</v>
      </c>
      <c r="AD497" s="1714" t="n">
        <v>6.9</v>
      </c>
      <c r="AE497" s="1564">
        <f>AF497</f>
        <v/>
      </c>
      <c r="AF497" s="1706" t="n">
        <v>-2.4</v>
      </c>
      <c r="AG497" s="1562" t="n"/>
      <c r="AH497" s="1714" t="n">
        <v>0</v>
      </c>
      <c r="AI497" s="1562" t="n"/>
      <c r="AJ497" s="1564">
        <f>AK497</f>
        <v/>
      </c>
      <c r="AK497" s="1637" t="n"/>
      <c r="AL497" s="1562" t="n"/>
      <c r="AM497" s="1562" t="n"/>
      <c r="AN497" s="1562" t="n"/>
      <c r="AO497" s="1564">
        <f>AP497</f>
        <v/>
      </c>
      <c r="AP497" s="1637" t="n"/>
      <c r="AQ497" s="1562" t="n"/>
      <c r="AR497" s="1562" t="n"/>
      <c r="AS497" s="1562" t="n"/>
      <c r="AT497" s="1564">
        <f>AU497</f>
        <v/>
      </c>
      <c r="AU497" s="1637" t="n"/>
      <c r="AV497" s="1562" t="n"/>
      <c r="AW497" s="1562" t="n"/>
      <c r="AX497" s="1562" t="n"/>
      <c r="AY497" s="1564">
        <f>AZ497</f>
        <v/>
      </c>
      <c r="AZ497" s="1637" t="n"/>
      <c r="BA497" s="1562" t="n"/>
      <c r="BB497" s="1562" t="n"/>
      <c r="BC497" s="1562" t="n"/>
      <c r="BD497" s="1564">
        <f>BE497</f>
        <v/>
      </c>
      <c r="BE497" s="1637" t="n"/>
      <c r="BF497" s="1562" t="n"/>
      <c r="BG497" s="1562" t="n"/>
      <c r="BH497" s="1562" t="n"/>
      <c r="BI497" s="1564">
        <f>BJ497</f>
        <v/>
      </c>
      <c r="BJ497" s="1637" t="n"/>
      <c r="BK497" s="1562" t="n"/>
      <c r="BL497" s="1562" t="n"/>
      <c r="BM497" s="1562" t="n"/>
      <c r="BN497" s="1564">
        <f>BO497</f>
        <v/>
      </c>
      <c r="BO497" s="1638" t="n"/>
      <c r="BP497" s="1562" t="n"/>
      <c r="BQ497" s="1562" t="n"/>
      <c r="BR497" s="1562" t="n"/>
      <c r="BS497" s="1562" t="n"/>
      <c r="BT497" s="1637" t="n"/>
      <c r="BU497" s="1562" t="n"/>
      <c r="BV497" s="1562" t="n"/>
      <c r="BW497" s="1562" t="n"/>
      <c r="BX497" s="1562" t="n"/>
      <c r="BY497" s="1637" t="n"/>
      <c r="BZ497" s="1637" t="n"/>
      <c r="CA497" s="1637" t="n"/>
      <c r="CB497" s="1637" t="n"/>
      <c r="CC497" s="1564" t="n"/>
    </row>
    <row r="498" hidden="1" outlineLevel="1" ht="15" customFormat="1" customHeight="1" s="1561">
      <c r="A498" s="1734" t="inlineStr">
        <is>
          <t>Loans issued and other investments</t>
        </is>
      </c>
      <c r="B498" s="1705" t="n"/>
      <c r="C498" s="1804" t="n"/>
      <c r="D498" s="1804" t="n"/>
      <c r="E498" s="1804" t="n"/>
      <c r="F498" s="1804" t="n"/>
      <c r="G498" s="1804" t="n"/>
      <c r="H498" s="1970" t="n"/>
      <c r="I498" s="1970" t="n"/>
      <c r="J498" s="1970" t="n"/>
      <c r="K498" s="1863">
        <f>L498</f>
        <v/>
      </c>
      <c r="L498" s="1804" t="n"/>
      <c r="M498" s="1970" t="n"/>
      <c r="N498" s="1970" t="n"/>
      <c r="O498" s="1970" t="n"/>
      <c r="P498" s="1863">
        <f>Q498</f>
        <v/>
      </c>
      <c r="Q498" s="1804" t="n"/>
      <c r="R498" s="1970" t="n"/>
      <c r="S498" s="1714" t="n">
        <v>-6</v>
      </c>
      <c r="T498" s="1714" t="n">
        <v>-7.2</v>
      </c>
      <c r="U498" s="1564">
        <f>V498</f>
        <v/>
      </c>
      <c r="V498" s="1706" t="n">
        <v>-7.4</v>
      </c>
      <c r="W498" s="1562" t="n"/>
      <c r="X498" s="1562" t="n"/>
      <c r="Y498" s="1562" t="n"/>
      <c r="Z498" s="1564">
        <f>AA498</f>
        <v/>
      </c>
      <c r="AA498" s="1706" t="n">
        <v>-0.6</v>
      </c>
      <c r="AB498" s="1714" t="n">
        <v>-0.2</v>
      </c>
      <c r="AC498" s="1714" t="n">
        <v>-0.6</v>
      </c>
      <c r="AD498" s="1714" t="n">
        <v>-0.9</v>
      </c>
      <c r="AE498" s="1564">
        <f>AF498</f>
        <v/>
      </c>
      <c r="AF498" s="1706" t="n">
        <v>-1</v>
      </c>
      <c r="AG498" s="1562" t="n"/>
      <c r="AH498" s="1714" t="n">
        <v>0</v>
      </c>
      <c r="AI498" s="1562" t="n"/>
      <c r="AJ498" s="1564">
        <f>AK498</f>
        <v/>
      </c>
      <c r="AK498" s="1637" t="n"/>
      <c r="AL498" s="1562" t="n"/>
      <c r="AM498" s="1562" t="n"/>
      <c r="AN498" s="1714" t="n">
        <v>-10</v>
      </c>
      <c r="AO498" s="1564">
        <f>AP498</f>
        <v/>
      </c>
      <c r="AP498" s="1637" t="n"/>
      <c r="AQ498" s="1562" t="n"/>
      <c r="AR498" s="1562" t="n"/>
      <c r="AS498" s="1714" t="n">
        <v>-124.3</v>
      </c>
      <c r="AT498" s="1564">
        <f>AU498</f>
        <v/>
      </c>
      <c r="AU498" s="1706" t="n">
        <v>-124.4</v>
      </c>
      <c r="AV498" s="1562" t="n"/>
      <c r="AW498" s="1562" t="n"/>
      <c r="AX498" s="1714" t="n">
        <v>-240</v>
      </c>
      <c r="AY498" s="1564">
        <f>AZ498</f>
        <v/>
      </c>
      <c r="AZ498" s="1706" t="n">
        <v>-240</v>
      </c>
      <c r="BA498" s="1562" t="n"/>
      <c r="BB498" s="1562" t="n"/>
      <c r="BC498" s="1714" t="n">
        <v>-553</v>
      </c>
      <c r="BD498" s="1564">
        <f>BE498</f>
        <v/>
      </c>
      <c r="BE498" s="1706" t="n">
        <v>-561.5</v>
      </c>
      <c r="BF498" s="1714" t="n">
        <v>0.2</v>
      </c>
      <c r="BG498" s="1714" t="n">
        <v>0.5</v>
      </c>
      <c r="BH498" s="1714" t="n">
        <v>1.2</v>
      </c>
      <c r="BI498" s="1564">
        <f>BJ498</f>
        <v/>
      </c>
      <c r="BJ498" s="1706" t="n">
        <v>-526.2</v>
      </c>
      <c r="BK498" s="1714" t="n">
        <v>0.8</v>
      </c>
      <c r="BL498" s="1714" t="n">
        <v>1.7</v>
      </c>
      <c r="BM498" s="1714" t="n">
        <v>-404.2</v>
      </c>
      <c r="BN498" s="1564">
        <f>BO498</f>
        <v/>
      </c>
      <c r="BO498" s="1788" t="n">
        <v>-703.7</v>
      </c>
      <c r="BP498" s="1562" t="n"/>
      <c r="BQ498" s="1562" t="n"/>
      <c r="BR498" s="1562" t="n"/>
      <c r="BS498" s="1562" t="n"/>
      <c r="BT498" s="1637" t="n"/>
      <c r="BU498" s="1562" t="n"/>
      <c r="BV498" s="1562" t="n"/>
      <c r="BW498" s="1562" t="n"/>
      <c r="BX498" s="1562" t="n"/>
      <c r="BY498" s="1637" t="n"/>
      <c r="BZ498" s="1637" t="n"/>
      <c r="CA498" s="1637" t="n"/>
      <c r="CB498" s="1637" t="n"/>
      <c r="CC498" s="1564" t="n"/>
    </row>
    <row r="499" hidden="1" outlineLevel="1" ht="15" customFormat="1" customHeight="1" s="1561">
      <c r="A499" s="1734" t="inlineStr">
        <is>
          <t>Repayment on loans</t>
        </is>
      </c>
      <c r="B499" s="1705" t="n"/>
      <c r="C499" s="1804" t="n"/>
      <c r="D499" s="1804" t="n"/>
      <c r="E499" s="1804" t="n"/>
      <c r="F499" s="1804" t="n"/>
      <c r="G499" s="1804" t="n"/>
      <c r="H499" s="1970" t="n"/>
      <c r="I499" s="1970" t="n"/>
      <c r="J499" s="1970" t="n"/>
      <c r="K499" s="1863">
        <f>L499</f>
        <v/>
      </c>
      <c r="L499" s="1804" t="n"/>
      <c r="M499" s="1970" t="n"/>
      <c r="N499" s="1970" t="n"/>
      <c r="O499" s="1970" t="n"/>
      <c r="P499" s="1863">
        <f>Q499</f>
        <v/>
      </c>
      <c r="Q499" s="1804" t="n"/>
      <c r="R499" s="1970" t="n"/>
      <c r="S499" s="1562" t="n"/>
      <c r="T499" s="1562" t="n"/>
      <c r="U499" s="1564">
        <f>V499</f>
        <v/>
      </c>
      <c r="V499" s="1637" t="n"/>
      <c r="W499" s="1562" t="n"/>
      <c r="X499" s="1562" t="n"/>
      <c r="Y499" s="1562" t="n"/>
      <c r="Z499" s="1564">
        <f>AA499</f>
        <v/>
      </c>
      <c r="AA499" s="1706" t="n">
        <v>1.6</v>
      </c>
      <c r="AB499" s="1562" t="n"/>
      <c r="AC499" s="1562" t="n"/>
      <c r="AD499" s="1714" t="n">
        <v>5.4</v>
      </c>
      <c r="AE499" s="1564">
        <f>AF499</f>
        <v/>
      </c>
      <c r="AF499" s="1706" t="n">
        <v>5.4</v>
      </c>
      <c r="AG499" s="1562" t="n"/>
      <c r="AH499" s="1562" t="n"/>
      <c r="AI499" s="1562" t="n"/>
      <c r="AJ499" s="1564">
        <f>AK499</f>
        <v/>
      </c>
      <c r="AK499" s="1706" t="n">
        <v>0.9</v>
      </c>
      <c r="AL499" s="1714" t="n">
        <v>0.3</v>
      </c>
      <c r="AM499" s="1562" t="n"/>
      <c r="AN499" s="1562" t="n"/>
      <c r="AO499" s="1564">
        <f>AP499</f>
        <v/>
      </c>
      <c r="AP499" s="1706" t="n">
        <v>-12.2</v>
      </c>
      <c r="AQ499" s="1562" t="n"/>
      <c r="AR499" s="1562" t="n"/>
      <c r="AS499" s="1562" t="n"/>
      <c r="AT499" s="1564">
        <f>AU499</f>
        <v/>
      </c>
      <c r="AU499" s="1637" t="n"/>
      <c r="AV499" s="1562" t="n"/>
      <c r="AW499" s="1562" t="n"/>
      <c r="AX499" s="1562" t="n"/>
      <c r="AY499" s="1564">
        <f>AZ499</f>
        <v/>
      </c>
      <c r="AZ499" s="1637" t="n"/>
      <c r="BA499" s="1562" t="n"/>
      <c r="BB499" s="1562" t="n"/>
      <c r="BC499" s="1562" t="n"/>
      <c r="BD499" s="1564">
        <f>BE499</f>
        <v/>
      </c>
      <c r="BE499" s="1637" t="n"/>
      <c r="BF499" s="1562" t="n"/>
      <c r="BG499" s="1562" t="n"/>
      <c r="BH499" s="1562" t="n"/>
      <c r="BI499" s="1564">
        <f>BJ499</f>
        <v/>
      </c>
      <c r="BJ499" s="1637" t="n"/>
      <c r="BK499" s="1562" t="n"/>
      <c r="BL499" s="1562" t="n"/>
      <c r="BM499" s="1562" t="n"/>
      <c r="BN499" s="1564">
        <f>BO499</f>
        <v/>
      </c>
      <c r="BO499" s="1788" t="n">
        <v>260.2</v>
      </c>
      <c r="BP499" s="1562" t="n"/>
      <c r="BQ499" s="1562" t="n"/>
      <c r="BR499" s="1562" t="n"/>
      <c r="BS499" s="1562" t="n"/>
      <c r="BT499" s="1637" t="n"/>
      <c r="BU499" s="1562" t="n"/>
      <c r="BV499" s="1562" t="n"/>
      <c r="BW499" s="1562" t="n"/>
      <c r="BX499" s="1562" t="n"/>
      <c r="BY499" s="1637" t="n"/>
      <c r="BZ499" s="1637" t="n"/>
      <c r="CA499" s="1637" t="n"/>
      <c r="CB499" s="1637" t="n"/>
      <c r="CC499" s="1564" t="n"/>
    </row>
    <row r="500" hidden="1" outlineLevel="1" ht="15" customFormat="1" customHeight="1" s="1561">
      <c r="A500" s="1734" t="inlineStr">
        <is>
          <t>Acquisition of equity method investments</t>
        </is>
      </c>
      <c r="B500" s="1705" t="n"/>
      <c r="C500" s="1804" t="n"/>
      <c r="D500" s="1804" t="n"/>
      <c r="E500" s="1804" t="n"/>
      <c r="F500" s="1804" t="n"/>
      <c r="G500" s="1804" t="n"/>
      <c r="H500" s="1970" t="n"/>
      <c r="I500" s="1970" t="n"/>
      <c r="J500" s="1970" t="n"/>
      <c r="K500" s="1863">
        <f>L500</f>
        <v/>
      </c>
      <c r="L500" s="1804" t="n"/>
      <c r="M500" s="1970" t="n"/>
      <c r="N500" s="1970" t="n"/>
      <c r="O500" s="1970" t="n"/>
      <c r="P500" s="1863">
        <f>Q500</f>
        <v/>
      </c>
      <c r="Q500" s="1804" t="n"/>
      <c r="R500" s="1970" t="n"/>
      <c r="S500" s="1562" t="n"/>
      <c r="T500" s="1562" t="n"/>
      <c r="U500" s="1564">
        <f>V500</f>
        <v/>
      </c>
      <c r="V500" s="1637" t="n"/>
      <c r="W500" s="1562" t="n"/>
      <c r="X500" s="1714" t="n">
        <v>-1002.1</v>
      </c>
      <c r="Y500" s="1714" t="n">
        <v>-1007.9</v>
      </c>
      <c r="Z500" s="1564">
        <f>AA500</f>
        <v/>
      </c>
      <c r="AA500" s="1706" t="n">
        <v>-1019.7</v>
      </c>
      <c r="AB500" s="1714" t="n">
        <v>-5.9</v>
      </c>
      <c r="AC500" s="1714" t="n">
        <v>-10.5</v>
      </c>
      <c r="AD500" s="1714" t="n">
        <v>-16</v>
      </c>
      <c r="AE500" s="1564">
        <f>AF500</f>
        <v/>
      </c>
      <c r="AF500" s="1637" t="n"/>
      <c r="AG500" s="1562" t="n"/>
      <c r="AH500" s="1562" t="n"/>
      <c r="AI500" s="1562" t="n"/>
      <c r="AJ500" s="1564">
        <f>AK500</f>
        <v/>
      </c>
      <c r="AK500" s="1637" t="n"/>
      <c r="AL500" s="1562" t="n"/>
      <c r="AM500" s="1562" t="n"/>
      <c r="AN500" s="1562" t="n"/>
      <c r="AO500" s="1564">
        <f>AP500</f>
        <v/>
      </c>
      <c r="AP500" s="1637" t="n"/>
      <c r="AQ500" s="1562" t="n"/>
      <c r="AR500" s="1562" t="n"/>
      <c r="AS500" s="1562" t="n"/>
      <c r="AT500" s="1564">
        <f>AU500</f>
        <v/>
      </c>
      <c r="AU500" s="1637" t="n"/>
      <c r="AV500" s="1562" t="n"/>
      <c r="AW500" s="1562" t="n"/>
      <c r="AX500" s="1562" t="n"/>
      <c r="AY500" s="1564">
        <f>AZ500</f>
        <v/>
      </c>
      <c r="AZ500" s="1637" t="n"/>
      <c r="BA500" s="1562" t="n"/>
      <c r="BB500" s="1562" t="n"/>
      <c r="BC500" s="1562" t="n"/>
      <c r="BD500" s="1564">
        <f>BE500</f>
        <v/>
      </c>
      <c r="BE500" s="1637" t="n"/>
      <c r="BF500" s="1562" t="n"/>
      <c r="BG500" s="1562" t="n"/>
      <c r="BH500" s="1562" t="n"/>
      <c r="BI500" s="1564">
        <f>BJ500</f>
        <v/>
      </c>
      <c r="BJ500" s="1637" t="n"/>
      <c r="BK500" s="1562" t="n"/>
      <c r="BL500" s="1562" t="n"/>
      <c r="BM500" s="1714" t="n">
        <v>-1210</v>
      </c>
      <c r="BN500" s="1564">
        <f>BO500</f>
        <v/>
      </c>
      <c r="BO500" s="1788" t="n">
        <v>-1302.2</v>
      </c>
      <c r="BP500" s="1562" t="n"/>
      <c r="BQ500" s="1562" t="n"/>
      <c r="BR500" s="1562" t="n"/>
      <c r="BS500" s="1562" t="n"/>
      <c r="BT500" s="1637" t="n"/>
      <c r="BU500" s="1562" t="n"/>
      <c r="BV500" s="1562" t="n"/>
      <c r="BW500" s="1562" t="n"/>
      <c r="BX500" s="1562" t="n"/>
      <c r="BY500" s="1637" t="n"/>
      <c r="BZ500" s="1637" t="n"/>
      <c r="CA500" s="1637" t="n"/>
      <c r="CB500" s="1637" t="n"/>
      <c r="CC500" s="1564" t="n"/>
    </row>
    <row r="501" hidden="1" outlineLevel="1" ht="15" customFormat="1" customHeight="1" s="1561">
      <c r="A501" s="1734" t="inlineStr">
        <is>
          <t>Dividend income from equity method investments</t>
        </is>
      </c>
      <c r="B501" s="1705" t="n"/>
      <c r="C501" s="1804" t="n"/>
      <c r="D501" s="1804" t="n"/>
      <c r="E501" s="1804" t="n"/>
      <c r="F501" s="1804" t="n"/>
      <c r="G501" s="1804" t="n"/>
      <c r="H501" s="1970" t="n"/>
      <c r="I501" s="1970" t="n"/>
      <c r="J501" s="1970" t="n"/>
      <c r="K501" s="1863">
        <f>L501</f>
        <v/>
      </c>
      <c r="L501" s="1804" t="n"/>
      <c r="M501" s="1970" t="n"/>
      <c r="N501" s="1970" t="n"/>
      <c r="O501" s="1970" t="n"/>
      <c r="P501" s="1863">
        <f>Q501</f>
        <v/>
      </c>
      <c r="Q501" s="1804" t="n"/>
      <c r="R501" s="1970" t="n"/>
      <c r="S501" s="1562" t="n"/>
      <c r="T501" s="1562" t="n"/>
      <c r="U501" s="1564">
        <f>V501</f>
        <v/>
      </c>
      <c r="V501" s="1637" t="n"/>
      <c r="W501" s="1562" t="n"/>
      <c r="X501" s="1562" t="n"/>
      <c r="Y501" s="1562" t="n"/>
      <c r="Z501" s="1564">
        <f>AA501</f>
        <v/>
      </c>
      <c r="AA501" s="1706" t="n">
        <v>19.7</v>
      </c>
      <c r="AB501" s="1562" t="n"/>
      <c r="AC501" s="1562" t="n"/>
      <c r="AD501" s="1562" t="n"/>
      <c r="AE501" s="1564">
        <f>AF501</f>
        <v/>
      </c>
      <c r="AF501" s="1637" t="n"/>
      <c r="AG501" s="1562" t="n"/>
      <c r="AH501" s="1562" t="n"/>
      <c r="AI501" s="1562" t="n"/>
      <c r="AJ501" s="1564">
        <f>AK501</f>
        <v/>
      </c>
      <c r="AK501" s="1637" t="n"/>
      <c r="AL501" s="1562" t="n"/>
      <c r="AM501" s="1562" t="n"/>
      <c r="AN501" s="1562" t="n"/>
      <c r="AO501" s="1564">
        <f>AP501</f>
        <v/>
      </c>
      <c r="AP501" s="1637" t="n"/>
      <c r="AQ501" s="1562" t="n"/>
      <c r="AR501" s="1562" t="n"/>
      <c r="AS501" s="1562" t="n"/>
      <c r="AT501" s="1564">
        <f>AU501</f>
        <v/>
      </c>
      <c r="AU501" s="1637" t="n"/>
      <c r="AV501" s="1562" t="n"/>
      <c r="AW501" s="1562" t="n"/>
      <c r="AX501" s="1562" t="n"/>
      <c r="AY501" s="1564">
        <f>AZ501</f>
        <v/>
      </c>
      <c r="AZ501" s="1637" t="n"/>
      <c r="BA501" s="1562" t="n"/>
      <c r="BB501" s="1562" t="n"/>
      <c r="BC501" s="1562" t="n"/>
      <c r="BD501" s="1564">
        <f>BE501</f>
        <v/>
      </c>
      <c r="BE501" s="1637" t="n"/>
      <c r="BF501" s="1562" t="n"/>
      <c r="BG501" s="1562" t="n"/>
      <c r="BH501" s="1562" t="n"/>
      <c r="BI501" s="1564">
        <f>BJ501</f>
        <v/>
      </c>
      <c r="BJ501" s="1637" t="n"/>
      <c r="BK501" s="1562" t="n"/>
      <c r="BL501" s="1562" t="n"/>
      <c r="BM501" s="1562" t="n"/>
      <c r="BN501" s="1564">
        <f>BO501</f>
        <v/>
      </c>
      <c r="BO501" s="1638" t="n"/>
      <c r="BP501" s="1562" t="n"/>
      <c r="BQ501" s="1562" t="n"/>
      <c r="BR501" s="1562" t="n"/>
      <c r="BS501" s="1562" t="n"/>
      <c r="BT501" s="1637" t="n"/>
      <c r="BU501" s="1562" t="n"/>
      <c r="BV501" s="1562" t="n"/>
      <c r="BW501" s="1562" t="n"/>
      <c r="BX501" s="1562" t="n"/>
      <c r="BY501" s="1637" t="n"/>
      <c r="BZ501" s="1637" t="n"/>
      <c r="CA501" s="1637" t="n"/>
      <c r="CB501" s="1637" t="n"/>
      <c r="CC501" s="1564" t="n"/>
    </row>
    <row r="502" hidden="1" outlineLevel="1" ht="15" customFormat="1" customHeight="1" s="1561">
      <c r="A502" s="1734" t="inlineStr">
        <is>
          <t>Proceeds from sale of property, plant and equipment</t>
        </is>
      </c>
      <c r="B502" s="1705" t="n"/>
      <c r="C502" s="1787" t="n">
        <v>6.877</v>
      </c>
      <c r="D502" s="1787" t="n">
        <v>3.825</v>
      </c>
      <c r="E502" s="1804" t="n"/>
      <c r="F502" s="1804" t="n"/>
      <c r="G502" s="1804" t="n"/>
      <c r="H502" s="1970" t="n"/>
      <c r="I502" s="1970" t="n"/>
      <c r="J502" s="1970" t="n"/>
      <c r="K502" s="1970" t="n"/>
      <c r="L502" s="1804" t="n"/>
      <c r="M502" s="1970" t="n"/>
      <c r="N502" s="1970" t="n"/>
      <c r="O502" s="1970" t="n"/>
      <c r="P502" s="1970" t="n"/>
      <c r="Q502" s="1804" t="n"/>
      <c r="R502" s="1970" t="n"/>
      <c r="S502" s="1562" t="n"/>
      <c r="T502" s="1562" t="n"/>
      <c r="U502" s="1562" t="n"/>
      <c r="V502" s="1637" t="n"/>
      <c r="W502" s="1562" t="n"/>
      <c r="X502" s="1562" t="n"/>
      <c r="Y502" s="1562" t="n"/>
      <c r="Z502" s="1562" t="n"/>
      <c r="AA502" s="1637" t="n"/>
      <c r="AB502" s="1562" t="n"/>
      <c r="AC502" s="1562" t="n"/>
      <c r="AD502" s="1562" t="n"/>
      <c r="AE502" s="1564">
        <f>AF502</f>
        <v/>
      </c>
      <c r="AF502" s="1637" t="n"/>
      <c r="AG502" s="1562" t="n"/>
      <c r="AH502" s="1562" t="n"/>
      <c r="AI502" s="1562" t="n"/>
      <c r="AJ502" s="1564">
        <f>AK502</f>
        <v/>
      </c>
      <c r="AK502" s="1637" t="n"/>
      <c r="AL502" s="1562" t="n"/>
      <c r="AM502" s="1562" t="n"/>
      <c r="AN502" s="1562" t="n"/>
      <c r="AO502" s="1564">
        <f>AP502</f>
        <v/>
      </c>
      <c r="AP502" s="1637" t="n"/>
      <c r="AQ502" s="1562" t="n"/>
      <c r="AR502" s="1714" t="n">
        <v>12.9</v>
      </c>
      <c r="AS502" s="1714" t="n">
        <v>12.9</v>
      </c>
      <c r="AT502" s="1564">
        <f>AU502</f>
        <v/>
      </c>
      <c r="AU502" s="1706" t="n">
        <v>329</v>
      </c>
      <c r="AV502" s="1562" t="n"/>
      <c r="AW502" s="1562" t="n"/>
      <c r="AX502" s="1562" t="n"/>
      <c r="AY502" s="1564">
        <f>AZ502</f>
        <v/>
      </c>
      <c r="AZ502" s="1637" t="n"/>
      <c r="BA502" s="1562" t="n"/>
      <c r="BB502" s="1562" t="n"/>
      <c r="BC502" s="1562" t="n"/>
      <c r="BD502" s="1564">
        <f>BE502</f>
        <v/>
      </c>
      <c r="BE502" s="1637" t="n"/>
      <c r="BF502" s="1562" t="n"/>
      <c r="BG502" s="1562" t="n"/>
      <c r="BH502" s="1562" t="n"/>
      <c r="BI502" s="1564">
        <f>BJ502</f>
        <v/>
      </c>
      <c r="BJ502" s="1637" t="n"/>
      <c r="BK502" s="1562" t="n"/>
      <c r="BL502" s="1562" t="n"/>
      <c r="BM502" s="1562" t="n"/>
      <c r="BN502" s="1564">
        <f>BO502</f>
        <v/>
      </c>
      <c r="BO502" s="1638" t="n"/>
      <c r="BP502" s="1562" t="n"/>
      <c r="BQ502" s="1562" t="n"/>
      <c r="BR502" s="1562" t="n"/>
      <c r="BS502" s="1562" t="n"/>
      <c r="BT502" s="1637" t="n"/>
      <c r="BU502" s="1562" t="n"/>
      <c r="BV502" s="1562" t="n"/>
      <c r="BW502" s="1562" t="n"/>
      <c r="BX502" s="1562" t="n"/>
      <c r="BY502" s="1637" t="n"/>
      <c r="BZ502" s="1637" t="n"/>
      <c r="CA502" s="1637" t="n"/>
      <c r="CB502" s="1637" t="n"/>
      <c r="CC502" s="1564" t="n"/>
    </row>
    <row r="503" hidden="1" outlineLevel="1" ht="15" customFormat="1" customHeight="1" s="1561">
      <c r="A503" s="1789" t="inlineStr">
        <is>
          <t>Acquisition of subsidiaries (net of cash acquired)</t>
        </is>
      </c>
      <c r="B503" s="1708" t="n"/>
      <c r="C503" s="1810" t="n"/>
      <c r="D503" s="1810" t="n"/>
      <c r="E503" s="1810" t="n"/>
      <c r="F503" s="1790" t="n">
        <v>-10.292</v>
      </c>
      <c r="G503" s="1790" t="n">
        <v>-443.712</v>
      </c>
      <c r="H503" s="1971" t="n"/>
      <c r="I503" s="1971" t="n"/>
      <c r="J503" s="1971" t="n"/>
      <c r="K503" s="1972">
        <f>L503</f>
        <v/>
      </c>
      <c r="L503" s="1810" t="n"/>
      <c r="M503" s="1971" t="n"/>
      <c r="N503" s="1971" t="n"/>
      <c r="O503" s="1971" t="n"/>
      <c r="P503" s="1972">
        <f>Q503</f>
        <v/>
      </c>
      <c r="Q503" s="1810" t="n"/>
      <c r="R503" s="1971" t="n"/>
      <c r="S503" s="1710" t="n"/>
      <c r="T503" s="1710" t="n"/>
      <c r="U503" s="1791">
        <f>V503</f>
        <v/>
      </c>
      <c r="V503" s="1709" t="n">
        <v>-2641.3</v>
      </c>
      <c r="W503" s="1710" t="n"/>
      <c r="X503" s="1710" t="n"/>
      <c r="Y503" s="1710" t="n"/>
      <c r="Z503" s="1791">
        <f>AA503</f>
        <v/>
      </c>
      <c r="AA503" s="1712" t="n"/>
      <c r="AB503" s="1710" t="n"/>
      <c r="AC503" s="1710" t="n"/>
      <c r="AD503" s="1710" t="n"/>
      <c r="AE503" s="1791">
        <f>AF503</f>
        <v/>
      </c>
      <c r="AF503" s="1712" t="n"/>
      <c r="AG503" s="1710" t="n"/>
      <c r="AH503" s="1710" t="n"/>
      <c r="AI503" s="1710" t="n"/>
      <c r="AJ503" s="1791">
        <f>AK503</f>
        <v/>
      </c>
      <c r="AK503" s="1712" t="n"/>
      <c r="AL503" s="1710" t="n"/>
      <c r="AM503" s="1710" t="n"/>
      <c r="AN503" s="1710" t="n"/>
      <c r="AO503" s="1791">
        <f>AP503</f>
        <v/>
      </c>
      <c r="AP503" s="1709" t="n">
        <v>-222.8</v>
      </c>
      <c r="AQ503" s="1710" t="n"/>
      <c r="AR503" s="1710" t="n"/>
      <c r="AS503" s="1710" t="n"/>
      <c r="AT503" s="1791">
        <f>AU503</f>
        <v/>
      </c>
      <c r="AU503" s="1712" t="n"/>
      <c r="AV503" s="1710" t="n"/>
      <c r="AW503" s="1710" t="n"/>
      <c r="AX503" s="1710" t="n"/>
      <c r="AY503" s="1791">
        <f>AZ503</f>
        <v/>
      </c>
      <c r="AZ503" s="1712" t="n"/>
      <c r="BA503" s="1710" t="n"/>
      <c r="BB503" s="1710" t="n"/>
      <c r="BC503" s="1716" t="n">
        <v>-27.6</v>
      </c>
      <c r="BD503" s="1791">
        <f>BE503</f>
        <v/>
      </c>
      <c r="BE503" s="1709" t="n">
        <v>-33.6</v>
      </c>
      <c r="BF503" s="1710" t="n"/>
      <c r="BG503" s="1710" t="n"/>
      <c r="BH503" s="1710" t="n"/>
      <c r="BI503" s="1791">
        <f>BJ503</f>
        <v/>
      </c>
      <c r="BJ503" s="1712" t="n"/>
      <c r="BK503" s="1710" t="n"/>
      <c r="BL503" s="1710" t="n"/>
      <c r="BM503" s="1710" t="n"/>
      <c r="BN503" s="1791">
        <f>BO503</f>
        <v/>
      </c>
      <c r="BO503" s="1711" t="n"/>
      <c r="BP503" s="1710" t="n"/>
      <c r="BQ503" s="1710" t="n"/>
      <c r="BR503" s="1710" t="n"/>
      <c r="BS503" s="1710" t="n"/>
      <c r="BT503" s="1712" t="n"/>
      <c r="BU503" s="1710" t="n"/>
      <c r="BV503" s="1710" t="n"/>
      <c r="BW503" s="1710" t="n"/>
      <c r="BX503" s="1710" t="n"/>
      <c r="BY503" s="1712" t="n"/>
      <c r="BZ503" s="1712" t="n"/>
      <c r="CA503" s="1712" t="n"/>
      <c r="CB503" s="1712" t="n"/>
      <c r="CC503" s="1564" t="n"/>
    </row>
    <row r="504" hidden="1" outlineLevel="1" ht="15" customFormat="1" customHeight="1" s="1628">
      <c r="A504" s="1695" t="inlineStr">
        <is>
          <t>Net CFI</t>
        </is>
      </c>
      <c r="B504" s="1793" t="n"/>
      <c r="C504" s="1779">
        <f>SUM(C493:C503)</f>
        <v/>
      </c>
      <c r="D504" s="1779">
        <f>SUM(D493:D503)</f>
        <v/>
      </c>
      <c r="E504" s="1779">
        <f>SUM(E493:E503)</f>
        <v/>
      </c>
      <c r="F504" s="1779">
        <f>SUM(F493:F503)</f>
        <v/>
      </c>
      <c r="G504" s="1779">
        <f>SUM(G493:G503)</f>
        <v/>
      </c>
      <c r="H504" s="1795">
        <f>SUM(H493:H503)</f>
        <v/>
      </c>
      <c r="I504" s="1795">
        <f>SUM(I493:I503)</f>
        <v/>
      </c>
      <c r="J504" s="1795">
        <f>SUM(J493:J503)</f>
        <v/>
      </c>
      <c r="K504" s="1795">
        <f>SUM(K493:K503)</f>
        <v/>
      </c>
      <c r="L504" s="1779">
        <f>SUM(L493:L503)</f>
        <v/>
      </c>
      <c r="M504" s="1795">
        <f>SUM(M493:M503)</f>
        <v/>
      </c>
      <c r="N504" s="1795">
        <f>SUM(N493:N503)</f>
        <v/>
      </c>
      <c r="O504" s="1795">
        <f>SUM(O493:O503)</f>
        <v/>
      </c>
      <c r="P504" s="1795">
        <f>SUM(P493:P503)</f>
        <v/>
      </c>
      <c r="Q504" s="1779">
        <f>SUM(Q493:Q503)</f>
        <v/>
      </c>
      <c r="R504" s="1795">
        <f>SUM(R493:R503)</f>
        <v/>
      </c>
      <c r="S504" s="1795">
        <f>SUM(S493:S503)</f>
        <v/>
      </c>
      <c r="T504" s="1795">
        <f>SUM(T493:T503)</f>
        <v/>
      </c>
      <c r="U504" s="1795">
        <f>SUM(U493:U503)</f>
        <v/>
      </c>
      <c r="V504" s="1779">
        <f>SUM(V493:V503)</f>
        <v/>
      </c>
      <c r="W504" s="1795">
        <f>SUM(W493:W503)</f>
        <v/>
      </c>
      <c r="X504" s="1795">
        <f>SUM(X493:X503)</f>
        <v/>
      </c>
      <c r="Y504" s="1795">
        <f>SUM(Y493:Y503)</f>
        <v/>
      </c>
      <c r="Z504" s="1795">
        <f>SUM(Z493:Z503)</f>
        <v/>
      </c>
      <c r="AA504" s="1779">
        <f>SUM(AA493:AA503)</f>
        <v/>
      </c>
      <c r="AB504" s="1795">
        <f>SUM(AB493:AB503)</f>
        <v/>
      </c>
      <c r="AC504" s="1795">
        <f>SUM(AC493:AC503)</f>
        <v/>
      </c>
      <c r="AD504" s="1795">
        <f>SUM(AD493:AD503)</f>
        <v/>
      </c>
      <c r="AE504" s="1795">
        <f>SUM(AE493:AE503)</f>
        <v/>
      </c>
      <c r="AF504" s="1779">
        <f>SUM(AF493:AF503)</f>
        <v/>
      </c>
      <c r="AG504" s="1795">
        <f>SUM(AG493:AG503)</f>
        <v/>
      </c>
      <c r="AH504" s="1795">
        <f>SUM(AH493:AH503)</f>
        <v/>
      </c>
      <c r="AI504" s="1795">
        <f>SUM(AI493:AI503)</f>
        <v/>
      </c>
      <c r="AJ504" s="1795">
        <f>SUM(AJ493:AJ503)</f>
        <v/>
      </c>
      <c r="AK504" s="1779">
        <f>SUM(AK493:AK503)</f>
        <v/>
      </c>
      <c r="AL504" s="1795">
        <f>SUM(AL493:AL503)</f>
        <v/>
      </c>
      <c r="AM504" s="1795">
        <f>SUM(AM493:AM503)</f>
        <v/>
      </c>
      <c r="AN504" s="1795">
        <f>SUM(AN493:AN503)</f>
        <v/>
      </c>
      <c r="AO504" s="1795">
        <f>SUM(AO493:AO503)</f>
        <v/>
      </c>
      <c r="AP504" s="1779">
        <f>SUM(AP493:AP503)</f>
        <v/>
      </c>
      <c r="AQ504" s="1795">
        <f>SUM(AQ493:AQ503)</f>
        <v/>
      </c>
      <c r="AR504" s="1795">
        <f>SUM(AR493:AR503)</f>
        <v/>
      </c>
      <c r="AS504" s="1795">
        <f>SUM(AS493:AS503)</f>
        <v/>
      </c>
      <c r="AT504" s="1795">
        <f>SUM(AT493:AT503)</f>
        <v/>
      </c>
      <c r="AU504" s="1779">
        <f>SUM(AU493:AU503)</f>
        <v/>
      </c>
      <c r="AV504" s="1795">
        <f>SUM(AV493:AV503)</f>
        <v/>
      </c>
      <c r="AW504" s="1795">
        <f>SUM(AW493:AW503)</f>
        <v/>
      </c>
      <c r="AX504" s="1795">
        <f>SUM(AX493:AX503)</f>
        <v/>
      </c>
      <c r="AY504" s="1795">
        <f>SUM(AY493:AY503)</f>
        <v/>
      </c>
      <c r="AZ504" s="1779">
        <f>SUM(AZ493:AZ503)</f>
        <v/>
      </c>
      <c r="BA504" s="1795">
        <f>SUM(BA493:BA503)</f>
        <v/>
      </c>
      <c r="BB504" s="1795">
        <f>SUM(BB493:BB503)</f>
        <v/>
      </c>
      <c r="BC504" s="1795">
        <f>SUM(BC493:BC503)</f>
        <v/>
      </c>
      <c r="BD504" s="1795">
        <f>SUM(BD493:BD503)</f>
        <v/>
      </c>
      <c r="BE504" s="1779">
        <f>SUM(BE493:BE503)</f>
        <v/>
      </c>
      <c r="BF504" s="1795">
        <f>SUM(BF493:BF503)</f>
        <v/>
      </c>
      <c r="BG504" s="1795">
        <f>SUM(BG493:BG503)</f>
        <v/>
      </c>
      <c r="BH504" s="1795">
        <f>SUM(BH493:BH503)</f>
        <v/>
      </c>
      <c r="BI504" s="1795">
        <f>SUM(BI493:BI503)</f>
        <v/>
      </c>
      <c r="BJ504" s="1779">
        <f>SUM(BJ493:BJ503)</f>
        <v/>
      </c>
      <c r="BK504" s="1795">
        <f>SUM(BK493:BK503)</f>
        <v/>
      </c>
      <c r="BL504" s="1795">
        <f>SUM(BL493:BL503)</f>
        <v/>
      </c>
      <c r="BM504" s="1795">
        <f>SUM(BM493:BM503)</f>
        <v/>
      </c>
      <c r="BN504" s="1795">
        <f>SUM(BN493:BN503)</f>
        <v/>
      </c>
      <c r="BO504" s="1796">
        <f>SUM(BO493:BO503)</f>
        <v/>
      </c>
      <c r="BP504" s="1642" t="n"/>
      <c r="BQ504" s="1642" t="n"/>
      <c r="BR504" s="1642" t="n"/>
      <c r="BS504" s="1642" t="n"/>
      <c r="BT504" s="1641" t="n"/>
      <c r="BU504" s="1642" t="n"/>
      <c r="BV504" s="1642" t="n"/>
      <c r="BW504" s="1642" t="n"/>
      <c r="BX504" s="1642" t="n"/>
      <c r="BY504" s="1641" t="n"/>
      <c r="BZ504" s="1641" t="n"/>
      <c r="CA504" s="1641" t="n"/>
      <c r="CB504" s="1641" t="n"/>
      <c r="CC504" s="1634" t="n"/>
    </row>
    <row r="505" hidden="1" outlineLevel="1" ht="15" customFormat="1" customHeight="1" s="1628">
      <c r="A505" s="1703" t="n"/>
      <c r="B505" s="1717" t="n"/>
      <c r="C505" s="1718" t="n"/>
      <c r="D505" s="1718" t="n"/>
      <c r="E505" s="1718" t="n"/>
      <c r="F505" s="1718" t="n"/>
      <c r="G505" s="1718" t="n"/>
      <c r="H505" s="1719" t="n"/>
      <c r="I505" s="1719" t="n"/>
      <c r="J505" s="1719" t="n"/>
      <c r="K505" s="1719" t="n"/>
      <c r="L505" s="1718" t="n"/>
      <c r="M505" s="1719" t="n"/>
      <c r="N505" s="1719" t="n"/>
      <c r="O505" s="1719" t="n"/>
      <c r="P505" s="1719" t="n"/>
      <c r="Q505" s="1718" t="n"/>
      <c r="R505" s="1719" t="n"/>
      <c r="S505" s="1719" t="n"/>
      <c r="T505" s="1719" t="n"/>
      <c r="U505" s="1719" t="n"/>
      <c r="V505" s="1718" t="n"/>
      <c r="W505" s="1719" t="n"/>
      <c r="X505" s="1719" t="n"/>
      <c r="Y505" s="1719" t="n"/>
      <c r="Z505" s="1719" t="n"/>
      <c r="AA505" s="1718" t="n"/>
      <c r="AB505" s="1719" t="n"/>
      <c r="AC505" s="1719" t="n"/>
      <c r="AD505" s="1719" t="n"/>
      <c r="AE505" s="1719" t="n"/>
      <c r="AF505" s="1718" t="n"/>
      <c r="AG505" s="1719" t="n"/>
      <c r="AH505" s="1719" t="n"/>
      <c r="AI505" s="1719" t="n"/>
      <c r="AJ505" s="1719" t="n"/>
      <c r="AK505" s="1718" t="n"/>
      <c r="AL505" s="1719" t="n"/>
      <c r="AM505" s="1719" t="n"/>
      <c r="AN505" s="1719" t="n"/>
      <c r="AO505" s="1719" t="n"/>
      <c r="AP505" s="1718" t="n"/>
      <c r="AQ505" s="1719" t="n"/>
      <c r="AR505" s="1719" t="n"/>
      <c r="AS505" s="1719" t="n"/>
      <c r="AT505" s="1719" t="n"/>
      <c r="AU505" s="1718" t="n"/>
      <c r="AV505" s="1719" t="n"/>
      <c r="AW505" s="1719" t="n"/>
      <c r="AX505" s="1719" t="n"/>
      <c r="AY505" s="1719" t="n"/>
      <c r="AZ505" s="1718" t="n"/>
      <c r="BA505" s="1719" t="n"/>
      <c r="BB505" s="1719" t="n"/>
      <c r="BC505" s="1719" t="n"/>
      <c r="BD505" s="1719" t="n"/>
      <c r="BE505" s="1718" t="n"/>
      <c r="BF505" s="1719" t="n"/>
      <c r="BG505" s="1719" t="n"/>
      <c r="BH505" s="1719" t="n"/>
      <c r="BI505" s="1719" t="n"/>
      <c r="BJ505" s="1718" t="n"/>
      <c r="BK505" s="1719" t="n"/>
      <c r="BL505" s="1719" t="n"/>
      <c r="BM505" s="1719" t="n"/>
      <c r="BN505" s="1719" t="n"/>
      <c r="BO505" s="1720" t="n"/>
      <c r="BP505" s="1719" t="n"/>
      <c r="BQ505" s="1719" t="n"/>
      <c r="BR505" s="1719" t="n"/>
      <c r="BS505" s="1719" t="n"/>
      <c r="BT505" s="1718" t="n"/>
      <c r="BU505" s="1719" t="n"/>
      <c r="BV505" s="1719" t="n"/>
      <c r="BW505" s="1719" t="n"/>
      <c r="BX505" s="1719" t="n"/>
      <c r="BY505" s="1718" t="n"/>
      <c r="BZ505" s="1718" t="n"/>
      <c r="CA505" s="1718" t="n"/>
      <c r="CB505" s="1718" t="n"/>
      <c r="CC505" s="1634" t="n"/>
    </row>
    <row r="506" hidden="1" outlineLevel="1" ht="15" customFormat="1" customHeight="1" s="1628">
      <c r="A506" s="1681" t="inlineStr">
        <is>
          <t>CFF</t>
        </is>
      </c>
      <c r="B506" s="1717" t="n"/>
      <c r="C506" s="1718" t="n"/>
      <c r="D506" s="1718" t="n"/>
      <c r="E506" s="1718" t="n"/>
      <c r="F506" s="1718" t="n"/>
      <c r="G506" s="1718" t="n"/>
      <c r="H506" s="1719" t="n"/>
      <c r="I506" s="1719" t="n"/>
      <c r="J506" s="1719" t="n"/>
      <c r="K506" s="1719" t="n"/>
      <c r="L506" s="1718" t="n"/>
      <c r="M506" s="1719" t="n"/>
      <c r="N506" s="1719" t="n"/>
      <c r="O506" s="1719" t="n"/>
      <c r="P506" s="1719" t="n"/>
      <c r="Q506" s="1718" t="n"/>
      <c r="R506" s="1719" t="n"/>
      <c r="S506" s="1719" t="n"/>
      <c r="T506" s="1719" t="n"/>
      <c r="U506" s="1719" t="n"/>
      <c r="V506" s="1718" t="n"/>
      <c r="W506" s="1719" t="n"/>
      <c r="X506" s="1719" t="n"/>
      <c r="Y506" s="1719" t="n"/>
      <c r="Z506" s="1719" t="n"/>
      <c r="AA506" s="1718" t="n"/>
      <c r="AB506" s="1719" t="n"/>
      <c r="AC506" s="1719" t="n"/>
      <c r="AD506" s="1719" t="n"/>
      <c r="AE506" s="1719" t="n"/>
      <c r="AF506" s="1718" t="n"/>
      <c r="AG506" s="1719" t="n"/>
      <c r="AH506" s="1719" t="n"/>
      <c r="AI506" s="1719" t="n"/>
      <c r="AJ506" s="1719" t="n"/>
      <c r="AK506" s="1718" t="n"/>
      <c r="AL506" s="1719" t="n"/>
      <c r="AM506" s="1719" t="n"/>
      <c r="AN506" s="1719" t="n"/>
      <c r="AO506" s="1719" t="n"/>
      <c r="AP506" s="1718" t="n"/>
      <c r="AQ506" s="1719" t="n"/>
      <c r="AR506" s="1719" t="n"/>
      <c r="AS506" s="1719" t="n"/>
      <c r="AT506" s="1719" t="n"/>
      <c r="AU506" s="1718" t="n"/>
      <c r="AV506" s="1719" t="n"/>
      <c r="AW506" s="1719" t="n"/>
      <c r="AX506" s="1719" t="n"/>
      <c r="AY506" s="1719" t="n"/>
      <c r="AZ506" s="1718" t="n"/>
      <c r="BA506" s="1719" t="n"/>
      <c r="BB506" s="1719" t="n"/>
      <c r="BC506" s="1719" t="n"/>
      <c r="BD506" s="1719" t="n"/>
      <c r="BE506" s="1718" t="n"/>
      <c r="BF506" s="1719" t="n"/>
      <c r="BG506" s="1719" t="n"/>
      <c r="BH506" s="1719" t="n"/>
      <c r="BI506" s="1719" t="n"/>
      <c r="BJ506" s="1718" t="n"/>
      <c r="BK506" s="1719" t="n"/>
      <c r="BL506" s="1719" t="n"/>
      <c r="BM506" s="1719" t="n"/>
      <c r="BN506" s="1719" t="n"/>
      <c r="BO506" s="1720" t="n"/>
      <c r="BP506" s="1719" t="n"/>
      <c r="BQ506" s="1719" t="n"/>
      <c r="BR506" s="1719" t="n"/>
      <c r="BS506" s="1719" t="n"/>
      <c r="BT506" s="1718" t="n"/>
      <c r="BU506" s="1719" t="n"/>
      <c r="BV506" s="1719" t="n"/>
      <c r="BW506" s="1719" t="n"/>
      <c r="BX506" s="1719" t="n"/>
      <c r="BY506" s="1718" t="n"/>
      <c r="BZ506" s="1718" t="n"/>
      <c r="CA506" s="1718" t="n"/>
      <c r="CB506" s="1718" t="n"/>
      <c r="CC506" s="1634" t="n"/>
    </row>
    <row r="507" hidden="1" outlineLevel="1" ht="15" customFormat="1" customHeight="1" s="1561">
      <c r="A507" s="1721" t="inlineStr">
        <is>
          <t>Dividend paid</t>
        </is>
      </c>
      <c r="B507" s="1705" t="n"/>
      <c r="C507" s="1787" t="n">
        <v>-86.486</v>
      </c>
      <c r="D507" s="1787" t="n">
        <v>-86.95999999999999</v>
      </c>
      <c r="E507" s="1787" t="n">
        <v>-172.645</v>
      </c>
      <c r="F507" s="1787" t="n">
        <v>-188.892</v>
      </c>
      <c r="G507" s="1787" t="n">
        <v>-216.085</v>
      </c>
      <c r="H507" s="1970" t="n"/>
      <c r="I507" s="1861" t="n">
        <v>-268</v>
      </c>
      <c r="J507" s="1861" t="n">
        <v>-268</v>
      </c>
      <c r="K507" s="1863">
        <f>L507</f>
        <v/>
      </c>
      <c r="L507" s="1787" t="n">
        <v>-267.962</v>
      </c>
      <c r="M507" s="1970" t="n"/>
      <c r="N507" s="1861" t="n">
        <v>-302.3</v>
      </c>
      <c r="O507" s="1861" t="n">
        <v>-302.3</v>
      </c>
      <c r="P507" s="1863">
        <f>Q507</f>
        <v/>
      </c>
      <c r="Q507" s="1787" t="n">
        <v>-302.31</v>
      </c>
      <c r="R507" s="1970" t="n"/>
      <c r="S507" s="1714" t="n">
        <v>-445.9</v>
      </c>
      <c r="T507" s="1714" t="n">
        <v>-445.9</v>
      </c>
      <c r="U507" s="1564">
        <f>V507</f>
        <v/>
      </c>
      <c r="V507" s="1706" t="n">
        <v>-445.9</v>
      </c>
      <c r="W507" s="1562" t="n"/>
      <c r="X507" s="1714" t="n">
        <v>-516.7</v>
      </c>
      <c r="Y507" s="1714" t="n">
        <v>-516.7</v>
      </c>
      <c r="Z507" s="1564">
        <f>AA507</f>
        <v/>
      </c>
      <c r="AA507" s="1706" t="n">
        <v>-516.7</v>
      </c>
      <c r="AB507" s="1562" t="n"/>
      <c r="AC507" s="1714" t="n">
        <v>-597.1</v>
      </c>
      <c r="AD507" s="1714" t="n">
        <v>-597.1</v>
      </c>
      <c r="AE507" s="1564">
        <f>AF507</f>
        <v/>
      </c>
      <c r="AF507" s="1706" t="n">
        <v>-597.1</v>
      </c>
      <c r="AG507" s="1562" t="n"/>
      <c r="AH507" s="1714" t="n">
        <v>-884.4</v>
      </c>
      <c r="AI507" s="1714" t="n">
        <v>-884.4</v>
      </c>
      <c r="AJ507" s="1564">
        <f>AK507</f>
        <v/>
      </c>
      <c r="AK507" s="1706" t="n">
        <v>-1325.7</v>
      </c>
      <c r="AL507" s="1562" t="n"/>
      <c r="AM507" s="1714" t="n">
        <v>-564.8</v>
      </c>
      <c r="AN507" s="1714" t="n">
        <v>-564.8</v>
      </c>
      <c r="AO507" s="1564">
        <f>AP507</f>
        <v/>
      </c>
      <c r="AP507" s="1706" t="n">
        <v>-1066.4</v>
      </c>
      <c r="AQ507" s="1562" t="n"/>
      <c r="AR507" s="1714" t="n">
        <v>-639.1</v>
      </c>
      <c r="AS507" s="1714" t="n">
        <v>-639.1</v>
      </c>
      <c r="AT507" s="1564">
        <f>AU507</f>
        <v/>
      </c>
      <c r="AU507" s="1706" t="n">
        <v>-1368.3</v>
      </c>
      <c r="AV507" s="1562" t="n"/>
      <c r="AW507" s="1714" t="n">
        <v>-1475.3</v>
      </c>
      <c r="AX507" s="1714" t="n">
        <v>-2018.7</v>
      </c>
      <c r="AY507" s="1564">
        <f>AZ507</f>
        <v/>
      </c>
      <c r="AZ507" s="1706" t="n">
        <v>-2559.8</v>
      </c>
      <c r="BA507" s="1714" t="n">
        <v>-541.1</v>
      </c>
      <c r="BB507" s="1714" t="n">
        <v>-1207.1</v>
      </c>
      <c r="BC507" s="1714" t="n">
        <v>-1777.5</v>
      </c>
      <c r="BD507" s="1564">
        <f>BE507</f>
        <v/>
      </c>
      <c r="BE507" s="1706" t="n">
        <v>-2348.3</v>
      </c>
      <c r="BF507" s="1714" t="n">
        <v>-571</v>
      </c>
      <c r="BG507" s="1714" t="n">
        <v>-1259.3</v>
      </c>
      <c r="BH507" s="1714" t="n">
        <v>-1855.1</v>
      </c>
      <c r="BI507" s="1564">
        <f>BJ507</f>
        <v/>
      </c>
      <c r="BJ507" s="1706" t="n">
        <v>-2452.9</v>
      </c>
      <c r="BK507" s="1714" t="n">
        <v>-597.2</v>
      </c>
      <c r="BL507" s="1714" t="n">
        <v>-1311.6</v>
      </c>
      <c r="BM507" s="1714" t="n">
        <v>-1931.2</v>
      </c>
      <c r="BN507" s="1564">
        <f>BO507</f>
        <v/>
      </c>
      <c r="BO507" s="1788" t="n">
        <v>-2550.3</v>
      </c>
      <c r="BP507" s="1562" t="n"/>
      <c r="BQ507" s="1562" t="n"/>
      <c r="BR507" s="1562" t="n"/>
      <c r="BS507" s="1562" t="n"/>
      <c r="BT507" s="1637" t="n"/>
      <c r="BU507" s="1562" t="n"/>
      <c r="BV507" s="1562" t="n"/>
      <c r="BW507" s="1562" t="n"/>
      <c r="BX507" s="1562" t="n"/>
      <c r="BY507" s="1637" t="n"/>
      <c r="BZ507" s="1637" t="n"/>
      <c r="CA507" s="1637" t="n"/>
      <c r="CB507" s="1637" t="n"/>
      <c r="CC507" s="1564" t="n"/>
    </row>
    <row r="508" hidden="1" outlineLevel="1" ht="15" customFormat="1" customHeight="1" s="1561">
      <c r="A508" s="1721" t="inlineStr">
        <is>
          <t>Purchase of treasury shares</t>
        </is>
      </c>
      <c r="B508" s="1705" t="n"/>
      <c r="C508" s="1804" t="n"/>
      <c r="D508" s="1804" t="n"/>
      <c r="E508" s="1787" t="n">
        <v>-700.452</v>
      </c>
      <c r="F508" s="1787" t="n">
        <v>-535.373</v>
      </c>
      <c r="G508" s="1787" t="n">
        <v>-300</v>
      </c>
      <c r="H508" s="1861" t="n">
        <v>-145</v>
      </c>
      <c r="I508" s="1861" t="n">
        <v>-299.9</v>
      </c>
      <c r="J508" s="1861" t="n">
        <v>-471</v>
      </c>
      <c r="K508" s="1863">
        <f>L508</f>
        <v/>
      </c>
      <c r="L508" s="1787" t="n">
        <v>-700</v>
      </c>
      <c r="M508" s="1861" t="n">
        <v>-117.1</v>
      </c>
      <c r="N508" s="1861" t="n">
        <v>-282.7</v>
      </c>
      <c r="O508" s="1861" t="n">
        <v>-424.2</v>
      </c>
      <c r="P508" s="1863">
        <f>Q508</f>
        <v/>
      </c>
      <c r="Q508" s="1787" t="n">
        <v>-564.8869999999999</v>
      </c>
      <c r="R508" s="1861" t="n">
        <v>-213.5</v>
      </c>
      <c r="S508" s="1714" t="n">
        <v>-385.4</v>
      </c>
      <c r="T508" s="1714" t="n">
        <v>-400</v>
      </c>
      <c r="U508" s="1564">
        <f>V508</f>
        <v/>
      </c>
      <c r="V508" s="1706" t="n">
        <v>-400</v>
      </c>
      <c r="W508" s="1562" t="n"/>
      <c r="X508" s="1562" t="n"/>
      <c r="Y508" s="1714" t="n">
        <v>-165.5</v>
      </c>
      <c r="Z508" s="1564">
        <f>AA508</f>
        <v/>
      </c>
      <c r="AA508" s="1706" t="n">
        <v>-500</v>
      </c>
      <c r="AB508" s="1714" t="n">
        <v>-166.9</v>
      </c>
      <c r="AC508" s="1714" t="n">
        <v>-419.8</v>
      </c>
      <c r="AD508" s="1714" t="n">
        <v>-789.8</v>
      </c>
      <c r="AE508" s="1564">
        <f>AF508</f>
        <v/>
      </c>
      <c r="AF508" s="1706" t="n">
        <v>-1146.2</v>
      </c>
      <c r="AG508" s="1714" t="n">
        <v>-52.6</v>
      </c>
      <c r="AH508" s="1714" t="n">
        <v>-70</v>
      </c>
      <c r="AI508" s="1714" t="n">
        <v>-218.4</v>
      </c>
      <c r="AJ508" s="1564">
        <f>AK508</f>
        <v/>
      </c>
      <c r="AK508" s="1706" t="n">
        <v>-410</v>
      </c>
      <c r="AL508" s="1714" t="n">
        <v>-507.5</v>
      </c>
      <c r="AM508" s="1714" t="n">
        <v>-507.5</v>
      </c>
      <c r="AN508" s="1714" t="n">
        <v>-507.5</v>
      </c>
      <c r="AO508" s="1564">
        <f>AP508</f>
        <v/>
      </c>
      <c r="AP508" s="1706" t="n">
        <v>-1207.5</v>
      </c>
      <c r="AQ508" s="1714" t="n">
        <v>-1567.6</v>
      </c>
      <c r="AR508" s="1714" t="n">
        <v>-3551.5</v>
      </c>
      <c r="AS508" s="1714" t="n">
        <v>-5953.1</v>
      </c>
      <c r="AT508" s="1564">
        <f>AU508</f>
        <v/>
      </c>
      <c r="AU508" s="1706" t="n">
        <v>-8560.299999999999</v>
      </c>
      <c r="AV508" s="1714" t="n">
        <v>-2038.2</v>
      </c>
      <c r="AW508" s="1714" t="n">
        <v>-3216.7</v>
      </c>
      <c r="AX508" s="1714" t="n">
        <v>-4304.7</v>
      </c>
      <c r="AY508" s="1564">
        <f>AZ508</f>
        <v/>
      </c>
      <c r="AZ508" s="1706" t="n">
        <v>-4639.7</v>
      </c>
      <c r="BA508" s="1714" t="n">
        <v>-396.2</v>
      </c>
      <c r="BB508" s="1714" t="n">
        <v>-888.9</v>
      </c>
      <c r="BC508" s="1714" t="n">
        <v>-1000</v>
      </c>
      <c r="BD508" s="1564">
        <f>BE508</f>
        <v/>
      </c>
      <c r="BE508" s="1706" t="n">
        <v>-1000</v>
      </c>
      <c r="BF508" s="1714" t="n">
        <v>-385.1</v>
      </c>
      <c r="BG508" s="1714" t="n">
        <v>-500</v>
      </c>
      <c r="BH508" s="1714" t="n">
        <v>-500</v>
      </c>
      <c r="BI508" s="1564">
        <f>BJ508</f>
        <v/>
      </c>
      <c r="BJ508" s="1706" t="n">
        <v>-500</v>
      </c>
      <c r="BK508" s="1714" t="n">
        <v>-2592.6</v>
      </c>
      <c r="BL508" s="1714" t="n">
        <v>-4077.8</v>
      </c>
      <c r="BM508" s="1714" t="n">
        <v>-4250</v>
      </c>
      <c r="BN508" s="1564">
        <f>BO508</f>
        <v/>
      </c>
      <c r="BO508" s="1788" t="n">
        <v>-5950</v>
      </c>
      <c r="BP508" s="1562" t="n"/>
      <c r="BQ508" s="1562" t="n"/>
      <c r="BR508" s="1562" t="n"/>
      <c r="BS508" s="1562" t="n"/>
      <c r="BT508" s="1637" t="n"/>
      <c r="BU508" s="1562" t="n"/>
      <c r="BV508" s="1562" t="n"/>
      <c r="BW508" s="1562" t="n"/>
      <c r="BX508" s="1562" t="n"/>
      <c r="BY508" s="1637" t="n"/>
      <c r="BZ508" s="1637" t="n"/>
      <c r="CA508" s="1637" t="n"/>
      <c r="CB508" s="1637" t="n"/>
      <c r="CC508" s="1564" t="n"/>
    </row>
    <row r="509" hidden="1" outlineLevel="1" ht="15" customFormat="1" customHeight="1" s="1561">
      <c r="A509" s="1721" t="inlineStr">
        <is>
          <t>Net proceeds from issuance of shares</t>
        </is>
      </c>
      <c r="B509" s="1705" t="n"/>
      <c r="C509" s="1787" t="n">
        <v>11.073</v>
      </c>
      <c r="D509" s="1787" t="n">
        <v>31</v>
      </c>
      <c r="E509" s="1787" t="n">
        <v>34.084</v>
      </c>
      <c r="F509" s="1787" t="n">
        <v>3907.666</v>
      </c>
      <c r="G509" s="1787" t="n">
        <v>31.822</v>
      </c>
      <c r="H509" s="1861" t="n">
        <v>5.5</v>
      </c>
      <c r="I509" s="1861" t="n">
        <v>13.6</v>
      </c>
      <c r="J509" s="1861" t="n">
        <v>24.2</v>
      </c>
      <c r="K509" s="1863">
        <f>L509</f>
        <v/>
      </c>
      <c r="L509" s="1787" t="n">
        <v>39.679</v>
      </c>
      <c r="M509" s="1861" t="n">
        <v>4.4</v>
      </c>
      <c r="N509" s="1861" t="n">
        <v>14.5</v>
      </c>
      <c r="O509" s="1861" t="n">
        <v>23.5</v>
      </c>
      <c r="P509" s="1863">
        <f>Q509</f>
        <v/>
      </c>
      <c r="Q509" s="1787" t="n">
        <v>33.23</v>
      </c>
      <c r="R509" s="1861" t="n">
        <v>10.6</v>
      </c>
      <c r="S509" s="1714" t="n">
        <v>22.7</v>
      </c>
      <c r="T509" s="1714" t="n">
        <v>34.4</v>
      </c>
      <c r="U509" s="1564">
        <f>V509</f>
        <v/>
      </c>
      <c r="V509" s="1706" t="n">
        <v>582.7</v>
      </c>
      <c r="W509" s="1714" t="n">
        <v>13</v>
      </c>
      <c r="X509" s="1714" t="n">
        <v>24.9</v>
      </c>
      <c r="Y509" s="1714" t="n">
        <v>37.6</v>
      </c>
      <c r="Z509" s="1564">
        <f>AA509</f>
        <v/>
      </c>
      <c r="AA509" s="1706" t="n">
        <v>50.6</v>
      </c>
      <c r="AB509" s="1714" t="n">
        <v>7</v>
      </c>
      <c r="AC509" s="1714" t="n">
        <v>13.1</v>
      </c>
      <c r="AD509" s="1714" t="n">
        <v>17.4</v>
      </c>
      <c r="AE509" s="1564">
        <f>AF509</f>
        <v/>
      </c>
      <c r="AF509" s="1706" t="n">
        <v>21.8</v>
      </c>
      <c r="AG509" s="1714" t="n">
        <v>5.2</v>
      </c>
      <c r="AH509" s="1714" t="n">
        <v>12.6</v>
      </c>
      <c r="AI509" s="1714" t="n">
        <v>20</v>
      </c>
      <c r="AJ509" s="1564">
        <f>AK509</f>
        <v/>
      </c>
      <c r="AK509" s="1706" t="n">
        <v>27.2</v>
      </c>
      <c r="AL509" s="1714" t="n">
        <v>8.6</v>
      </c>
      <c r="AM509" s="1714" t="n">
        <v>19.6</v>
      </c>
      <c r="AN509" s="1714" t="n">
        <v>30</v>
      </c>
      <c r="AO509" s="1564">
        <f>AP509</f>
        <v/>
      </c>
      <c r="AP509" s="1706" t="n">
        <v>37.9</v>
      </c>
      <c r="AQ509" s="1714" t="n">
        <v>11</v>
      </c>
      <c r="AR509" s="1714" t="n">
        <v>24.6</v>
      </c>
      <c r="AS509" s="1714" t="n">
        <v>36.9</v>
      </c>
      <c r="AT509" s="1564">
        <f>AU509</f>
        <v/>
      </c>
      <c r="AU509" s="1706" t="n">
        <v>48.9</v>
      </c>
      <c r="AV509" s="1714" t="n">
        <v>21.5</v>
      </c>
      <c r="AW509" s="1714" t="n">
        <v>43</v>
      </c>
      <c r="AX509" s="1714" t="n">
        <v>62.9</v>
      </c>
      <c r="AY509" s="1564">
        <f>AZ509</f>
        <v/>
      </c>
      <c r="AZ509" s="1706" t="n">
        <v>81.8</v>
      </c>
      <c r="BA509" s="1714" t="n">
        <v>22.7</v>
      </c>
      <c r="BB509" s="1714" t="n">
        <v>47.8</v>
      </c>
      <c r="BC509" s="1714" t="n">
        <v>73.5</v>
      </c>
      <c r="BD509" s="1564">
        <f>BE509</f>
        <v/>
      </c>
      <c r="BE509" s="1706" t="n">
        <v>99.40000000000001</v>
      </c>
      <c r="BF509" s="1714" t="n">
        <v>29.3</v>
      </c>
      <c r="BG509" s="1714" t="n">
        <v>60.5</v>
      </c>
      <c r="BH509" s="1714" t="n">
        <v>92</v>
      </c>
      <c r="BI509" s="1564">
        <f>BJ509</f>
        <v/>
      </c>
      <c r="BJ509" s="1706" t="n">
        <v>124</v>
      </c>
      <c r="BK509" s="1714" t="n">
        <v>38</v>
      </c>
      <c r="BL509" s="1714" t="n">
        <v>74.40000000000001</v>
      </c>
      <c r="BM509" s="1714" t="n">
        <v>109.7</v>
      </c>
      <c r="BN509" s="1564">
        <f>BO509</f>
        <v/>
      </c>
      <c r="BO509" s="1788" t="n">
        <v>142.3</v>
      </c>
      <c r="BP509" s="1562" t="n"/>
      <c r="BQ509" s="1562" t="n"/>
      <c r="BR509" s="1562" t="n"/>
      <c r="BS509" s="1562" t="n"/>
      <c r="BT509" s="1637" t="n"/>
      <c r="BU509" s="1562" t="n"/>
      <c r="BV509" s="1562" t="n"/>
      <c r="BW509" s="1562" t="n"/>
      <c r="BX509" s="1562" t="n"/>
      <c r="BY509" s="1637" t="n"/>
      <c r="BZ509" s="1637" t="n"/>
      <c r="CA509" s="1637" t="n"/>
      <c r="CB509" s="1637" t="n"/>
      <c r="CC509" s="1564" t="n"/>
    </row>
    <row r="510" hidden="1" outlineLevel="1" ht="15" customFormat="1" customHeight="1" s="1561">
      <c r="A510" s="1721" t="inlineStr">
        <is>
          <t>Net proceeds from issuance of notes</t>
        </is>
      </c>
      <c r="B510" s="1705" t="n"/>
      <c r="C510" s="1787" t="n">
        <v>0.032</v>
      </c>
      <c r="D510" s="1804" t="n"/>
      <c r="E510" s="1804" t="n"/>
      <c r="F510" s="1804" t="n"/>
      <c r="G510" s="1787" t="n">
        <v>740.4450000000001</v>
      </c>
      <c r="H510" s="1970" t="n"/>
      <c r="I510" s="1970" t="n"/>
      <c r="J510" s="1970" t="n"/>
      <c r="K510" s="1863">
        <f>L510</f>
        <v/>
      </c>
      <c r="L510" s="1804" t="n"/>
      <c r="M510" s="1970" t="n"/>
      <c r="N510" s="1970" t="n"/>
      <c r="O510" s="1970" t="n"/>
      <c r="P510" s="1863">
        <f>Q510</f>
        <v/>
      </c>
      <c r="Q510" s="1804" t="n"/>
      <c r="R510" s="1970" t="n"/>
      <c r="S510" s="1562" t="n"/>
      <c r="T510" s="1714" t="n">
        <v>1484.7</v>
      </c>
      <c r="U510" s="1564">
        <f>V510</f>
        <v/>
      </c>
      <c r="V510" s="1706" t="n">
        <v>2230.6</v>
      </c>
      <c r="W510" s="1562" t="n"/>
      <c r="X510" s="1562" t="n"/>
      <c r="Y510" s="1562" t="n"/>
      <c r="Z510" s="1564">
        <f>AA510</f>
        <v/>
      </c>
      <c r="AA510" s="1637" t="n"/>
      <c r="AB510" s="1562" t="n"/>
      <c r="AC510" s="1562" t="n"/>
      <c r="AD510" s="1562" t="n"/>
      <c r="AE510" s="1564">
        <f>AF510</f>
        <v/>
      </c>
      <c r="AF510" s="1637" t="n"/>
      <c r="AG510" s="1562" t="n"/>
      <c r="AH510" s="1562" t="n"/>
      <c r="AI510" s="1562" t="n"/>
      <c r="AJ510" s="1564">
        <f>AK510</f>
        <v/>
      </c>
      <c r="AK510" s="1637" t="n"/>
      <c r="AL510" s="1714" t="n">
        <v>739.8</v>
      </c>
      <c r="AM510" s="1714" t="n">
        <v>1486.3</v>
      </c>
      <c r="AN510" s="1714" t="n">
        <v>1486.3</v>
      </c>
      <c r="AO510" s="1564">
        <f>AP510</f>
        <v/>
      </c>
      <c r="AP510" s="1706" t="n">
        <v>1486.3</v>
      </c>
      <c r="AQ510" s="1562" t="n"/>
      <c r="AR510" s="1562" t="n"/>
      <c r="AS510" s="1562" t="n"/>
      <c r="AT510" s="1564">
        <f>AU510</f>
        <v/>
      </c>
      <c r="AU510" s="1637" t="n"/>
      <c r="AV510" s="1562" t="n"/>
      <c r="AW510" s="1714" t="n">
        <v>495.6</v>
      </c>
      <c r="AX510" s="1714" t="n">
        <v>495.6</v>
      </c>
      <c r="AY510" s="1564">
        <f>AZ510</f>
        <v/>
      </c>
      <c r="AZ510" s="1706" t="n">
        <v>495.6</v>
      </c>
      <c r="BA510" s="1562" t="n"/>
      <c r="BB510" s="1714" t="n">
        <v>997.8</v>
      </c>
      <c r="BC510" s="1714" t="n">
        <v>997.8</v>
      </c>
      <c r="BD510" s="1564">
        <f>BE510</f>
        <v/>
      </c>
      <c r="BE510" s="1706" t="n">
        <v>997.8</v>
      </c>
      <c r="BF510" s="1562" t="n"/>
      <c r="BG510" s="1714" t="n">
        <v>0</v>
      </c>
      <c r="BH510" s="1562" t="n"/>
      <c r="BI510" s="1564">
        <f>BJ510</f>
        <v/>
      </c>
      <c r="BJ510" s="1706" t="n">
        <v>22.5</v>
      </c>
      <c r="BK510" s="1562" t="n"/>
      <c r="BL510" s="1562" t="n"/>
      <c r="BM510" s="1714" t="n">
        <v>15</v>
      </c>
      <c r="BN510" s="1564">
        <f>BO510</f>
        <v/>
      </c>
      <c r="BO510" s="1788" t="n">
        <v>754.2</v>
      </c>
      <c r="BP510" s="1562" t="n"/>
      <c r="BQ510" s="1562" t="n"/>
      <c r="BR510" s="1562" t="n"/>
      <c r="BS510" s="1562" t="n"/>
      <c r="BT510" s="1637" t="n"/>
      <c r="BU510" s="1562" t="n"/>
      <c r="BV510" s="1562" t="n"/>
      <c r="BW510" s="1562" t="n"/>
      <c r="BX510" s="1562" t="n"/>
      <c r="BY510" s="1637" t="n"/>
      <c r="BZ510" s="1637" t="n"/>
      <c r="CA510" s="1637" t="n"/>
      <c r="CB510" s="1637" t="n"/>
      <c r="CC510" s="1564" t="n"/>
    </row>
    <row r="511" hidden="1" outlineLevel="1" ht="15" customFormat="1" customHeight="1" s="1561">
      <c r="A511" s="1721" t="inlineStr">
        <is>
          <t>Capital repayment</t>
        </is>
      </c>
      <c r="B511" s="1705" t="n"/>
      <c r="C511" s="1804" t="n"/>
      <c r="D511" s="1804" t="n"/>
      <c r="E511" s="1804" t="n"/>
      <c r="F511" s="1787" t="n">
        <v>-3728.324</v>
      </c>
      <c r="G511" s="1804" t="n"/>
      <c r="H511" s="1970" t="n"/>
      <c r="I511" s="1970" t="n"/>
      <c r="J511" s="1970" t="n"/>
      <c r="K511" s="1970" t="n"/>
      <c r="L511" s="1804" t="n"/>
      <c r="M511" s="1970" t="n"/>
      <c r="N511" s="1970" t="n"/>
      <c r="O511" s="1970" t="n"/>
      <c r="P511" s="1970" t="n"/>
      <c r="Q511" s="1804" t="n"/>
      <c r="R511" s="1970" t="n"/>
      <c r="S511" s="1562" t="n"/>
      <c r="T511" s="1562" t="n"/>
      <c r="U511" s="1562" t="n"/>
      <c r="V511" s="1637" t="n"/>
      <c r="W511" s="1562" t="n"/>
      <c r="X511" s="1562" t="n"/>
      <c r="Y511" s="1562" t="n"/>
      <c r="Z511" s="1562" t="n"/>
      <c r="AA511" s="1637" t="n"/>
      <c r="AB511" s="1562" t="n"/>
      <c r="AC511" s="1562" t="n"/>
      <c r="AD511" s="1562" t="n"/>
      <c r="AE511" s="1562" t="n"/>
      <c r="AF511" s="1637" t="n"/>
      <c r="AG511" s="1562" t="n"/>
      <c r="AH511" s="1562" t="n"/>
      <c r="AI511" s="1562" t="n"/>
      <c r="AJ511" s="1562" t="n"/>
      <c r="AK511" s="1637" t="n"/>
      <c r="AL511" s="1562" t="n"/>
      <c r="AM511" s="1562" t="n"/>
      <c r="AN511" s="1562" t="n"/>
      <c r="AO511" s="1562" t="n"/>
      <c r="AP511" s="1637" t="n"/>
      <c r="AQ511" s="1562" t="n"/>
      <c r="AR511" s="1562" t="n"/>
      <c r="AS511" s="1562" t="n"/>
      <c r="AT511" s="1562" t="n"/>
      <c r="AU511" s="1637" t="n"/>
      <c r="AV511" s="1562" t="n"/>
      <c r="AW511" s="1562" t="n"/>
      <c r="AX511" s="1562" t="n"/>
      <c r="AY511" s="1562" t="n"/>
      <c r="AZ511" s="1637" t="n"/>
      <c r="BA511" s="1562" t="n"/>
      <c r="BB511" s="1562" t="n"/>
      <c r="BC511" s="1562" t="n"/>
      <c r="BD511" s="1562" t="n"/>
      <c r="BE511" s="1637" t="n"/>
      <c r="BF511" s="1562" t="n"/>
      <c r="BG511" s="1562" t="n"/>
      <c r="BH511" s="1562" t="n"/>
      <c r="BI511" s="1562" t="n"/>
      <c r="BJ511" s="1637" t="n"/>
      <c r="BK511" s="1562" t="n"/>
      <c r="BL511" s="1562" t="n"/>
      <c r="BM511" s="1562" t="n"/>
      <c r="BN511" s="1562" t="n"/>
      <c r="BO511" s="1638" t="n"/>
      <c r="BP511" s="1562" t="n"/>
      <c r="BQ511" s="1562" t="n"/>
      <c r="BR511" s="1562" t="n"/>
      <c r="BS511" s="1562" t="n"/>
      <c r="BT511" s="1637" t="n"/>
      <c r="BU511" s="1562" t="n"/>
      <c r="BV511" s="1562" t="n"/>
      <c r="BW511" s="1562" t="n"/>
      <c r="BX511" s="1562" t="n"/>
      <c r="BY511" s="1637" t="n"/>
      <c r="BZ511" s="1637" t="n"/>
      <c r="CA511" s="1637" t="n"/>
      <c r="CB511" s="1637" t="n"/>
      <c r="CC511" s="1564" t="n"/>
    </row>
    <row r="512" hidden="1" outlineLevel="1" ht="15" customFormat="1" customHeight="1" s="1561">
      <c r="A512" s="1721" t="inlineStr">
        <is>
          <t>Repurchase of notes</t>
        </is>
      </c>
      <c r="B512" s="1705" t="n"/>
      <c r="C512" s="1804" t="n"/>
      <c r="D512" s="1804" t="n"/>
      <c r="E512" s="1804" t="n"/>
      <c r="F512" s="1804" t="n"/>
      <c r="G512" s="1787" t="n">
        <v>-368.303</v>
      </c>
      <c r="H512" s="1970" t="n"/>
      <c r="I512" s="1970" t="n"/>
      <c r="J512" s="1970" t="n"/>
      <c r="K512" s="1970" t="n"/>
      <c r="L512" s="1804" t="n"/>
      <c r="M512" s="1970" t="n"/>
      <c r="N512" s="1970" t="n"/>
      <c r="O512" s="1970" t="n"/>
      <c r="P512" s="1970" t="n"/>
      <c r="Q512" s="1804" t="n"/>
      <c r="R512" s="1970" t="n"/>
      <c r="S512" s="1562" t="n"/>
      <c r="T512" s="1562" t="n"/>
      <c r="U512" s="1562" t="n"/>
      <c r="V512" s="1637" t="n"/>
      <c r="W512" s="1562" t="n"/>
      <c r="X512" s="1562" t="n"/>
      <c r="Y512" s="1562" t="n"/>
      <c r="Z512" s="1562" t="n"/>
      <c r="AA512" s="1637" t="n"/>
      <c r="AB512" s="1562" t="n"/>
      <c r="AC512" s="1562" t="n"/>
      <c r="AD512" s="1562" t="n"/>
      <c r="AE512" s="1562" t="n"/>
      <c r="AF512" s="1637" t="n"/>
      <c r="AG512" s="1562" t="n"/>
      <c r="AH512" s="1562" t="n"/>
      <c r="AI512" s="1562" t="n"/>
      <c r="AJ512" s="1562" t="n"/>
      <c r="AK512" s="1637" t="n"/>
      <c r="AL512" s="1562" t="n"/>
      <c r="AM512" s="1562" t="n"/>
      <c r="AN512" s="1562" t="n"/>
      <c r="AO512" s="1562" t="n"/>
      <c r="AP512" s="1637" t="n"/>
      <c r="AQ512" s="1562" t="n"/>
      <c r="AR512" s="1562" t="n"/>
      <c r="AS512" s="1562" t="n"/>
      <c r="AT512" s="1562" t="n"/>
      <c r="AU512" s="1637" t="n"/>
      <c r="AV512" s="1562" t="n"/>
      <c r="AW512" s="1562" t="n"/>
      <c r="AX512" s="1562" t="n"/>
      <c r="AY512" s="1562" t="n"/>
      <c r="AZ512" s="1637" t="n"/>
      <c r="BA512" s="1562" t="n"/>
      <c r="BB512" s="1562" t="n"/>
      <c r="BC512" s="1562" t="n"/>
      <c r="BD512" s="1562" t="n"/>
      <c r="BE512" s="1637" t="n"/>
      <c r="BF512" s="1562" t="n"/>
      <c r="BG512" s="1562" t="n"/>
      <c r="BH512" s="1562" t="n"/>
      <c r="BI512" s="1562" t="n"/>
      <c r="BJ512" s="1637" t="n"/>
      <c r="BK512" s="1562" t="n"/>
      <c r="BL512" s="1562" t="n"/>
      <c r="BM512" s="1562" t="n"/>
      <c r="BN512" s="1562" t="n"/>
      <c r="BO512" s="1638" t="n"/>
      <c r="BP512" s="1562" t="n"/>
      <c r="BQ512" s="1562" t="n"/>
      <c r="BR512" s="1562" t="n"/>
      <c r="BS512" s="1562" t="n"/>
      <c r="BT512" s="1637" t="n"/>
      <c r="BU512" s="1562" t="n"/>
      <c r="BV512" s="1562" t="n"/>
      <c r="BW512" s="1562" t="n"/>
      <c r="BX512" s="1562" t="n"/>
      <c r="BY512" s="1637" t="n"/>
      <c r="BZ512" s="1637" t="n"/>
      <c r="CA512" s="1637" t="n"/>
      <c r="CB512" s="1637" t="n"/>
      <c r="CC512" s="1564" t="n"/>
    </row>
    <row r="513" hidden="1" outlineLevel="1" ht="15" customFormat="1" customHeight="1" s="1561">
      <c r="A513" s="1721" t="inlineStr">
        <is>
          <t>Deposits from customers</t>
        </is>
      </c>
      <c r="B513" s="1705" t="n"/>
      <c r="C513" s="1804" t="n"/>
      <c r="D513" s="1787" t="n">
        <v>150</v>
      </c>
      <c r="E513" s="1787" t="n">
        <v>-150</v>
      </c>
      <c r="F513" s="1804" t="n"/>
      <c r="G513" s="1804" t="n"/>
      <c r="H513" s="1970" t="n"/>
      <c r="I513" s="1970" t="n"/>
      <c r="J513" s="1970" t="n"/>
      <c r="K513" s="1970" t="n"/>
      <c r="L513" s="1804" t="n"/>
      <c r="M513" s="1970" t="n"/>
      <c r="N513" s="1970" t="n"/>
      <c r="O513" s="1970" t="n"/>
      <c r="P513" s="1970" t="n"/>
      <c r="Q513" s="1804" t="n"/>
      <c r="R513" s="1970" t="n"/>
      <c r="S513" s="1562" t="n"/>
      <c r="T513" s="1562" t="n"/>
      <c r="U513" s="1562" t="n"/>
      <c r="V513" s="1637" t="n"/>
      <c r="W513" s="1562" t="n"/>
      <c r="X513" s="1562" t="n"/>
      <c r="Y513" s="1562" t="n"/>
      <c r="Z513" s="1562" t="n"/>
      <c r="AA513" s="1637" t="n"/>
      <c r="AB513" s="1562" t="n"/>
      <c r="AC513" s="1562" t="n"/>
      <c r="AD513" s="1562" t="n"/>
      <c r="AE513" s="1562" t="n"/>
      <c r="AF513" s="1637" t="n"/>
      <c r="AG513" s="1562" t="n"/>
      <c r="AH513" s="1562" t="n"/>
      <c r="AI513" s="1562" t="n"/>
      <c r="AJ513" s="1562" t="n"/>
      <c r="AK513" s="1637" t="n"/>
      <c r="AL513" s="1562" t="n"/>
      <c r="AM513" s="1562" t="n"/>
      <c r="AN513" s="1562" t="n"/>
      <c r="AO513" s="1562" t="n"/>
      <c r="AP513" s="1637" t="n"/>
      <c r="AQ513" s="1562" t="n"/>
      <c r="AR513" s="1562" t="n"/>
      <c r="AS513" s="1562" t="n"/>
      <c r="AT513" s="1562" t="n"/>
      <c r="AU513" s="1637" t="n"/>
      <c r="AV513" s="1562" t="n"/>
      <c r="AW513" s="1562" t="n"/>
      <c r="AX513" s="1562" t="n"/>
      <c r="AY513" s="1562" t="n"/>
      <c r="AZ513" s="1637" t="n"/>
      <c r="BA513" s="1562" t="n"/>
      <c r="BB513" s="1562" t="n"/>
      <c r="BC513" s="1562" t="n"/>
      <c r="BD513" s="1562" t="n"/>
      <c r="BE513" s="1637" t="n"/>
      <c r="BF513" s="1562" t="n"/>
      <c r="BG513" s="1562" t="n"/>
      <c r="BH513" s="1562" t="n"/>
      <c r="BI513" s="1562" t="n"/>
      <c r="BJ513" s="1637" t="n"/>
      <c r="BK513" s="1562" t="n"/>
      <c r="BL513" s="1562" t="n"/>
      <c r="BM513" s="1562" t="n"/>
      <c r="BN513" s="1562" t="n"/>
      <c r="BO513" s="1638" t="n"/>
      <c r="BP513" s="1562" t="n"/>
      <c r="BQ513" s="1562" t="n"/>
      <c r="BR513" s="1562" t="n"/>
      <c r="BS513" s="1562" t="n"/>
      <c r="BT513" s="1637" t="n"/>
      <c r="BU513" s="1562" t="n"/>
      <c r="BV513" s="1562" t="n"/>
      <c r="BW513" s="1562" t="n"/>
      <c r="BX513" s="1562" t="n"/>
      <c r="BY513" s="1637" t="n"/>
      <c r="BZ513" s="1637" t="n"/>
      <c r="CA513" s="1637" t="n"/>
      <c r="CB513" s="1637" t="n"/>
      <c r="CC513" s="1564" t="n"/>
    </row>
    <row r="514" hidden="1" outlineLevel="1" ht="15" customFormat="1" customHeight="1" s="1561">
      <c r="A514" s="1721" t="inlineStr">
        <is>
          <t>Repayment of debt</t>
        </is>
      </c>
      <c r="B514" s="1705" t="n"/>
      <c r="C514" s="1787" t="n">
        <v>-1.447</v>
      </c>
      <c r="D514" s="1787" t="n">
        <v>-1.444</v>
      </c>
      <c r="E514" s="1787" t="n">
        <v>-2.537</v>
      </c>
      <c r="F514" s="1787" t="n">
        <v>-2.776</v>
      </c>
      <c r="G514" s="1787" t="n">
        <v>-4.1</v>
      </c>
      <c r="H514" s="1861" t="n">
        <v>-1.1</v>
      </c>
      <c r="I514" s="1861" t="n">
        <v>-2.1</v>
      </c>
      <c r="J514" s="1861" t="n">
        <v>-3.3</v>
      </c>
      <c r="K514" s="1863">
        <f>L514</f>
        <v/>
      </c>
      <c r="L514" s="1787" t="n">
        <v>-4.128</v>
      </c>
      <c r="M514" s="1861" t="n">
        <v>-0.8</v>
      </c>
      <c r="N514" s="1861" t="n">
        <v>-1.5</v>
      </c>
      <c r="O514" s="1861" t="n">
        <v>-2.5</v>
      </c>
      <c r="P514" s="1863">
        <f>Q514</f>
        <v/>
      </c>
      <c r="Q514" s="1787" t="n">
        <v>-3.639</v>
      </c>
      <c r="R514" s="1861" t="n">
        <v>-1.2</v>
      </c>
      <c r="S514" s="1714" t="n">
        <v>-2.4</v>
      </c>
      <c r="T514" s="1714" t="n">
        <v>-3.5</v>
      </c>
      <c r="U514" s="1564">
        <f>V514</f>
        <v/>
      </c>
      <c r="V514" s="1706" t="n">
        <v>-4.7</v>
      </c>
      <c r="W514" s="1714" t="n">
        <v>-1.2</v>
      </c>
      <c r="X514" s="1714" t="n">
        <v>-240.7</v>
      </c>
      <c r="Y514" s="1714" t="n">
        <v>-241.9</v>
      </c>
      <c r="Z514" s="1564">
        <f>AA514</f>
        <v/>
      </c>
      <c r="AA514" s="1706" t="n">
        <v>-243</v>
      </c>
      <c r="AB514" s="1714" t="n">
        <v>-0.3</v>
      </c>
      <c r="AC514" s="1714" t="n">
        <v>-1.6</v>
      </c>
      <c r="AD514" s="1714" t="n">
        <v>-1.8</v>
      </c>
      <c r="AE514" s="1564">
        <f>AF514</f>
        <v/>
      </c>
      <c r="AF514" s="1706" t="n">
        <v>-2.8</v>
      </c>
      <c r="AG514" s="1714" t="n">
        <v>-0.7</v>
      </c>
      <c r="AH514" s="1714" t="n">
        <v>-1.9</v>
      </c>
      <c r="AI514" s="1714" t="n">
        <v>-2.9</v>
      </c>
      <c r="AJ514" s="1564">
        <f>AK514</f>
        <v/>
      </c>
      <c r="AK514" s="1706" t="n">
        <v>-3.8</v>
      </c>
      <c r="AL514" s="1714" t="n">
        <v>-0.9</v>
      </c>
      <c r="AM514" s="1714" t="n">
        <v>-1.7</v>
      </c>
      <c r="AN514" s="1714" t="n">
        <v>-2.6</v>
      </c>
      <c r="AO514" s="1564">
        <f>AP514</f>
        <v/>
      </c>
      <c r="AP514" s="1706" t="n">
        <v>-3.3</v>
      </c>
      <c r="AQ514" s="1714" t="n">
        <v>-3.6</v>
      </c>
      <c r="AR514" s="1714" t="n">
        <v>-6.8</v>
      </c>
      <c r="AS514" s="1714" t="n">
        <v>-9.4</v>
      </c>
      <c r="AT514" s="1564">
        <f>AU514</f>
        <v/>
      </c>
      <c r="AU514" s="1706" t="n">
        <v>-12</v>
      </c>
      <c r="AV514" s="1714" t="n">
        <v>-13.5</v>
      </c>
      <c r="AW514" s="1714" t="n">
        <v>-514.2</v>
      </c>
      <c r="AX514" s="1714" t="n">
        <v>-515.4</v>
      </c>
      <c r="AY514" s="1564">
        <f>AZ514</f>
        <v/>
      </c>
      <c r="AZ514" s="1706" t="n">
        <v>-516.2</v>
      </c>
      <c r="BA514" s="1714" t="n">
        <v>-1.5</v>
      </c>
      <c r="BB514" s="1714" t="n">
        <v>-2.2</v>
      </c>
      <c r="BC514" s="1714" t="n">
        <v>-752.6</v>
      </c>
      <c r="BD514" s="1564">
        <f>BE514</f>
        <v/>
      </c>
      <c r="BE514" s="1706" t="n">
        <v>-752.8</v>
      </c>
      <c r="BF514" s="1714" t="n">
        <v>-0.6</v>
      </c>
      <c r="BG514" s="1714" t="n">
        <v>-0.9</v>
      </c>
      <c r="BH514" s="1714" t="n">
        <v>-1.6</v>
      </c>
      <c r="BI514" s="1564">
        <f>BJ514</f>
        <v/>
      </c>
      <c r="BJ514" s="1706" t="n">
        <v>-25.7</v>
      </c>
      <c r="BK514" s="1714" t="n">
        <v>0.4</v>
      </c>
      <c r="BL514" s="1714" t="n">
        <v>-0.2</v>
      </c>
      <c r="BM514" s="1714" t="n">
        <v>-0.7</v>
      </c>
      <c r="BN514" s="1564">
        <f>BO514</f>
        <v/>
      </c>
      <c r="BO514" s="1788" t="n">
        <v>-1066.7</v>
      </c>
      <c r="BP514" s="1562" t="n"/>
      <c r="BQ514" s="1562" t="n"/>
      <c r="BR514" s="1562" t="n"/>
      <c r="BS514" s="1562" t="n"/>
      <c r="BT514" s="1637" t="n"/>
      <c r="BU514" s="1562" t="n"/>
      <c r="BV514" s="1562" t="n"/>
      <c r="BW514" s="1562" t="n"/>
      <c r="BX514" s="1562" t="n"/>
      <c r="BY514" s="1637" t="n"/>
      <c r="BZ514" s="1637" t="n"/>
      <c r="CA514" s="1637" t="n"/>
      <c r="CB514" s="1637" t="n"/>
      <c r="CC514" s="1564" t="n"/>
    </row>
    <row r="515" hidden="1" outlineLevel="1" ht="15" customFormat="1" customHeight="1" s="1561">
      <c r="A515" s="1686" t="inlineStr">
        <is>
          <t>Tax benefit (deficit) from share-based payments</t>
        </is>
      </c>
      <c r="B515" s="1708" t="n"/>
      <c r="C515" s="1790" t="n">
        <v>1.954</v>
      </c>
      <c r="D515" s="1790" t="n">
        <v>0.106</v>
      </c>
      <c r="E515" s="1790" t="n">
        <v>-0.011</v>
      </c>
      <c r="F515" s="1790" t="n">
        <v>2.116</v>
      </c>
      <c r="G515" s="1790" t="n">
        <v>3.11</v>
      </c>
      <c r="H515" s="1971" t="n"/>
      <c r="I515" s="1982" t="n">
        <v>1.9</v>
      </c>
      <c r="J515" s="1982" t="n">
        <v>2.8</v>
      </c>
      <c r="K515" s="1972">
        <f>L515</f>
        <v/>
      </c>
      <c r="L515" s="1790" t="n">
        <v>3.972</v>
      </c>
      <c r="M515" s="1982" t="n">
        <v>1.8</v>
      </c>
      <c r="N515" s="1982" t="n">
        <v>2.4</v>
      </c>
      <c r="O515" s="1982" t="n">
        <v>2.9</v>
      </c>
      <c r="P515" s="1972">
        <f>Q515</f>
        <v/>
      </c>
      <c r="Q515" s="1790" t="n">
        <v>3.66</v>
      </c>
      <c r="R515" s="1971" t="n"/>
      <c r="S515" s="1716" t="n">
        <v>0.1</v>
      </c>
      <c r="T515" s="1716" t="n">
        <v>0.6</v>
      </c>
      <c r="U515" s="1791">
        <f>V515</f>
        <v/>
      </c>
      <c r="V515" s="1709" t="n">
        <v>0.9</v>
      </c>
      <c r="W515" s="1710" t="n"/>
      <c r="X515" s="1710" t="n"/>
      <c r="Y515" s="1710" t="n"/>
      <c r="Z515" s="1791">
        <f>AA515</f>
        <v/>
      </c>
      <c r="AA515" s="1712" t="n"/>
      <c r="AB515" s="1710" t="n"/>
      <c r="AC515" s="1710" t="n"/>
      <c r="AD515" s="1710" t="n"/>
      <c r="AE515" s="1791">
        <f>AF515</f>
        <v/>
      </c>
      <c r="AF515" s="1712" t="n"/>
      <c r="AG515" s="1710" t="n"/>
      <c r="AH515" s="1710" t="n"/>
      <c r="AI515" s="1710" t="n"/>
      <c r="AJ515" s="1791">
        <f>AK515</f>
        <v/>
      </c>
      <c r="AK515" s="1712" t="n"/>
      <c r="AL515" s="1710" t="n"/>
      <c r="AM515" s="1710" t="n"/>
      <c r="AN515" s="1710" t="n"/>
      <c r="AO515" s="1791">
        <f>AP515</f>
        <v/>
      </c>
      <c r="AP515" s="1712" t="n"/>
      <c r="AQ515" s="1710" t="n"/>
      <c r="AR515" s="1710" t="n"/>
      <c r="AS515" s="1710" t="n"/>
      <c r="AT515" s="1791">
        <f>AU515</f>
        <v/>
      </c>
      <c r="AU515" s="1712" t="n"/>
      <c r="AV515" s="1710" t="n"/>
      <c r="AW515" s="1710" t="n"/>
      <c r="AX515" s="1710" t="n"/>
      <c r="AY515" s="1791">
        <f>AZ515</f>
        <v/>
      </c>
      <c r="AZ515" s="1712" t="n"/>
      <c r="BA515" s="1710" t="n"/>
      <c r="BB515" s="1710" t="n"/>
      <c r="BC515" s="1710" t="n"/>
      <c r="BD515" s="1791">
        <f>BE515</f>
        <v/>
      </c>
      <c r="BE515" s="1712" t="n"/>
      <c r="BF515" s="1710" t="n"/>
      <c r="BG515" s="1710" t="n"/>
      <c r="BH515" s="1710" t="n"/>
      <c r="BI515" s="1791">
        <f>BJ515</f>
        <v/>
      </c>
      <c r="BJ515" s="1712" t="n"/>
      <c r="BK515" s="1710" t="n"/>
      <c r="BL515" s="1710" t="n"/>
      <c r="BM515" s="1710" t="n"/>
      <c r="BN515" s="1791">
        <f>BO515</f>
        <v/>
      </c>
      <c r="BO515" s="1711" t="n"/>
      <c r="BP515" s="1710" t="n"/>
      <c r="BQ515" s="1710" t="n"/>
      <c r="BR515" s="1710" t="n"/>
      <c r="BS515" s="1710" t="n"/>
      <c r="BT515" s="1712" t="n"/>
      <c r="BU515" s="1710" t="n"/>
      <c r="BV515" s="1710" t="n"/>
      <c r="BW515" s="1710" t="n"/>
      <c r="BX515" s="1710" t="n"/>
      <c r="BY515" s="1712" t="n"/>
      <c r="BZ515" s="1712" t="n"/>
      <c r="CA515" s="1712" t="n"/>
      <c r="CB515" s="1712" t="n"/>
      <c r="CC515" s="1564" t="n"/>
    </row>
    <row r="516" hidden="1" outlineLevel="1" ht="15" customFormat="1" customHeight="1" s="1628">
      <c r="A516" s="1695" t="inlineStr">
        <is>
          <t>Net CFF</t>
        </is>
      </c>
      <c r="B516" s="1793" t="n"/>
      <c r="C516" s="1779">
        <f>SUM(C507:C515)</f>
        <v/>
      </c>
      <c r="D516" s="1779">
        <f>SUM(D507:D515)</f>
        <v/>
      </c>
      <c r="E516" s="1779">
        <f>SUM(E507:E515)</f>
        <v/>
      </c>
      <c r="F516" s="1779">
        <f>SUM(F507:F515)</f>
        <v/>
      </c>
      <c r="G516" s="1779">
        <f>SUM(G507:G515)</f>
        <v/>
      </c>
      <c r="H516" s="1795">
        <f>SUM(H507:H515)</f>
        <v/>
      </c>
      <c r="I516" s="1795">
        <f>SUM(I507:I515)</f>
        <v/>
      </c>
      <c r="J516" s="1795">
        <f>SUM(J507:J515)</f>
        <v/>
      </c>
      <c r="K516" s="1795">
        <f>SUM(K507:K515)</f>
        <v/>
      </c>
      <c r="L516" s="1779">
        <f>SUM(L507:L515)</f>
        <v/>
      </c>
      <c r="M516" s="1795">
        <f>SUM(M507:M515)</f>
        <v/>
      </c>
      <c r="N516" s="1795">
        <f>SUM(N507:N515)</f>
        <v/>
      </c>
      <c r="O516" s="1795">
        <f>SUM(O507:O515)</f>
        <v/>
      </c>
      <c r="P516" s="1795">
        <f>SUM(P507:P515)</f>
        <v/>
      </c>
      <c r="Q516" s="1779">
        <f>SUM(Q507:Q515)</f>
        <v/>
      </c>
      <c r="R516" s="1795">
        <f>SUM(R507:R515)</f>
        <v/>
      </c>
      <c r="S516" s="1795">
        <f>SUM(S507:S515)</f>
        <v/>
      </c>
      <c r="T516" s="1795">
        <f>SUM(T507:T515)</f>
        <v/>
      </c>
      <c r="U516" s="1795">
        <f>SUM(U507:U515)</f>
        <v/>
      </c>
      <c r="V516" s="1779">
        <f>SUM(V507:V515)</f>
        <v/>
      </c>
      <c r="W516" s="1795">
        <f>SUM(W507:W515)</f>
        <v/>
      </c>
      <c r="X516" s="1795">
        <f>SUM(X507:X515)</f>
        <v/>
      </c>
      <c r="Y516" s="1795">
        <f>SUM(Y507:Y515)</f>
        <v/>
      </c>
      <c r="Z516" s="1795">
        <f>SUM(Z507:Z515)</f>
        <v/>
      </c>
      <c r="AA516" s="1779">
        <f>SUM(AA507:AA515)</f>
        <v/>
      </c>
      <c r="AB516" s="1795">
        <f>SUM(AB507:AB515)</f>
        <v/>
      </c>
      <c r="AC516" s="1795">
        <f>SUM(AC507:AC515)</f>
        <v/>
      </c>
      <c r="AD516" s="1795">
        <f>SUM(AD507:AD515)</f>
        <v/>
      </c>
      <c r="AE516" s="1795">
        <f>SUM(AE507:AE515)</f>
        <v/>
      </c>
      <c r="AF516" s="1779">
        <f>SUM(AF507:AF515)</f>
        <v/>
      </c>
      <c r="AG516" s="1795">
        <f>SUM(AG507:AG515)</f>
        <v/>
      </c>
      <c r="AH516" s="1795">
        <f>SUM(AH507:AH515)</f>
        <v/>
      </c>
      <c r="AI516" s="1795">
        <f>SUM(AI507:AI515)</f>
        <v/>
      </c>
      <c r="AJ516" s="1795">
        <f>SUM(AJ507:AJ515)</f>
        <v/>
      </c>
      <c r="AK516" s="1779">
        <f>SUM(AK507:AK515)</f>
        <v/>
      </c>
      <c r="AL516" s="1795">
        <f>SUM(AL507:AL515)</f>
        <v/>
      </c>
      <c r="AM516" s="1795">
        <f>SUM(AM507:AM515)</f>
        <v/>
      </c>
      <c r="AN516" s="1795">
        <f>SUM(AN507:AN515)</f>
        <v/>
      </c>
      <c r="AO516" s="1795">
        <f>SUM(AO507:AO515)</f>
        <v/>
      </c>
      <c r="AP516" s="1779">
        <f>SUM(AP507:AP515)</f>
        <v/>
      </c>
      <c r="AQ516" s="1795">
        <f>SUM(AQ507:AQ515)</f>
        <v/>
      </c>
      <c r="AR516" s="1795">
        <f>SUM(AR507:AR515)</f>
        <v/>
      </c>
      <c r="AS516" s="1795">
        <f>SUM(AS507:AS515)</f>
        <v/>
      </c>
      <c r="AT516" s="1795">
        <f>SUM(AT507:AT515)</f>
        <v/>
      </c>
      <c r="AU516" s="1779">
        <f>SUM(AU507:AU515)</f>
        <v/>
      </c>
      <c r="AV516" s="1795">
        <f>SUM(AV507:AV515)</f>
        <v/>
      </c>
      <c r="AW516" s="1795">
        <f>SUM(AW507:AW515)</f>
        <v/>
      </c>
      <c r="AX516" s="1795">
        <f>SUM(AX507:AX515)</f>
        <v/>
      </c>
      <c r="AY516" s="1795">
        <f>SUM(AY507:AY515)</f>
        <v/>
      </c>
      <c r="AZ516" s="1779">
        <f>SUM(AZ507:AZ515)</f>
        <v/>
      </c>
      <c r="BA516" s="1795">
        <f>SUM(BA507:BA515)</f>
        <v/>
      </c>
      <c r="BB516" s="1795">
        <f>SUM(BB507:BB515)</f>
        <v/>
      </c>
      <c r="BC516" s="1795">
        <f>SUM(BC507:BC515)</f>
        <v/>
      </c>
      <c r="BD516" s="1795">
        <f>SUM(BD507:BD515)</f>
        <v/>
      </c>
      <c r="BE516" s="1779">
        <f>SUM(BE507:BE515)</f>
        <v/>
      </c>
      <c r="BF516" s="1795">
        <f>SUM(BF507:BF515)</f>
        <v/>
      </c>
      <c r="BG516" s="1795">
        <f>SUM(BG507:BG515)</f>
        <v/>
      </c>
      <c r="BH516" s="1795">
        <f>SUM(BH507:BH515)</f>
        <v/>
      </c>
      <c r="BI516" s="1795">
        <f>SUM(BI507:BI515)</f>
        <v/>
      </c>
      <c r="BJ516" s="1779">
        <f>SUM(BJ507:BJ515)</f>
        <v/>
      </c>
      <c r="BK516" s="1795">
        <f>SUM(BK507:BK515)</f>
        <v/>
      </c>
      <c r="BL516" s="1795">
        <f>SUM(BL507:BL515)</f>
        <v/>
      </c>
      <c r="BM516" s="1795">
        <f>SUM(BM507:BM515)</f>
        <v/>
      </c>
      <c r="BN516" s="1795">
        <f>SUM(BN507:BN515)</f>
        <v/>
      </c>
      <c r="BO516" s="1796">
        <f>SUM(BO507:BO515)</f>
        <v/>
      </c>
      <c r="BP516" s="1642" t="n"/>
      <c r="BQ516" s="1642" t="n"/>
      <c r="BR516" s="1642" t="n"/>
      <c r="BS516" s="1642" t="n"/>
      <c r="BT516" s="1641" t="n"/>
      <c r="BU516" s="1642" t="n"/>
      <c r="BV516" s="1642" t="n"/>
      <c r="BW516" s="1642" t="n"/>
      <c r="BX516" s="1642" t="n"/>
      <c r="BY516" s="1641" t="n"/>
      <c r="BZ516" s="1641" t="n"/>
      <c r="CA516" s="1641" t="n"/>
      <c r="CB516" s="1641" t="n"/>
      <c r="CC516" s="1634" t="n"/>
    </row>
    <row r="517" hidden="1" outlineLevel="1" ht="15" customFormat="1" customHeight="1" s="1598">
      <c r="A517" s="1613" t="n"/>
      <c r="B517" s="1983" t="n"/>
      <c r="C517" s="1984" t="n"/>
      <c r="D517" s="1984" t="n"/>
      <c r="E517" s="1984" t="n"/>
      <c r="F517" s="1984" t="n"/>
      <c r="G517" s="1984" t="n"/>
      <c r="H517" s="1985" t="n"/>
      <c r="I517" s="1985" t="n"/>
      <c r="J517" s="1985" t="n"/>
      <c r="K517" s="1985" t="n"/>
      <c r="L517" s="1984" t="n"/>
      <c r="M517" s="1985" t="n"/>
      <c r="N517" s="1985" t="n"/>
      <c r="O517" s="1985" t="n"/>
      <c r="P517" s="1985" t="n"/>
      <c r="Q517" s="1984" t="n"/>
      <c r="R517" s="1985" t="n"/>
      <c r="S517" s="1985" t="n"/>
      <c r="T517" s="1985" t="n"/>
      <c r="U517" s="1985" t="n"/>
      <c r="V517" s="1984" t="n"/>
      <c r="W517" s="1985" t="n"/>
      <c r="X517" s="1985" t="n"/>
      <c r="Y517" s="1985" t="n"/>
      <c r="Z517" s="1985" t="n"/>
      <c r="AA517" s="1984" t="n"/>
      <c r="AB517" s="1985" t="n"/>
      <c r="AC517" s="1985" t="n"/>
      <c r="AD517" s="1985" t="n"/>
      <c r="AE517" s="1985" t="n"/>
      <c r="AF517" s="1984" t="n"/>
      <c r="AG517" s="1985" t="n"/>
      <c r="AH517" s="1985" t="n"/>
      <c r="AI517" s="1985" t="n"/>
      <c r="AJ517" s="1985" t="n"/>
      <c r="AK517" s="1984" t="n"/>
      <c r="AL517" s="1985" t="n"/>
      <c r="AM517" s="1985" t="n"/>
      <c r="AN517" s="1985" t="n"/>
      <c r="AO517" s="1985" t="n"/>
      <c r="AP517" s="1984" t="n"/>
      <c r="AQ517" s="1985" t="n"/>
      <c r="AR517" s="1985" t="n"/>
      <c r="AS517" s="1985" t="n"/>
      <c r="AT517" s="1985" t="n"/>
      <c r="AU517" s="1984" t="n"/>
      <c r="AV517" s="1985" t="n"/>
      <c r="AW517" s="1985" t="n"/>
      <c r="AX517" s="1985" t="n"/>
      <c r="AY517" s="1985" t="n"/>
      <c r="AZ517" s="1984" t="n"/>
      <c r="BA517" s="1985" t="n"/>
      <c r="BB517" s="1985" t="n"/>
      <c r="BC517" s="1985" t="n"/>
      <c r="BD517" s="1985" t="n"/>
      <c r="BE517" s="1984" t="n"/>
      <c r="BF517" s="1985" t="n"/>
      <c r="BG517" s="1985" t="n"/>
      <c r="BH517" s="1985" t="n"/>
      <c r="BI517" s="1985" t="n"/>
      <c r="BJ517" s="1984" t="n"/>
      <c r="BK517" s="1985" t="n"/>
      <c r="BL517" s="1985" t="n"/>
      <c r="BM517" s="1985" t="n"/>
      <c r="BN517" s="1985" t="n"/>
      <c r="BO517" s="1986" t="n"/>
      <c r="BP517" s="1985" t="n"/>
      <c r="BQ517" s="1985" t="n"/>
      <c r="BR517" s="1985" t="n"/>
      <c r="BS517" s="1985" t="n"/>
      <c r="BT517" s="1984" t="n"/>
      <c r="BU517" s="1985" t="n"/>
      <c r="BV517" s="1985" t="n"/>
      <c r="BW517" s="1985" t="n"/>
      <c r="BX517" s="1985" t="n"/>
      <c r="BY517" s="1984" t="n"/>
      <c r="BZ517" s="1984" t="n"/>
      <c r="CA517" s="1984" t="n"/>
      <c r="CB517" s="1984" t="n"/>
      <c r="CC517" s="1605" t="n"/>
    </row>
    <row r="518" hidden="1" outlineLevel="1" ht="15" customFormat="1" customHeight="1" s="1561">
      <c r="A518" s="1692" t="inlineStr">
        <is>
          <t>FX</t>
        </is>
      </c>
      <c r="B518" s="1705" t="n"/>
      <c r="C518" s="1787" t="n">
        <v>1.652</v>
      </c>
      <c r="D518" s="1787" t="n">
        <v>4.913</v>
      </c>
      <c r="E518" s="1787" t="n">
        <v>3.967</v>
      </c>
      <c r="F518" s="1787" t="n">
        <v>-2.248</v>
      </c>
      <c r="G518" s="1787" t="n">
        <v>-9.622999999999999</v>
      </c>
      <c r="H518" s="1861" t="n">
        <v>-0.1</v>
      </c>
      <c r="I518" s="1861" t="n">
        <v>1.9</v>
      </c>
      <c r="J518" s="1861" t="n">
        <v>6.6</v>
      </c>
      <c r="K518" s="1863">
        <f>L518</f>
        <v/>
      </c>
      <c r="L518" s="1787" t="n">
        <v>8.238</v>
      </c>
      <c r="M518" s="1861" t="n">
        <v>9.300000000000001</v>
      </c>
      <c r="N518" s="1861" t="n">
        <v>7.1</v>
      </c>
      <c r="O518" s="1861" t="n">
        <v>5.5</v>
      </c>
      <c r="P518" s="1863">
        <f>Q518</f>
        <v/>
      </c>
      <c r="Q518" s="1787" t="n">
        <v>7.509</v>
      </c>
      <c r="R518" s="1861" t="n">
        <v>-2.7</v>
      </c>
      <c r="S518" s="1714" t="n">
        <v>9.199999999999999</v>
      </c>
      <c r="T518" s="1714" t="n">
        <v>2.1</v>
      </c>
      <c r="U518" s="1564">
        <f>V518</f>
        <v/>
      </c>
      <c r="V518" s="1706" t="n">
        <v>7.1</v>
      </c>
      <c r="W518" s="1714" t="n">
        <v>9.800000000000001</v>
      </c>
      <c r="X518" s="1714" t="n">
        <v>-17.7</v>
      </c>
      <c r="Y518" s="1714" t="n">
        <v>-28.7</v>
      </c>
      <c r="Z518" s="1564">
        <f>AA518</f>
        <v/>
      </c>
      <c r="AA518" s="1706" t="n">
        <v>-28.1</v>
      </c>
      <c r="AB518" s="1714" t="n">
        <v>-7.2</v>
      </c>
      <c r="AC518" s="1714" t="n">
        <v>1.7</v>
      </c>
      <c r="AD518" s="1714" t="n">
        <v>-2.3</v>
      </c>
      <c r="AE518" s="1564">
        <f>AF518</f>
        <v/>
      </c>
      <c r="AF518" s="1706" t="n">
        <v>5.2</v>
      </c>
      <c r="AG518" s="1714" t="n">
        <v>3.2</v>
      </c>
      <c r="AH518" s="1714" t="n">
        <v>-1.2</v>
      </c>
      <c r="AI518" s="1714" t="n">
        <v>3.7</v>
      </c>
      <c r="AJ518" s="1564">
        <f>AK518</f>
        <v/>
      </c>
      <c r="AK518" s="1706" t="n">
        <v>4.6</v>
      </c>
      <c r="AL518" s="1714" t="n">
        <v>1.5</v>
      </c>
      <c r="AM518" s="1714" t="n">
        <v>-1.7</v>
      </c>
      <c r="AN518" s="1714" t="n">
        <v>-3.3</v>
      </c>
      <c r="AO518" s="1564">
        <f>AP518</f>
        <v/>
      </c>
      <c r="AP518" s="1706" t="n">
        <v>-5.3</v>
      </c>
      <c r="AQ518" s="1714" t="n">
        <v>3</v>
      </c>
      <c r="AR518" s="1714" t="n">
        <v>-0.9</v>
      </c>
      <c r="AS518" s="1714" t="n">
        <v>1.1</v>
      </c>
      <c r="AT518" s="1564">
        <f>AU518</f>
        <v/>
      </c>
      <c r="AU518" s="1706" t="n">
        <v>20.3</v>
      </c>
      <c r="AV518" s="1714" t="n">
        <v>0.3</v>
      </c>
      <c r="AW518" s="1714" t="n">
        <v>1.5</v>
      </c>
      <c r="AX518" s="1714" t="n">
        <v>9.9</v>
      </c>
      <c r="AY518" s="1564">
        <f>AZ518</f>
        <v/>
      </c>
      <c r="AZ518" s="1706" t="n">
        <v>-3.1</v>
      </c>
      <c r="BA518" s="1714" t="n">
        <v>-1.6</v>
      </c>
      <c r="BB518" s="1714" t="n">
        <v>-11.3</v>
      </c>
      <c r="BC518" s="1714" t="n">
        <v>-8</v>
      </c>
      <c r="BD518" s="1564">
        <f>BE518</f>
        <v/>
      </c>
      <c r="BE518" s="1706" t="n">
        <v>-13.8</v>
      </c>
      <c r="BF518" s="1714" t="n">
        <v>-1</v>
      </c>
      <c r="BG518" s="1714" t="n">
        <v>-1.5</v>
      </c>
      <c r="BH518" s="1714" t="n">
        <v>-5.7</v>
      </c>
      <c r="BI518" s="1564">
        <f>BJ518</f>
        <v/>
      </c>
      <c r="BJ518" s="1706" t="n">
        <v>6.4</v>
      </c>
      <c r="BK518" s="1714" t="n">
        <v>-11.8</v>
      </c>
      <c r="BL518" s="1714" t="n">
        <v>-22.6</v>
      </c>
      <c r="BM518" s="1714" t="n">
        <v>-28.9</v>
      </c>
      <c r="BN518" s="1564">
        <f>BO518</f>
        <v/>
      </c>
      <c r="BO518" s="1788" t="n">
        <v>-30.1</v>
      </c>
      <c r="BP518" s="1562" t="n"/>
      <c r="BQ518" s="1562" t="n"/>
      <c r="BR518" s="1562" t="n"/>
      <c r="BS518" s="1562" t="n"/>
      <c r="BT518" s="1637" t="n"/>
      <c r="BU518" s="1562" t="n"/>
      <c r="BV518" s="1562" t="n"/>
      <c r="BW518" s="1562" t="n"/>
      <c r="BX518" s="1562" t="n"/>
      <c r="BY518" s="1637" t="n"/>
      <c r="BZ518" s="1637" t="n"/>
      <c r="CA518" s="1637" t="n"/>
      <c r="CB518" s="1637" t="n"/>
      <c r="CC518" s="1564" t="n"/>
    </row>
    <row r="519" hidden="1" outlineLevel="1" ht="15" customFormat="1" customHeight="1" s="1628">
      <c r="A519" s="1681" t="inlineStr">
        <is>
          <t>Net Change in Cash Balance</t>
        </is>
      </c>
      <c r="B519" s="1717" t="n"/>
      <c r="C519" s="1802">
        <f>C516+C504+C490+C518</f>
        <v/>
      </c>
      <c r="D519" s="1802">
        <f>D516+D504+D490+D518</f>
        <v/>
      </c>
      <c r="E519" s="1802">
        <f>E516+E504+E490+E518</f>
        <v/>
      </c>
      <c r="F519" s="1802">
        <f>F516+F504+F490+F518</f>
        <v/>
      </c>
      <c r="G519" s="1802">
        <f>G516+G504+G490+G518</f>
        <v/>
      </c>
      <c r="H519" s="1634">
        <f>H516+H504+H490+H518</f>
        <v/>
      </c>
      <c r="I519" s="1634">
        <f>I516+I504+I490+I518</f>
        <v/>
      </c>
      <c r="J519" s="1634">
        <f>J516+J504+J490+J518</f>
        <v/>
      </c>
      <c r="K519" s="1634">
        <f>K516+K504+K490+K518</f>
        <v/>
      </c>
      <c r="L519" s="1802">
        <f>L516+L504+L490+L518</f>
        <v/>
      </c>
      <c r="M519" s="1634">
        <f>M516+M504+M490+M518</f>
        <v/>
      </c>
      <c r="N519" s="1634">
        <f>N516+N504+N490+N518</f>
        <v/>
      </c>
      <c r="O519" s="1634">
        <f>O516+O504+O490+O518</f>
        <v/>
      </c>
      <c r="P519" s="1634">
        <f>P516+P504+P490+P518</f>
        <v/>
      </c>
      <c r="Q519" s="1802">
        <f>Q516+Q504+Q490+Q518</f>
        <v/>
      </c>
      <c r="R519" s="1634">
        <f>R516+R504+R490+R518</f>
        <v/>
      </c>
      <c r="S519" s="1634">
        <f>S516+S504+S490+S518</f>
        <v/>
      </c>
      <c r="T519" s="1634">
        <f>T516+T504+T490+T518</f>
        <v/>
      </c>
      <c r="U519" s="1634">
        <f>U516+U504+U490+U518</f>
        <v/>
      </c>
      <c r="V519" s="1802">
        <f>V516+V504+V490+V518</f>
        <v/>
      </c>
      <c r="W519" s="1634">
        <f>W516+W504+W490+W518</f>
        <v/>
      </c>
      <c r="X519" s="1634">
        <f>X516+X504+X490+X518</f>
        <v/>
      </c>
      <c r="Y519" s="1634">
        <f>Y516+Y504+Y490+Y518</f>
        <v/>
      </c>
      <c r="Z519" s="1634">
        <f>Z516+Z504+Z490+Z518</f>
        <v/>
      </c>
      <c r="AA519" s="1802">
        <f>AA516+AA504+AA490+AA518</f>
        <v/>
      </c>
      <c r="AB519" s="1634">
        <f>AB516+AB504+AB490+AB518</f>
        <v/>
      </c>
      <c r="AC519" s="1634">
        <f>AC516+AC504+AC490+AC518</f>
        <v/>
      </c>
      <c r="AD519" s="1634">
        <f>AD516+AD504+AD490+AD518</f>
        <v/>
      </c>
      <c r="AE519" s="1634">
        <f>AE516+AE504+AE490+AE518</f>
        <v/>
      </c>
      <c r="AF519" s="1802">
        <f>AF516+AF504+AF490+AF518</f>
        <v/>
      </c>
      <c r="AG519" s="1634">
        <f>AG516+AG504+AG490+AG518</f>
        <v/>
      </c>
      <c r="AH519" s="1634">
        <f>AH516+AH504+AH490+AH518</f>
        <v/>
      </c>
      <c r="AI519" s="1634">
        <f>AI516+AI504+AI490+AI518</f>
        <v/>
      </c>
      <c r="AJ519" s="1634">
        <f>AJ516+AJ504+AJ490+AJ518</f>
        <v/>
      </c>
      <c r="AK519" s="1802">
        <f>AK516+AK504+AK490+AK518</f>
        <v/>
      </c>
      <c r="AL519" s="1634">
        <f>AL516+AL504+AL490+AL518</f>
        <v/>
      </c>
      <c r="AM519" s="1634">
        <f>AM516+AM504+AM490+AM518</f>
        <v/>
      </c>
      <c r="AN519" s="1634">
        <f>AN516+AN504+AN490+AN518</f>
        <v/>
      </c>
      <c r="AO519" s="1634">
        <f>AO516+AO504+AO490+AO518</f>
        <v/>
      </c>
      <c r="AP519" s="1802">
        <f>AP516+AP504+AP490+AP518</f>
        <v/>
      </c>
      <c r="AQ519" s="1634">
        <f>AQ516+AQ504+AQ490+AQ518</f>
        <v/>
      </c>
      <c r="AR519" s="1634">
        <f>AR516+AR504+AR490+AR518</f>
        <v/>
      </c>
      <c r="AS519" s="1634">
        <f>AS516+AS504+AS490+AS518</f>
        <v/>
      </c>
      <c r="AT519" s="1634">
        <f>AT516+AT504+AT490+AT518</f>
        <v/>
      </c>
      <c r="AU519" s="1802">
        <f>AU516+AU504+AU490+AU518</f>
        <v/>
      </c>
      <c r="AV519" s="1634">
        <f>AV516+AV504+AV490+AV518</f>
        <v/>
      </c>
      <c r="AW519" s="1634">
        <f>AW516+AW504+AW490+AW518</f>
        <v/>
      </c>
      <c r="AX519" s="1634">
        <f>AX516+AX504+AX490+AX518</f>
        <v/>
      </c>
      <c r="AY519" s="1634">
        <f>AY516+AY504+AY490+AY518</f>
        <v/>
      </c>
      <c r="AZ519" s="1802">
        <f>AZ516+AZ504+AZ490+AZ518</f>
        <v/>
      </c>
      <c r="BA519" s="1634">
        <f>BA516+BA504+BA490+BA518</f>
        <v/>
      </c>
      <c r="BB519" s="1634">
        <f>BB516+BB504+BB490+BB518</f>
        <v/>
      </c>
      <c r="BC519" s="1634">
        <f>BC516+BC504+BC490+BC518</f>
        <v/>
      </c>
      <c r="BD519" s="1634">
        <f>BD516+BD504+BD490+BD518</f>
        <v/>
      </c>
      <c r="BE519" s="1802">
        <f>BE516+BE504+BE490+BE518</f>
        <v/>
      </c>
      <c r="BF519" s="1634">
        <f>BF516+BF504+BF490+BF518</f>
        <v/>
      </c>
      <c r="BG519" s="1634">
        <f>BG516+BG504+BG490+BG518</f>
        <v/>
      </c>
      <c r="BH519" s="1634">
        <f>BH516+BH504+BH490+BH518</f>
        <v/>
      </c>
      <c r="BI519" s="1634">
        <f>BI516+BI504+BI490+BI518</f>
        <v/>
      </c>
      <c r="BJ519" s="1802">
        <f>BJ516+BJ504+BJ490+BJ518</f>
        <v/>
      </c>
      <c r="BK519" s="1634">
        <f>BK516+BK504+BK490+BK518</f>
        <v/>
      </c>
      <c r="BL519" s="1634">
        <f>BL516+BL504+BL490+BL518</f>
        <v/>
      </c>
      <c r="BM519" s="1634">
        <f>BM516+BM504+BM490+BM518</f>
        <v/>
      </c>
      <c r="BN519" s="1634">
        <f>BN516+BN504+BN490+BN518</f>
        <v/>
      </c>
      <c r="BO519" s="1803">
        <f>BO516+BO504+BO490+BO518</f>
        <v/>
      </c>
      <c r="BP519" s="1719" t="n"/>
      <c r="BQ519" s="1719" t="n"/>
      <c r="BR519" s="1719" t="n"/>
      <c r="BS519" s="1719" t="n"/>
      <c r="BT519" s="1718" t="n"/>
      <c r="BU519" s="1719" t="n"/>
      <c r="BV519" s="1719" t="n"/>
      <c r="BW519" s="1719" t="n"/>
      <c r="BX519" s="1719" t="n"/>
      <c r="BY519" s="1718" t="n"/>
      <c r="BZ519" s="1718" t="n"/>
      <c r="CA519" s="1718" t="n"/>
      <c r="CB519" s="1718" t="n"/>
      <c r="CC519" s="1634" t="n"/>
    </row>
    <row r="520" hidden="1" outlineLevel="1" ht="15" customFormat="1" customHeight="1" s="1598">
      <c r="A520" s="1613" t="n"/>
      <c r="B520" s="1983" t="n"/>
      <c r="C520" s="1984" t="n"/>
      <c r="D520" s="1984" t="n"/>
      <c r="E520" s="1984" t="n"/>
      <c r="F520" s="1984" t="n"/>
      <c r="G520" s="1984" t="n"/>
      <c r="H520" s="1985" t="n"/>
      <c r="I520" s="1985" t="n"/>
      <c r="J520" s="1985" t="n"/>
      <c r="K520" s="1985" t="n"/>
      <c r="L520" s="1984" t="n"/>
      <c r="M520" s="1985" t="n"/>
      <c r="N520" s="1985" t="n"/>
      <c r="O520" s="1985" t="n"/>
      <c r="P520" s="1985" t="n"/>
      <c r="Q520" s="1984" t="n"/>
      <c r="R520" s="1985" t="n"/>
      <c r="S520" s="1985" t="n"/>
      <c r="T520" s="1985" t="n"/>
      <c r="U520" s="1985" t="n"/>
      <c r="V520" s="1984" t="n"/>
      <c r="W520" s="1985" t="n"/>
      <c r="X520" s="1985" t="n"/>
      <c r="Y520" s="1985" t="n"/>
      <c r="Z520" s="1985" t="n"/>
      <c r="AA520" s="1984" t="n"/>
      <c r="AB520" s="1985" t="n"/>
      <c r="AC520" s="1985" t="n"/>
      <c r="AD520" s="1985" t="n"/>
      <c r="AE520" s="1985" t="n"/>
      <c r="AF520" s="1984" t="n"/>
      <c r="AG520" s="1985" t="n"/>
      <c r="AH520" s="1985" t="n"/>
      <c r="AI520" s="1985" t="n"/>
      <c r="AJ520" s="1985" t="n"/>
      <c r="AK520" s="1984" t="n"/>
      <c r="AL520" s="1985" t="n"/>
      <c r="AM520" s="1985" t="n"/>
      <c r="AN520" s="1985" t="n"/>
      <c r="AO520" s="1985" t="n"/>
      <c r="AP520" s="1984" t="n"/>
      <c r="AQ520" s="1985" t="n"/>
      <c r="AR520" s="1985" t="n"/>
      <c r="AS520" s="1985" t="n"/>
      <c r="AT520" s="1985" t="n"/>
      <c r="AU520" s="1984" t="n"/>
      <c r="AV520" s="1985" t="n"/>
      <c r="AW520" s="1985" t="n"/>
      <c r="AX520" s="1985" t="n"/>
      <c r="AY520" s="1985" t="n"/>
      <c r="AZ520" s="1984" t="n"/>
      <c r="BA520" s="1985" t="n"/>
      <c r="BB520" s="1985" t="n"/>
      <c r="BC520" s="1985" t="n"/>
      <c r="BD520" s="1985" t="n"/>
      <c r="BE520" s="1984" t="n"/>
      <c r="BF520" s="1985" t="n"/>
      <c r="BG520" s="1985" t="n"/>
      <c r="BH520" s="1985" t="n"/>
      <c r="BI520" s="1985" t="n"/>
      <c r="BJ520" s="1984" t="n"/>
      <c r="BK520" s="1985" t="n"/>
      <c r="BL520" s="1985" t="n"/>
      <c r="BM520" s="1985" t="n"/>
      <c r="BN520" s="1985" t="n"/>
      <c r="BO520" s="1986" t="n"/>
      <c r="BP520" s="1985" t="n"/>
      <c r="BQ520" s="1985" t="n"/>
      <c r="BR520" s="1985" t="n"/>
      <c r="BS520" s="1985" t="n"/>
      <c r="BT520" s="1984" t="n"/>
      <c r="BU520" s="1985" t="n"/>
      <c r="BV520" s="1985" t="n"/>
      <c r="BW520" s="1985" t="n"/>
      <c r="BX520" s="1985" t="n"/>
      <c r="BY520" s="1984" t="n"/>
      <c r="BZ520" s="1984" t="n"/>
      <c r="CA520" s="1984" t="n"/>
      <c r="CB520" s="1984" t="n"/>
      <c r="CC520" s="1605" t="n"/>
    </row>
    <row r="521" hidden="1" outlineLevel="1" ht="15" customFormat="1" customHeight="1" s="1628">
      <c r="A521" s="1681" t="inlineStr">
        <is>
          <t>Beginning Cash Balance</t>
        </is>
      </c>
      <c r="B521" s="1717" t="n"/>
      <c r="C521" s="1898" t="n">
        <v>1109.184</v>
      </c>
      <c r="D521" s="1802">
        <f>C522</f>
        <v/>
      </c>
      <c r="E521" s="1802">
        <f>D522</f>
        <v/>
      </c>
      <c r="F521" s="1802">
        <f>E522</f>
        <v/>
      </c>
      <c r="G521" s="1802">
        <f>F522</f>
        <v/>
      </c>
      <c r="H521" s="1634">
        <f>ROUND(G522,1)</f>
        <v/>
      </c>
      <c r="I521" s="1634">
        <f>H521</f>
        <v/>
      </c>
      <c r="J521" s="1634">
        <f>I521</f>
        <v/>
      </c>
      <c r="K521" s="1634">
        <f>J521-H521+G522</f>
        <v/>
      </c>
      <c r="L521" s="1802">
        <f>K521</f>
        <v/>
      </c>
      <c r="M521" s="1634">
        <f>ROUND(L522,1)</f>
        <v/>
      </c>
      <c r="N521" s="1634">
        <f>M521</f>
        <v/>
      </c>
      <c r="O521" s="1634">
        <f>N521</f>
        <v/>
      </c>
      <c r="P521" s="1634">
        <f>O521-M521+L522</f>
        <v/>
      </c>
      <c r="Q521" s="1802">
        <f>P521</f>
        <v/>
      </c>
      <c r="R521" s="1634">
        <f>ROUND(Q522,1)</f>
        <v/>
      </c>
      <c r="S521" s="1634">
        <f>R521</f>
        <v/>
      </c>
      <c r="T521" s="1634">
        <f>S521</f>
        <v/>
      </c>
      <c r="U521" s="1634">
        <f>T521</f>
        <v/>
      </c>
      <c r="V521" s="1802">
        <f>U521</f>
        <v/>
      </c>
      <c r="W521" s="1634">
        <f>V522</f>
        <v/>
      </c>
      <c r="X521" s="1634">
        <f>W521</f>
        <v/>
      </c>
      <c r="Y521" s="1634">
        <f>X521</f>
        <v/>
      </c>
      <c r="Z521" s="1634">
        <f>Y521-W521+V522</f>
        <v/>
      </c>
      <c r="AA521" s="1802">
        <f>Z521</f>
        <v/>
      </c>
      <c r="AB521" s="1634">
        <f>AA522</f>
        <v/>
      </c>
      <c r="AC521" s="1634">
        <f>AB521</f>
        <v/>
      </c>
      <c r="AD521" s="1634">
        <f>AC521</f>
        <v/>
      </c>
      <c r="AE521" s="1634">
        <f>AD521-AB521+AA522</f>
        <v/>
      </c>
      <c r="AF521" s="1802">
        <f>AE521</f>
        <v/>
      </c>
      <c r="AG521" s="1634">
        <f>AF522</f>
        <v/>
      </c>
      <c r="AH521" s="1634">
        <f>AG521</f>
        <v/>
      </c>
      <c r="AI521" s="1634">
        <f>AH521</f>
        <v/>
      </c>
      <c r="AJ521" s="1634">
        <f>AI521</f>
        <v/>
      </c>
      <c r="AK521" s="1802">
        <f>AJ521</f>
        <v/>
      </c>
      <c r="AL521" s="1634">
        <f>AK522</f>
        <v/>
      </c>
      <c r="AM521" s="1634">
        <f>AL521</f>
        <v/>
      </c>
      <c r="AN521" s="1634">
        <f>AM521</f>
        <v/>
      </c>
      <c r="AO521" s="1634">
        <f>AN521</f>
        <v/>
      </c>
      <c r="AP521" s="1802">
        <f>AO521</f>
        <v/>
      </c>
      <c r="AQ521" s="1634">
        <f>AP522</f>
        <v/>
      </c>
      <c r="AR521" s="1634">
        <f>AQ521</f>
        <v/>
      </c>
      <c r="AS521" s="1634">
        <f>AR521</f>
        <v/>
      </c>
      <c r="AT521" s="1634">
        <f>AS521</f>
        <v/>
      </c>
      <c r="AU521" s="1802">
        <f>AT521</f>
        <v/>
      </c>
      <c r="AV521" s="1634">
        <f>AU522</f>
        <v/>
      </c>
      <c r="AW521" s="1634">
        <f>AV521</f>
        <v/>
      </c>
      <c r="AX521" s="1634">
        <f>AW521</f>
        <v/>
      </c>
      <c r="AY521" s="1634">
        <f>AX521</f>
        <v/>
      </c>
      <c r="AZ521" s="1802">
        <f>AY521</f>
        <v/>
      </c>
      <c r="BA521" s="1634">
        <f>AZ522</f>
        <v/>
      </c>
      <c r="BB521" s="1634">
        <f>BA521</f>
        <v/>
      </c>
      <c r="BC521" s="1634">
        <f>BB521</f>
        <v/>
      </c>
      <c r="BD521" s="1634">
        <f>BC521</f>
        <v/>
      </c>
      <c r="BE521" s="1802">
        <f>BD521</f>
        <v/>
      </c>
      <c r="BF521" s="1634">
        <f>BE522</f>
        <v/>
      </c>
      <c r="BG521" s="1634">
        <f>BF521</f>
        <v/>
      </c>
      <c r="BH521" s="1634">
        <f>BG521</f>
        <v/>
      </c>
      <c r="BI521" s="1634">
        <f>BH521</f>
        <v/>
      </c>
      <c r="BJ521" s="1802">
        <f>BI521</f>
        <v/>
      </c>
      <c r="BK521" s="1634">
        <f>BJ522</f>
        <v/>
      </c>
      <c r="BL521" s="1634">
        <f>BK521</f>
        <v/>
      </c>
      <c r="BM521" s="1634">
        <f>BL521</f>
        <v/>
      </c>
      <c r="BN521" s="1634">
        <f>BM521</f>
        <v/>
      </c>
      <c r="BO521" s="1803">
        <f>BN521</f>
        <v/>
      </c>
      <c r="BP521" s="1719" t="n"/>
      <c r="BQ521" s="1719" t="n"/>
      <c r="BR521" s="1719" t="n"/>
      <c r="BS521" s="1719" t="n"/>
      <c r="BT521" s="1718" t="n"/>
      <c r="BU521" s="1719" t="n"/>
      <c r="BV521" s="1719" t="n"/>
      <c r="BW521" s="1719" t="n"/>
      <c r="BX521" s="1719" t="n"/>
      <c r="BY521" s="1718" t="n"/>
      <c r="BZ521" s="1718" t="n"/>
      <c r="CA521" s="1718" t="n"/>
      <c r="CB521" s="1718" t="n"/>
      <c r="CC521" s="1634" t="n"/>
    </row>
    <row r="522" hidden="1" outlineLevel="1" ht="15" customFormat="1" customHeight="1" s="1628">
      <c r="A522" s="1681" t="inlineStr">
        <is>
          <t>Ending Cash Balance</t>
        </is>
      </c>
      <c r="B522" s="1717" t="n"/>
      <c r="C522" s="1802">
        <f>C519+C521</f>
        <v/>
      </c>
      <c r="D522" s="1802">
        <f>D519+D521</f>
        <v/>
      </c>
      <c r="E522" s="1802">
        <f>E519+E521</f>
        <v/>
      </c>
      <c r="F522" s="1802">
        <f>F519+F521</f>
        <v/>
      </c>
      <c r="G522" s="1802">
        <f>G519+G521</f>
        <v/>
      </c>
      <c r="H522" s="1634">
        <f>H519+H521</f>
        <v/>
      </c>
      <c r="I522" s="1634">
        <f>I519+I521</f>
        <v/>
      </c>
      <c r="J522" s="1634">
        <f>J519+J521</f>
        <v/>
      </c>
      <c r="K522" s="1634">
        <f>K519+K521</f>
        <v/>
      </c>
      <c r="L522" s="1802">
        <f>L519+L521</f>
        <v/>
      </c>
      <c r="M522" s="1634">
        <f>M519+M521</f>
        <v/>
      </c>
      <c r="N522" s="1634">
        <f>N519+N521</f>
        <v/>
      </c>
      <c r="O522" s="1634">
        <f>O519+O521</f>
        <v/>
      </c>
      <c r="P522" s="1634">
        <f>P519+P521</f>
        <v/>
      </c>
      <c r="Q522" s="1802">
        <f>Q519+Q521</f>
        <v/>
      </c>
      <c r="R522" s="1634">
        <f>R519+R521</f>
        <v/>
      </c>
      <c r="S522" s="1634">
        <f>S519+S521</f>
        <v/>
      </c>
      <c r="T522" s="1634">
        <f>T519+T521</f>
        <v/>
      </c>
      <c r="U522" s="1634">
        <f>U519+U521</f>
        <v/>
      </c>
      <c r="V522" s="1802">
        <f>V519+V521</f>
        <v/>
      </c>
      <c r="W522" s="1634">
        <f>W519+W521</f>
        <v/>
      </c>
      <c r="X522" s="1634">
        <f>X519+X521</f>
        <v/>
      </c>
      <c r="Y522" s="1634">
        <f>Y519+Y521</f>
        <v/>
      </c>
      <c r="Z522" s="1634">
        <f>Z519+Z521</f>
        <v/>
      </c>
      <c r="AA522" s="1802">
        <f>AA519+AA521</f>
        <v/>
      </c>
      <c r="AB522" s="1634">
        <f>AB519+AB521</f>
        <v/>
      </c>
      <c r="AC522" s="1634">
        <f>AC519+AC521</f>
        <v/>
      </c>
      <c r="AD522" s="1634">
        <f>AD519+AD521</f>
        <v/>
      </c>
      <c r="AE522" s="1634">
        <f>AE519+AE521</f>
        <v/>
      </c>
      <c r="AF522" s="1802">
        <f>AF519+AF521</f>
        <v/>
      </c>
      <c r="AG522" s="1634">
        <f>AG519+AG521</f>
        <v/>
      </c>
      <c r="AH522" s="1634">
        <f>AH519+AH521</f>
        <v/>
      </c>
      <c r="AI522" s="1634">
        <f>AI519+AI521</f>
        <v/>
      </c>
      <c r="AJ522" s="1634">
        <f>AJ519+AJ521</f>
        <v/>
      </c>
      <c r="AK522" s="1802">
        <f>AK519+AK521</f>
        <v/>
      </c>
      <c r="AL522" s="1634">
        <f>AL519+AL521</f>
        <v/>
      </c>
      <c r="AM522" s="1634">
        <f>AM519+AM521</f>
        <v/>
      </c>
      <c r="AN522" s="1634">
        <f>AN519+AN521</f>
        <v/>
      </c>
      <c r="AO522" s="1634">
        <f>AO519+AO521</f>
        <v/>
      </c>
      <c r="AP522" s="1802">
        <f>AP519+AP521</f>
        <v/>
      </c>
      <c r="AQ522" s="1634">
        <f>AQ519+AQ521</f>
        <v/>
      </c>
      <c r="AR522" s="1634">
        <f>AR519+AR521</f>
        <v/>
      </c>
      <c r="AS522" s="1634">
        <f>AS519+AS521</f>
        <v/>
      </c>
      <c r="AT522" s="1634">
        <f>AT519+AT521</f>
        <v/>
      </c>
      <c r="AU522" s="1802">
        <f>AU519+AU521</f>
        <v/>
      </c>
      <c r="AV522" s="1634">
        <f>AV519+AV521</f>
        <v/>
      </c>
      <c r="AW522" s="1634">
        <f>AW519+AW521</f>
        <v/>
      </c>
      <c r="AX522" s="1634">
        <f>AX519+AX521</f>
        <v/>
      </c>
      <c r="AY522" s="1634">
        <f>AY519+AY521</f>
        <v/>
      </c>
      <c r="AZ522" s="1802">
        <f>AZ519+AZ521</f>
        <v/>
      </c>
      <c r="BA522" s="1634">
        <f>BA519+BA521</f>
        <v/>
      </c>
      <c r="BB522" s="1634">
        <f>BB519+BB521</f>
        <v/>
      </c>
      <c r="BC522" s="1634">
        <f>BC519+BC521</f>
        <v/>
      </c>
      <c r="BD522" s="1634">
        <f>BD519+BD521</f>
        <v/>
      </c>
      <c r="BE522" s="1802">
        <f>BE519+BE521</f>
        <v/>
      </c>
      <c r="BF522" s="1634">
        <f>BF519+BF521</f>
        <v/>
      </c>
      <c r="BG522" s="1634">
        <f>BG519+BG521</f>
        <v/>
      </c>
      <c r="BH522" s="1634">
        <f>BH519+BH521</f>
        <v/>
      </c>
      <c r="BI522" s="1634">
        <f>BI519+BI521</f>
        <v/>
      </c>
      <c r="BJ522" s="1802">
        <f>BJ519+BJ521</f>
        <v/>
      </c>
      <c r="BK522" s="1634">
        <f>BK519+BK521</f>
        <v/>
      </c>
      <c r="BL522" s="1634">
        <f>BL519+BL521</f>
        <v/>
      </c>
      <c r="BM522" s="1634">
        <f>BM519+BM521</f>
        <v/>
      </c>
      <c r="BN522" s="1634">
        <f>BN519+BN521</f>
        <v/>
      </c>
      <c r="BO522" s="1803">
        <f>BO519+BO521</f>
        <v/>
      </c>
      <c r="BP522" s="1719" t="n"/>
      <c r="BQ522" s="1719" t="n"/>
      <c r="BR522" s="1719" t="n"/>
      <c r="BS522" s="1719" t="n"/>
      <c r="BT522" s="1718" t="n"/>
      <c r="BU522" s="1719" t="n"/>
      <c r="BV522" s="1719" t="n"/>
      <c r="BW522" s="1719" t="n"/>
      <c r="BX522" s="1719" t="n"/>
      <c r="BY522" s="1718" t="n"/>
      <c r="BZ522" s="1718" t="n"/>
      <c r="CA522" s="1718" t="n"/>
      <c r="CB522" s="1718" t="n"/>
      <c r="CC522" s="1634" t="n"/>
    </row>
    <row r="523" collapsed="1" ht="15" customFormat="1" customHeight="1" s="1628">
      <c r="A523" s="1703" t="n"/>
      <c r="B523" s="1717" t="n"/>
      <c r="C523" s="1718" t="n"/>
      <c r="D523" s="1718" t="n"/>
      <c r="E523" s="1718" t="n"/>
      <c r="F523" s="1718" t="n"/>
      <c r="G523" s="1718" t="n"/>
      <c r="H523" s="1719" t="n"/>
      <c r="I523" s="1719" t="n"/>
      <c r="J523" s="1719" t="n"/>
      <c r="K523" s="1719" t="n"/>
      <c r="L523" s="1718" t="n"/>
      <c r="M523" s="1719" t="n"/>
      <c r="N523" s="1719" t="n"/>
      <c r="O523" s="1719" t="n"/>
      <c r="P523" s="1719" t="n"/>
      <c r="Q523" s="1718" t="n"/>
      <c r="R523" s="1719" t="n"/>
      <c r="S523" s="1719" t="n"/>
      <c r="T523" s="1719" t="n"/>
      <c r="U523" s="1719" t="n"/>
      <c r="V523" s="1718" t="n"/>
      <c r="W523" s="1719" t="n"/>
      <c r="X523" s="1719" t="n"/>
      <c r="Y523" s="1719" t="n"/>
      <c r="Z523" s="1719" t="n"/>
      <c r="AA523" s="1718" t="n"/>
      <c r="AB523" s="1719" t="n"/>
      <c r="AC523" s="1719" t="n"/>
      <c r="AD523" s="1719" t="n"/>
      <c r="AE523" s="1719" t="n"/>
      <c r="AF523" s="1718" t="n"/>
      <c r="AG523" s="1719" t="n"/>
      <c r="AH523" s="1719" t="n"/>
      <c r="AI523" s="1719" t="n"/>
      <c r="AJ523" s="1719" t="n"/>
      <c r="AK523" s="1718" t="n"/>
      <c r="AL523" s="1719" t="n"/>
      <c r="AM523" s="1719" t="n"/>
      <c r="AN523" s="1719" t="n"/>
      <c r="AO523" s="1719" t="n"/>
      <c r="AP523" s="1718" t="n"/>
      <c r="AQ523" s="1719" t="n"/>
      <c r="AR523" s="1719" t="n"/>
      <c r="AS523" s="1719" t="n"/>
      <c r="AT523" s="1719" t="n"/>
      <c r="AU523" s="1718" t="n"/>
      <c r="AV523" s="1719" t="n"/>
      <c r="AW523" s="1719" t="n"/>
      <c r="AX523" s="1719" t="n"/>
      <c r="AY523" s="1719" t="n"/>
      <c r="AZ523" s="1718" t="n"/>
      <c r="BA523" s="1719" t="n"/>
      <c r="BB523" s="1719" t="n"/>
      <c r="BC523" s="1719" t="n"/>
      <c r="BD523" s="1719" t="n"/>
      <c r="BE523" s="1718" t="n"/>
      <c r="BF523" s="1719" t="n"/>
      <c r="BG523" s="1719" t="n"/>
      <c r="BH523" s="1719" t="n"/>
      <c r="BI523" s="1719" t="n"/>
      <c r="BJ523" s="1718" t="n"/>
      <c r="BK523" s="1719" t="n"/>
      <c r="BL523" s="1719" t="n"/>
      <c r="BM523" s="1719" t="n"/>
      <c r="BN523" s="1719" t="n"/>
      <c r="BO523" s="1720" t="n"/>
      <c r="BP523" s="1719" t="n"/>
      <c r="BQ523" s="1719" t="n"/>
      <c r="BR523" s="1719" t="n"/>
      <c r="BS523" s="1719" t="n"/>
      <c r="BT523" s="1718" t="n"/>
      <c r="BU523" s="1719" t="n"/>
      <c r="BV523" s="1719" t="n"/>
      <c r="BW523" s="1719" t="n"/>
      <c r="BX523" s="1719" t="n"/>
      <c r="BY523" s="1718" t="n"/>
      <c r="BZ523" s="1718" t="n"/>
      <c r="CA523" s="1718" t="n"/>
      <c r="CB523" s="1718" t="n"/>
      <c r="CC523" s="1634" t="n"/>
    </row>
    <row r="524" ht="15" customFormat="1" customHeight="1" s="1628">
      <c r="A524" s="1786" t="inlineStr">
        <is>
          <t>Cash Flow Statement</t>
        </is>
      </c>
      <c r="B524" s="1786" t="n"/>
      <c r="C524" s="1786" t="n"/>
      <c r="D524" s="1786" t="n"/>
      <c r="E524" s="1786" t="n"/>
      <c r="F524" s="1786" t="n"/>
      <c r="G524" s="1786" t="n"/>
      <c r="H524" s="1786" t="n"/>
      <c r="I524" s="1786" t="n"/>
      <c r="J524" s="1786" t="n"/>
      <c r="K524" s="1786" t="n"/>
      <c r="L524" s="1786" t="n"/>
      <c r="M524" s="1786" t="n"/>
      <c r="N524" s="1786" t="n"/>
      <c r="O524" s="1786" t="n"/>
      <c r="P524" s="1786" t="n"/>
      <c r="Q524" s="1786" t="n"/>
      <c r="R524" s="1786" t="n"/>
      <c r="S524" s="1786" t="n"/>
      <c r="T524" s="1786" t="n"/>
      <c r="U524" s="1786" t="n"/>
      <c r="V524" s="1786" t="n"/>
      <c r="W524" s="1786" t="n"/>
      <c r="X524" s="1786" t="n"/>
      <c r="Y524" s="1786" t="n"/>
      <c r="Z524" s="1786" t="n"/>
      <c r="AA524" s="1786" t="n"/>
      <c r="AB524" s="1786" t="n"/>
      <c r="AC524" s="1786" t="n"/>
      <c r="AD524" s="1786" t="n"/>
      <c r="AE524" s="1786" t="n"/>
      <c r="AF524" s="1786" t="n"/>
      <c r="AG524" s="1786" t="n"/>
      <c r="AH524" s="1786" t="n"/>
      <c r="AI524" s="1786" t="n"/>
      <c r="AJ524" s="1786" t="n"/>
      <c r="AK524" s="1786" t="n"/>
      <c r="AL524" s="1786" t="n"/>
      <c r="AM524" s="1786" t="n"/>
      <c r="AN524" s="1786" t="n"/>
      <c r="AO524" s="1786" t="n"/>
      <c r="AP524" s="1786" t="n"/>
      <c r="AQ524" s="1786" t="n"/>
      <c r="AR524" s="1786" t="n"/>
      <c r="AS524" s="1786" t="n"/>
      <c r="AT524" s="1786" t="n"/>
      <c r="AU524" s="1786" t="n"/>
      <c r="AV524" s="1786" t="n"/>
      <c r="AW524" s="1786" t="n"/>
      <c r="AX524" s="1786" t="n"/>
      <c r="AY524" s="1786" t="n"/>
      <c r="AZ524" s="1786" t="n"/>
      <c r="BA524" s="1786" t="n"/>
      <c r="BB524" s="1786" t="n"/>
      <c r="BC524" s="1786" t="n"/>
      <c r="BD524" s="1786" t="n"/>
      <c r="BE524" s="1786" t="n"/>
      <c r="BF524" s="1786" t="n"/>
      <c r="BG524" s="1786" t="n"/>
      <c r="BH524" s="1786" t="n"/>
      <c r="BI524" s="1786" t="n"/>
      <c r="BJ524" s="1786" t="n"/>
      <c r="BK524" s="1786" t="n"/>
      <c r="BL524" s="1786" t="n"/>
      <c r="BM524" s="1786" t="n"/>
      <c r="BN524" s="1786" t="n"/>
      <c r="BO524" s="1826" t="n"/>
      <c r="BP524" s="1786" t="n"/>
      <c r="BQ524" s="1786" t="n"/>
      <c r="BR524" s="1786" t="n"/>
      <c r="BS524" s="1786" t="n"/>
      <c r="BT524" s="1786" t="n"/>
      <c r="BU524" s="1786" t="n"/>
      <c r="BV524" s="1786" t="n"/>
      <c r="BW524" s="1786" t="n"/>
      <c r="BX524" s="1786" t="n"/>
      <c r="BY524" s="1786" t="n"/>
      <c r="BZ524" s="1786" t="n"/>
      <c r="CA524" s="1786" t="n"/>
      <c r="CB524" s="1786" t="n"/>
      <c r="CC524" s="1634" t="n"/>
    </row>
    <row r="525" ht="15" customFormat="1" customHeight="1" s="1628">
      <c r="A525" s="1681">
        <f>A469</f>
        <v/>
      </c>
      <c r="B525" s="1717" t="n"/>
      <c r="C525" s="1718" t="n"/>
      <c r="D525" s="1718" t="n"/>
      <c r="E525" s="1718" t="n"/>
      <c r="F525" s="1718" t="n"/>
      <c r="G525" s="1718" t="n"/>
      <c r="H525" s="1719" t="n"/>
      <c r="I525" s="1719" t="n"/>
      <c r="J525" s="1719" t="n"/>
      <c r="K525" s="1719" t="n"/>
      <c r="L525" s="1718" t="n"/>
      <c r="M525" s="1719" t="n"/>
      <c r="N525" s="1719" t="n"/>
      <c r="O525" s="1719" t="n"/>
      <c r="P525" s="1719" t="n"/>
      <c r="Q525" s="1718" t="n"/>
      <c r="R525" s="1719" t="n"/>
      <c r="S525" s="1719" t="n"/>
      <c r="T525" s="1719" t="n"/>
      <c r="U525" s="1719" t="n"/>
      <c r="V525" s="1718" t="n"/>
      <c r="W525" s="1719" t="n"/>
      <c r="X525" s="1719" t="n"/>
      <c r="Y525" s="1719" t="n"/>
      <c r="Z525" s="1719" t="n"/>
      <c r="AA525" s="1718" t="n"/>
      <c r="AB525" s="1719" t="n"/>
      <c r="AC525" s="1719" t="n"/>
      <c r="AD525" s="1719" t="n"/>
      <c r="AE525" s="1719" t="n"/>
      <c r="AF525" s="1718" t="n"/>
      <c r="AG525" s="1719" t="n"/>
      <c r="AH525" s="1719" t="n"/>
      <c r="AI525" s="1719" t="n"/>
      <c r="AJ525" s="1719" t="n"/>
      <c r="AK525" s="1718" t="n"/>
      <c r="AL525" s="1719" t="n"/>
      <c r="AM525" s="1719" t="n"/>
      <c r="AN525" s="1719" t="n"/>
      <c r="AO525" s="1719" t="n"/>
      <c r="AP525" s="1718" t="n"/>
      <c r="AQ525" s="1719" t="n"/>
      <c r="AR525" s="1719" t="n"/>
      <c r="AS525" s="1719" t="n"/>
      <c r="AT525" s="1719" t="n"/>
      <c r="AU525" s="1718" t="n"/>
      <c r="AV525" s="1719" t="n"/>
      <c r="AW525" s="1719" t="n"/>
      <c r="AX525" s="1719" t="n"/>
      <c r="AY525" s="1719" t="n"/>
      <c r="AZ525" s="1718" t="n"/>
      <c r="BA525" s="1719" t="n"/>
      <c r="BB525" s="1719" t="n"/>
      <c r="BC525" s="1719" t="n"/>
      <c r="BD525" s="1719" t="n"/>
      <c r="BE525" s="1718" t="n"/>
      <c r="BF525" s="1719" t="n"/>
      <c r="BG525" s="1719" t="n"/>
      <c r="BH525" s="1719" t="n"/>
      <c r="BI525" s="1719" t="n"/>
      <c r="BJ525" s="1718" t="n"/>
      <c r="BK525" s="1719" t="n"/>
      <c r="BL525" s="1719" t="n"/>
      <c r="BM525" s="1719" t="n"/>
      <c r="BN525" s="1719" t="n"/>
      <c r="BO525" s="1720" t="n"/>
      <c r="BP525" s="1719" t="n"/>
      <c r="BQ525" s="1719" t="n"/>
      <c r="BR525" s="1719" t="n"/>
      <c r="BS525" s="1719" t="n"/>
      <c r="BT525" s="1718" t="n"/>
      <c r="BU525" s="1719" t="n"/>
      <c r="BV525" s="1719" t="n"/>
      <c r="BW525" s="1719" t="n"/>
      <c r="BX525" s="1719" t="n"/>
      <c r="BY525" s="1718" t="n"/>
      <c r="BZ525" s="1718" t="n"/>
      <c r="CA525" s="1718" t="n"/>
      <c r="CB525" s="1718" t="n"/>
      <c r="CC525" s="1634" t="n"/>
    </row>
    <row r="526" ht="15" customFormat="1" customHeight="1" s="1628">
      <c r="A526" s="1622">
        <f>A470</f>
        <v/>
      </c>
      <c r="B526" s="1717" t="n"/>
      <c r="C526" s="1637">
        <f>C470</f>
        <v/>
      </c>
      <c r="D526" s="1637">
        <f>D470</f>
        <v/>
      </c>
      <c r="E526" s="1637">
        <f>E470</f>
        <v/>
      </c>
      <c r="F526" s="1637">
        <f>F470</f>
        <v/>
      </c>
      <c r="G526" s="1637">
        <f>G470</f>
        <v/>
      </c>
      <c r="H526" s="1562">
        <f>H470</f>
        <v/>
      </c>
      <c r="I526" s="1562">
        <f>I470-H470</f>
        <v/>
      </c>
      <c r="J526" s="1562">
        <f>J470-I470</f>
        <v/>
      </c>
      <c r="K526" s="1562">
        <f>K470-J470</f>
        <v/>
      </c>
      <c r="L526" s="1637">
        <f>L470</f>
        <v/>
      </c>
      <c r="M526" s="1562">
        <f>M470</f>
        <v/>
      </c>
      <c r="N526" s="1562">
        <f>N470-M470</f>
        <v/>
      </c>
      <c r="O526" s="1562">
        <f>O470-N470</f>
        <v/>
      </c>
      <c r="P526" s="1562">
        <f>P470-O470</f>
        <v/>
      </c>
      <c r="Q526" s="1637">
        <f>Q470</f>
        <v/>
      </c>
      <c r="R526" s="1562">
        <f>R470</f>
        <v/>
      </c>
      <c r="S526" s="1562">
        <f>S470-R470</f>
        <v/>
      </c>
      <c r="T526" s="1562">
        <f>T470-S470</f>
        <v/>
      </c>
      <c r="U526" s="1562">
        <f>U470-T470</f>
        <v/>
      </c>
      <c r="V526" s="1637">
        <f>V470</f>
        <v/>
      </c>
      <c r="W526" s="1562">
        <f>W470</f>
        <v/>
      </c>
      <c r="X526" s="1562">
        <f>X470-W470</f>
        <v/>
      </c>
      <c r="Y526" s="1562">
        <f>Y470-X470</f>
        <v/>
      </c>
      <c r="Z526" s="1562">
        <f>Z470-Y470</f>
        <v/>
      </c>
      <c r="AA526" s="1637">
        <f>AA470</f>
        <v/>
      </c>
      <c r="AB526" s="1562">
        <f>AB470</f>
        <v/>
      </c>
      <c r="AC526" s="1562">
        <f>AC470-AB470</f>
        <v/>
      </c>
      <c r="AD526" s="1562">
        <f>AD470-AC470</f>
        <v/>
      </c>
      <c r="AE526" s="1562">
        <f>AE470-AD470</f>
        <v/>
      </c>
      <c r="AF526" s="1637">
        <f>AF470</f>
        <v/>
      </c>
      <c r="AG526" s="1562">
        <f>AG470</f>
        <v/>
      </c>
      <c r="AH526" s="1562">
        <f>AH470-AG470</f>
        <v/>
      </c>
      <c r="AI526" s="1562">
        <f>AI470-AH470</f>
        <v/>
      </c>
      <c r="AJ526" s="1562">
        <f>AJ470-AI470</f>
        <v/>
      </c>
      <c r="AK526" s="1637">
        <f>AK470</f>
        <v/>
      </c>
      <c r="AL526" s="1562">
        <f>AL470</f>
        <v/>
      </c>
      <c r="AM526" s="1562">
        <f>AM470-AL470</f>
        <v/>
      </c>
      <c r="AN526" s="1562">
        <f>AN470-AM470</f>
        <v/>
      </c>
      <c r="AO526" s="1562">
        <f>AO470-AN470</f>
        <v/>
      </c>
      <c r="AP526" s="1637">
        <f>AP470</f>
        <v/>
      </c>
      <c r="AQ526" s="1562">
        <f>AQ470</f>
        <v/>
      </c>
      <c r="AR526" s="1562">
        <f>AR470-AQ470</f>
        <v/>
      </c>
      <c r="AS526" s="1562">
        <f>AS470-AR470</f>
        <v/>
      </c>
      <c r="AT526" s="1562">
        <f>AT470-AS470</f>
        <v/>
      </c>
      <c r="AU526" s="1637">
        <f>AU470</f>
        <v/>
      </c>
      <c r="AV526" s="1562">
        <f>AV470</f>
        <v/>
      </c>
      <c r="AW526" s="1562">
        <f>AW470-AV470</f>
        <v/>
      </c>
      <c r="AX526" s="1562">
        <f>AX470-AW470</f>
        <v/>
      </c>
      <c r="AY526" s="1562">
        <f>AY470-AX470</f>
        <v/>
      </c>
      <c r="AZ526" s="1637">
        <f>AZ470</f>
        <v/>
      </c>
      <c r="BA526" s="1562">
        <f>BA470</f>
        <v/>
      </c>
      <c r="BB526" s="1562">
        <f>BB470-BA470</f>
        <v/>
      </c>
      <c r="BC526" s="1562">
        <f>BC470-BB470</f>
        <v/>
      </c>
      <c r="BD526" s="1562">
        <f>BD470-BC470</f>
        <v/>
      </c>
      <c r="BE526" s="1637">
        <f>BE470</f>
        <v/>
      </c>
      <c r="BF526" s="1562">
        <f>BF470</f>
        <v/>
      </c>
      <c r="BG526" s="1562">
        <f>BG470-BF470</f>
        <v/>
      </c>
      <c r="BH526" s="1562">
        <f>BH470-BG470</f>
        <v/>
      </c>
      <c r="BI526" s="1562">
        <f>BI470-BH470</f>
        <v/>
      </c>
      <c r="BJ526" s="1637">
        <f>BJ470</f>
        <v/>
      </c>
      <c r="BK526" s="1562">
        <f>BK470</f>
        <v/>
      </c>
      <c r="BL526" s="1562">
        <f>BL470-BK470</f>
        <v/>
      </c>
      <c r="BM526" s="1562">
        <f>BM470-BL470</f>
        <v/>
      </c>
      <c r="BN526" s="1562">
        <f>BN470-BM470</f>
        <v/>
      </c>
      <c r="BO526" s="1638">
        <f>BO470</f>
        <v/>
      </c>
      <c r="BP526" s="1562">
        <f>BP356</f>
        <v/>
      </c>
      <c r="BQ526" s="1562">
        <f>BQ356</f>
        <v/>
      </c>
      <c r="BR526" s="1562">
        <f>BR356</f>
        <v/>
      </c>
      <c r="BS526" s="1562">
        <f>BS356</f>
        <v/>
      </c>
      <c r="BT526" s="1637">
        <f>SUM(BP526,BQ526,BR526,BS526)</f>
        <v/>
      </c>
      <c r="BU526" s="1562">
        <f>BU356</f>
        <v/>
      </c>
      <c r="BV526" s="1562">
        <f>BV356</f>
        <v/>
      </c>
      <c r="BW526" s="1562">
        <f>BW356</f>
        <v/>
      </c>
      <c r="BX526" s="1562">
        <f>BX356</f>
        <v/>
      </c>
      <c r="BY526" s="1637">
        <f>SUM(BU526,BV526,BW526,BX526)</f>
        <v/>
      </c>
      <c r="BZ526" s="1637">
        <f>BZ356</f>
        <v/>
      </c>
      <c r="CA526" s="1637">
        <f>CA356</f>
        <v/>
      </c>
      <c r="CB526" s="1637">
        <f>CB356</f>
        <v/>
      </c>
      <c r="CC526" s="1634" t="n"/>
    </row>
    <row r="527" ht="15" customFormat="1" customHeight="1" s="1628">
      <c r="A527" s="1622">
        <f>A471</f>
        <v/>
      </c>
      <c r="B527" s="1717" t="n"/>
      <c r="C527" s="1637">
        <f>C471</f>
        <v/>
      </c>
      <c r="D527" s="1637">
        <f>D471</f>
        <v/>
      </c>
      <c r="E527" s="1637">
        <f>E471</f>
        <v/>
      </c>
      <c r="F527" s="1637">
        <f>F471</f>
        <v/>
      </c>
      <c r="G527" s="1637">
        <f>G471</f>
        <v/>
      </c>
      <c r="H527" s="1562">
        <f>H471</f>
        <v/>
      </c>
      <c r="I527" s="1562">
        <f>I471-H471</f>
        <v/>
      </c>
      <c r="J527" s="1562">
        <f>J471-I471</f>
        <v/>
      </c>
      <c r="K527" s="1562">
        <f>K471-J471</f>
        <v/>
      </c>
      <c r="L527" s="1637">
        <f>L471</f>
        <v/>
      </c>
      <c r="M527" s="1562">
        <f>M471</f>
        <v/>
      </c>
      <c r="N527" s="1562">
        <f>N471-M471</f>
        <v/>
      </c>
      <c r="O527" s="1562">
        <f>O471-N471</f>
        <v/>
      </c>
      <c r="P527" s="1562">
        <f>P471-O471</f>
        <v/>
      </c>
      <c r="Q527" s="1637">
        <f>Q471</f>
        <v/>
      </c>
      <c r="R527" s="1562">
        <f>R471</f>
        <v/>
      </c>
      <c r="S527" s="1562">
        <f>S471-R471</f>
        <v/>
      </c>
      <c r="T527" s="1562">
        <f>T471-S471</f>
        <v/>
      </c>
      <c r="U527" s="1562">
        <f>U471-T471</f>
        <v/>
      </c>
      <c r="V527" s="1637">
        <f>V471</f>
        <v/>
      </c>
      <c r="W527" s="1562">
        <f>W471</f>
        <v/>
      </c>
      <c r="X527" s="1562">
        <f>X471-W471</f>
        <v/>
      </c>
      <c r="Y527" s="1562">
        <f>Y471-X471</f>
        <v/>
      </c>
      <c r="Z527" s="1562">
        <f>Z471-Y471</f>
        <v/>
      </c>
      <c r="AA527" s="1637">
        <f>AA471</f>
        <v/>
      </c>
      <c r="AB527" s="1562">
        <f>AB471</f>
        <v/>
      </c>
      <c r="AC527" s="1562">
        <f>AC471-AB471</f>
        <v/>
      </c>
      <c r="AD527" s="1562">
        <f>AD471-AC471</f>
        <v/>
      </c>
      <c r="AE527" s="1562">
        <f>AE471-AD471</f>
        <v/>
      </c>
      <c r="AF527" s="1637">
        <f>AF471</f>
        <v/>
      </c>
      <c r="AG527" s="1562">
        <f>AG471</f>
        <v/>
      </c>
      <c r="AH527" s="1562">
        <f>AH471-AG471</f>
        <v/>
      </c>
      <c r="AI527" s="1562">
        <f>AI471-AH471</f>
        <v/>
      </c>
      <c r="AJ527" s="1562">
        <f>AJ471-AI471</f>
        <v/>
      </c>
      <c r="AK527" s="1637">
        <f>AK471</f>
        <v/>
      </c>
      <c r="AL527" s="1562">
        <f>AL471</f>
        <v/>
      </c>
      <c r="AM527" s="1562">
        <f>AM471-AL471</f>
        <v/>
      </c>
      <c r="AN527" s="1562">
        <f>AN471-AM471</f>
        <v/>
      </c>
      <c r="AO527" s="1562">
        <f>AO471-AN471</f>
        <v/>
      </c>
      <c r="AP527" s="1637">
        <f>AP471</f>
        <v/>
      </c>
      <c r="AQ527" s="1562">
        <f>AQ471</f>
        <v/>
      </c>
      <c r="AR527" s="1562">
        <f>AR471-AQ471</f>
        <v/>
      </c>
      <c r="AS527" s="1562">
        <f>AS471-AR471</f>
        <v/>
      </c>
      <c r="AT527" s="1562">
        <f>AT471-AS471</f>
        <v/>
      </c>
      <c r="AU527" s="1637">
        <f>AU471</f>
        <v/>
      </c>
      <c r="AV527" s="1562">
        <f>AV471</f>
        <v/>
      </c>
      <c r="AW527" s="1562">
        <f>AW471-AV471</f>
        <v/>
      </c>
      <c r="AX527" s="1562">
        <f>AX471-AW471</f>
        <v/>
      </c>
      <c r="AY527" s="1562">
        <f>AY471-AX471</f>
        <v/>
      </c>
      <c r="AZ527" s="1637">
        <f>AZ471</f>
        <v/>
      </c>
      <c r="BA527" s="1562">
        <f>BA471</f>
        <v/>
      </c>
      <c r="BB527" s="1562">
        <f>BB471-BA471</f>
        <v/>
      </c>
      <c r="BC527" s="1562">
        <f>BC471-BB471</f>
        <v/>
      </c>
      <c r="BD527" s="1562">
        <f>BD471-BC471</f>
        <v/>
      </c>
      <c r="BE527" s="1637">
        <f>BE471</f>
        <v/>
      </c>
      <c r="BF527" s="1562">
        <f>BF471</f>
        <v/>
      </c>
      <c r="BG527" s="1562">
        <f>BG471-BF471</f>
        <v/>
      </c>
      <c r="BH527" s="1562">
        <f>BH471-BG471</f>
        <v/>
      </c>
      <c r="BI527" s="1562">
        <f>BI471-BH471</f>
        <v/>
      </c>
      <c r="BJ527" s="1637">
        <f>BJ471</f>
        <v/>
      </c>
      <c r="BK527" s="1562">
        <f>BK471</f>
        <v/>
      </c>
      <c r="BL527" s="1562">
        <f>BL471-BK471</f>
        <v/>
      </c>
      <c r="BM527" s="1562">
        <f>BM471-BL471</f>
        <v/>
      </c>
      <c r="BN527" s="1562">
        <f>BN471-BM471</f>
        <v/>
      </c>
      <c r="BO527" s="1638">
        <f>BO471</f>
        <v/>
      </c>
      <c r="BP527" s="1562">
        <f>BP342</f>
        <v/>
      </c>
      <c r="BQ527" s="1562">
        <f>BQ342</f>
        <v/>
      </c>
      <c r="BR527" s="1562">
        <f>BR342</f>
        <v/>
      </c>
      <c r="BS527" s="1562">
        <f>BS342</f>
        <v/>
      </c>
      <c r="BT527" s="1637">
        <f>SUM(BP527,BQ527,BR527,BS527)</f>
        <v/>
      </c>
      <c r="BU527" s="1562">
        <f>BU342</f>
        <v/>
      </c>
      <c r="BV527" s="1562">
        <f>BV342</f>
        <v/>
      </c>
      <c r="BW527" s="1562">
        <f>BW342</f>
        <v/>
      </c>
      <c r="BX527" s="1562">
        <f>BX342</f>
        <v/>
      </c>
      <c r="BY527" s="1637">
        <f>SUM(BU527,BV527,BW527,BX527)</f>
        <v/>
      </c>
      <c r="BZ527" s="1637">
        <f>BZ342</f>
        <v/>
      </c>
      <c r="CA527" s="1637">
        <f>CA342</f>
        <v/>
      </c>
      <c r="CB527" s="1637">
        <f>CB342</f>
        <v/>
      </c>
      <c r="CC527" s="1634" t="n"/>
    </row>
    <row r="528" ht="15" customFormat="1" customHeight="1" s="1628">
      <c r="A528" s="1622">
        <f>A472</f>
        <v/>
      </c>
      <c r="B528" s="1717" t="n"/>
      <c r="C528" s="1637">
        <f>C472</f>
        <v/>
      </c>
      <c r="D528" s="1637">
        <f>D472</f>
        <v/>
      </c>
      <c r="E528" s="1637">
        <f>E472</f>
        <v/>
      </c>
      <c r="F528" s="1637">
        <f>F472</f>
        <v/>
      </c>
      <c r="G528" s="1637">
        <f>G472</f>
        <v/>
      </c>
      <c r="H528" s="1562">
        <f>H472</f>
        <v/>
      </c>
      <c r="I528" s="1562">
        <f>I472-H472</f>
        <v/>
      </c>
      <c r="J528" s="1562">
        <f>J472-I472</f>
        <v/>
      </c>
      <c r="K528" s="1562">
        <f>K472-J472</f>
        <v/>
      </c>
      <c r="L528" s="1637">
        <f>L472</f>
        <v/>
      </c>
      <c r="M528" s="1562">
        <f>M472</f>
        <v/>
      </c>
      <c r="N528" s="1562">
        <f>N472-M472</f>
        <v/>
      </c>
      <c r="O528" s="1562">
        <f>O472-N472</f>
        <v/>
      </c>
      <c r="P528" s="1562">
        <f>P472-O472</f>
        <v/>
      </c>
      <c r="Q528" s="1637">
        <f>Q472</f>
        <v/>
      </c>
      <c r="R528" s="1562">
        <f>R472</f>
        <v/>
      </c>
      <c r="S528" s="1562">
        <f>S472-R472</f>
        <v/>
      </c>
      <c r="T528" s="1562">
        <f>T472-S472</f>
        <v/>
      </c>
      <c r="U528" s="1562">
        <f>U472-T472</f>
        <v/>
      </c>
      <c r="V528" s="1637">
        <f>V472</f>
        <v/>
      </c>
      <c r="W528" s="1562">
        <f>W472</f>
        <v/>
      </c>
      <c r="X528" s="1562">
        <f>X472-W472</f>
        <v/>
      </c>
      <c r="Y528" s="1562">
        <f>Y472-X472</f>
        <v/>
      </c>
      <c r="Z528" s="1562">
        <f>Z472-Y472</f>
        <v/>
      </c>
      <c r="AA528" s="1637">
        <f>AA472</f>
        <v/>
      </c>
      <c r="AB528" s="1562">
        <f>AB472</f>
        <v/>
      </c>
      <c r="AC528" s="1562">
        <f>AC472-AB472</f>
        <v/>
      </c>
      <c r="AD528" s="1562">
        <f>AD472-AC472</f>
        <v/>
      </c>
      <c r="AE528" s="1562">
        <f>AE472-AD472</f>
        <v/>
      </c>
      <c r="AF528" s="1637">
        <f>AF472</f>
        <v/>
      </c>
      <c r="AG528" s="1562">
        <f>AG472</f>
        <v/>
      </c>
      <c r="AH528" s="1562">
        <f>AH472-AG472</f>
        <v/>
      </c>
      <c r="AI528" s="1562">
        <f>AI472-AH472</f>
        <v/>
      </c>
      <c r="AJ528" s="1562">
        <f>AJ472-AI472</f>
        <v/>
      </c>
      <c r="AK528" s="1637">
        <f>AK472</f>
        <v/>
      </c>
      <c r="AL528" s="1562">
        <f>AL472</f>
        <v/>
      </c>
      <c r="AM528" s="1562">
        <f>AM472-AL472</f>
        <v/>
      </c>
      <c r="AN528" s="1562">
        <f>AN472-AM472</f>
        <v/>
      </c>
      <c r="AO528" s="1562">
        <f>AO472-AN472</f>
        <v/>
      </c>
      <c r="AP528" s="1637">
        <f>AP472</f>
        <v/>
      </c>
      <c r="AQ528" s="1562">
        <f>AQ472</f>
        <v/>
      </c>
      <c r="AR528" s="1562">
        <f>AR472-AQ472</f>
        <v/>
      </c>
      <c r="AS528" s="1562">
        <f>AS472-AR472</f>
        <v/>
      </c>
      <c r="AT528" s="1562">
        <f>AT472-AS472</f>
        <v/>
      </c>
      <c r="AU528" s="1637">
        <f>AU472</f>
        <v/>
      </c>
      <c r="AV528" s="1562">
        <f>AV472</f>
        <v/>
      </c>
      <c r="AW528" s="1562">
        <f>AW472-AV472</f>
        <v/>
      </c>
      <c r="AX528" s="1562">
        <f>AX472-AW472</f>
        <v/>
      </c>
      <c r="AY528" s="1562">
        <f>AY472-AX472</f>
        <v/>
      </c>
      <c r="AZ528" s="1637">
        <f>AZ472</f>
        <v/>
      </c>
      <c r="BA528" s="1562">
        <f>BA472</f>
        <v/>
      </c>
      <c r="BB528" s="1562">
        <f>BB472-BA472</f>
        <v/>
      </c>
      <c r="BC528" s="1562">
        <f>BC472-BB472</f>
        <v/>
      </c>
      <c r="BD528" s="1562">
        <f>BD472-BC472</f>
        <v/>
      </c>
      <c r="BE528" s="1637">
        <f>BE472</f>
        <v/>
      </c>
      <c r="BF528" s="1562">
        <f>BF472</f>
        <v/>
      </c>
      <c r="BG528" s="1562">
        <f>BG472-BF472</f>
        <v/>
      </c>
      <c r="BH528" s="1562">
        <f>BH472-BG472</f>
        <v/>
      </c>
      <c r="BI528" s="1562">
        <f>BI472-BH472</f>
        <v/>
      </c>
      <c r="BJ528" s="1637">
        <f>BJ472</f>
        <v/>
      </c>
      <c r="BK528" s="1562">
        <f>BK472</f>
        <v/>
      </c>
      <c r="BL528" s="1562">
        <f>BL472-BK472</f>
        <v/>
      </c>
      <c r="BM528" s="1562">
        <f>BM472-BL472</f>
        <v/>
      </c>
      <c r="BN528" s="1562">
        <f>BN472-BM472</f>
        <v/>
      </c>
      <c r="BO528" s="1638">
        <f>BO472</f>
        <v/>
      </c>
      <c r="BP528" s="1562" t="n"/>
      <c r="BQ528" s="1562" t="n"/>
      <c r="BR528" s="1562" t="n"/>
      <c r="BS528" s="1562" t="n"/>
      <c r="BT528" s="1637">
        <f>SUM(BP528,BQ528,BR528,BS528)</f>
        <v/>
      </c>
      <c r="BU528" s="1562" t="n"/>
      <c r="BV528" s="1562" t="n"/>
      <c r="BW528" s="1562" t="n"/>
      <c r="BX528" s="1562" t="n"/>
      <c r="BY528" s="1637">
        <f>SUM(BU528,BV528,BW528,BX528)</f>
        <v/>
      </c>
      <c r="BZ528" s="1637" t="n"/>
      <c r="CA528" s="1637" t="n"/>
      <c r="CB528" s="1637" t="n"/>
      <c r="CC528" s="1634" t="n"/>
    </row>
    <row r="529" ht="15" customFormat="1" customHeight="1" s="1561">
      <c r="A529" s="1622">
        <f>A473</f>
        <v/>
      </c>
      <c r="B529" s="1705" t="n"/>
      <c r="C529" s="1637">
        <f>C473</f>
        <v/>
      </c>
      <c r="D529" s="1637">
        <f>D473</f>
        <v/>
      </c>
      <c r="E529" s="1637">
        <f>E473</f>
        <v/>
      </c>
      <c r="F529" s="1637">
        <f>F473</f>
        <v/>
      </c>
      <c r="G529" s="1637">
        <f>G473</f>
        <v/>
      </c>
      <c r="H529" s="1562">
        <f>H473</f>
        <v/>
      </c>
      <c r="I529" s="1562">
        <f>I473-H473</f>
        <v/>
      </c>
      <c r="J529" s="1562">
        <f>J473-I473</f>
        <v/>
      </c>
      <c r="K529" s="1562">
        <f>K473-J473</f>
        <v/>
      </c>
      <c r="L529" s="1637">
        <f>L473</f>
        <v/>
      </c>
      <c r="M529" s="1562">
        <f>M473</f>
        <v/>
      </c>
      <c r="N529" s="1562">
        <f>N473-M473</f>
        <v/>
      </c>
      <c r="O529" s="1562">
        <f>O473-N473</f>
        <v/>
      </c>
      <c r="P529" s="1562">
        <f>P473-O473</f>
        <v/>
      </c>
      <c r="Q529" s="1637">
        <f>Q473</f>
        <v/>
      </c>
      <c r="R529" s="1562">
        <f>R473</f>
        <v/>
      </c>
      <c r="S529" s="1562">
        <f>S473-R473</f>
        <v/>
      </c>
      <c r="T529" s="1562">
        <f>T473-S473</f>
        <v/>
      </c>
      <c r="U529" s="1562">
        <f>U473-T473</f>
        <v/>
      </c>
      <c r="V529" s="1637">
        <f>V473</f>
        <v/>
      </c>
      <c r="W529" s="1562">
        <f>W473</f>
        <v/>
      </c>
      <c r="X529" s="1562">
        <f>X473-W473</f>
        <v/>
      </c>
      <c r="Y529" s="1562">
        <f>Y473-X473</f>
        <v/>
      </c>
      <c r="Z529" s="1562">
        <f>Z473-Y473</f>
        <v/>
      </c>
      <c r="AA529" s="1637">
        <f>AA473</f>
        <v/>
      </c>
      <c r="AB529" s="1562">
        <f>AB473</f>
        <v/>
      </c>
      <c r="AC529" s="1562">
        <f>AC473-AB473</f>
        <v/>
      </c>
      <c r="AD529" s="1562">
        <f>AD473-AC473</f>
        <v/>
      </c>
      <c r="AE529" s="1562">
        <f>AE473-AD473</f>
        <v/>
      </c>
      <c r="AF529" s="1637">
        <f>AF473</f>
        <v/>
      </c>
      <c r="AG529" s="1562">
        <f>AG473</f>
        <v/>
      </c>
      <c r="AH529" s="1562">
        <f>AH473-AG473</f>
        <v/>
      </c>
      <c r="AI529" s="1562">
        <f>AI473-AH473</f>
        <v/>
      </c>
      <c r="AJ529" s="1562">
        <f>AJ473-AI473</f>
        <v/>
      </c>
      <c r="AK529" s="1637">
        <f>AK473</f>
        <v/>
      </c>
      <c r="AL529" s="1562">
        <f>AL473</f>
        <v/>
      </c>
      <c r="AM529" s="1562">
        <f>AM473-AL473</f>
        <v/>
      </c>
      <c r="AN529" s="1562">
        <f>AN473-AM473</f>
        <v/>
      </c>
      <c r="AO529" s="1562">
        <f>AO473-AN473</f>
        <v/>
      </c>
      <c r="AP529" s="1637">
        <f>AP473</f>
        <v/>
      </c>
      <c r="AQ529" s="1562">
        <f>AQ473</f>
        <v/>
      </c>
      <c r="AR529" s="1562">
        <f>AR473-AQ473</f>
        <v/>
      </c>
      <c r="AS529" s="1562">
        <f>AS473-AR473</f>
        <v/>
      </c>
      <c r="AT529" s="1562">
        <f>AT473-AS473</f>
        <v/>
      </c>
      <c r="AU529" s="1637">
        <f>AU473</f>
        <v/>
      </c>
      <c r="AV529" s="1562">
        <f>AV473</f>
        <v/>
      </c>
      <c r="AW529" s="1562">
        <f>AW473-AV473</f>
        <v/>
      </c>
      <c r="AX529" s="1562">
        <f>AX473-AW473</f>
        <v/>
      </c>
      <c r="AY529" s="1562">
        <f>AY473-AX473</f>
        <v/>
      </c>
      <c r="AZ529" s="1637">
        <f>AZ473</f>
        <v/>
      </c>
      <c r="BA529" s="1562">
        <f>BA473</f>
        <v/>
      </c>
      <c r="BB529" s="1562">
        <f>BB473-BA473</f>
        <v/>
      </c>
      <c r="BC529" s="1562">
        <f>BC473-BB473</f>
        <v/>
      </c>
      <c r="BD529" s="1562">
        <f>BD473-BC473</f>
        <v/>
      </c>
      <c r="BE529" s="1637">
        <f>BE473</f>
        <v/>
      </c>
      <c r="BF529" s="1562">
        <f>BF473</f>
        <v/>
      </c>
      <c r="BG529" s="1562">
        <f>BG473-BF473</f>
        <v/>
      </c>
      <c r="BH529" s="1562">
        <f>BH473-BG473</f>
        <v/>
      </c>
      <c r="BI529" s="1562">
        <f>BI473-BH473</f>
        <v/>
      </c>
      <c r="BJ529" s="1637">
        <f>BJ473</f>
        <v/>
      </c>
      <c r="BK529" s="1562">
        <f>BK473</f>
        <v/>
      </c>
      <c r="BL529" s="1562">
        <f>BL473-BK473</f>
        <v/>
      </c>
      <c r="BM529" s="1562">
        <f>BM473-BL473</f>
        <v/>
      </c>
      <c r="BN529" s="1562">
        <f>BN473-BM473</f>
        <v/>
      </c>
      <c r="BO529" s="1638">
        <f>BO473</f>
        <v/>
      </c>
      <c r="BP529" s="1562" t="n"/>
      <c r="BQ529" s="1562" t="n"/>
      <c r="BR529" s="1562" t="n"/>
      <c r="BS529" s="1562" t="n"/>
      <c r="BT529" s="1637">
        <f>SUM(BP529,BQ529,BR529,BS529)</f>
        <v/>
      </c>
      <c r="BU529" s="1562" t="n"/>
      <c r="BV529" s="1562" t="n"/>
      <c r="BW529" s="1562" t="n"/>
      <c r="BX529" s="1562" t="n"/>
      <c r="BY529" s="1637">
        <f>SUM(BU529,BV529,BW529,BX529)</f>
        <v/>
      </c>
      <c r="BZ529" s="1637" t="n"/>
      <c r="CA529" s="1637" t="n"/>
      <c r="CB529" s="1637" t="n"/>
      <c r="CC529" s="1564" t="n"/>
    </row>
    <row r="530" ht="15" customFormat="1" customHeight="1" s="1561">
      <c r="A530" s="1622">
        <f>A474</f>
        <v/>
      </c>
      <c r="B530" s="1705" t="n"/>
      <c r="C530" s="1637">
        <f>C474</f>
        <v/>
      </c>
      <c r="D530" s="1637">
        <f>D474</f>
        <v/>
      </c>
      <c r="E530" s="1637">
        <f>E474</f>
        <v/>
      </c>
      <c r="F530" s="1637">
        <f>F474</f>
        <v/>
      </c>
      <c r="G530" s="1637">
        <f>G474</f>
        <v/>
      </c>
      <c r="H530" s="1562">
        <f>H474</f>
        <v/>
      </c>
      <c r="I530" s="1562">
        <f>I474-H474</f>
        <v/>
      </c>
      <c r="J530" s="1562">
        <f>J474-I474</f>
        <v/>
      </c>
      <c r="K530" s="1562">
        <f>K474-J474</f>
        <v/>
      </c>
      <c r="L530" s="1637">
        <f>L474</f>
        <v/>
      </c>
      <c r="M530" s="1562">
        <f>M474</f>
        <v/>
      </c>
      <c r="N530" s="1562">
        <f>N474-M474</f>
        <v/>
      </c>
      <c r="O530" s="1562">
        <f>O474-N474</f>
        <v/>
      </c>
      <c r="P530" s="1562">
        <f>P474-O474</f>
        <v/>
      </c>
      <c r="Q530" s="1637">
        <f>Q474</f>
        <v/>
      </c>
      <c r="R530" s="1562">
        <f>R474</f>
        <v/>
      </c>
      <c r="S530" s="1562">
        <f>S474-R474</f>
        <v/>
      </c>
      <c r="T530" s="1562">
        <f>T474-S474</f>
        <v/>
      </c>
      <c r="U530" s="1562">
        <f>U474-T474</f>
        <v/>
      </c>
      <c r="V530" s="1637">
        <f>V474</f>
        <v/>
      </c>
      <c r="W530" s="1562">
        <f>W474</f>
        <v/>
      </c>
      <c r="X530" s="1562">
        <f>X474-W474</f>
        <v/>
      </c>
      <c r="Y530" s="1562">
        <f>Y474-X474</f>
        <v/>
      </c>
      <c r="Z530" s="1562">
        <f>Z474-Y474</f>
        <v/>
      </c>
      <c r="AA530" s="1637">
        <f>AA474</f>
        <v/>
      </c>
      <c r="AB530" s="1562">
        <f>AB474</f>
        <v/>
      </c>
      <c r="AC530" s="1562">
        <f>AC474-AB474</f>
        <v/>
      </c>
      <c r="AD530" s="1562">
        <f>AD474-AC474</f>
        <v/>
      </c>
      <c r="AE530" s="1562">
        <f>AE474-AD474</f>
        <v/>
      </c>
      <c r="AF530" s="1637">
        <f>AF474</f>
        <v/>
      </c>
      <c r="AG530" s="1562">
        <f>AG474</f>
        <v/>
      </c>
      <c r="AH530" s="1562">
        <f>AH474-AG474</f>
        <v/>
      </c>
      <c r="AI530" s="1562">
        <f>AI474-AH474</f>
        <v/>
      </c>
      <c r="AJ530" s="1562">
        <f>AJ474-AI474</f>
        <v/>
      </c>
      <c r="AK530" s="1637">
        <f>AK474</f>
        <v/>
      </c>
      <c r="AL530" s="1562">
        <f>AL474</f>
        <v/>
      </c>
      <c r="AM530" s="1562">
        <f>AM474-AL474</f>
        <v/>
      </c>
      <c r="AN530" s="1562">
        <f>AN474-AM474</f>
        <v/>
      </c>
      <c r="AO530" s="1562">
        <f>AO474-AN474</f>
        <v/>
      </c>
      <c r="AP530" s="1637">
        <f>AP474</f>
        <v/>
      </c>
      <c r="AQ530" s="1562">
        <f>AQ474</f>
        <v/>
      </c>
      <c r="AR530" s="1562">
        <f>AR474-AQ474</f>
        <v/>
      </c>
      <c r="AS530" s="1562">
        <f>AS474-AR474</f>
        <v/>
      </c>
      <c r="AT530" s="1562">
        <f>AT474-AS474</f>
        <v/>
      </c>
      <c r="AU530" s="1637">
        <f>AU474</f>
        <v/>
      </c>
      <c r="AV530" s="1562">
        <f>AV474</f>
        <v/>
      </c>
      <c r="AW530" s="1562">
        <f>AW474-AV474</f>
        <v/>
      </c>
      <c r="AX530" s="1562">
        <f>AX474-AW474</f>
        <v/>
      </c>
      <c r="AY530" s="1562">
        <f>AY474-AX474</f>
        <v/>
      </c>
      <c r="AZ530" s="1637">
        <f>AZ474</f>
        <v/>
      </c>
      <c r="BA530" s="1562">
        <f>BA474</f>
        <v/>
      </c>
      <c r="BB530" s="1562">
        <f>BB474-BA474</f>
        <v/>
      </c>
      <c r="BC530" s="1562">
        <f>BC474-BB474</f>
        <v/>
      </c>
      <c r="BD530" s="1562">
        <f>BD474-BC474</f>
        <v/>
      </c>
      <c r="BE530" s="1637">
        <f>BE474</f>
        <v/>
      </c>
      <c r="BF530" s="1562">
        <f>BF474</f>
        <v/>
      </c>
      <c r="BG530" s="1562">
        <f>BG474-BF474</f>
        <v/>
      </c>
      <c r="BH530" s="1562">
        <f>BH474-BG474</f>
        <v/>
      </c>
      <c r="BI530" s="1562">
        <f>BI474-BH474</f>
        <v/>
      </c>
      <c r="BJ530" s="1637">
        <f>BJ474</f>
        <v/>
      </c>
      <c r="BK530" s="1562">
        <f>BK474</f>
        <v/>
      </c>
      <c r="BL530" s="1562">
        <f>BL474-BK474</f>
        <v/>
      </c>
      <c r="BM530" s="1562">
        <f>BM474-BL474</f>
        <v/>
      </c>
      <c r="BN530" s="1562">
        <f>BN474-BM474</f>
        <v/>
      </c>
      <c r="BO530" s="1638">
        <f>BO474</f>
        <v/>
      </c>
      <c r="BP530" s="1562">
        <f>BP343</f>
        <v/>
      </c>
      <c r="BQ530" s="1562">
        <f>BQ343</f>
        <v/>
      </c>
      <c r="BR530" s="1562">
        <f>BR343</f>
        <v/>
      </c>
      <c r="BS530" s="1562">
        <f>BS343</f>
        <v/>
      </c>
      <c r="BT530" s="1637">
        <f>SUM(BP530,BQ530,BR530,BS530)</f>
        <v/>
      </c>
      <c r="BU530" s="1562">
        <f>BU343</f>
        <v/>
      </c>
      <c r="BV530" s="1562">
        <f>BV343</f>
        <v/>
      </c>
      <c r="BW530" s="1562">
        <f>BW343</f>
        <v/>
      </c>
      <c r="BX530" s="1562">
        <f>BX343</f>
        <v/>
      </c>
      <c r="BY530" s="1637">
        <f>SUM(BU530,BV530,BW530,BX530)</f>
        <v/>
      </c>
      <c r="BZ530" s="1637">
        <f>BZ343</f>
        <v/>
      </c>
      <c r="CA530" s="1637">
        <f>CA343</f>
        <v/>
      </c>
      <c r="CB530" s="1637">
        <f>CB343</f>
        <v/>
      </c>
      <c r="CC530" s="1564" t="n"/>
    </row>
    <row r="531" ht="15" customFormat="1" customHeight="1" s="1561">
      <c r="A531" s="1622">
        <f>A475</f>
        <v/>
      </c>
      <c r="B531" s="1705" t="n"/>
      <c r="C531" s="1637">
        <f>C475</f>
        <v/>
      </c>
      <c r="D531" s="1637">
        <f>D475</f>
        <v/>
      </c>
      <c r="E531" s="1637">
        <f>E475</f>
        <v/>
      </c>
      <c r="F531" s="1637">
        <f>F475</f>
        <v/>
      </c>
      <c r="G531" s="1637">
        <f>G475</f>
        <v/>
      </c>
      <c r="H531" s="1562">
        <f>H475</f>
        <v/>
      </c>
      <c r="I531" s="1562">
        <f>I475-H475</f>
        <v/>
      </c>
      <c r="J531" s="1562">
        <f>J475-I475</f>
        <v/>
      </c>
      <c r="K531" s="1562">
        <f>K475-J475</f>
        <v/>
      </c>
      <c r="L531" s="1637">
        <f>L475</f>
        <v/>
      </c>
      <c r="M531" s="1562">
        <f>M475</f>
        <v/>
      </c>
      <c r="N531" s="1562">
        <f>N475-M475</f>
        <v/>
      </c>
      <c r="O531" s="1562">
        <f>O475-N475</f>
        <v/>
      </c>
      <c r="P531" s="1562">
        <f>P475-O475</f>
        <v/>
      </c>
      <c r="Q531" s="1637">
        <f>Q475</f>
        <v/>
      </c>
      <c r="R531" s="1562">
        <f>R475</f>
        <v/>
      </c>
      <c r="S531" s="1562">
        <f>S475-R475</f>
        <v/>
      </c>
      <c r="T531" s="1562">
        <f>T475-S475</f>
        <v/>
      </c>
      <c r="U531" s="1562">
        <f>U475-T475</f>
        <v/>
      </c>
      <c r="V531" s="1637">
        <f>V475</f>
        <v/>
      </c>
      <c r="W531" s="1562">
        <f>W475</f>
        <v/>
      </c>
      <c r="X531" s="1562">
        <f>X475-W475</f>
        <v/>
      </c>
      <c r="Y531" s="1562">
        <f>Y475-X475</f>
        <v/>
      </c>
      <c r="Z531" s="1562">
        <f>Z475-Y475</f>
        <v/>
      </c>
      <c r="AA531" s="1637">
        <f>AA475</f>
        <v/>
      </c>
      <c r="AB531" s="1562">
        <f>AB475</f>
        <v/>
      </c>
      <c r="AC531" s="1562">
        <f>AC475-AB475</f>
        <v/>
      </c>
      <c r="AD531" s="1562">
        <f>AD475-AC475</f>
        <v/>
      </c>
      <c r="AE531" s="1562">
        <f>AE475-AD475</f>
        <v/>
      </c>
      <c r="AF531" s="1637">
        <f>AF475</f>
        <v/>
      </c>
      <c r="AG531" s="1562">
        <f>AG475</f>
        <v/>
      </c>
      <c r="AH531" s="1562">
        <f>AH475-AG475</f>
        <v/>
      </c>
      <c r="AI531" s="1562">
        <f>AI475-AH475</f>
        <v/>
      </c>
      <c r="AJ531" s="1562">
        <f>AJ475-AI475</f>
        <v/>
      </c>
      <c r="AK531" s="1637">
        <f>AK475</f>
        <v/>
      </c>
      <c r="AL531" s="1562">
        <f>AL475</f>
        <v/>
      </c>
      <c r="AM531" s="1562">
        <f>AM475-AL475</f>
        <v/>
      </c>
      <c r="AN531" s="1562">
        <f>AN475-AM475</f>
        <v/>
      </c>
      <c r="AO531" s="1562">
        <f>AO475-AN475</f>
        <v/>
      </c>
      <c r="AP531" s="1637">
        <f>AP475</f>
        <v/>
      </c>
      <c r="AQ531" s="1562">
        <f>AQ475</f>
        <v/>
      </c>
      <c r="AR531" s="1562">
        <f>AR475-AQ475</f>
        <v/>
      </c>
      <c r="AS531" s="1562">
        <f>AS475-AR475</f>
        <v/>
      </c>
      <c r="AT531" s="1562">
        <f>AT475-AS475</f>
        <v/>
      </c>
      <c r="AU531" s="1637">
        <f>AU475</f>
        <v/>
      </c>
      <c r="AV531" s="1562">
        <f>AV475</f>
        <v/>
      </c>
      <c r="AW531" s="1562">
        <f>AW475-AV475</f>
        <v/>
      </c>
      <c r="AX531" s="1562">
        <f>AX475-AW475</f>
        <v/>
      </c>
      <c r="AY531" s="1562">
        <f>AY475-AX475</f>
        <v/>
      </c>
      <c r="AZ531" s="1637">
        <f>AZ475</f>
        <v/>
      </c>
      <c r="BA531" s="1562">
        <f>BA475</f>
        <v/>
      </c>
      <c r="BB531" s="1562">
        <f>BB475-BA475</f>
        <v/>
      </c>
      <c r="BC531" s="1562">
        <f>BC475-BB475</f>
        <v/>
      </c>
      <c r="BD531" s="1562">
        <f>BD475-BC475</f>
        <v/>
      </c>
      <c r="BE531" s="1637">
        <f>BE475</f>
        <v/>
      </c>
      <c r="BF531" s="1562">
        <f>BF475</f>
        <v/>
      </c>
      <c r="BG531" s="1562">
        <f>BG475-BF475</f>
        <v/>
      </c>
      <c r="BH531" s="1562">
        <f>BH475-BG475</f>
        <v/>
      </c>
      <c r="BI531" s="1562">
        <f>BI475-BH475</f>
        <v/>
      </c>
      <c r="BJ531" s="1637">
        <f>BJ475</f>
        <v/>
      </c>
      <c r="BK531" s="1562">
        <f>BK475</f>
        <v/>
      </c>
      <c r="BL531" s="1562">
        <f>BL475-BK475</f>
        <v/>
      </c>
      <c r="BM531" s="1562">
        <f>BM475-BL475</f>
        <v/>
      </c>
      <c r="BN531" s="1562">
        <f>BN475-BM475</f>
        <v/>
      </c>
      <c r="BO531" s="1638">
        <f>BO475</f>
        <v/>
      </c>
      <c r="BP531" s="1562" t="n"/>
      <c r="BQ531" s="1562" t="n"/>
      <c r="BR531" s="1562" t="n"/>
      <c r="BS531" s="1562" t="n"/>
      <c r="BT531" s="1637">
        <f>SUM(BP531,BQ531,BR531,BS531)</f>
        <v/>
      </c>
      <c r="BU531" s="1562" t="n"/>
      <c r="BV531" s="1562" t="n"/>
      <c r="BW531" s="1562" t="n"/>
      <c r="BX531" s="1562" t="n"/>
      <c r="BY531" s="1637">
        <f>SUM(BU531,BV531,BW531,BX531)</f>
        <v/>
      </c>
      <c r="BZ531" s="1637" t="n"/>
      <c r="CA531" s="1637" t="n"/>
      <c r="CB531" s="1637" t="n"/>
      <c r="CC531" s="1564" t="n"/>
    </row>
    <row r="532" ht="15" customFormat="1" customHeight="1" s="1561">
      <c r="A532" s="1622">
        <f>A476</f>
        <v/>
      </c>
      <c r="B532" s="1705" t="n"/>
      <c r="C532" s="1637">
        <f>C476</f>
        <v/>
      </c>
      <c r="D532" s="1637">
        <f>D476</f>
        <v/>
      </c>
      <c r="E532" s="1637">
        <f>E476</f>
        <v/>
      </c>
      <c r="F532" s="1637">
        <f>F476</f>
        <v/>
      </c>
      <c r="G532" s="1637">
        <f>G476</f>
        <v/>
      </c>
      <c r="H532" s="1562">
        <f>H476</f>
        <v/>
      </c>
      <c r="I532" s="1562">
        <f>I476-H476</f>
        <v/>
      </c>
      <c r="J532" s="1562">
        <f>J476-I476</f>
        <v/>
      </c>
      <c r="K532" s="1562">
        <f>K476-J476</f>
        <v/>
      </c>
      <c r="L532" s="1637">
        <f>L476</f>
        <v/>
      </c>
      <c r="M532" s="1562">
        <f>M476</f>
        <v/>
      </c>
      <c r="N532" s="1562">
        <f>N476-M476</f>
        <v/>
      </c>
      <c r="O532" s="1562">
        <f>O476-N476</f>
        <v/>
      </c>
      <c r="P532" s="1562">
        <f>P476-O476</f>
        <v/>
      </c>
      <c r="Q532" s="1637">
        <f>Q476</f>
        <v/>
      </c>
      <c r="R532" s="1562">
        <f>R476</f>
        <v/>
      </c>
      <c r="S532" s="1562">
        <f>S476-R476</f>
        <v/>
      </c>
      <c r="T532" s="1562">
        <f>T476-S476</f>
        <v/>
      </c>
      <c r="U532" s="1562">
        <f>U476-T476</f>
        <v/>
      </c>
      <c r="V532" s="1637">
        <f>V476</f>
        <v/>
      </c>
      <c r="W532" s="1562">
        <f>W476</f>
        <v/>
      </c>
      <c r="X532" s="1562">
        <f>X476-W476</f>
        <v/>
      </c>
      <c r="Y532" s="1562">
        <f>Y476-X476</f>
        <v/>
      </c>
      <c r="Z532" s="1562">
        <f>Z476-Y476</f>
        <v/>
      </c>
      <c r="AA532" s="1637">
        <f>AA476</f>
        <v/>
      </c>
      <c r="AB532" s="1562">
        <f>AB476</f>
        <v/>
      </c>
      <c r="AC532" s="1562">
        <f>AC476-AB476</f>
        <v/>
      </c>
      <c r="AD532" s="1562">
        <f>AD476-AC476</f>
        <v/>
      </c>
      <c r="AE532" s="1562">
        <f>AE476-AD476</f>
        <v/>
      </c>
      <c r="AF532" s="1637">
        <f>AF476</f>
        <v/>
      </c>
      <c r="AG532" s="1562">
        <f>AG476</f>
        <v/>
      </c>
      <c r="AH532" s="1562">
        <f>AH476-AG476</f>
        <v/>
      </c>
      <c r="AI532" s="1562">
        <f>AI476-AH476</f>
        <v/>
      </c>
      <c r="AJ532" s="1562">
        <f>AJ476-AI476</f>
        <v/>
      </c>
      <c r="AK532" s="1637">
        <f>AK476</f>
        <v/>
      </c>
      <c r="AL532" s="1562">
        <f>AL476</f>
        <v/>
      </c>
      <c r="AM532" s="1562">
        <f>AM476-AL476</f>
        <v/>
      </c>
      <c r="AN532" s="1562">
        <f>AN476-AM476</f>
        <v/>
      </c>
      <c r="AO532" s="1562">
        <f>AO476-AN476</f>
        <v/>
      </c>
      <c r="AP532" s="1637">
        <f>AP476</f>
        <v/>
      </c>
      <c r="AQ532" s="1562">
        <f>AQ476</f>
        <v/>
      </c>
      <c r="AR532" s="1562">
        <f>AR476-AQ476</f>
        <v/>
      </c>
      <c r="AS532" s="1562">
        <f>AS476-AR476</f>
        <v/>
      </c>
      <c r="AT532" s="1562">
        <f>AT476-AS476</f>
        <v/>
      </c>
      <c r="AU532" s="1637">
        <f>AU476</f>
        <v/>
      </c>
      <c r="AV532" s="1562">
        <f>AV476</f>
        <v/>
      </c>
      <c r="AW532" s="1562">
        <f>AW476-AV476</f>
        <v/>
      </c>
      <c r="AX532" s="1562">
        <f>AX476-AW476</f>
        <v/>
      </c>
      <c r="AY532" s="1562">
        <f>AY476-AX476</f>
        <v/>
      </c>
      <c r="AZ532" s="1637">
        <f>AZ476</f>
        <v/>
      </c>
      <c r="BA532" s="1562">
        <f>BA476</f>
        <v/>
      </c>
      <c r="BB532" s="1562">
        <f>BB476-BA476</f>
        <v/>
      </c>
      <c r="BC532" s="1562">
        <f>BC476-BB476</f>
        <v/>
      </c>
      <c r="BD532" s="1562">
        <f>BD476-BC476</f>
        <v/>
      </c>
      <c r="BE532" s="1637">
        <f>BE476</f>
        <v/>
      </c>
      <c r="BF532" s="1562">
        <f>BF476</f>
        <v/>
      </c>
      <c r="BG532" s="1562">
        <f>BG476-BF476</f>
        <v/>
      </c>
      <c r="BH532" s="1562">
        <f>BH476-BG476</f>
        <v/>
      </c>
      <c r="BI532" s="1562">
        <f>BI476-BH476</f>
        <v/>
      </c>
      <c r="BJ532" s="1637">
        <f>BJ476</f>
        <v/>
      </c>
      <c r="BK532" s="1562">
        <f>BK476</f>
        <v/>
      </c>
      <c r="BL532" s="1562">
        <f>BL476-BK476</f>
        <v/>
      </c>
      <c r="BM532" s="1562">
        <f>BM476-BL476</f>
        <v/>
      </c>
      <c r="BN532" s="1562">
        <f>BN476-BM476</f>
        <v/>
      </c>
      <c r="BO532" s="1638">
        <f>BO476</f>
        <v/>
      </c>
      <c r="BP532" s="1562" t="n"/>
      <c r="BQ532" s="1562" t="n"/>
      <c r="BR532" s="1562" t="n"/>
      <c r="BS532" s="1562" t="n"/>
      <c r="BT532" s="1637">
        <f>SUM(BP532,BQ532,BR532,BS532)</f>
        <v/>
      </c>
      <c r="BU532" s="1562" t="n"/>
      <c r="BV532" s="1562" t="n"/>
      <c r="BW532" s="1562" t="n"/>
      <c r="BX532" s="1562" t="n"/>
      <c r="BY532" s="1637">
        <f>SUM(BU532,BV532,BW532,BX532)</f>
        <v/>
      </c>
      <c r="BZ532" s="1637" t="n"/>
      <c r="CA532" s="1637" t="n"/>
      <c r="CB532" s="1637" t="n"/>
      <c r="CC532" s="1564" t="n"/>
    </row>
    <row r="533" ht="15" customFormat="1" customHeight="1" s="1561">
      <c r="A533" s="1622">
        <f>A477</f>
        <v/>
      </c>
      <c r="B533" s="1705" t="n"/>
      <c r="C533" s="1637">
        <f>C477</f>
        <v/>
      </c>
      <c r="D533" s="1637">
        <f>D477</f>
        <v/>
      </c>
      <c r="E533" s="1637">
        <f>E477</f>
        <v/>
      </c>
      <c r="F533" s="1637">
        <f>F477</f>
        <v/>
      </c>
      <c r="G533" s="1637">
        <f>G477</f>
        <v/>
      </c>
      <c r="H533" s="1562">
        <f>H477</f>
        <v/>
      </c>
      <c r="I533" s="1562">
        <f>I477-H477</f>
        <v/>
      </c>
      <c r="J533" s="1562">
        <f>J477-I477</f>
        <v/>
      </c>
      <c r="K533" s="1562">
        <f>K477-J477</f>
        <v/>
      </c>
      <c r="L533" s="1637">
        <f>L477</f>
        <v/>
      </c>
      <c r="M533" s="1562">
        <f>M477</f>
        <v/>
      </c>
      <c r="N533" s="1562">
        <f>N477-M477</f>
        <v/>
      </c>
      <c r="O533" s="1562">
        <f>O477-N477</f>
        <v/>
      </c>
      <c r="P533" s="1562">
        <f>P477-O477</f>
        <v/>
      </c>
      <c r="Q533" s="1637">
        <f>Q477</f>
        <v/>
      </c>
      <c r="R533" s="1562">
        <f>R477</f>
        <v/>
      </c>
      <c r="S533" s="1562">
        <f>S477-R477</f>
        <v/>
      </c>
      <c r="T533" s="1562">
        <f>T477-S477</f>
        <v/>
      </c>
      <c r="U533" s="1562">
        <f>U477-T477</f>
        <v/>
      </c>
      <c r="V533" s="1637">
        <f>V477</f>
        <v/>
      </c>
      <c r="W533" s="1562">
        <f>W477</f>
        <v/>
      </c>
      <c r="X533" s="1562">
        <f>X477-W477</f>
        <v/>
      </c>
      <c r="Y533" s="1562">
        <f>Y477-X477</f>
        <v/>
      </c>
      <c r="Z533" s="1562">
        <f>Z477-Y477</f>
        <v/>
      </c>
      <c r="AA533" s="1637">
        <f>AA477</f>
        <v/>
      </c>
      <c r="AB533" s="1562">
        <f>AB477</f>
        <v/>
      </c>
      <c r="AC533" s="1562">
        <f>AC477-AB477</f>
        <v/>
      </c>
      <c r="AD533" s="1562">
        <f>AD477-AC477</f>
        <v/>
      </c>
      <c r="AE533" s="1562">
        <f>AE477-AD477</f>
        <v/>
      </c>
      <c r="AF533" s="1637">
        <f>AF477</f>
        <v/>
      </c>
      <c r="AG533" s="1562">
        <f>AG477</f>
        <v/>
      </c>
      <c r="AH533" s="1562">
        <f>AH477-AG477</f>
        <v/>
      </c>
      <c r="AI533" s="1562">
        <f>AI477-AH477</f>
        <v/>
      </c>
      <c r="AJ533" s="1562">
        <f>AJ477-AI477</f>
        <v/>
      </c>
      <c r="AK533" s="1637">
        <f>AK477</f>
        <v/>
      </c>
      <c r="AL533" s="1562">
        <f>AL477</f>
        <v/>
      </c>
      <c r="AM533" s="1562">
        <f>AM477-AL477</f>
        <v/>
      </c>
      <c r="AN533" s="1562">
        <f>AN477-AM477</f>
        <v/>
      </c>
      <c r="AO533" s="1562">
        <f>AO477-AN477</f>
        <v/>
      </c>
      <c r="AP533" s="1637">
        <f>AP477</f>
        <v/>
      </c>
      <c r="AQ533" s="1562">
        <f>AQ477</f>
        <v/>
      </c>
      <c r="AR533" s="1562">
        <f>AR477-AQ477</f>
        <v/>
      </c>
      <c r="AS533" s="1562">
        <f>AS477-AR477</f>
        <v/>
      </c>
      <c r="AT533" s="1562">
        <f>AT477-AS477</f>
        <v/>
      </c>
      <c r="AU533" s="1637">
        <f>AU477</f>
        <v/>
      </c>
      <c r="AV533" s="1562">
        <f>AV477</f>
        <v/>
      </c>
      <c r="AW533" s="1562">
        <f>AW477-AV477</f>
        <v/>
      </c>
      <c r="AX533" s="1562">
        <f>AX477-AW477</f>
        <v/>
      </c>
      <c r="AY533" s="1562">
        <f>AY477-AX477</f>
        <v/>
      </c>
      <c r="AZ533" s="1637">
        <f>AZ477</f>
        <v/>
      </c>
      <c r="BA533" s="1562">
        <f>BA477</f>
        <v/>
      </c>
      <c r="BB533" s="1562">
        <f>BB477-BA477</f>
        <v/>
      </c>
      <c r="BC533" s="1562">
        <f>BC477-BB477</f>
        <v/>
      </c>
      <c r="BD533" s="1562">
        <f>BD477-BC477</f>
        <v/>
      </c>
      <c r="BE533" s="1637">
        <f>BE477</f>
        <v/>
      </c>
      <c r="BF533" s="1562">
        <f>BF477</f>
        <v/>
      </c>
      <c r="BG533" s="1562">
        <f>BG477-BF477</f>
        <v/>
      </c>
      <c r="BH533" s="1562">
        <f>BH477-BG477</f>
        <v/>
      </c>
      <c r="BI533" s="1562">
        <f>BI477-BH477</f>
        <v/>
      </c>
      <c r="BJ533" s="1637">
        <f>BJ477</f>
        <v/>
      </c>
      <c r="BK533" s="1562">
        <f>BK477</f>
        <v/>
      </c>
      <c r="BL533" s="1562">
        <f>BL477-BK477</f>
        <v/>
      </c>
      <c r="BM533" s="1562">
        <f>BM477-BL477</f>
        <v/>
      </c>
      <c r="BN533" s="1562">
        <f>BN477-BM477</f>
        <v/>
      </c>
      <c r="BO533" s="1638">
        <f>BO477</f>
        <v/>
      </c>
      <c r="BP533" s="1562" t="n"/>
      <c r="BQ533" s="1562" t="n"/>
      <c r="BR533" s="1562" t="n"/>
      <c r="BS533" s="1562" t="n"/>
      <c r="BT533" s="1637">
        <f>SUM(BP533,BQ533,BR533,BS533)</f>
        <v/>
      </c>
      <c r="BU533" s="1562" t="n"/>
      <c r="BV533" s="1562" t="n"/>
      <c r="BW533" s="1562" t="n"/>
      <c r="BX533" s="1562" t="n"/>
      <c r="BY533" s="1637">
        <f>SUM(BU533,BV533,BW533,BX533)</f>
        <v/>
      </c>
      <c r="BZ533" s="1637" t="n"/>
      <c r="CA533" s="1637" t="n"/>
      <c r="CB533" s="1637" t="n"/>
      <c r="CC533" s="1564" t="n"/>
    </row>
    <row r="534" ht="15" customFormat="1" customHeight="1" s="1561">
      <c r="A534" s="1622">
        <f>A478</f>
        <v/>
      </c>
      <c r="B534" s="1705" t="n"/>
      <c r="C534" s="1637">
        <f>C478</f>
        <v/>
      </c>
      <c r="D534" s="1637">
        <f>D478</f>
        <v/>
      </c>
      <c r="E534" s="1637">
        <f>E478</f>
        <v/>
      </c>
      <c r="F534" s="1637">
        <f>F478</f>
        <v/>
      </c>
      <c r="G534" s="1637">
        <f>G478</f>
        <v/>
      </c>
      <c r="H534" s="1562">
        <f>H478</f>
        <v/>
      </c>
      <c r="I534" s="1562">
        <f>I478-H478</f>
        <v/>
      </c>
      <c r="J534" s="1562">
        <f>J478-I478</f>
        <v/>
      </c>
      <c r="K534" s="1562">
        <f>K478-J478</f>
        <v/>
      </c>
      <c r="L534" s="1637">
        <f>L478</f>
        <v/>
      </c>
      <c r="M534" s="1562">
        <f>M478</f>
        <v/>
      </c>
      <c r="N534" s="1562">
        <f>N478-M478</f>
        <v/>
      </c>
      <c r="O534" s="1562">
        <f>O478-N478</f>
        <v/>
      </c>
      <c r="P534" s="1562">
        <f>P478-O478</f>
        <v/>
      </c>
      <c r="Q534" s="1637">
        <f>Q478</f>
        <v/>
      </c>
      <c r="R534" s="1562">
        <f>R478</f>
        <v/>
      </c>
      <c r="S534" s="1562">
        <f>S478-R478</f>
        <v/>
      </c>
      <c r="T534" s="1562">
        <f>T478-S478</f>
        <v/>
      </c>
      <c r="U534" s="1562">
        <f>U478-T478</f>
        <v/>
      </c>
      <c r="V534" s="1637">
        <f>V478</f>
        <v/>
      </c>
      <c r="W534" s="1562">
        <f>W478</f>
        <v/>
      </c>
      <c r="X534" s="1562">
        <f>X478-W478</f>
        <v/>
      </c>
      <c r="Y534" s="1562">
        <f>Y478-X478</f>
        <v/>
      </c>
      <c r="Z534" s="1562">
        <f>Z478-Y478</f>
        <v/>
      </c>
      <c r="AA534" s="1637">
        <f>AA478</f>
        <v/>
      </c>
      <c r="AB534" s="1562">
        <f>AB478</f>
        <v/>
      </c>
      <c r="AC534" s="1562">
        <f>AC478-AB478</f>
        <v/>
      </c>
      <c r="AD534" s="1562">
        <f>AD478-AC478</f>
        <v/>
      </c>
      <c r="AE534" s="1562">
        <f>AE478-AD478</f>
        <v/>
      </c>
      <c r="AF534" s="1637">
        <f>AF478</f>
        <v/>
      </c>
      <c r="AG534" s="1562">
        <f>AG478</f>
        <v/>
      </c>
      <c r="AH534" s="1562">
        <f>AH478-AG478</f>
        <v/>
      </c>
      <c r="AI534" s="1562">
        <f>AI478-AH478</f>
        <v/>
      </c>
      <c r="AJ534" s="1562">
        <f>AJ478-AI478</f>
        <v/>
      </c>
      <c r="AK534" s="1637">
        <f>AK478</f>
        <v/>
      </c>
      <c r="AL534" s="1562">
        <f>AL478</f>
        <v/>
      </c>
      <c r="AM534" s="1562">
        <f>AM478-AL478</f>
        <v/>
      </c>
      <c r="AN534" s="1562">
        <f>AN478-AM478</f>
        <v/>
      </c>
      <c r="AO534" s="1562">
        <f>AO478-AN478</f>
        <v/>
      </c>
      <c r="AP534" s="1637">
        <f>AP478</f>
        <v/>
      </c>
      <c r="AQ534" s="1562">
        <f>AQ478</f>
        <v/>
      </c>
      <c r="AR534" s="1562">
        <f>AR478-AQ478</f>
        <v/>
      </c>
      <c r="AS534" s="1562">
        <f>AS478-AR478</f>
        <v/>
      </c>
      <c r="AT534" s="1562">
        <f>AT478-AS478</f>
        <v/>
      </c>
      <c r="AU534" s="1637">
        <f>AU478</f>
        <v/>
      </c>
      <c r="AV534" s="1562">
        <f>AV478</f>
        <v/>
      </c>
      <c r="AW534" s="1562">
        <f>AW478-AV478</f>
        <v/>
      </c>
      <c r="AX534" s="1562">
        <f>AX478-AW478</f>
        <v/>
      </c>
      <c r="AY534" s="1562">
        <f>AY478-AX478</f>
        <v/>
      </c>
      <c r="AZ534" s="1637">
        <f>AZ478</f>
        <v/>
      </c>
      <c r="BA534" s="1562">
        <f>BA478</f>
        <v/>
      </c>
      <c r="BB534" s="1562">
        <f>BB478-BA478</f>
        <v/>
      </c>
      <c r="BC534" s="1562">
        <f>BC478-BB478</f>
        <v/>
      </c>
      <c r="BD534" s="1562">
        <f>BD478-BC478</f>
        <v/>
      </c>
      <c r="BE534" s="1637">
        <f>BE478</f>
        <v/>
      </c>
      <c r="BF534" s="1562">
        <f>BF478</f>
        <v/>
      </c>
      <c r="BG534" s="1562">
        <f>BG478-BF478</f>
        <v/>
      </c>
      <c r="BH534" s="1562">
        <f>BH478-BG478</f>
        <v/>
      </c>
      <c r="BI534" s="1562">
        <f>BI478-BH478</f>
        <v/>
      </c>
      <c r="BJ534" s="1637">
        <f>BJ478</f>
        <v/>
      </c>
      <c r="BK534" s="1562">
        <f>BK478</f>
        <v/>
      </c>
      <c r="BL534" s="1562">
        <f>BL478-BK478</f>
        <v/>
      </c>
      <c r="BM534" s="1562">
        <f>BM478-BL478</f>
        <v/>
      </c>
      <c r="BN534" s="1562">
        <f>BN478-BM478</f>
        <v/>
      </c>
      <c r="BO534" s="1638">
        <f>BO478</f>
        <v/>
      </c>
      <c r="BP534" s="1562">
        <f>BP355</f>
        <v/>
      </c>
      <c r="BQ534" s="1562">
        <f>BQ355</f>
        <v/>
      </c>
      <c r="BR534" s="1562">
        <f>BR355</f>
        <v/>
      </c>
      <c r="BS534" s="1562">
        <f>BS355</f>
        <v/>
      </c>
      <c r="BT534" s="1637">
        <f>SUM(BP534,BQ534,BR534,BS534)</f>
        <v/>
      </c>
      <c r="BU534" s="1562">
        <f>BU355</f>
        <v/>
      </c>
      <c r="BV534" s="1562">
        <f>BV355</f>
        <v/>
      </c>
      <c r="BW534" s="1562">
        <f>BW355</f>
        <v/>
      </c>
      <c r="BX534" s="1562">
        <f>BX355</f>
        <v/>
      </c>
      <c r="BY534" s="1637">
        <f>SUM(BU534,BV534,BW534,BX534)</f>
        <v/>
      </c>
      <c r="BZ534" s="1637">
        <f>BZ355</f>
        <v/>
      </c>
      <c r="CA534" s="1637">
        <f>CA355</f>
        <v/>
      </c>
      <c r="CB534" s="1637">
        <f>CB355</f>
        <v/>
      </c>
      <c r="CC534" s="1564" t="n"/>
    </row>
    <row r="535" ht="15" customFormat="1" customHeight="1" s="1561">
      <c r="A535" s="1702">
        <f>A479</f>
        <v/>
      </c>
      <c r="B535" s="1708" t="n"/>
      <c r="C535" s="1712">
        <f>C479</f>
        <v/>
      </c>
      <c r="D535" s="1712">
        <f>D479</f>
        <v/>
      </c>
      <c r="E535" s="1712">
        <f>E479</f>
        <v/>
      </c>
      <c r="F535" s="1712">
        <f>F479</f>
        <v/>
      </c>
      <c r="G535" s="1712">
        <f>G479</f>
        <v/>
      </c>
      <c r="H535" s="1710">
        <f>H479</f>
        <v/>
      </c>
      <c r="I535" s="1710">
        <f>I479-H479</f>
        <v/>
      </c>
      <c r="J535" s="1710">
        <f>J479-I479</f>
        <v/>
      </c>
      <c r="K535" s="1710">
        <f>K479-J479</f>
        <v/>
      </c>
      <c r="L535" s="1712">
        <f>L479</f>
        <v/>
      </c>
      <c r="M535" s="1710">
        <f>M479</f>
        <v/>
      </c>
      <c r="N535" s="1710">
        <f>N479-M479</f>
        <v/>
      </c>
      <c r="O535" s="1710">
        <f>O479-N479</f>
        <v/>
      </c>
      <c r="P535" s="1710">
        <f>P479-O479</f>
        <v/>
      </c>
      <c r="Q535" s="1712">
        <f>Q479</f>
        <v/>
      </c>
      <c r="R535" s="1710">
        <f>R479</f>
        <v/>
      </c>
      <c r="S535" s="1710">
        <f>S479-R479</f>
        <v/>
      </c>
      <c r="T535" s="1710">
        <f>T479-S479</f>
        <v/>
      </c>
      <c r="U535" s="1710">
        <f>U479-T479</f>
        <v/>
      </c>
      <c r="V535" s="1712">
        <f>V479</f>
        <v/>
      </c>
      <c r="W535" s="1710">
        <f>W479</f>
        <v/>
      </c>
      <c r="X535" s="1710">
        <f>X479-W479</f>
        <v/>
      </c>
      <c r="Y535" s="1710">
        <f>Y479-X479</f>
        <v/>
      </c>
      <c r="Z535" s="1710">
        <f>Z479-Y479</f>
        <v/>
      </c>
      <c r="AA535" s="1712">
        <f>AA479</f>
        <v/>
      </c>
      <c r="AB535" s="1710">
        <f>AB479</f>
        <v/>
      </c>
      <c r="AC535" s="1710">
        <f>AC479-AB479</f>
        <v/>
      </c>
      <c r="AD535" s="1710">
        <f>AD479-AC479</f>
        <v/>
      </c>
      <c r="AE535" s="1710">
        <f>AE479-AD479</f>
        <v/>
      </c>
      <c r="AF535" s="1712">
        <f>AF479</f>
        <v/>
      </c>
      <c r="AG535" s="1710">
        <f>AG479</f>
        <v/>
      </c>
      <c r="AH535" s="1710">
        <f>AH479-AG479</f>
        <v/>
      </c>
      <c r="AI535" s="1710">
        <f>AI479-AH479</f>
        <v/>
      </c>
      <c r="AJ535" s="1710">
        <f>AJ479-AI479</f>
        <v/>
      </c>
      <c r="AK535" s="1712">
        <f>AK479</f>
        <v/>
      </c>
      <c r="AL535" s="1710">
        <f>AL479</f>
        <v/>
      </c>
      <c r="AM535" s="1710">
        <f>AM479-AL479</f>
        <v/>
      </c>
      <c r="AN535" s="1710">
        <f>AN479-AM479</f>
        <v/>
      </c>
      <c r="AO535" s="1710">
        <f>AO479-AN479</f>
        <v/>
      </c>
      <c r="AP535" s="1712">
        <f>AP479</f>
        <v/>
      </c>
      <c r="AQ535" s="1710">
        <f>AQ479</f>
        <v/>
      </c>
      <c r="AR535" s="1710">
        <f>AR479-AQ479</f>
        <v/>
      </c>
      <c r="AS535" s="1710">
        <f>AS479-AR479</f>
        <v/>
      </c>
      <c r="AT535" s="1710">
        <f>AT479-AS479</f>
        <v/>
      </c>
      <c r="AU535" s="1712">
        <f>AU479</f>
        <v/>
      </c>
      <c r="AV535" s="1710">
        <f>AV479</f>
        <v/>
      </c>
      <c r="AW535" s="1710">
        <f>AW479-AV479</f>
        <v/>
      </c>
      <c r="AX535" s="1710">
        <f>AX479-AW479</f>
        <v/>
      </c>
      <c r="AY535" s="1710">
        <f>AY479-AX479</f>
        <v/>
      </c>
      <c r="AZ535" s="1712">
        <f>AZ479</f>
        <v/>
      </c>
      <c r="BA535" s="1710">
        <f>BA479</f>
        <v/>
      </c>
      <c r="BB535" s="1710">
        <f>BB479-BA479</f>
        <v/>
      </c>
      <c r="BC535" s="1710">
        <f>BC479-BB479</f>
        <v/>
      </c>
      <c r="BD535" s="1710">
        <f>BD479-BC479</f>
        <v/>
      </c>
      <c r="BE535" s="1712">
        <f>BE479</f>
        <v/>
      </c>
      <c r="BF535" s="1710">
        <f>BF479</f>
        <v/>
      </c>
      <c r="BG535" s="1710">
        <f>BG479-BF479</f>
        <v/>
      </c>
      <c r="BH535" s="1710">
        <f>BH479-BG479</f>
        <v/>
      </c>
      <c r="BI535" s="1710">
        <f>BI479-BH479</f>
        <v/>
      </c>
      <c r="BJ535" s="1712">
        <f>BJ479</f>
        <v/>
      </c>
      <c r="BK535" s="1710">
        <f>BK479</f>
        <v/>
      </c>
      <c r="BL535" s="1710">
        <f>BL479-BK479</f>
        <v/>
      </c>
      <c r="BM535" s="1710">
        <f>BM479-BL479</f>
        <v/>
      </c>
      <c r="BN535" s="1710">
        <f>BN479-BM479</f>
        <v/>
      </c>
      <c r="BO535" s="1711">
        <f>BO479</f>
        <v/>
      </c>
      <c r="BP535" s="1710" t="n"/>
      <c r="BQ535" s="1710" t="n"/>
      <c r="BR535" s="1710" t="n"/>
      <c r="BS535" s="1710" t="n"/>
      <c r="BT535" s="1712">
        <f>SUM(BP535,BQ535,BR535,BS535)</f>
        <v/>
      </c>
      <c r="BU535" s="1710" t="n"/>
      <c r="BV535" s="1710" t="n"/>
      <c r="BW535" s="1710" t="n"/>
      <c r="BX535" s="1710" t="n"/>
      <c r="BY535" s="1712">
        <f>SUM(BU535,BV535,BW535,BX535)</f>
        <v/>
      </c>
      <c r="BZ535" s="1712" t="n"/>
      <c r="CA535" s="1712" t="n"/>
      <c r="CB535" s="1712" t="n"/>
      <c r="CC535" s="1564" t="n"/>
    </row>
    <row r="536" ht="15" customFormat="1" customHeight="1" s="1628">
      <c r="A536" s="1629">
        <f>A480</f>
        <v/>
      </c>
      <c r="B536" s="1793" t="n"/>
      <c r="C536" s="1641">
        <f>SUM(C526:C535)</f>
        <v/>
      </c>
      <c r="D536" s="1641">
        <f>SUM(D526:D535)</f>
        <v/>
      </c>
      <c r="E536" s="1641">
        <f>SUM(E526:E535)</f>
        <v/>
      </c>
      <c r="F536" s="1641">
        <f>SUM(F526:F535)</f>
        <v/>
      </c>
      <c r="G536" s="1641">
        <f>SUM(G526:G535)</f>
        <v/>
      </c>
      <c r="H536" s="1642">
        <f>SUM(H526:H535)</f>
        <v/>
      </c>
      <c r="I536" s="1642">
        <f>SUM(I526:I535)</f>
        <v/>
      </c>
      <c r="J536" s="1642">
        <f>SUM(J526:J535)</f>
        <v/>
      </c>
      <c r="K536" s="1642">
        <f>SUM(K526:K535)</f>
        <v/>
      </c>
      <c r="L536" s="1641">
        <f>SUM(L526:L535)</f>
        <v/>
      </c>
      <c r="M536" s="1642">
        <f>SUM(M526:M535)</f>
        <v/>
      </c>
      <c r="N536" s="1642">
        <f>SUM(N526:N535)</f>
        <v/>
      </c>
      <c r="O536" s="1642">
        <f>SUM(O526:O535)</f>
        <v/>
      </c>
      <c r="P536" s="1642">
        <f>SUM(P526:P535)</f>
        <v/>
      </c>
      <c r="Q536" s="1641">
        <f>SUM(Q526:Q535)</f>
        <v/>
      </c>
      <c r="R536" s="1642">
        <f>SUM(R526:R535)</f>
        <v/>
      </c>
      <c r="S536" s="1642">
        <f>SUM(S526:S535)</f>
        <v/>
      </c>
      <c r="T536" s="1642">
        <f>SUM(T526:T535)</f>
        <v/>
      </c>
      <c r="U536" s="1642">
        <f>SUM(U526:U535)</f>
        <v/>
      </c>
      <c r="V536" s="1641">
        <f>SUM(V526:V535)</f>
        <v/>
      </c>
      <c r="W536" s="1642">
        <f>SUM(W526:W535)</f>
        <v/>
      </c>
      <c r="X536" s="1642">
        <f>SUM(X526:X535)</f>
        <v/>
      </c>
      <c r="Y536" s="1642">
        <f>SUM(Y526:Y535)</f>
        <v/>
      </c>
      <c r="Z536" s="1642">
        <f>SUM(Z526:Z535)</f>
        <v/>
      </c>
      <c r="AA536" s="1641">
        <f>SUM(AA526:AA535)</f>
        <v/>
      </c>
      <c r="AB536" s="1642">
        <f>SUM(AB526:AB535)</f>
        <v/>
      </c>
      <c r="AC536" s="1642">
        <f>SUM(AC526:AC535)</f>
        <v/>
      </c>
      <c r="AD536" s="1642">
        <f>SUM(AD526:AD535)</f>
        <v/>
      </c>
      <c r="AE536" s="1642">
        <f>SUM(AE526:AE535)</f>
        <v/>
      </c>
      <c r="AF536" s="1641">
        <f>SUM(AF526:AF535)</f>
        <v/>
      </c>
      <c r="AG536" s="1642">
        <f>SUM(AG526:AG535)</f>
        <v/>
      </c>
      <c r="AH536" s="1642">
        <f>SUM(AH526:AH535)</f>
        <v/>
      </c>
      <c r="AI536" s="1642">
        <f>SUM(AI526:AI535)</f>
        <v/>
      </c>
      <c r="AJ536" s="1642">
        <f>SUM(AJ526:AJ535)</f>
        <v/>
      </c>
      <c r="AK536" s="1641">
        <f>SUM(AK526:AK535)</f>
        <v/>
      </c>
      <c r="AL536" s="1642">
        <f>SUM(AL526:AL535)</f>
        <v/>
      </c>
      <c r="AM536" s="1642">
        <f>SUM(AM526:AM535)</f>
        <v/>
      </c>
      <c r="AN536" s="1642">
        <f>SUM(AN526:AN535)</f>
        <v/>
      </c>
      <c r="AO536" s="1642">
        <f>SUM(AO526:AO535)</f>
        <v/>
      </c>
      <c r="AP536" s="1641">
        <f>SUM(AP526:AP535)</f>
        <v/>
      </c>
      <c r="AQ536" s="1642">
        <f>SUM(AQ526:AQ535)</f>
        <v/>
      </c>
      <c r="AR536" s="1642">
        <f>SUM(AR526:AR535)</f>
        <v/>
      </c>
      <c r="AS536" s="1642">
        <f>SUM(AS526:AS535)</f>
        <v/>
      </c>
      <c r="AT536" s="1642">
        <f>SUM(AT526:AT535)</f>
        <v/>
      </c>
      <c r="AU536" s="1641">
        <f>SUM(AU526:AU535)</f>
        <v/>
      </c>
      <c r="AV536" s="1642">
        <f>SUM(AV526:AV535)</f>
        <v/>
      </c>
      <c r="AW536" s="1642">
        <f>SUM(AW526:AW535)</f>
        <v/>
      </c>
      <c r="AX536" s="1642">
        <f>SUM(AX526:AX535)</f>
        <v/>
      </c>
      <c r="AY536" s="1642">
        <f>SUM(AY526:AY535)</f>
        <v/>
      </c>
      <c r="AZ536" s="1641">
        <f>SUM(AZ526:AZ535)</f>
        <v/>
      </c>
      <c r="BA536" s="1642">
        <f>SUM(BA526:BA535)</f>
        <v/>
      </c>
      <c r="BB536" s="1642">
        <f>SUM(BB526:BB535)</f>
        <v/>
      </c>
      <c r="BC536" s="1642">
        <f>SUM(BC526:BC535)</f>
        <v/>
      </c>
      <c r="BD536" s="1642">
        <f>SUM(BD526:BD535)</f>
        <v/>
      </c>
      <c r="BE536" s="1641">
        <f>SUM(BE526:BE535)</f>
        <v/>
      </c>
      <c r="BF536" s="1642">
        <f>SUM(BF526:BF535)</f>
        <v/>
      </c>
      <c r="BG536" s="1642">
        <f>SUM(BG526:BG535)</f>
        <v/>
      </c>
      <c r="BH536" s="1642">
        <f>SUM(BH526:BH535)</f>
        <v/>
      </c>
      <c r="BI536" s="1642">
        <f>SUM(BI526:BI535)</f>
        <v/>
      </c>
      <c r="BJ536" s="1641">
        <f>SUM(BJ526:BJ535)</f>
        <v/>
      </c>
      <c r="BK536" s="1642">
        <f>SUM(BK526:BK535)</f>
        <v/>
      </c>
      <c r="BL536" s="1642">
        <f>SUM(BL526:BL535)</f>
        <v/>
      </c>
      <c r="BM536" s="1642">
        <f>SUM(BM526:BM535)</f>
        <v/>
      </c>
      <c r="BN536" s="1642">
        <f>SUM(BN526:BN535)</f>
        <v/>
      </c>
      <c r="BO536" s="1643">
        <f>SUM(BO526:BO535)</f>
        <v/>
      </c>
      <c r="BP536" s="1642">
        <f>SUM(BP526:BP535)</f>
        <v/>
      </c>
      <c r="BQ536" s="1642">
        <f>SUM(BQ526:BQ535)</f>
        <v/>
      </c>
      <c r="BR536" s="1642">
        <f>SUM(BR526:BR535)</f>
        <v/>
      </c>
      <c r="BS536" s="1642">
        <f>SUM(BS526:BS535)</f>
        <v/>
      </c>
      <c r="BT536" s="1641">
        <f>SUM(BT526:BT535)</f>
        <v/>
      </c>
      <c r="BU536" s="1642">
        <f>SUM(BU526:BU535)</f>
        <v/>
      </c>
      <c r="BV536" s="1642">
        <f>SUM(BV526:BV535)</f>
        <v/>
      </c>
      <c r="BW536" s="1642">
        <f>SUM(BW526:BW535)</f>
        <v/>
      </c>
      <c r="BX536" s="1642">
        <f>SUM(BX526:BX535)</f>
        <v/>
      </c>
      <c r="BY536" s="1641">
        <f>SUM(BY526:BY535)</f>
        <v/>
      </c>
      <c r="BZ536" s="1641">
        <f>SUM(BZ526:BZ535)</f>
        <v/>
      </c>
      <c r="CA536" s="1641">
        <f>SUM(CA526:CA535)</f>
        <v/>
      </c>
      <c r="CB536" s="1641">
        <f>SUM(CB526:CB535)</f>
        <v/>
      </c>
      <c r="CC536" s="1634" t="n"/>
    </row>
    <row r="537" ht="15" customFormat="1" customHeight="1" s="1561">
      <c r="A537" s="1704">
        <f>A481</f>
        <v/>
      </c>
      <c r="B537" s="1705" t="n"/>
      <c r="C537" s="1637">
        <f>C481</f>
        <v/>
      </c>
      <c r="D537" s="1637">
        <f>D481</f>
        <v/>
      </c>
      <c r="E537" s="1637">
        <f>E481</f>
        <v/>
      </c>
      <c r="F537" s="1637">
        <f>F481</f>
        <v/>
      </c>
      <c r="G537" s="1637">
        <f>G481</f>
        <v/>
      </c>
      <c r="H537" s="1562" t="n"/>
      <c r="I537" s="1562" t="n"/>
      <c r="J537" s="1562" t="n"/>
      <c r="K537" s="1562" t="n"/>
      <c r="L537" s="1637">
        <f>L481</f>
        <v/>
      </c>
      <c r="M537" s="1562" t="n"/>
      <c r="N537" s="1562" t="n"/>
      <c r="O537" s="1562" t="n"/>
      <c r="P537" s="1562" t="n"/>
      <c r="Q537" s="1637">
        <f>Q481</f>
        <v/>
      </c>
      <c r="R537" s="1562" t="n"/>
      <c r="S537" s="1562" t="n"/>
      <c r="T537" s="1562" t="n"/>
      <c r="U537" s="1562" t="n"/>
      <c r="V537" s="1637">
        <f>V481</f>
        <v/>
      </c>
      <c r="W537" s="1562" t="n"/>
      <c r="X537" s="1562" t="n"/>
      <c r="Y537" s="1562" t="n"/>
      <c r="Z537" s="1562" t="n"/>
      <c r="AA537" s="1637">
        <f>AA481</f>
        <v/>
      </c>
      <c r="AB537" s="1562" t="n"/>
      <c r="AC537" s="1562" t="n"/>
      <c r="AD537" s="1562" t="n"/>
      <c r="AE537" s="1562" t="n"/>
      <c r="AF537" s="1637">
        <f>AF481</f>
        <v/>
      </c>
      <c r="AG537" s="1562" t="n"/>
      <c r="AH537" s="1562" t="n"/>
      <c r="AI537" s="1562" t="n"/>
      <c r="AJ537" s="1562" t="n"/>
      <c r="AK537" s="1637">
        <f>AK481</f>
        <v/>
      </c>
      <c r="AL537" s="1562" t="n"/>
      <c r="AM537" s="1562" t="n"/>
      <c r="AN537" s="1562" t="n"/>
      <c r="AO537" s="1562" t="n"/>
      <c r="AP537" s="1637">
        <f>AP481</f>
        <v/>
      </c>
      <c r="AQ537" s="1562" t="n"/>
      <c r="AR537" s="1562" t="n"/>
      <c r="AS537" s="1562" t="n"/>
      <c r="AT537" s="1562" t="n"/>
      <c r="AU537" s="1637">
        <f>AU481</f>
        <v/>
      </c>
      <c r="AV537" s="1562" t="n"/>
      <c r="AW537" s="1562" t="n"/>
      <c r="AX537" s="1562" t="n"/>
      <c r="AY537" s="1562" t="n"/>
      <c r="AZ537" s="1637">
        <f>AZ481</f>
        <v/>
      </c>
      <c r="BA537" s="1562" t="n"/>
      <c r="BB537" s="1562" t="n"/>
      <c r="BC537" s="1562" t="n"/>
      <c r="BD537" s="1562" t="n"/>
      <c r="BE537" s="1637">
        <f>BE481</f>
        <v/>
      </c>
      <c r="BF537" s="1562" t="n"/>
      <c r="BG537" s="1562" t="n"/>
      <c r="BH537" s="1562" t="n"/>
      <c r="BI537" s="1562" t="n"/>
      <c r="BJ537" s="1713">
        <f>BJ481</f>
        <v/>
      </c>
      <c r="BK537" s="1562" t="n"/>
      <c r="BL537" s="1562" t="n"/>
      <c r="BM537" s="1562" t="n"/>
      <c r="BN537" s="1562" t="n"/>
      <c r="BO537" s="1715">
        <f>BJ627-BO627</f>
        <v/>
      </c>
      <c r="BP537" s="1562">
        <f>BO627-BP627</f>
        <v/>
      </c>
      <c r="BQ537" s="1562">
        <f>BP627-BQ627</f>
        <v/>
      </c>
      <c r="BR537" s="1562">
        <f>BQ627-BR627</f>
        <v/>
      </c>
      <c r="BS537" s="1562">
        <f>BR627-BS627</f>
        <v/>
      </c>
      <c r="BT537" s="1637">
        <f>IF(OR(ISBLANK(BP537),ISBLANK(BQ537),ISBLANK(BR537),ISBLANK(BS537)),"n/a",SUM(BP537,BQ537,BR537,BS537))</f>
        <v/>
      </c>
      <c r="BU537" s="1562">
        <f>BT627-BU627</f>
        <v/>
      </c>
      <c r="BV537" s="1562">
        <f>BU627-BV627</f>
        <v/>
      </c>
      <c r="BW537" s="1562">
        <f>BV627-BW627</f>
        <v/>
      </c>
      <c r="BX537" s="1562">
        <f>BW627-BX627</f>
        <v/>
      </c>
      <c r="BY537" s="1637">
        <f>IF(OR(ISBLANK(BU537),ISBLANK(BV537),ISBLANK(BW537),ISBLANK(BX537)),"n/a",SUM(BU537,BV537,BW537,BX537))</f>
        <v/>
      </c>
      <c r="BZ537" s="1637">
        <f>BY627-BZ627</f>
        <v/>
      </c>
      <c r="CA537" s="1637">
        <f>BZ627-CA627</f>
        <v/>
      </c>
      <c r="CB537" s="1637">
        <f>CA627-CB627</f>
        <v/>
      </c>
      <c r="CC537" s="1564" t="n"/>
    </row>
    <row r="538" ht="15" customFormat="1" customHeight="1" s="1561">
      <c r="A538" s="1704">
        <f>A482</f>
        <v/>
      </c>
      <c r="B538" s="1705" t="n"/>
      <c r="C538" s="1637">
        <f>C482</f>
        <v/>
      </c>
      <c r="D538" s="1637">
        <f>D482</f>
        <v/>
      </c>
      <c r="E538" s="1637">
        <f>E482</f>
        <v/>
      </c>
      <c r="F538" s="1637">
        <f>F482</f>
        <v/>
      </c>
      <c r="G538" s="1637">
        <f>G482</f>
        <v/>
      </c>
      <c r="H538" s="1562" t="n"/>
      <c r="I538" s="1562" t="n"/>
      <c r="J538" s="1562" t="n"/>
      <c r="K538" s="1562" t="n"/>
      <c r="L538" s="1637">
        <f>L482</f>
        <v/>
      </c>
      <c r="M538" s="1562" t="n"/>
      <c r="N538" s="1562" t="n"/>
      <c r="O538" s="1562" t="n"/>
      <c r="P538" s="1562" t="n"/>
      <c r="Q538" s="1637">
        <f>Q482</f>
        <v/>
      </c>
      <c r="R538" s="1562" t="n"/>
      <c r="S538" s="1562" t="n"/>
      <c r="T538" s="1562" t="n"/>
      <c r="U538" s="1562" t="n"/>
      <c r="V538" s="1637">
        <f>V482</f>
        <v/>
      </c>
      <c r="W538" s="1562" t="n"/>
      <c r="X538" s="1562" t="n"/>
      <c r="Y538" s="1562" t="n"/>
      <c r="Z538" s="1562" t="n"/>
      <c r="AA538" s="1637">
        <f>AA482</f>
        <v/>
      </c>
      <c r="AB538" s="1562" t="n"/>
      <c r="AC538" s="1562" t="n"/>
      <c r="AD538" s="1562" t="n"/>
      <c r="AE538" s="1562" t="n"/>
      <c r="AF538" s="1637">
        <f>AF482</f>
        <v/>
      </c>
      <c r="AG538" s="1562" t="n"/>
      <c r="AH538" s="1562" t="n"/>
      <c r="AI538" s="1562" t="n"/>
      <c r="AJ538" s="1562" t="n"/>
      <c r="AK538" s="1637">
        <f>AK482</f>
        <v/>
      </c>
      <c r="AL538" s="1562" t="n"/>
      <c r="AM538" s="1562" t="n"/>
      <c r="AN538" s="1562" t="n"/>
      <c r="AO538" s="1562" t="n"/>
      <c r="AP538" s="1637">
        <f>AP482</f>
        <v/>
      </c>
      <c r="AQ538" s="1562" t="n"/>
      <c r="AR538" s="1562" t="n"/>
      <c r="AS538" s="1562" t="n"/>
      <c r="AT538" s="1562" t="n"/>
      <c r="AU538" s="1637">
        <f>AU482</f>
        <v/>
      </c>
      <c r="AV538" s="1562" t="n"/>
      <c r="AW538" s="1562" t="n"/>
      <c r="AX538" s="1562" t="n"/>
      <c r="AY538" s="1562" t="n"/>
      <c r="AZ538" s="1637">
        <f>AZ482</f>
        <v/>
      </c>
      <c r="BA538" s="1562" t="n"/>
      <c r="BB538" s="1562" t="n"/>
      <c r="BC538" s="1562" t="n"/>
      <c r="BD538" s="1562" t="n"/>
      <c r="BE538" s="1637">
        <f>BE482</f>
        <v/>
      </c>
      <c r="BF538" s="1562" t="n"/>
      <c r="BG538" s="1562" t="n"/>
      <c r="BH538" s="1562" t="n"/>
      <c r="BI538" s="1562" t="n"/>
      <c r="BJ538" s="1713">
        <f>BJ482</f>
        <v/>
      </c>
      <c r="BK538" s="1562" t="n"/>
      <c r="BL538" s="1562" t="n"/>
      <c r="BM538" s="1562" t="n"/>
      <c r="BN538" s="1562" t="n"/>
      <c r="BO538" s="1715">
        <f>BJ628-BO628</f>
        <v/>
      </c>
      <c r="BP538" s="1562">
        <f>BO628-BP628</f>
        <v/>
      </c>
      <c r="BQ538" s="1562">
        <f>BP628-BQ628</f>
        <v/>
      </c>
      <c r="BR538" s="1562">
        <f>BQ628-BR628</f>
        <v/>
      </c>
      <c r="BS538" s="1562">
        <f>BR628-BS628</f>
        <v/>
      </c>
      <c r="BT538" s="1637">
        <f>IF(OR(ISBLANK(BP538),ISBLANK(BQ538),ISBLANK(BR538),ISBLANK(BS538)),"n/a",SUM(BP538,BQ538,BR538,BS538))</f>
        <v/>
      </c>
      <c r="BU538" s="1562">
        <f>BT628-BU628</f>
        <v/>
      </c>
      <c r="BV538" s="1562">
        <f>BU628-BV628</f>
        <v/>
      </c>
      <c r="BW538" s="1562">
        <f>BV628-BW628</f>
        <v/>
      </c>
      <c r="BX538" s="1562">
        <f>BW628-BX628</f>
        <v/>
      </c>
      <c r="BY538" s="1637">
        <f>IF(OR(ISBLANK(BU538),ISBLANK(BV538),ISBLANK(BW538),ISBLANK(BX538)),"n/a",SUM(BU538,BV538,BW538,BX538))</f>
        <v/>
      </c>
      <c r="BZ538" s="1637">
        <f>BY628-BZ628</f>
        <v/>
      </c>
      <c r="CA538" s="1637">
        <f>BZ628-CA628</f>
        <v/>
      </c>
      <c r="CB538" s="1637">
        <f>CA628-CB628</f>
        <v/>
      </c>
      <c r="CC538" s="1564" t="n"/>
    </row>
    <row r="539" ht="15" customFormat="1" customHeight="1" s="1561">
      <c r="A539" s="1704">
        <f>A483</f>
        <v/>
      </c>
      <c r="B539" s="1705" t="n"/>
      <c r="C539" s="1637">
        <f>C483</f>
        <v/>
      </c>
      <c r="D539" s="1637">
        <f>D483</f>
        <v/>
      </c>
      <c r="E539" s="1637">
        <f>E483</f>
        <v/>
      </c>
      <c r="F539" s="1637">
        <f>F483</f>
        <v/>
      </c>
      <c r="G539" s="1637">
        <f>G483</f>
        <v/>
      </c>
      <c r="H539" s="1562" t="n"/>
      <c r="I539" s="1562" t="n"/>
      <c r="J539" s="1562" t="n"/>
      <c r="K539" s="1562" t="n"/>
      <c r="L539" s="1637">
        <f>L483</f>
        <v/>
      </c>
      <c r="M539" s="1562" t="n"/>
      <c r="N539" s="1562" t="n"/>
      <c r="O539" s="1562" t="n"/>
      <c r="P539" s="1562" t="n"/>
      <c r="Q539" s="1637">
        <f>Q483</f>
        <v/>
      </c>
      <c r="R539" s="1562" t="n"/>
      <c r="S539" s="1562" t="n"/>
      <c r="T539" s="1562" t="n"/>
      <c r="U539" s="1562" t="n"/>
      <c r="V539" s="1637">
        <f>V483</f>
        <v/>
      </c>
      <c r="W539" s="1562" t="n"/>
      <c r="X539" s="1562" t="n"/>
      <c r="Y539" s="1562" t="n"/>
      <c r="Z539" s="1562" t="n"/>
      <c r="AA539" s="1637">
        <f>AA483</f>
        <v/>
      </c>
      <c r="AB539" s="1562" t="n"/>
      <c r="AC539" s="1562" t="n"/>
      <c r="AD539" s="1562" t="n"/>
      <c r="AE539" s="1562" t="n"/>
      <c r="AF539" s="1637">
        <f>AF483</f>
        <v/>
      </c>
      <c r="AG539" s="1562" t="n"/>
      <c r="AH539" s="1562" t="n"/>
      <c r="AI539" s="1562" t="n"/>
      <c r="AJ539" s="1562" t="n"/>
      <c r="AK539" s="1637">
        <f>AK483</f>
        <v/>
      </c>
      <c r="AL539" s="1562" t="n"/>
      <c r="AM539" s="1562" t="n"/>
      <c r="AN539" s="1562" t="n"/>
      <c r="AO539" s="1562" t="n"/>
      <c r="AP539" s="1637">
        <f>AP483</f>
        <v/>
      </c>
      <c r="AQ539" s="1562" t="n"/>
      <c r="AR539" s="1562" t="n"/>
      <c r="AS539" s="1562" t="n"/>
      <c r="AT539" s="1562" t="n"/>
      <c r="AU539" s="1637">
        <f>AU483</f>
        <v/>
      </c>
      <c r="AV539" s="1562" t="n"/>
      <c r="AW539" s="1562" t="n"/>
      <c r="AX539" s="1562" t="n"/>
      <c r="AY539" s="1562" t="n"/>
      <c r="AZ539" s="1637">
        <f>AZ483</f>
        <v/>
      </c>
      <c r="BA539" s="1562" t="n"/>
      <c r="BB539" s="1562" t="n"/>
      <c r="BC539" s="1562" t="n"/>
      <c r="BD539" s="1562" t="n"/>
      <c r="BE539" s="1637">
        <f>BE483</f>
        <v/>
      </c>
      <c r="BF539" s="1562" t="n"/>
      <c r="BG539" s="1562" t="n"/>
      <c r="BH539" s="1562" t="n"/>
      <c r="BI539" s="1562" t="n"/>
      <c r="BJ539" s="1713">
        <f>BJ483</f>
        <v/>
      </c>
      <c r="BK539" s="1562" t="n"/>
      <c r="BL539" s="1562" t="n"/>
      <c r="BM539" s="1562" t="n"/>
      <c r="BN539" s="1562" t="n"/>
      <c r="BO539" s="1715">
        <f>BJ631-BO631</f>
        <v/>
      </c>
      <c r="BP539" s="1562">
        <f>BO631-BP631</f>
        <v/>
      </c>
      <c r="BQ539" s="1562">
        <f>BP631-BQ631</f>
        <v/>
      </c>
      <c r="BR539" s="1562">
        <f>BQ631-BR631</f>
        <v/>
      </c>
      <c r="BS539" s="1562">
        <f>BR631-BS631</f>
        <v/>
      </c>
      <c r="BT539" s="1637">
        <f>IF(OR(ISBLANK(BP539),ISBLANK(BQ539),ISBLANK(BR539),ISBLANK(BS539)),"n/a",SUM(BP539,BQ539,BR539,BS539))</f>
        <v/>
      </c>
      <c r="BU539" s="1562">
        <f>BT631-BU631</f>
        <v/>
      </c>
      <c r="BV539" s="1562">
        <f>BU631-BV631</f>
        <v/>
      </c>
      <c r="BW539" s="1562">
        <f>BV631-BW631</f>
        <v/>
      </c>
      <c r="BX539" s="1562">
        <f>BW631-BX631</f>
        <v/>
      </c>
      <c r="BY539" s="1637">
        <f>IF(OR(ISBLANK(BU539),ISBLANK(BV539),ISBLANK(BW539),ISBLANK(BX539)),"n/a",SUM(BU539,BV539,BW539,BX539))</f>
        <v/>
      </c>
      <c r="BZ539" s="1637">
        <f>BY631-BZ631</f>
        <v/>
      </c>
      <c r="CA539" s="1637">
        <f>BZ631-CA631</f>
        <v/>
      </c>
      <c r="CB539" s="1637">
        <f>CA631-CB631</f>
        <v/>
      </c>
      <c r="CC539" s="1564" t="n"/>
    </row>
    <row r="540" ht="15" customFormat="1" customHeight="1" s="1561">
      <c r="A540" s="1704">
        <f>A484</f>
        <v/>
      </c>
      <c r="B540" s="1705" t="n"/>
      <c r="C540" s="1637">
        <f>C484</f>
        <v/>
      </c>
      <c r="D540" s="1637">
        <f>D484</f>
        <v/>
      </c>
      <c r="E540" s="1637">
        <f>E484</f>
        <v/>
      </c>
      <c r="F540" s="1637">
        <f>F484</f>
        <v/>
      </c>
      <c r="G540" s="1637">
        <f>G484</f>
        <v/>
      </c>
      <c r="H540" s="1562" t="n"/>
      <c r="I540" s="1562" t="n"/>
      <c r="J540" s="1562" t="n"/>
      <c r="K540" s="1562" t="n"/>
      <c r="L540" s="1637">
        <f>L484</f>
        <v/>
      </c>
      <c r="M540" s="1562" t="n"/>
      <c r="N540" s="1562" t="n"/>
      <c r="O540" s="1562" t="n"/>
      <c r="P540" s="1562" t="n"/>
      <c r="Q540" s="1637">
        <f>Q484</f>
        <v/>
      </c>
      <c r="R540" s="1562" t="n"/>
      <c r="S540" s="1562" t="n"/>
      <c r="T540" s="1562" t="n"/>
      <c r="U540" s="1562" t="n"/>
      <c r="V540" s="1637">
        <f>V484</f>
        <v/>
      </c>
      <c r="W540" s="1562" t="n"/>
      <c r="X540" s="1562" t="n"/>
      <c r="Y540" s="1562" t="n"/>
      <c r="Z540" s="1562" t="n"/>
      <c r="AA540" s="1637">
        <f>AA484</f>
        <v/>
      </c>
      <c r="AB540" s="1562" t="n"/>
      <c r="AC540" s="1562" t="n"/>
      <c r="AD540" s="1562" t="n"/>
      <c r="AE540" s="1562" t="n"/>
      <c r="AF540" s="1637">
        <f>AF484</f>
        <v/>
      </c>
      <c r="AG540" s="1562" t="n"/>
      <c r="AH540" s="1562" t="n"/>
      <c r="AI540" s="1562" t="n"/>
      <c r="AJ540" s="1562" t="n"/>
      <c r="AK540" s="1637">
        <f>AK484</f>
        <v/>
      </c>
      <c r="AL540" s="1562" t="n"/>
      <c r="AM540" s="1562" t="n"/>
      <c r="AN540" s="1562" t="n"/>
      <c r="AO540" s="1562" t="n"/>
      <c r="AP540" s="1637">
        <f>AP484</f>
        <v/>
      </c>
      <c r="AQ540" s="1562" t="n"/>
      <c r="AR540" s="1562" t="n"/>
      <c r="AS540" s="1562" t="n"/>
      <c r="AT540" s="1562" t="n"/>
      <c r="AU540" s="1637">
        <f>AU484</f>
        <v/>
      </c>
      <c r="AV540" s="1562" t="n"/>
      <c r="AW540" s="1562" t="n"/>
      <c r="AX540" s="1562" t="n"/>
      <c r="AY540" s="1562" t="n"/>
      <c r="AZ540" s="1637">
        <f>AZ484</f>
        <v/>
      </c>
      <c r="BA540" s="1562" t="n"/>
      <c r="BB540" s="1562" t="n"/>
      <c r="BC540" s="1562" t="n"/>
      <c r="BD540" s="1562" t="n"/>
      <c r="BE540" s="1637">
        <f>BE484</f>
        <v/>
      </c>
      <c r="BF540" s="1562" t="n"/>
      <c r="BG540" s="1562" t="n"/>
      <c r="BH540" s="1562" t="n"/>
      <c r="BI540" s="1562" t="n"/>
      <c r="BJ540" s="1713">
        <f>BJ484</f>
        <v/>
      </c>
      <c r="BK540" s="1562" t="n"/>
      <c r="BL540" s="1562" t="n"/>
      <c r="BM540" s="1562" t="n"/>
      <c r="BN540" s="1562" t="n"/>
      <c r="BO540" s="1715">
        <f>BJ634-BO634</f>
        <v/>
      </c>
      <c r="BP540" s="1562">
        <f>BO634-BP634</f>
        <v/>
      </c>
      <c r="BQ540" s="1562">
        <f>BP634-BQ634</f>
        <v/>
      </c>
      <c r="BR540" s="1562">
        <f>BQ634-BR634</f>
        <v/>
      </c>
      <c r="BS540" s="1562">
        <f>BR634-BS634</f>
        <v/>
      </c>
      <c r="BT540" s="1637">
        <f>IF(OR(ISBLANK(BP540),ISBLANK(BQ540),ISBLANK(BR540),ISBLANK(BS540)),"n/a",SUM(BP540,BQ540,BR540,BS540))</f>
        <v/>
      </c>
      <c r="BU540" s="1562">
        <f>BT634-BU634</f>
        <v/>
      </c>
      <c r="BV540" s="1562">
        <f>BU634-BV634</f>
        <v/>
      </c>
      <c r="BW540" s="1562">
        <f>BV634-BW634</f>
        <v/>
      </c>
      <c r="BX540" s="1562">
        <f>BW634-BX634</f>
        <v/>
      </c>
      <c r="BY540" s="1637">
        <f>IF(OR(ISBLANK(BU540),ISBLANK(BV540),ISBLANK(BW540),ISBLANK(BX540)),"n/a",SUM(BU540,BV540,BW540,BX540))</f>
        <v/>
      </c>
      <c r="BZ540" s="1637">
        <f>BY634-BZ634</f>
        <v/>
      </c>
      <c r="CA540" s="1637">
        <f>BZ634-CA634</f>
        <v/>
      </c>
      <c r="CB540" s="1637">
        <f>CA634-CB634</f>
        <v/>
      </c>
      <c r="CC540" s="1564" t="n"/>
    </row>
    <row r="541" ht="15" customFormat="1" customHeight="1" s="1561">
      <c r="A541" s="1704">
        <f>A485</f>
        <v/>
      </c>
      <c r="B541" s="1705" t="n"/>
      <c r="C541" s="1637">
        <f>C485</f>
        <v/>
      </c>
      <c r="D541" s="1637">
        <f>D485</f>
        <v/>
      </c>
      <c r="E541" s="1637">
        <f>E485</f>
        <v/>
      </c>
      <c r="F541" s="1637">
        <f>F485</f>
        <v/>
      </c>
      <c r="G541" s="1637">
        <f>G485</f>
        <v/>
      </c>
      <c r="H541" s="1562" t="n"/>
      <c r="I541" s="1562" t="n"/>
      <c r="J541" s="1562" t="n"/>
      <c r="K541" s="1562" t="n"/>
      <c r="L541" s="1637">
        <f>L485</f>
        <v/>
      </c>
      <c r="M541" s="1562" t="n"/>
      <c r="N541" s="1562" t="n"/>
      <c r="O541" s="1562" t="n"/>
      <c r="P541" s="1562" t="n"/>
      <c r="Q541" s="1637">
        <f>Q485</f>
        <v/>
      </c>
      <c r="R541" s="1562" t="n"/>
      <c r="S541" s="1562" t="n"/>
      <c r="T541" s="1562" t="n"/>
      <c r="U541" s="1562" t="n"/>
      <c r="V541" s="1637">
        <f>V485</f>
        <v/>
      </c>
      <c r="W541" s="1562" t="n"/>
      <c r="X541" s="1562" t="n"/>
      <c r="Y541" s="1562" t="n"/>
      <c r="Z541" s="1562" t="n"/>
      <c r="AA541" s="1637">
        <f>AA485</f>
        <v/>
      </c>
      <c r="AB541" s="1562" t="n"/>
      <c r="AC541" s="1562" t="n"/>
      <c r="AD541" s="1562" t="n"/>
      <c r="AE541" s="1562" t="n"/>
      <c r="AF541" s="1637">
        <f>AF485</f>
        <v/>
      </c>
      <c r="AG541" s="1562" t="n"/>
      <c r="AH541" s="1562" t="n"/>
      <c r="AI541" s="1562" t="n"/>
      <c r="AJ541" s="1562" t="n"/>
      <c r="AK541" s="1637">
        <f>AK485</f>
        <v/>
      </c>
      <c r="AL541" s="1562" t="n"/>
      <c r="AM541" s="1562" t="n"/>
      <c r="AN541" s="1562" t="n"/>
      <c r="AO541" s="1562" t="n"/>
      <c r="AP541" s="1637">
        <f>AP485</f>
        <v/>
      </c>
      <c r="AQ541" s="1562" t="n"/>
      <c r="AR541" s="1562" t="n"/>
      <c r="AS541" s="1562" t="n"/>
      <c r="AT541" s="1562" t="n"/>
      <c r="AU541" s="1637">
        <f>AU485</f>
        <v/>
      </c>
      <c r="AV541" s="1562" t="n"/>
      <c r="AW541" s="1562" t="n"/>
      <c r="AX541" s="1562" t="n"/>
      <c r="AY541" s="1562" t="n"/>
      <c r="AZ541" s="1637">
        <f>AZ485</f>
        <v/>
      </c>
      <c r="BA541" s="1562" t="n"/>
      <c r="BB541" s="1562" t="n"/>
      <c r="BC541" s="1562" t="n"/>
      <c r="BD541" s="1562" t="n"/>
      <c r="BE541" s="1637">
        <f>BE485</f>
        <v/>
      </c>
      <c r="BF541" s="1562" t="n"/>
      <c r="BG541" s="1562" t="n"/>
      <c r="BH541" s="1562" t="n"/>
      <c r="BI541" s="1562" t="n"/>
      <c r="BJ541" s="1713">
        <f>BJ485</f>
        <v/>
      </c>
      <c r="BK541" s="1562" t="n"/>
      <c r="BL541" s="1562" t="n"/>
      <c r="BM541" s="1562" t="n"/>
      <c r="BN541" s="1562" t="n"/>
      <c r="BO541" s="1715">
        <f>+BO657-BJ657</f>
        <v/>
      </c>
      <c r="BP541" s="1562">
        <f>+BP657-BO657</f>
        <v/>
      </c>
      <c r="BQ541" s="1562">
        <f>+BQ657-BP657</f>
        <v/>
      </c>
      <c r="BR541" s="1562">
        <f>+BR657-BQ657</f>
        <v/>
      </c>
      <c r="BS541" s="1562">
        <f>+BS657-BR657</f>
        <v/>
      </c>
      <c r="BT541" s="1637">
        <f>IF(OR(ISBLANK(BP541),ISBLANK(BQ541),ISBLANK(BR541),ISBLANK(BS541)),"n/a",SUM(BP541,BQ541,BR541,BS541))</f>
        <v/>
      </c>
      <c r="BU541" s="1562">
        <f>+BU657-BT657</f>
        <v/>
      </c>
      <c r="BV541" s="1562">
        <f>+BV657-BU657</f>
        <v/>
      </c>
      <c r="BW541" s="1562">
        <f>+BW657-BV657</f>
        <v/>
      </c>
      <c r="BX541" s="1562">
        <f>+BX657-BW657</f>
        <v/>
      </c>
      <c r="BY541" s="1637">
        <f>IF(OR(ISBLANK(BU541),ISBLANK(BV541),ISBLANK(BW541),ISBLANK(BX541)),"n/a",SUM(BU541,BV541,BW541,BX541))</f>
        <v/>
      </c>
      <c r="BZ541" s="1637">
        <f>+BZ657-BY657</f>
        <v/>
      </c>
      <c r="CA541" s="1637">
        <f>+CA657-BZ657</f>
        <v/>
      </c>
      <c r="CB541" s="1637">
        <f>+CB657-CA657</f>
        <v/>
      </c>
      <c r="CC541" s="1564" t="n"/>
    </row>
    <row r="542" ht="15" customFormat="1" customHeight="1" s="1561">
      <c r="A542" s="1704">
        <f>A486</f>
        <v/>
      </c>
      <c r="B542" s="1705" t="n"/>
      <c r="C542" s="1637">
        <f>C486</f>
        <v/>
      </c>
      <c r="D542" s="1637">
        <f>D486</f>
        <v/>
      </c>
      <c r="E542" s="1637">
        <f>E486</f>
        <v/>
      </c>
      <c r="F542" s="1637">
        <f>F486</f>
        <v/>
      </c>
      <c r="G542" s="1637">
        <f>G486</f>
        <v/>
      </c>
      <c r="H542" s="1562" t="n"/>
      <c r="I542" s="1562" t="n"/>
      <c r="J542" s="1562" t="n"/>
      <c r="K542" s="1562" t="n"/>
      <c r="L542" s="1637">
        <f>L486</f>
        <v/>
      </c>
      <c r="M542" s="1562" t="n"/>
      <c r="N542" s="1562" t="n"/>
      <c r="O542" s="1562" t="n"/>
      <c r="P542" s="1562" t="n"/>
      <c r="Q542" s="1637">
        <f>Q486</f>
        <v/>
      </c>
      <c r="R542" s="1562" t="n"/>
      <c r="S542" s="1562" t="n"/>
      <c r="T542" s="1562" t="n"/>
      <c r="U542" s="1562" t="n"/>
      <c r="V542" s="1637">
        <f>V486</f>
        <v/>
      </c>
      <c r="W542" s="1562" t="n"/>
      <c r="X542" s="1562" t="n"/>
      <c r="Y542" s="1562" t="n"/>
      <c r="Z542" s="1562" t="n"/>
      <c r="AA542" s="1637">
        <f>AA486</f>
        <v/>
      </c>
      <c r="AB542" s="1562" t="n"/>
      <c r="AC542" s="1562" t="n"/>
      <c r="AD542" s="1562" t="n"/>
      <c r="AE542" s="1562" t="n"/>
      <c r="AF542" s="1637">
        <f>AF486</f>
        <v/>
      </c>
      <c r="AG542" s="1562" t="n"/>
      <c r="AH542" s="1562" t="n"/>
      <c r="AI542" s="1562" t="n"/>
      <c r="AJ542" s="1562" t="n"/>
      <c r="AK542" s="1637">
        <f>AK486</f>
        <v/>
      </c>
      <c r="AL542" s="1562" t="n"/>
      <c r="AM542" s="1562" t="n"/>
      <c r="AN542" s="1562" t="n"/>
      <c r="AO542" s="1562" t="n"/>
      <c r="AP542" s="1637">
        <f>AP486</f>
        <v/>
      </c>
      <c r="AQ542" s="1562" t="n"/>
      <c r="AR542" s="1562" t="n"/>
      <c r="AS542" s="1562" t="n"/>
      <c r="AT542" s="1562" t="n"/>
      <c r="AU542" s="1637">
        <f>AU486</f>
        <v/>
      </c>
      <c r="AV542" s="1562" t="n"/>
      <c r="AW542" s="1562" t="n"/>
      <c r="AX542" s="1562" t="n"/>
      <c r="AY542" s="1562" t="n"/>
      <c r="AZ542" s="1637">
        <f>AZ486</f>
        <v/>
      </c>
      <c r="BA542" s="1562" t="n"/>
      <c r="BB542" s="1562" t="n"/>
      <c r="BC542" s="1562" t="n"/>
      <c r="BD542" s="1562" t="n"/>
      <c r="BE542" s="1637">
        <f>BE486</f>
        <v/>
      </c>
      <c r="BF542" s="1562" t="n"/>
      <c r="BG542" s="1562" t="n"/>
      <c r="BH542" s="1562" t="n"/>
      <c r="BI542" s="1562" t="n"/>
      <c r="BJ542" s="1713">
        <f>BJ486</f>
        <v/>
      </c>
      <c r="BK542" s="1562" t="n"/>
      <c r="BL542" s="1562" t="n"/>
      <c r="BM542" s="1562" t="n"/>
      <c r="BN542" s="1562" t="n"/>
      <c r="BO542" s="1715">
        <f>+BO656-BJ656</f>
        <v/>
      </c>
      <c r="BP542" s="1562">
        <f>+BP656-BO656</f>
        <v/>
      </c>
      <c r="BQ542" s="1562">
        <f>+BQ656-BP656</f>
        <v/>
      </c>
      <c r="BR542" s="1562">
        <f>+BR656-BQ656</f>
        <v/>
      </c>
      <c r="BS542" s="1562">
        <f>+BS656-BR656</f>
        <v/>
      </c>
      <c r="BT542" s="1637">
        <f>IF(OR(ISBLANK(BP542),ISBLANK(BQ542),ISBLANK(BR542),ISBLANK(BS542)),"n/a",SUM(BP542,BQ542,BR542,BS542))</f>
        <v/>
      </c>
      <c r="BU542" s="1562">
        <f>+BU656-BT656</f>
        <v/>
      </c>
      <c r="BV542" s="1562">
        <f>+BV656-BU656</f>
        <v/>
      </c>
      <c r="BW542" s="1562">
        <f>+BW656-BV656</f>
        <v/>
      </c>
      <c r="BX542" s="1562">
        <f>+BX656-BW656</f>
        <v/>
      </c>
      <c r="BY542" s="1637">
        <f>IF(OR(ISBLANK(BU542),ISBLANK(BV542),ISBLANK(BW542),ISBLANK(BX542)),"n/a",SUM(BU542,BV542,BW542,BX542))</f>
        <v/>
      </c>
      <c r="BZ542" s="1637">
        <f>+BZ656-BY656</f>
        <v/>
      </c>
      <c r="CA542" s="1637">
        <f>+CA656-BZ656</f>
        <v/>
      </c>
      <c r="CB542" s="1637">
        <f>+CB656-CA656</f>
        <v/>
      </c>
      <c r="CC542" s="1564" t="n"/>
    </row>
    <row r="543" ht="15" customFormat="1" customHeight="1" s="1561">
      <c r="A543" s="1704">
        <f>A487</f>
        <v/>
      </c>
      <c r="B543" s="1705" t="n"/>
      <c r="C543" s="1637">
        <f>C487</f>
        <v/>
      </c>
      <c r="D543" s="1637">
        <f>D487</f>
        <v/>
      </c>
      <c r="E543" s="1637">
        <f>E487</f>
        <v/>
      </c>
      <c r="F543" s="1637">
        <f>F487</f>
        <v/>
      </c>
      <c r="G543" s="1637">
        <f>G487</f>
        <v/>
      </c>
      <c r="H543" s="1562" t="n"/>
      <c r="I543" s="1562" t="n"/>
      <c r="J543" s="1562" t="n"/>
      <c r="K543" s="1562" t="n"/>
      <c r="L543" s="1637">
        <f>L487</f>
        <v/>
      </c>
      <c r="M543" s="1562" t="n"/>
      <c r="N543" s="1562" t="n"/>
      <c r="O543" s="1562" t="n"/>
      <c r="P543" s="1562" t="n"/>
      <c r="Q543" s="1637">
        <f>Q487</f>
        <v/>
      </c>
      <c r="R543" s="1562" t="n"/>
      <c r="S543" s="1562" t="n"/>
      <c r="T543" s="1562" t="n"/>
      <c r="U543" s="1562" t="n"/>
      <c r="V543" s="1637">
        <f>V487</f>
        <v/>
      </c>
      <c r="W543" s="1562" t="n"/>
      <c r="X543" s="1562" t="n"/>
      <c r="Y543" s="1562" t="n"/>
      <c r="Z543" s="1562" t="n"/>
      <c r="AA543" s="1637">
        <f>AA487</f>
        <v/>
      </c>
      <c r="AB543" s="1562" t="n"/>
      <c r="AC543" s="1562" t="n"/>
      <c r="AD543" s="1562" t="n"/>
      <c r="AE543" s="1562" t="n"/>
      <c r="AF543" s="1637">
        <f>AF487</f>
        <v/>
      </c>
      <c r="AG543" s="1562" t="n"/>
      <c r="AH543" s="1562" t="n"/>
      <c r="AI543" s="1562" t="n"/>
      <c r="AJ543" s="1562" t="n"/>
      <c r="AK543" s="1637">
        <f>AK487</f>
        <v/>
      </c>
      <c r="AL543" s="1562" t="n"/>
      <c r="AM543" s="1562" t="n"/>
      <c r="AN543" s="1562" t="n"/>
      <c r="AO543" s="1562" t="n"/>
      <c r="AP543" s="1637">
        <f>AP487</f>
        <v/>
      </c>
      <c r="AQ543" s="1562" t="n"/>
      <c r="AR543" s="1562" t="n"/>
      <c r="AS543" s="1562" t="n"/>
      <c r="AT543" s="1562" t="n"/>
      <c r="AU543" s="1637">
        <f>AU487</f>
        <v/>
      </c>
      <c r="AV543" s="1562" t="n"/>
      <c r="AW543" s="1562" t="n"/>
      <c r="AX543" s="1562" t="n"/>
      <c r="AY543" s="1562" t="n"/>
      <c r="AZ543" s="1637">
        <f>AZ487</f>
        <v/>
      </c>
      <c r="BA543" s="1562" t="n"/>
      <c r="BB543" s="1562" t="n"/>
      <c r="BC543" s="1562" t="n"/>
      <c r="BD543" s="1562" t="n"/>
      <c r="BE543" s="1637">
        <f>BE487</f>
        <v/>
      </c>
      <c r="BF543" s="1562" t="n"/>
      <c r="BG543" s="1562" t="n"/>
      <c r="BH543" s="1562" t="n"/>
      <c r="BI543" s="1562" t="n"/>
      <c r="BJ543" s="1713">
        <f>BJ487</f>
        <v/>
      </c>
      <c r="BK543" s="1562" t="n"/>
      <c r="BL543" s="1562" t="n"/>
      <c r="BM543" s="1562" t="n"/>
      <c r="BN543" s="1562" t="n"/>
      <c r="BO543" s="1715">
        <f>+BO660-BJ660</f>
        <v/>
      </c>
      <c r="BP543" s="1562">
        <f>+BP660-BO660</f>
        <v/>
      </c>
      <c r="BQ543" s="1562">
        <f>+BQ660-BP660</f>
        <v/>
      </c>
      <c r="BR543" s="1562">
        <f>+BR660-BQ660</f>
        <v/>
      </c>
      <c r="BS543" s="1562">
        <f>+BS660-BR660</f>
        <v/>
      </c>
      <c r="BT543" s="1637">
        <f>IF(OR(ISBLANK(BP543),ISBLANK(BQ543),ISBLANK(BR543),ISBLANK(BS543)),"n/a",SUM(BP543,BQ543,BR543,BS543))</f>
        <v/>
      </c>
      <c r="BU543" s="1562">
        <f>+BU660-BT660</f>
        <v/>
      </c>
      <c r="BV543" s="1562">
        <f>+BV660-BU660</f>
        <v/>
      </c>
      <c r="BW543" s="1562">
        <f>+BW660-BV660</f>
        <v/>
      </c>
      <c r="BX543" s="1562">
        <f>+BX660-BW660</f>
        <v/>
      </c>
      <c r="BY543" s="1637">
        <f>IF(OR(ISBLANK(BU543),ISBLANK(BV543),ISBLANK(BW543),ISBLANK(BX543)),"n/a",SUM(BU543,BV543,BW543,BX543))</f>
        <v/>
      </c>
      <c r="BZ543" s="1637">
        <f>+BZ660-BY660</f>
        <v/>
      </c>
      <c r="CA543" s="1637">
        <f>+CA660-BZ660</f>
        <v/>
      </c>
      <c r="CB543" s="1637">
        <f>+CB660-CA660</f>
        <v/>
      </c>
      <c r="CC543" s="1564" t="n"/>
    </row>
    <row r="544" ht="15" customFormat="1" customHeight="1" s="1561">
      <c r="A544" s="1707">
        <f>A488</f>
        <v/>
      </c>
      <c r="B544" s="1708" t="n"/>
      <c r="C544" s="1712">
        <f>C488</f>
        <v/>
      </c>
      <c r="D544" s="1712">
        <f>D488</f>
        <v/>
      </c>
      <c r="E544" s="1712">
        <f>E488</f>
        <v/>
      </c>
      <c r="F544" s="1712">
        <f>F488</f>
        <v/>
      </c>
      <c r="G544" s="1712">
        <f>G488</f>
        <v/>
      </c>
      <c r="H544" s="1710" t="n"/>
      <c r="I544" s="1710" t="n"/>
      <c r="J544" s="1710" t="n"/>
      <c r="K544" s="1710" t="n"/>
      <c r="L544" s="1712">
        <f>L488</f>
        <v/>
      </c>
      <c r="M544" s="1710" t="n"/>
      <c r="N544" s="1710" t="n"/>
      <c r="O544" s="1710" t="n"/>
      <c r="P544" s="1710" t="n"/>
      <c r="Q544" s="1712">
        <f>Q488</f>
        <v/>
      </c>
      <c r="R544" s="1710" t="n"/>
      <c r="S544" s="1710" t="n"/>
      <c r="T544" s="1710" t="n"/>
      <c r="U544" s="1710" t="n"/>
      <c r="V544" s="1712">
        <f>V488</f>
        <v/>
      </c>
      <c r="W544" s="1710" t="n"/>
      <c r="X544" s="1710" t="n"/>
      <c r="Y544" s="1710" t="n"/>
      <c r="Z544" s="1710" t="n"/>
      <c r="AA544" s="1712">
        <f>AA488</f>
        <v/>
      </c>
      <c r="AB544" s="1710" t="n"/>
      <c r="AC544" s="1710" t="n"/>
      <c r="AD544" s="1710" t="n"/>
      <c r="AE544" s="1710" t="n"/>
      <c r="AF544" s="1712">
        <f>AF488</f>
        <v/>
      </c>
      <c r="AG544" s="1710" t="n"/>
      <c r="AH544" s="1710" t="n"/>
      <c r="AI544" s="1710" t="n"/>
      <c r="AJ544" s="1710" t="n"/>
      <c r="AK544" s="1712">
        <f>AK488</f>
        <v/>
      </c>
      <c r="AL544" s="1710" t="n"/>
      <c r="AM544" s="1710" t="n"/>
      <c r="AN544" s="1710" t="n"/>
      <c r="AO544" s="1710" t="n"/>
      <c r="AP544" s="1712">
        <f>AP488</f>
        <v/>
      </c>
      <c r="AQ544" s="1710" t="n"/>
      <c r="AR544" s="1710" t="n"/>
      <c r="AS544" s="1710" t="n"/>
      <c r="AT544" s="1710" t="n"/>
      <c r="AU544" s="1712">
        <f>AU488</f>
        <v/>
      </c>
      <c r="AV544" s="1710" t="n"/>
      <c r="AW544" s="1710" t="n"/>
      <c r="AX544" s="1710" t="n"/>
      <c r="AY544" s="1710" t="n"/>
      <c r="AZ544" s="1712">
        <f>AZ488</f>
        <v/>
      </c>
      <c r="BA544" s="1710" t="n"/>
      <c r="BB544" s="1710" t="n"/>
      <c r="BC544" s="1710" t="n"/>
      <c r="BD544" s="1710" t="n"/>
      <c r="BE544" s="1712">
        <f>BE488</f>
        <v/>
      </c>
      <c r="BF544" s="1710" t="n"/>
      <c r="BG544" s="1710" t="n"/>
      <c r="BH544" s="1710" t="n"/>
      <c r="BI544" s="1710" t="n"/>
      <c r="BJ544" s="1808">
        <f>BJ488</f>
        <v/>
      </c>
      <c r="BK544" s="1710" t="n"/>
      <c r="BL544" s="1710" t="n"/>
      <c r="BM544" s="1710" t="n"/>
      <c r="BN544" s="1710" t="n"/>
      <c r="BO544" s="1809">
        <f>BO545-SUM(BO537:BO543)</f>
        <v/>
      </c>
      <c r="BP544" s="1562">
        <f>+BP658-BO658</f>
        <v/>
      </c>
      <c r="BQ544" s="1562">
        <f>+BQ658-BP658</f>
        <v/>
      </c>
      <c r="BR544" s="1562">
        <f>+BR658-BQ658</f>
        <v/>
      </c>
      <c r="BS544" s="1562">
        <f>+BS658-BR658</f>
        <v/>
      </c>
      <c r="BT544" s="1637">
        <f>IF(OR(ISBLANK(BP544),ISBLANK(BQ544),ISBLANK(BR544),ISBLANK(BS544)),"n/a",SUM(BP544,BQ544,BR544,BS544))</f>
        <v/>
      </c>
      <c r="BU544" s="1562">
        <f>+BU658-BT658</f>
        <v/>
      </c>
      <c r="BV544" s="1562">
        <f>+BV658-BU658</f>
        <v/>
      </c>
      <c r="BW544" s="1562">
        <f>+BW658-BV658</f>
        <v/>
      </c>
      <c r="BX544" s="1562">
        <f>+BX658-BW658</f>
        <v/>
      </c>
      <c r="BY544" s="1637">
        <f>IF(OR(ISBLANK(BU544),ISBLANK(BV544),ISBLANK(BW544),ISBLANK(BX544)),"n/a",SUM(BU544,BV544,BW544,BX544))</f>
        <v/>
      </c>
      <c r="BZ544" s="1637">
        <f>+BZ658-BY658</f>
        <v/>
      </c>
      <c r="CA544" s="1637">
        <f>+CA658-BZ658</f>
        <v/>
      </c>
      <c r="CB544" s="1637">
        <f>+CB658-CA658</f>
        <v/>
      </c>
      <c r="CC544" s="1564" t="n"/>
    </row>
    <row r="545" ht="15" customFormat="1" customHeight="1" s="1561">
      <c r="A545" s="1836">
        <f>A489</f>
        <v/>
      </c>
      <c r="B545" s="1837" t="n"/>
      <c r="C545" s="1838">
        <f>C489</f>
        <v/>
      </c>
      <c r="D545" s="1838">
        <f>D489</f>
        <v/>
      </c>
      <c r="E545" s="1838">
        <f>E489</f>
        <v/>
      </c>
      <c r="F545" s="1838">
        <f>F489</f>
        <v/>
      </c>
      <c r="G545" s="1838">
        <f>G489</f>
        <v/>
      </c>
      <c r="H545" s="1839">
        <f>H489</f>
        <v/>
      </c>
      <c r="I545" s="1839">
        <f>I489-H489</f>
        <v/>
      </c>
      <c r="J545" s="1839">
        <f>J489-I489</f>
        <v/>
      </c>
      <c r="K545" s="1839">
        <f>K489-J489</f>
        <v/>
      </c>
      <c r="L545" s="1838">
        <f>L489</f>
        <v/>
      </c>
      <c r="M545" s="1839">
        <f>M489</f>
        <v/>
      </c>
      <c r="N545" s="1839">
        <f>N489-M489</f>
        <v/>
      </c>
      <c r="O545" s="1839">
        <f>O489-N489</f>
        <v/>
      </c>
      <c r="P545" s="1839">
        <f>P489-O489</f>
        <v/>
      </c>
      <c r="Q545" s="1838">
        <f>Q489</f>
        <v/>
      </c>
      <c r="R545" s="1839">
        <f>R489</f>
        <v/>
      </c>
      <c r="S545" s="1839">
        <f>S489-R489</f>
        <v/>
      </c>
      <c r="T545" s="1839">
        <f>T489-S489</f>
        <v/>
      </c>
      <c r="U545" s="1839">
        <f>U489-T489</f>
        <v/>
      </c>
      <c r="V545" s="1838">
        <f>V489</f>
        <v/>
      </c>
      <c r="W545" s="1839">
        <f>W489</f>
        <v/>
      </c>
      <c r="X545" s="1839">
        <f>X489-W489</f>
        <v/>
      </c>
      <c r="Y545" s="1839">
        <f>Y489-X489</f>
        <v/>
      </c>
      <c r="Z545" s="1839">
        <f>Z489-Y489</f>
        <v/>
      </c>
      <c r="AA545" s="1838">
        <f>AA489</f>
        <v/>
      </c>
      <c r="AB545" s="1839">
        <f>AB489</f>
        <v/>
      </c>
      <c r="AC545" s="1839">
        <f>AC489-AB489</f>
        <v/>
      </c>
      <c r="AD545" s="1839">
        <f>AD489-AC489</f>
        <v/>
      </c>
      <c r="AE545" s="1839">
        <f>AE489-AD489</f>
        <v/>
      </c>
      <c r="AF545" s="1838">
        <f>AF489</f>
        <v/>
      </c>
      <c r="AG545" s="1839">
        <f>AG489</f>
        <v/>
      </c>
      <c r="AH545" s="1839">
        <f>AH489-AG489</f>
        <v/>
      </c>
      <c r="AI545" s="1839">
        <f>AI489-AH489</f>
        <v/>
      </c>
      <c r="AJ545" s="1839">
        <f>AJ489-AI489</f>
        <v/>
      </c>
      <c r="AK545" s="1838">
        <f>AK489</f>
        <v/>
      </c>
      <c r="AL545" s="1839">
        <f>AL489</f>
        <v/>
      </c>
      <c r="AM545" s="1839">
        <f>AM489-AL489</f>
        <v/>
      </c>
      <c r="AN545" s="1839">
        <f>AN489-AM489</f>
        <v/>
      </c>
      <c r="AO545" s="1839">
        <f>AO489-AN489</f>
        <v/>
      </c>
      <c r="AP545" s="1838">
        <f>AP489</f>
        <v/>
      </c>
      <c r="AQ545" s="1839">
        <f>AQ489</f>
        <v/>
      </c>
      <c r="AR545" s="1839">
        <f>AR489-AQ489</f>
        <v/>
      </c>
      <c r="AS545" s="1839">
        <f>AS489-AR489</f>
        <v/>
      </c>
      <c r="AT545" s="1839">
        <f>AT489-AS489</f>
        <v/>
      </c>
      <c r="AU545" s="1838">
        <f>AU489</f>
        <v/>
      </c>
      <c r="AV545" s="1839">
        <f>AV489</f>
        <v/>
      </c>
      <c r="AW545" s="1839">
        <f>AW489-AV489</f>
        <v/>
      </c>
      <c r="AX545" s="1839">
        <f>AX489-AW489</f>
        <v/>
      </c>
      <c r="AY545" s="1839">
        <f>AY489-AX489</f>
        <v/>
      </c>
      <c r="AZ545" s="1838">
        <f>AZ489</f>
        <v/>
      </c>
      <c r="BA545" s="1839">
        <f>BA489</f>
        <v/>
      </c>
      <c r="BB545" s="1839">
        <f>BB489-BA489</f>
        <v/>
      </c>
      <c r="BC545" s="1839">
        <f>BC489-BB489</f>
        <v/>
      </c>
      <c r="BD545" s="1839">
        <f>BD489-BC489</f>
        <v/>
      </c>
      <c r="BE545" s="1838">
        <f>BE489</f>
        <v/>
      </c>
      <c r="BF545" s="1839">
        <f>BF489</f>
        <v/>
      </c>
      <c r="BG545" s="1839">
        <f>BG489-BF489</f>
        <v/>
      </c>
      <c r="BH545" s="1839">
        <f>BH489-BG489</f>
        <v/>
      </c>
      <c r="BI545" s="1839">
        <f>BI489-BH489</f>
        <v/>
      </c>
      <c r="BJ545" s="1987">
        <f>BJ489</f>
        <v/>
      </c>
      <c r="BK545" s="1839">
        <f>BK489</f>
        <v/>
      </c>
      <c r="BL545" s="1839">
        <f>BL489-BK489</f>
        <v/>
      </c>
      <c r="BM545" s="1839">
        <f>BM489-BL489</f>
        <v/>
      </c>
      <c r="BN545" s="1839">
        <f>BN489-BM489</f>
        <v/>
      </c>
      <c r="BO545" s="1988">
        <f>BO489</f>
        <v/>
      </c>
      <c r="BP545" s="1839">
        <f>SUM(BP537:BP544)</f>
        <v/>
      </c>
      <c r="BQ545" s="1839">
        <f>SUM(BQ537:BQ544)</f>
        <v/>
      </c>
      <c r="BR545" s="1839">
        <f>SUM(BR537:BR544)</f>
        <v/>
      </c>
      <c r="BS545" s="1839">
        <f>SUM(BS537:BS544)</f>
        <v/>
      </c>
      <c r="BT545" s="1838">
        <f>IF(OR(ISBLANK(BP545),ISBLANK(BQ545),ISBLANK(BR545),ISBLANK(BS545)),"n/a",SUM(BP545,BQ545,BR545,BS545))</f>
        <v/>
      </c>
      <c r="BU545" s="1839">
        <f>SUM(BU537:BU544)</f>
        <v/>
      </c>
      <c r="BV545" s="1839">
        <f>SUM(BV537:BV544)</f>
        <v/>
      </c>
      <c r="BW545" s="1839">
        <f>SUM(BW537:BW544)</f>
        <v/>
      </c>
      <c r="BX545" s="1839">
        <f>SUM(BX537:BX544)</f>
        <v/>
      </c>
      <c r="BY545" s="1838">
        <f>IF(OR(ISBLANK(BU545),ISBLANK(BV545),ISBLANK(BW545),ISBLANK(BX545)),"n/a",SUM(BU545,BV545,BW545,BX545))</f>
        <v/>
      </c>
      <c r="BZ545" s="1838">
        <f>SUM(BZ537:BZ544)</f>
        <v/>
      </c>
      <c r="CA545" s="1838">
        <f>SUM(CA537:CA544)</f>
        <v/>
      </c>
      <c r="CB545" s="1838">
        <f>SUM(CB537:CB544)</f>
        <v/>
      </c>
      <c r="CC545" s="1564" t="n"/>
    </row>
    <row r="546" ht="15" customFormat="1" customHeight="1" s="1628">
      <c r="A546" s="1629">
        <f>A490</f>
        <v/>
      </c>
      <c r="B546" s="1793" t="n"/>
      <c r="C546" s="1641">
        <f>C545+C536</f>
        <v/>
      </c>
      <c r="D546" s="1641">
        <f>D545+D536</f>
        <v/>
      </c>
      <c r="E546" s="1641">
        <f>E545+E536</f>
        <v/>
      </c>
      <c r="F546" s="1641">
        <f>F545+F536</f>
        <v/>
      </c>
      <c r="G546" s="1641">
        <f>G545+G536</f>
        <v/>
      </c>
      <c r="H546" s="1642">
        <f>H545+H536</f>
        <v/>
      </c>
      <c r="I546" s="1642">
        <f>I545+I536</f>
        <v/>
      </c>
      <c r="J546" s="1642">
        <f>J545+J536</f>
        <v/>
      </c>
      <c r="K546" s="1642">
        <f>K545+K536</f>
        <v/>
      </c>
      <c r="L546" s="1641">
        <f>L545+L536</f>
        <v/>
      </c>
      <c r="M546" s="1642">
        <f>M545+M536</f>
        <v/>
      </c>
      <c r="N546" s="1642">
        <f>N545+N536</f>
        <v/>
      </c>
      <c r="O546" s="1642">
        <f>O545+O536</f>
        <v/>
      </c>
      <c r="P546" s="1642">
        <f>P545+P536</f>
        <v/>
      </c>
      <c r="Q546" s="1641">
        <f>Q545+Q536</f>
        <v/>
      </c>
      <c r="R546" s="1642">
        <f>R545+R536</f>
        <v/>
      </c>
      <c r="S546" s="1642">
        <f>S545+S536</f>
        <v/>
      </c>
      <c r="T546" s="1642">
        <f>T545+T536</f>
        <v/>
      </c>
      <c r="U546" s="1642">
        <f>U545+U536</f>
        <v/>
      </c>
      <c r="V546" s="1641">
        <f>V545+V536</f>
        <v/>
      </c>
      <c r="W546" s="1642">
        <f>W545+W536</f>
        <v/>
      </c>
      <c r="X546" s="1642">
        <f>X545+X536</f>
        <v/>
      </c>
      <c r="Y546" s="1642">
        <f>Y545+Y536</f>
        <v/>
      </c>
      <c r="Z546" s="1642">
        <f>Z545+Z536</f>
        <v/>
      </c>
      <c r="AA546" s="1641">
        <f>AA545+AA536</f>
        <v/>
      </c>
      <c r="AB546" s="1642">
        <f>AB545+AB536</f>
        <v/>
      </c>
      <c r="AC546" s="1642">
        <f>AC545+AC536</f>
        <v/>
      </c>
      <c r="AD546" s="1642">
        <f>AD545+AD536</f>
        <v/>
      </c>
      <c r="AE546" s="1642">
        <f>AE545+AE536</f>
        <v/>
      </c>
      <c r="AF546" s="1641">
        <f>AF545+AF536</f>
        <v/>
      </c>
      <c r="AG546" s="1642">
        <f>AG545+AG536</f>
        <v/>
      </c>
      <c r="AH546" s="1642">
        <f>AH545+AH536</f>
        <v/>
      </c>
      <c r="AI546" s="1642">
        <f>AI545+AI536</f>
        <v/>
      </c>
      <c r="AJ546" s="1642">
        <f>AJ545+AJ536</f>
        <v/>
      </c>
      <c r="AK546" s="1641">
        <f>AK545+AK536</f>
        <v/>
      </c>
      <c r="AL546" s="1642">
        <f>AL545+AL536</f>
        <v/>
      </c>
      <c r="AM546" s="1642">
        <f>AM545+AM536</f>
        <v/>
      </c>
      <c r="AN546" s="1642">
        <f>AN545+AN536</f>
        <v/>
      </c>
      <c r="AO546" s="1642">
        <f>AO545+AO536</f>
        <v/>
      </c>
      <c r="AP546" s="1641">
        <f>AP545+AP536</f>
        <v/>
      </c>
      <c r="AQ546" s="1642">
        <f>AQ545+AQ536</f>
        <v/>
      </c>
      <c r="AR546" s="1642">
        <f>AR545+AR536</f>
        <v/>
      </c>
      <c r="AS546" s="1642">
        <f>AS545+AS536</f>
        <v/>
      </c>
      <c r="AT546" s="1642">
        <f>AT545+AT536</f>
        <v/>
      </c>
      <c r="AU546" s="1641">
        <f>AU545+AU536</f>
        <v/>
      </c>
      <c r="AV546" s="1642">
        <f>AV545+AV536</f>
        <v/>
      </c>
      <c r="AW546" s="1642">
        <f>AW545+AW536</f>
        <v/>
      </c>
      <c r="AX546" s="1642">
        <f>AX545+AX536</f>
        <v/>
      </c>
      <c r="AY546" s="1642">
        <f>AY545+AY536</f>
        <v/>
      </c>
      <c r="AZ546" s="1641">
        <f>AZ545+AZ536</f>
        <v/>
      </c>
      <c r="BA546" s="1642">
        <f>BA545+BA536</f>
        <v/>
      </c>
      <c r="BB546" s="1642">
        <f>BB545+BB536</f>
        <v/>
      </c>
      <c r="BC546" s="1642">
        <f>BC545+BC536</f>
        <v/>
      </c>
      <c r="BD546" s="1642">
        <f>BD545+BD536</f>
        <v/>
      </c>
      <c r="BE546" s="1641">
        <f>BE545+BE536</f>
        <v/>
      </c>
      <c r="BF546" s="1642">
        <f>BF545+BF536</f>
        <v/>
      </c>
      <c r="BG546" s="1642">
        <f>BG545+BG536</f>
        <v/>
      </c>
      <c r="BH546" s="1642">
        <f>BH545+BH536</f>
        <v/>
      </c>
      <c r="BI546" s="1642">
        <f>BI545+BI536</f>
        <v/>
      </c>
      <c r="BJ546" s="1641">
        <f>BJ545+BJ536</f>
        <v/>
      </c>
      <c r="BK546" s="1642">
        <f>BK545+BK536</f>
        <v/>
      </c>
      <c r="BL546" s="1642">
        <f>BL545+BL536</f>
        <v/>
      </c>
      <c r="BM546" s="1642">
        <f>BM545+BM536</f>
        <v/>
      </c>
      <c r="BN546" s="1642">
        <f>BN545+BN536</f>
        <v/>
      </c>
      <c r="BO546" s="1643">
        <f>BO545+BO536</f>
        <v/>
      </c>
      <c r="BP546" s="1642">
        <f>BP545+BP536</f>
        <v/>
      </c>
      <c r="BQ546" s="1642">
        <f>BQ545+BQ536</f>
        <v/>
      </c>
      <c r="BR546" s="1642">
        <f>BR545+BR536</f>
        <v/>
      </c>
      <c r="BS546" s="1642">
        <f>BS545+BS536</f>
        <v/>
      </c>
      <c r="BT546" s="1641">
        <f>BT545+BT536</f>
        <v/>
      </c>
      <c r="BU546" s="1642">
        <f>BU545+BU536</f>
        <v/>
      </c>
      <c r="BV546" s="1642">
        <f>BV545+BV536</f>
        <v/>
      </c>
      <c r="BW546" s="1642">
        <f>BW545+BW536</f>
        <v/>
      </c>
      <c r="BX546" s="1642">
        <f>BX545+BX536</f>
        <v/>
      </c>
      <c r="BY546" s="1641">
        <f>BY545+BY536</f>
        <v/>
      </c>
      <c r="BZ546" s="1641">
        <f>BZ545+BZ536</f>
        <v/>
      </c>
      <c r="CA546" s="1641">
        <f>CA545+CA536</f>
        <v/>
      </c>
      <c r="CB546" s="1641">
        <f>CB545+CB536</f>
        <v/>
      </c>
      <c r="CC546" s="1634" t="n"/>
    </row>
    <row r="547" ht="15" customFormat="1" customHeight="1" s="1628">
      <c r="A547" s="1703" t="n"/>
      <c r="B547" s="1717" t="n"/>
      <c r="C547" s="1718" t="n"/>
      <c r="D547" s="1718" t="n"/>
      <c r="E547" s="1718" t="n"/>
      <c r="F547" s="1718" t="n"/>
      <c r="G547" s="1718" t="n"/>
      <c r="H547" s="1719" t="n"/>
      <c r="I547" s="1719" t="n"/>
      <c r="J547" s="1719" t="n"/>
      <c r="K547" s="1719" t="n"/>
      <c r="L547" s="1718" t="n"/>
      <c r="M547" s="1719" t="n"/>
      <c r="N547" s="1719" t="n"/>
      <c r="O547" s="1719" t="n"/>
      <c r="P547" s="1719" t="n"/>
      <c r="Q547" s="1718" t="n"/>
      <c r="R547" s="1719" t="n"/>
      <c r="S547" s="1719" t="n"/>
      <c r="T547" s="1719" t="n"/>
      <c r="U547" s="1719" t="n"/>
      <c r="V547" s="1718" t="n"/>
      <c r="W547" s="1719" t="n"/>
      <c r="X547" s="1719" t="n"/>
      <c r="Y547" s="1719" t="n"/>
      <c r="Z547" s="1719" t="n"/>
      <c r="AA547" s="1718" t="n"/>
      <c r="AB547" s="1719" t="n"/>
      <c r="AC547" s="1719" t="n"/>
      <c r="AD547" s="1719" t="n"/>
      <c r="AE547" s="1719" t="n"/>
      <c r="AF547" s="1718" t="n"/>
      <c r="AG547" s="1719" t="n"/>
      <c r="AH547" s="1719" t="n"/>
      <c r="AI547" s="1719" t="n"/>
      <c r="AJ547" s="1719" t="n"/>
      <c r="AK547" s="1718" t="n"/>
      <c r="AL547" s="1719" t="n"/>
      <c r="AM547" s="1719" t="n"/>
      <c r="AN547" s="1719" t="n"/>
      <c r="AO547" s="1719" t="n"/>
      <c r="AP547" s="1718" t="n"/>
      <c r="AQ547" s="1719" t="n"/>
      <c r="AR547" s="1719" t="n"/>
      <c r="AS547" s="1719" t="n"/>
      <c r="AT547" s="1719" t="n"/>
      <c r="AU547" s="1718" t="n"/>
      <c r="AV547" s="1719" t="n"/>
      <c r="AW547" s="1719" t="n"/>
      <c r="AX547" s="1719" t="n"/>
      <c r="AY547" s="1719" t="n"/>
      <c r="AZ547" s="1718" t="n"/>
      <c r="BA547" s="1719" t="n"/>
      <c r="BB547" s="1719" t="n"/>
      <c r="BC547" s="1719" t="n"/>
      <c r="BD547" s="1719" t="n"/>
      <c r="BE547" s="1718" t="n"/>
      <c r="BF547" s="1719" t="n"/>
      <c r="BG547" s="1719" t="n"/>
      <c r="BH547" s="1719" t="n"/>
      <c r="BI547" s="1719" t="n"/>
      <c r="BJ547" s="1718" t="n"/>
      <c r="BK547" s="1719" t="n"/>
      <c r="BL547" s="1719" t="n"/>
      <c r="BM547" s="1719" t="n"/>
      <c r="BN547" s="1719" t="n"/>
      <c r="BO547" s="1720" t="n"/>
      <c r="BP547" s="1719" t="n"/>
      <c r="BQ547" s="1719" t="n"/>
      <c r="BR547" s="1719" t="n"/>
      <c r="BS547" s="1719" t="n"/>
      <c r="BT547" s="1718" t="n"/>
      <c r="BU547" s="1719" t="n"/>
      <c r="BV547" s="1719" t="n"/>
      <c r="BW547" s="1719" t="n"/>
      <c r="BX547" s="1719" t="n"/>
      <c r="BY547" s="1718" t="n"/>
      <c r="BZ547" s="1718" t="n"/>
      <c r="CA547" s="1718" t="n"/>
      <c r="CB547" s="1718" t="n"/>
      <c r="CC547" s="1634" t="n"/>
    </row>
    <row r="548" ht="15" customFormat="1" customHeight="1" s="1628">
      <c r="A548" s="1703">
        <f>A492</f>
        <v/>
      </c>
      <c r="B548" s="1717" t="n"/>
      <c r="C548" s="1718" t="n"/>
      <c r="D548" s="1718" t="n"/>
      <c r="E548" s="1718" t="n"/>
      <c r="F548" s="1718" t="n"/>
      <c r="G548" s="1718" t="n"/>
      <c r="H548" s="1719" t="n"/>
      <c r="I548" s="1719" t="n"/>
      <c r="J548" s="1719" t="n"/>
      <c r="K548" s="1719" t="n"/>
      <c r="L548" s="1718" t="n"/>
      <c r="M548" s="1719" t="n"/>
      <c r="N548" s="1719" t="n"/>
      <c r="O548" s="1719" t="n"/>
      <c r="P548" s="1719" t="n"/>
      <c r="Q548" s="1718" t="n"/>
      <c r="R548" s="1719" t="n"/>
      <c r="S548" s="1719" t="n"/>
      <c r="T548" s="1719" t="n"/>
      <c r="U548" s="1719" t="n"/>
      <c r="V548" s="1718" t="n"/>
      <c r="W548" s="1719" t="n"/>
      <c r="X548" s="1719" t="n"/>
      <c r="Y548" s="1719" t="n"/>
      <c r="Z548" s="1719" t="n"/>
      <c r="AA548" s="1718" t="n"/>
      <c r="AB548" s="1719" t="n"/>
      <c r="AC548" s="1719" t="n"/>
      <c r="AD548" s="1719" t="n"/>
      <c r="AE548" s="1719" t="n"/>
      <c r="AF548" s="1718" t="n"/>
      <c r="AG548" s="1719" t="n"/>
      <c r="AH548" s="1719" t="n"/>
      <c r="AI548" s="1719" t="n"/>
      <c r="AJ548" s="1719" t="n"/>
      <c r="AK548" s="1718" t="n"/>
      <c r="AL548" s="1719" t="n"/>
      <c r="AM548" s="1719" t="n"/>
      <c r="AN548" s="1719" t="n"/>
      <c r="AO548" s="1719" t="n"/>
      <c r="AP548" s="1718" t="n"/>
      <c r="AQ548" s="1719" t="n"/>
      <c r="AR548" s="1719" t="n"/>
      <c r="AS548" s="1719" t="n"/>
      <c r="AT548" s="1719" t="n"/>
      <c r="AU548" s="1718" t="n"/>
      <c r="AV548" s="1719" t="n"/>
      <c r="AW548" s="1719" t="n"/>
      <c r="AX548" s="1719" t="n"/>
      <c r="AY548" s="1719" t="n"/>
      <c r="AZ548" s="1718" t="n"/>
      <c r="BA548" s="1719" t="n"/>
      <c r="BB548" s="1719" t="n"/>
      <c r="BC548" s="1719" t="n"/>
      <c r="BD548" s="1719" t="n"/>
      <c r="BE548" s="1718" t="n"/>
      <c r="BF548" s="1719" t="n"/>
      <c r="BG548" s="1719" t="n"/>
      <c r="BH548" s="1719" t="n"/>
      <c r="BI548" s="1719" t="n"/>
      <c r="BJ548" s="1718" t="n"/>
      <c r="BK548" s="1719" t="n"/>
      <c r="BL548" s="1719" t="n"/>
      <c r="BM548" s="1719" t="n"/>
      <c r="BN548" s="1719" t="n"/>
      <c r="BO548" s="1720" t="n"/>
      <c r="BP548" s="1719" t="n"/>
      <c r="BQ548" s="1719" t="n"/>
      <c r="BR548" s="1719" t="n"/>
      <c r="BS548" s="1719" t="n"/>
      <c r="BT548" s="1718" t="n"/>
      <c r="BU548" s="1719" t="n"/>
      <c r="BV548" s="1719" t="n"/>
      <c r="BW548" s="1719" t="n"/>
      <c r="BX548" s="1719" t="n"/>
      <c r="BY548" s="1718" t="n"/>
      <c r="BZ548" s="1718" t="n"/>
      <c r="CA548" s="1718" t="n"/>
      <c r="CB548" s="1718" t="n"/>
      <c r="CC548" s="1634" t="n"/>
    </row>
    <row r="549" ht="15" customFormat="1" customHeight="1" s="1561">
      <c r="A549" s="1622">
        <f>A493</f>
        <v/>
      </c>
      <c r="B549" s="1705" t="n"/>
      <c r="C549" s="1637">
        <f>C493</f>
        <v/>
      </c>
      <c r="D549" s="1637">
        <f>D493</f>
        <v/>
      </c>
      <c r="E549" s="1637">
        <f>E493</f>
        <v/>
      </c>
      <c r="F549" s="1637">
        <f>F493</f>
        <v/>
      </c>
      <c r="G549" s="1637">
        <f>G493</f>
        <v/>
      </c>
      <c r="H549" s="1562">
        <f>H493</f>
        <v/>
      </c>
      <c r="I549" s="1562">
        <f>I493-H493</f>
        <v/>
      </c>
      <c r="J549" s="1562">
        <f>J493-I493</f>
        <v/>
      </c>
      <c r="K549" s="1562">
        <f>K493-J493</f>
        <v/>
      </c>
      <c r="L549" s="1637">
        <f>L493</f>
        <v/>
      </c>
      <c r="M549" s="1562">
        <f>M493</f>
        <v/>
      </c>
      <c r="N549" s="1562">
        <f>N493-M493</f>
        <v/>
      </c>
      <c r="O549" s="1562">
        <f>O493-N493</f>
        <v/>
      </c>
      <c r="P549" s="1562">
        <f>P493-O493</f>
        <v/>
      </c>
      <c r="Q549" s="1637">
        <f>Q493</f>
        <v/>
      </c>
      <c r="R549" s="1562">
        <f>R493</f>
        <v/>
      </c>
      <c r="S549" s="1562">
        <f>S493-R493</f>
        <v/>
      </c>
      <c r="T549" s="1562">
        <f>T493-S493</f>
        <v/>
      </c>
      <c r="U549" s="1562">
        <f>U493-T493</f>
        <v/>
      </c>
      <c r="V549" s="1637">
        <f>V493</f>
        <v/>
      </c>
      <c r="W549" s="1562">
        <f>W493</f>
        <v/>
      </c>
      <c r="X549" s="1562">
        <f>X493-W493</f>
        <v/>
      </c>
      <c r="Y549" s="1562">
        <f>Y493-X493</f>
        <v/>
      </c>
      <c r="Z549" s="1562">
        <f>Z493-Y493</f>
        <v/>
      </c>
      <c r="AA549" s="1637">
        <f>AA493</f>
        <v/>
      </c>
      <c r="AB549" s="1562">
        <f>AB493</f>
        <v/>
      </c>
      <c r="AC549" s="1562">
        <f>AC493-AB493</f>
        <v/>
      </c>
      <c r="AD549" s="1562">
        <f>AD493-AC493</f>
        <v/>
      </c>
      <c r="AE549" s="1562">
        <f>AE493-AD493</f>
        <v/>
      </c>
      <c r="AF549" s="1637">
        <f>AF493</f>
        <v/>
      </c>
      <c r="AG549" s="1562">
        <f>AG493</f>
        <v/>
      </c>
      <c r="AH549" s="1562">
        <f>AH493-AG493</f>
        <v/>
      </c>
      <c r="AI549" s="1562">
        <f>AI493-AH493</f>
        <v/>
      </c>
      <c r="AJ549" s="1562">
        <f>AJ493-AI493</f>
        <v/>
      </c>
      <c r="AK549" s="1637">
        <f>AK493</f>
        <v/>
      </c>
      <c r="AL549" s="1562">
        <f>AL493</f>
        <v/>
      </c>
      <c r="AM549" s="1562">
        <f>AM493-AL493</f>
        <v/>
      </c>
      <c r="AN549" s="1562">
        <f>AN493-AM493</f>
        <v/>
      </c>
      <c r="AO549" s="1562">
        <f>AO493-AN493</f>
        <v/>
      </c>
      <c r="AP549" s="1637">
        <f>AP493</f>
        <v/>
      </c>
      <c r="AQ549" s="1562">
        <f>AQ493</f>
        <v/>
      </c>
      <c r="AR549" s="1562">
        <f>AR493-AQ493</f>
        <v/>
      </c>
      <c r="AS549" s="1562">
        <f>AS493-AR493</f>
        <v/>
      </c>
      <c r="AT549" s="1562">
        <f>AT493-AS493</f>
        <v/>
      </c>
      <c r="AU549" s="1637">
        <f>AU493</f>
        <v/>
      </c>
      <c r="AV549" s="1562">
        <f>AV493</f>
        <v/>
      </c>
      <c r="AW549" s="1562">
        <f>AW493-AV493</f>
        <v/>
      </c>
      <c r="AX549" s="1562">
        <f>AX493-AW493</f>
        <v/>
      </c>
      <c r="AY549" s="1562">
        <f>AY493-AX493</f>
        <v/>
      </c>
      <c r="AZ549" s="1637">
        <f>AZ493</f>
        <v/>
      </c>
      <c r="BA549" s="1562">
        <f>BA493</f>
        <v/>
      </c>
      <c r="BB549" s="1562">
        <f>BB493-BA493</f>
        <v/>
      </c>
      <c r="BC549" s="1562">
        <f>BC493-BB493</f>
        <v/>
      </c>
      <c r="BD549" s="1562">
        <f>BD493-BC493</f>
        <v/>
      </c>
      <c r="BE549" s="1637">
        <f>BE493</f>
        <v/>
      </c>
      <c r="BF549" s="1562">
        <f>BF493</f>
        <v/>
      </c>
      <c r="BG549" s="1562">
        <f>BG493-BF493</f>
        <v/>
      </c>
      <c r="BH549" s="1562">
        <f>BH493-BG493</f>
        <v/>
      </c>
      <c r="BI549" s="1562">
        <f>BI493-BH493</f>
        <v/>
      </c>
      <c r="BJ549" s="1637">
        <f>BJ493</f>
        <v/>
      </c>
      <c r="BK549" s="1562">
        <f>BK493</f>
        <v/>
      </c>
      <c r="BL549" s="1562">
        <f>BL493-BK493</f>
        <v/>
      </c>
      <c r="BM549" s="1562">
        <f>BM493-BL493</f>
        <v/>
      </c>
      <c r="BN549" s="1562">
        <f>BN493-BM493</f>
        <v/>
      </c>
      <c r="BO549" s="1638">
        <f>BO493</f>
        <v/>
      </c>
      <c r="BP549" s="1562">
        <f>-BP585</f>
        <v/>
      </c>
      <c r="BQ549" s="1562">
        <f>-BQ585</f>
        <v/>
      </c>
      <c r="BR549" s="1562">
        <f>-BR585</f>
        <v/>
      </c>
      <c r="BS549" s="1562">
        <f>-BS585</f>
        <v/>
      </c>
      <c r="BT549" s="1637">
        <f>SUM(BP549,BQ549,BR549,BS549)</f>
        <v/>
      </c>
      <c r="BU549" s="1562">
        <f>-BU585</f>
        <v/>
      </c>
      <c r="BV549" s="1562">
        <f>-BV585</f>
        <v/>
      </c>
      <c r="BW549" s="1562">
        <f>-BW585</f>
        <v/>
      </c>
      <c r="BX549" s="1562">
        <f>-BX585</f>
        <v/>
      </c>
      <c r="BY549" s="1637">
        <f>SUM(BU549,BV549,BW549,BX549)</f>
        <v/>
      </c>
      <c r="BZ549" s="1637">
        <f>-BZ585</f>
        <v/>
      </c>
      <c r="CA549" s="1637">
        <f>-CA585</f>
        <v/>
      </c>
      <c r="CB549" s="1637">
        <f>-CB585</f>
        <v/>
      </c>
      <c r="CC549" s="1564" t="n"/>
    </row>
    <row r="550" ht="15" customFormat="1" customHeight="1" s="1561">
      <c r="A550" s="1622">
        <f>A494</f>
        <v/>
      </c>
      <c r="B550" s="1705" t="n"/>
      <c r="C550" s="1637">
        <f>C494</f>
        <v/>
      </c>
      <c r="D550" s="1637">
        <f>D494</f>
        <v/>
      </c>
      <c r="E550" s="1637">
        <f>E494</f>
        <v/>
      </c>
      <c r="F550" s="1637">
        <f>F494</f>
        <v/>
      </c>
      <c r="G550" s="1637">
        <f>G494</f>
        <v/>
      </c>
      <c r="H550" s="1562">
        <f>H494</f>
        <v/>
      </c>
      <c r="I550" s="1562">
        <f>I494-H494</f>
        <v/>
      </c>
      <c r="J550" s="1562">
        <f>J494-I494</f>
        <v/>
      </c>
      <c r="K550" s="1562">
        <f>K494-J494</f>
        <v/>
      </c>
      <c r="L550" s="1637">
        <f>L494</f>
        <v/>
      </c>
      <c r="M550" s="1562">
        <f>M494</f>
        <v/>
      </c>
      <c r="N550" s="1562">
        <f>N494-M494</f>
        <v/>
      </c>
      <c r="O550" s="1562">
        <f>O494-N494</f>
        <v/>
      </c>
      <c r="P550" s="1562">
        <f>P494-O494</f>
        <v/>
      </c>
      <c r="Q550" s="1637">
        <f>Q494</f>
        <v/>
      </c>
      <c r="R550" s="1562">
        <f>R494</f>
        <v/>
      </c>
      <c r="S550" s="1562">
        <f>S494-R494</f>
        <v/>
      </c>
      <c r="T550" s="1562">
        <f>T494-S494</f>
        <v/>
      </c>
      <c r="U550" s="1562">
        <f>U494-T494</f>
        <v/>
      </c>
      <c r="V550" s="1637">
        <f>V494</f>
        <v/>
      </c>
      <c r="W550" s="1562">
        <f>W494</f>
        <v/>
      </c>
      <c r="X550" s="1562">
        <f>X494-W494</f>
        <v/>
      </c>
      <c r="Y550" s="1562">
        <f>Y494-X494</f>
        <v/>
      </c>
      <c r="Z550" s="1562">
        <f>Z494-Y494</f>
        <v/>
      </c>
      <c r="AA550" s="1637">
        <f>AA494</f>
        <v/>
      </c>
      <c r="AB550" s="1562">
        <f>AB494</f>
        <v/>
      </c>
      <c r="AC550" s="1562">
        <f>AC494-AB494</f>
        <v/>
      </c>
      <c r="AD550" s="1562">
        <f>AD494-AC494</f>
        <v/>
      </c>
      <c r="AE550" s="1562">
        <f>AE494-AD494</f>
        <v/>
      </c>
      <c r="AF550" s="1637">
        <f>AF494</f>
        <v/>
      </c>
      <c r="AG550" s="1562">
        <f>AG494</f>
        <v/>
      </c>
      <c r="AH550" s="1562">
        <f>AH494-AG494</f>
        <v/>
      </c>
      <c r="AI550" s="1562">
        <f>AI494-AH494</f>
        <v/>
      </c>
      <c r="AJ550" s="1562">
        <f>AJ494-AI494</f>
        <v/>
      </c>
      <c r="AK550" s="1637">
        <f>AK494</f>
        <v/>
      </c>
      <c r="AL550" s="1562">
        <f>AL494</f>
        <v/>
      </c>
      <c r="AM550" s="1562">
        <f>AM494-AL494</f>
        <v/>
      </c>
      <c r="AN550" s="1562">
        <f>AN494-AM494</f>
        <v/>
      </c>
      <c r="AO550" s="1562">
        <f>AO494-AN494</f>
        <v/>
      </c>
      <c r="AP550" s="1637">
        <f>AP494</f>
        <v/>
      </c>
      <c r="AQ550" s="1562">
        <f>AQ494</f>
        <v/>
      </c>
      <c r="AR550" s="1562">
        <f>AR494-AQ494</f>
        <v/>
      </c>
      <c r="AS550" s="1562">
        <f>AS494-AR494</f>
        <v/>
      </c>
      <c r="AT550" s="1562">
        <f>AT494-AS494</f>
        <v/>
      </c>
      <c r="AU550" s="1637">
        <f>AU494</f>
        <v/>
      </c>
      <c r="AV550" s="1562">
        <f>AV494</f>
        <v/>
      </c>
      <c r="AW550" s="1562">
        <f>AW494-AV494</f>
        <v/>
      </c>
      <c r="AX550" s="1562">
        <f>AX494-AW494</f>
        <v/>
      </c>
      <c r="AY550" s="1562">
        <f>AY494-AX494</f>
        <v/>
      </c>
      <c r="AZ550" s="1637">
        <f>AZ494</f>
        <v/>
      </c>
      <c r="BA550" s="1562">
        <f>BA494</f>
        <v/>
      </c>
      <c r="BB550" s="1562">
        <f>BB494-BA494</f>
        <v/>
      </c>
      <c r="BC550" s="1562">
        <f>BC494-BB494</f>
        <v/>
      </c>
      <c r="BD550" s="1562">
        <f>BD494-BC494</f>
        <v/>
      </c>
      <c r="BE550" s="1637">
        <f>BE494</f>
        <v/>
      </c>
      <c r="BF550" s="1562">
        <f>BF494</f>
        <v/>
      </c>
      <c r="BG550" s="1562">
        <f>BG494-BF494</f>
        <v/>
      </c>
      <c r="BH550" s="1562">
        <f>BH494-BG494</f>
        <v/>
      </c>
      <c r="BI550" s="1562">
        <f>BI494-BH494</f>
        <v/>
      </c>
      <c r="BJ550" s="1637">
        <f>BJ494</f>
        <v/>
      </c>
      <c r="BK550" s="1562">
        <f>BK494</f>
        <v/>
      </c>
      <c r="BL550" s="1562">
        <f>BL494-BK494</f>
        <v/>
      </c>
      <c r="BM550" s="1562">
        <f>BM494-BL494</f>
        <v/>
      </c>
      <c r="BN550" s="1562">
        <f>BN494-BM494</f>
        <v/>
      </c>
      <c r="BO550" s="1638">
        <f>BO494</f>
        <v/>
      </c>
      <c r="BP550" s="1562">
        <f>-BP591</f>
        <v/>
      </c>
      <c r="BQ550" s="1562">
        <f>-BQ591</f>
        <v/>
      </c>
      <c r="BR550" s="1562">
        <f>-BR591</f>
        <v/>
      </c>
      <c r="BS550" s="1562">
        <f>-BS591</f>
        <v/>
      </c>
      <c r="BT550" s="1637">
        <f>SUM(BP550,BQ550,BR550,BS550)</f>
        <v/>
      </c>
      <c r="BU550" s="1562">
        <f>-BU591</f>
        <v/>
      </c>
      <c r="BV550" s="1562">
        <f>-BV591</f>
        <v/>
      </c>
      <c r="BW550" s="1562">
        <f>-BW591</f>
        <v/>
      </c>
      <c r="BX550" s="1562">
        <f>-BX591</f>
        <v/>
      </c>
      <c r="BY550" s="1637">
        <f>SUM(BU550,BV550,BW550,BX550)</f>
        <v/>
      </c>
      <c r="BZ550" s="1637">
        <f>-BZ591</f>
        <v/>
      </c>
      <c r="CA550" s="1637">
        <f>-CA591</f>
        <v/>
      </c>
      <c r="CB550" s="1637">
        <f>-CB591</f>
        <v/>
      </c>
      <c r="CC550" s="1564" t="n"/>
    </row>
    <row r="551" ht="15" customFormat="1" customHeight="1" s="1561">
      <c r="A551" s="1622">
        <f>A495</f>
        <v/>
      </c>
      <c r="B551" s="1705" t="n"/>
      <c r="C551" s="1637">
        <f>C495</f>
        <v/>
      </c>
      <c r="D551" s="1637">
        <f>D495</f>
        <v/>
      </c>
      <c r="E551" s="1637">
        <f>E495</f>
        <v/>
      </c>
      <c r="F551" s="1637">
        <f>F495</f>
        <v/>
      </c>
      <c r="G551" s="1637">
        <f>G495</f>
        <v/>
      </c>
      <c r="H551" s="1562">
        <f>H495</f>
        <v/>
      </c>
      <c r="I551" s="1562">
        <f>I495-H495</f>
        <v/>
      </c>
      <c r="J551" s="1562">
        <f>J495-I495</f>
        <v/>
      </c>
      <c r="K551" s="1562">
        <f>K495-J495</f>
        <v/>
      </c>
      <c r="L551" s="1637">
        <f>L495</f>
        <v/>
      </c>
      <c r="M551" s="1562">
        <f>M495</f>
        <v/>
      </c>
      <c r="N551" s="1562">
        <f>N495-M495</f>
        <v/>
      </c>
      <c r="O551" s="1562">
        <f>O495-N495</f>
        <v/>
      </c>
      <c r="P551" s="1562">
        <f>P495-O495</f>
        <v/>
      </c>
      <c r="Q551" s="1637">
        <f>Q495</f>
        <v/>
      </c>
      <c r="R551" s="1562">
        <f>R495</f>
        <v/>
      </c>
      <c r="S551" s="1562">
        <f>S495-R495</f>
        <v/>
      </c>
      <c r="T551" s="1562">
        <f>T495-S495</f>
        <v/>
      </c>
      <c r="U551" s="1562">
        <f>U495-T495</f>
        <v/>
      </c>
      <c r="V551" s="1637">
        <f>V495</f>
        <v/>
      </c>
      <c r="W551" s="1562">
        <f>W495</f>
        <v/>
      </c>
      <c r="X551" s="1562">
        <f>X495-W495</f>
        <v/>
      </c>
      <c r="Y551" s="1562">
        <f>Y495-X495</f>
        <v/>
      </c>
      <c r="Z551" s="1562">
        <f>Z495-Y495</f>
        <v/>
      </c>
      <c r="AA551" s="1637">
        <f>AA495</f>
        <v/>
      </c>
      <c r="AB551" s="1562">
        <f>AB495</f>
        <v/>
      </c>
      <c r="AC551" s="1562">
        <f>AC495-AB495</f>
        <v/>
      </c>
      <c r="AD551" s="1562">
        <f>AD495-AC495</f>
        <v/>
      </c>
      <c r="AE551" s="1562">
        <f>AE495-AD495</f>
        <v/>
      </c>
      <c r="AF551" s="1637">
        <f>AF495</f>
        <v/>
      </c>
      <c r="AG551" s="1562">
        <f>AG495</f>
        <v/>
      </c>
      <c r="AH551" s="1562">
        <f>AH495-AG495</f>
        <v/>
      </c>
      <c r="AI551" s="1562">
        <f>AI495-AH495</f>
        <v/>
      </c>
      <c r="AJ551" s="1562">
        <f>AJ495-AI495</f>
        <v/>
      </c>
      <c r="AK551" s="1637">
        <f>AK495</f>
        <v/>
      </c>
      <c r="AL551" s="1562">
        <f>AL495</f>
        <v/>
      </c>
      <c r="AM551" s="1562">
        <f>AM495-AL495</f>
        <v/>
      </c>
      <c r="AN551" s="1562">
        <f>AN495-AM495</f>
        <v/>
      </c>
      <c r="AO551" s="1562">
        <f>AO495-AN495</f>
        <v/>
      </c>
      <c r="AP551" s="1637">
        <f>AP495</f>
        <v/>
      </c>
      <c r="AQ551" s="1562">
        <f>AQ495</f>
        <v/>
      </c>
      <c r="AR551" s="1562">
        <f>AR495-AQ495</f>
        <v/>
      </c>
      <c r="AS551" s="1562">
        <f>AS495-AR495</f>
        <v/>
      </c>
      <c r="AT551" s="1562">
        <f>AT495-AS495</f>
        <v/>
      </c>
      <c r="AU551" s="1637">
        <f>AU495</f>
        <v/>
      </c>
      <c r="AV551" s="1562">
        <f>AV495</f>
        <v/>
      </c>
      <c r="AW551" s="1562">
        <f>AW495-AV495</f>
        <v/>
      </c>
      <c r="AX551" s="1562">
        <f>AX495-AW495</f>
        <v/>
      </c>
      <c r="AY551" s="1562">
        <f>AY495-AX495</f>
        <v/>
      </c>
      <c r="AZ551" s="1637">
        <f>AZ495</f>
        <v/>
      </c>
      <c r="BA551" s="1562">
        <f>BA495</f>
        <v/>
      </c>
      <c r="BB551" s="1562">
        <f>BB495-BA495</f>
        <v/>
      </c>
      <c r="BC551" s="1562">
        <f>BC495-BB495</f>
        <v/>
      </c>
      <c r="BD551" s="1562">
        <f>BD495-BC495</f>
        <v/>
      </c>
      <c r="BE551" s="1637">
        <f>BE495</f>
        <v/>
      </c>
      <c r="BF551" s="1562">
        <f>BF495</f>
        <v/>
      </c>
      <c r="BG551" s="1562">
        <f>BG495-BF495</f>
        <v/>
      </c>
      <c r="BH551" s="1562">
        <f>BH495-BG495</f>
        <v/>
      </c>
      <c r="BI551" s="1562">
        <f>BI495-BH495</f>
        <v/>
      </c>
      <c r="BJ551" s="1637">
        <f>BJ495</f>
        <v/>
      </c>
      <c r="BK551" s="1562">
        <f>BK495</f>
        <v/>
      </c>
      <c r="BL551" s="1562">
        <f>BL495-BK495</f>
        <v/>
      </c>
      <c r="BM551" s="1562">
        <f>BM495-BL495</f>
        <v/>
      </c>
      <c r="BN551" s="1562">
        <f>BN495-BM495</f>
        <v/>
      </c>
      <c r="BO551" s="1638">
        <f>BO495</f>
        <v/>
      </c>
      <c r="BP551" s="1562" t="n"/>
      <c r="BQ551" s="1562" t="n"/>
      <c r="BR551" s="1562" t="n"/>
      <c r="BS551" s="1562" t="n"/>
      <c r="BT551" s="1637">
        <f>SUM(BP551,BQ551,BR551,BS551)</f>
        <v/>
      </c>
      <c r="BU551" s="1562" t="n"/>
      <c r="BV551" s="1562" t="n"/>
      <c r="BW551" s="1562" t="n"/>
      <c r="BX551" s="1562" t="n"/>
      <c r="BY551" s="1637">
        <f>SUM(BU551,BV551,BW551,BX551)</f>
        <v/>
      </c>
      <c r="BZ551" s="1637" t="n"/>
      <c r="CA551" s="1637" t="n"/>
      <c r="CB551" s="1637" t="n"/>
      <c r="CC551" s="1564" t="n"/>
    </row>
    <row r="552" ht="15" customFormat="1" customHeight="1" s="1561">
      <c r="A552" s="1622">
        <f>A496</f>
        <v/>
      </c>
      <c r="B552" s="1705" t="n"/>
      <c r="C552" s="1637">
        <f>C496</f>
        <v/>
      </c>
      <c r="D552" s="1637">
        <f>D496</f>
        <v/>
      </c>
      <c r="E552" s="1637">
        <f>E496</f>
        <v/>
      </c>
      <c r="F552" s="1637">
        <f>F496</f>
        <v/>
      </c>
      <c r="G552" s="1637">
        <f>G496</f>
        <v/>
      </c>
      <c r="H552" s="1562">
        <f>H496</f>
        <v/>
      </c>
      <c r="I552" s="1562">
        <f>I496-H496</f>
        <v/>
      </c>
      <c r="J552" s="1562">
        <f>J496-I496</f>
        <v/>
      </c>
      <c r="K552" s="1562">
        <f>K496-J496</f>
        <v/>
      </c>
      <c r="L552" s="1637">
        <f>L496</f>
        <v/>
      </c>
      <c r="M552" s="1562">
        <f>M496</f>
        <v/>
      </c>
      <c r="N552" s="1562">
        <f>N496-M496</f>
        <v/>
      </c>
      <c r="O552" s="1562">
        <f>O496-N496</f>
        <v/>
      </c>
      <c r="P552" s="1562">
        <f>P496-O496</f>
        <v/>
      </c>
      <c r="Q552" s="1637">
        <f>Q496</f>
        <v/>
      </c>
      <c r="R552" s="1562">
        <f>R496</f>
        <v/>
      </c>
      <c r="S552" s="1562">
        <f>S496-R496</f>
        <v/>
      </c>
      <c r="T552" s="1562">
        <f>T496-S496</f>
        <v/>
      </c>
      <c r="U552" s="1562">
        <f>U496-T496</f>
        <v/>
      </c>
      <c r="V552" s="1637">
        <f>V496</f>
        <v/>
      </c>
      <c r="W552" s="1562">
        <f>W496</f>
        <v/>
      </c>
      <c r="X552" s="1562">
        <f>X496-W496</f>
        <v/>
      </c>
      <c r="Y552" s="1562">
        <f>Y496-X496</f>
        <v/>
      </c>
      <c r="Z552" s="1562">
        <f>Z496-Y496</f>
        <v/>
      </c>
      <c r="AA552" s="1637">
        <f>AA496</f>
        <v/>
      </c>
      <c r="AB552" s="1562">
        <f>AB496</f>
        <v/>
      </c>
      <c r="AC552" s="1562">
        <f>AC496-AB496</f>
        <v/>
      </c>
      <c r="AD552" s="1562">
        <f>AD496-AC496</f>
        <v/>
      </c>
      <c r="AE552" s="1562">
        <f>AE496-AD496</f>
        <v/>
      </c>
      <c r="AF552" s="1637">
        <f>AF496</f>
        <v/>
      </c>
      <c r="AG552" s="1562">
        <f>AG496</f>
        <v/>
      </c>
      <c r="AH552" s="1562">
        <f>AH496-AG496</f>
        <v/>
      </c>
      <c r="AI552" s="1562">
        <f>AI496-AH496</f>
        <v/>
      </c>
      <c r="AJ552" s="1562">
        <f>AJ496-AI496</f>
        <v/>
      </c>
      <c r="AK552" s="1637">
        <f>AK496</f>
        <v/>
      </c>
      <c r="AL552" s="1562">
        <f>AL496</f>
        <v/>
      </c>
      <c r="AM552" s="1562">
        <f>AM496-AL496</f>
        <v/>
      </c>
      <c r="AN552" s="1562">
        <f>AN496-AM496</f>
        <v/>
      </c>
      <c r="AO552" s="1562">
        <f>AO496-AN496</f>
        <v/>
      </c>
      <c r="AP552" s="1637">
        <f>AP496</f>
        <v/>
      </c>
      <c r="AQ552" s="1562">
        <f>AQ496</f>
        <v/>
      </c>
      <c r="AR552" s="1562">
        <f>AR496-AQ496</f>
        <v/>
      </c>
      <c r="AS552" s="1562">
        <f>AS496-AR496</f>
        <v/>
      </c>
      <c r="AT552" s="1562">
        <f>AT496-AS496</f>
        <v/>
      </c>
      <c r="AU552" s="1637">
        <f>AU496</f>
        <v/>
      </c>
      <c r="AV552" s="1562">
        <f>AV496</f>
        <v/>
      </c>
      <c r="AW552" s="1562">
        <f>AW496-AV496</f>
        <v/>
      </c>
      <c r="AX552" s="1562">
        <f>AX496-AW496</f>
        <v/>
      </c>
      <c r="AY552" s="1562">
        <f>AY496-AX496</f>
        <v/>
      </c>
      <c r="AZ552" s="1637">
        <f>AZ496</f>
        <v/>
      </c>
      <c r="BA552" s="1562">
        <f>BA496</f>
        <v/>
      </c>
      <c r="BB552" s="1562">
        <f>BB496-BA496</f>
        <v/>
      </c>
      <c r="BC552" s="1562">
        <f>BC496-BB496</f>
        <v/>
      </c>
      <c r="BD552" s="1562">
        <f>BD496-BC496</f>
        <v/>
      </c>
      <c r="BE552" s="1637">
        <f>BE496</f>
        <v/>
      </c>
      <c r="BF552" s="1562">
        <f>BF496</f>
        <v/>
      </c>
      <c r="BG552" s="1562">
        <f>BG496-BF496</f>
        <v/>
      </c>
      <c r="BH552" s="1562">
        <f>BH496-BG496</f>
        <v/>
      </c>
      <c r="BI552" s="1562">
        <f>BI496-BH496</f>
        <v/>
      </c>
      <c r="BJ552" s="1637">
        <f>BJ496</f>
        <v/>
      </c>
      <c r="BK552" s="1562">
        <f>BK496</f>
        <v/>
      </c>
      <c r="BL552" s="1562">
        <f>BL496-BK496</f>
        <v/>
      </c>
      <c r="BM552" s="1562">
        <f>BM496-BL496</f>
        <v/>
      </c>
      <c r="BN552" s="1562">
        <f>BN496-BM496</f>
        <v/>
      </c>
      <c r="BO552" s="1638">
        <f>BO496</f>
        <v/>
      </c>
      <c r="BP552" s="1562" t="n"/>
      <c r="BQ552" s="1562" t="n"/>
      <c r="BR552" s="1562" t="n"/>
      <c r="BS552" s="1562" t="n"/>
      <c r="BT552" s="1637">
        <f>SUM(BP552,BQ552,BR552,BS552)</f>
        <v/>
      </c>
      <c r="BU552" s="1562" t="n"/>
      <c r="BV552" s="1562" t="n"/>
      <c r="BW552" s="1562" t="n"/>
      <c r="BX552" s="1562" t="n"/>
      <c r="BY552" s="1637">
        <f>SUM(BU552,BV552,BW552,BX552)</f>
        <v/>
      </c>
      <c r="BZ552" s="1637" t="n"/>
      <c r="CA552" s="1637" t="n"/>
      <c r="CB552" s="1637" t="n"/>
      <c r="CC552" s="1564" t="n"/>
    </row>
    <row r="553" ht="15" customFormat="1" customHeight="1" s="1561">
      <c r="A553" s="1622">
        <f>A497</f>
        <v/>
      </c>
      <c r="B553" s="1705" t="n"/>
      <c r="C553" s="1637">
        <f>C497</f>
        <v/>
      </c>
      <c r="D553" s="1637">
        <f>D497</f>
        <v/>
      </c>
      <c r="E553" s="1637">
        <f>E497</f>
        <v/>
      </c>
      <c r="F553" s="1637">
        <f>F497</f>
        <v/>
      </c>
      <c r="G553" s="1637">
        <f>G497</f>
        <v/>
      </c>
      <c r="H553" s="1562">
        <f>H497</f>
        <v/>
      </c>
      <c r="I553" s="1562">
        <f>I497-H497</f>
        <v/>
      </c>
      <c r="J553" s="1562">
        <f>J497-I497</f>
        <v/>
      </c>
      <c r="K553" s="1562">
        <f>K497-J497</f>
        <v/>
      </c>
      <c r="L553" s="1637">
        <f>L497</f>
        <v/>
      </c>
      <c r="M553" s="1562">
        <f>M497</f>
        <v/>
      </c>
      <c r="N553" s="1562">
        <f>N497-M497</f>
        <v/>
      </c>
      <c r="O553" s="1562">
        <f>O497-N497</f>
        <v/>
      </c>
      <c r="P553" s="1562">
        <f>P497-O497</f>
        <v/>
      </c>
      <c r="Q553" s="1637">
        <f>Q497</f>
        <v/>
      </c>
      <c r="R553" s="1562">
        <f>R497</f>
        <v/>
      </c>
      <c r="S553" s="1562">
        <f>S497-R497</f>
        <v/>
      </c>
      <c r="T553" s="1562">
        <f>T497-S497</f>
        <v/>
      </c>
      <c r="U553" s="1562">
        <f>U497-T497</f>
        <v/>
      </c>
      <c r="V553" s="1637">
        <f>V497</f>
        <v/>
      </c>
      <c r="W553" s="1562">
        <f>W497</f>
        <v/>
      </c>
      <c r="X553" s="1562">
        <f>X497-W497</f>
        <v/>
      </c>
      <c r="Y553" s="1562">
        <f>Y497-X497</f>
        <v/>
      </c>
      <c r="Z553" s="1562">
        <f>Z497-Y497</f>
        <v/>
      </c>
      <c r="AA553" s="1637">
        <f>AA497</f>
        <v/>
      </c>
      <c r="AB553" s="1562">
        <f>AB497</f>
        <v/>
      </c>
      <c r="AC553" s="1562">
        <f>AC497-AB497</f>
        <v/>
      </c>
      <c r="AD553" s="1562">
        <f>AD497-AC497</f>
        <v/>
      </c>
      <c r="AE553" s="1562">
        <f>AE497-AD497</f>
        <v/>
      </c>
      <c r="AF553" s="1637">
        <f>AF497</f>
        <v/>
      </c>
      <c r="AG553" s="1562">
        <f>AG497</f>
        <v/>
      </c>
      <c r="AH553" s="1562">
        <f>AH497-AG497</f>
        <v/>
      </c>
      <c r="AI553" s="1562">
        <f>AI497-AH497</f>
        <v/>
      </c>
      <c r="AJ553" s="1562">
        <f>AJ497-AI497</f>
        <v/>
      </c>
      <c r="AK553" s="1637">
        <f>AK497</f>
        <v/>
      </c>
      <c r="AL553" s="1562">
        <f>AL497</f>
        <v/>
      </c>
      <c r="AM553" s="1562">
        <f>AM497-AL497</f>
        <v/>
      </c>
      <c r="AN553" s="1562">
        <f>AN497-AM497</f>
        <v/>
      </c>
      <c r="AO553" s="1562">
        <f>AO497-AN497</f>
        <v/>
      </c>
      <c r="AP553" s="1637">
        <f>AP497</f>
        <v/>
      </c>
      <c r="AQ553" s="1562">
        <f>AQ497</f>
        <v/>
      </c>
      <c r="AR553" s="1562">
        <f>AR497-AQ497</f>
        <v/>
      </c>
      <c r="AS553" s="1562">
        <f>AS497-AR497</f>
        <v/>
      </c>
      <c r="AT553" s="1562">
        <f>AT497-AS497</f>
        <v/>
      </c>
      <c r="AU553" s="1637">
        <f>AU497</f>
        <v/>
      </c>
      <c r="AV553" s="1562">
        <f>AV497</f>
        <v/>
      </c>
      <c r="AW553" s="1562">
        <f>AW497-AV497</f>
        <v/>
      </c>
      <c r="AX553" s="1562">
        <f>AX497-AW497</f>
        <v/>
      </c>
      <c r="AY553" s="1562">
        <f>AY497-AX497</f>
        <v/>
      </c>
      <c r="AZ553" s="1637">
        <f>AZ497</f>
        <v/>
      </c>
      <c r="BA553" s="1562">
        <f>BA497</f>
        <v/>
      </c>
      <c r="BB553" s="1562">
        <f>BB497-BA497</f>
        <v/>
      </c>
      <c r="BC553" s="1562">
        <f>BC497-BB497</f>
        <v/>
      </c>
      <c r="BD553" s="1562">
        <f>BD497-BC497</f>
        <v/>
      </c>
      <c r="BE553" s="1637">
        <f>BE497</f>
        <v/>
      </c>
      <c r="BF553" s="1562">
        <f>BF497</f>
        <v/>
      </c>
      <c r="BG553" s="1562">
        <f>BG497-BF497</f>
        <v/>
      </c>
      <c r="BH553" s="1562">
        <f>BH497-BG497</f>
        <v/>
      </c>
      <c r="BI553" s="1562">
        <f>BI497-BH497</f>
        <v/>
      </c>
      <c r="BJ553" s="1637">
        <f>BJ497</f>
        <v/>
      </c>
      <c r="BK553" s="1562">
        <f>BK497</f>
        <v/>
      </c>
      <c r="BL553" s="1562">
        <f>BL497-BK497</f>
        <v/>
      </c>
      <c r="BM553" s="1562">
        <f>BM497-BL497</f>
        <v/>
      </c>
      <c r="BN553" s="1562">
        <f>BN497-BM497</f>
        <v/>
      </c>
      <c r="BO553" s="1638">
        <f>BO497</f>
        <v/>
      </c>
      <c r="BP553" s="1562" t="n"/>
      <c r="BQ553" s="1562" t="n"/>
      <c r="BR553" s="1562" t="n"/>
      <c r="BS553" s="1562" t="n"/>
      <c r="BT553" s="1637">
        <f>SUM(BP553,BQ553,BR553,BS553)</f>
        <v/>
      </c>
      <c r="BU553" s="1562" t="n"/>
      <c r="BV553" s="1562" t="n"/>
      <c r="BW553" s="1562" t="n"/>
      <c r="BX553" s="1562" t="n"/>
      <c r="BY553" s="1637">
        <f>SUM(BU553,BV553,BW553,BX553)</f>
        <v/>
      </c>
      <c r="BZ553" s="1637" t="n"/>
      <c r="CA553" s="1637" t="n"/>
      <c r="CB553" s="1637" t="n"/>
      <c r="CC553" s="1564" t="n"/>
    </row>
    <row r="554" ht="15" customFormat="1" customHeight="1" s="1561">
      <c r="A554" s="1622">
        <f>A498</f>
        <v/>
      </c>
      <c r="B554" s="1705" t="n"/>
      <c r="C554" s="1637">
        <f>C498</f>
        <v/>
      </c>
      <c r="D554" s="1637">
        <f>D498</f>
        <v/>
      </c>
      <c r="E554" s="1637">
        <f>E498</f>
        <v/>
      </c>
      <c r="F554" s="1637">
        <f>F498</f>
        <v/>
      </c>
      <c r="G554" s="1637">
        <f>G498</f>
        <v/>
      </c>
      <c r="H554" s="1562">
        <f>H498</f>
        <v/>
      </c>
      <c r="I554" s="1562">
        <f>I498-H498</f>
        <v/>
      </c>
      <c r="J554" s="1562">
        <f>J498-I498</f>
        <v/>
      </c>
      <c r="K554" s="1562">
        <f>K498-J498</f>
        <v/>
      </c>
      <c r="L554" s="1637">
        <f>L498</f>
        <v/>
      </c>
      <c r="M554" s="1562">
        <f>M498</f>
        <v/>
      </c>
      <c r="N554" s="1562">
        <f>N498-M498</f>
        <v/>
      </c>
      <c r="O554" s="1562">
        <f>O498-N498</f>
        <v/>
      </c>
      <c r="P554" s="1562">
        <f>P498-O498</f>
        <v/>
      </c>
      <c r="Q554" s="1637">
        <f>Q498</f>
        <v/>
      </c>
      <c r="R554" s="1562">
        <f>R498</f>
        <v/>
      </c>
      <c r="S554" s="1562">
        <f>S498-R498</f>
        <v/>
      </c>
      <c r="T554" s="1562">
        <f>T498-S498</f>
        <v/>
      </c>
      <c r="U554" s="1562">
        <f>U498-T498</f>
        <v/>
      </c>
      <c r="V554" s="1637">
        <f>V498</f>
        <v/>
      </c>
      <c r="W554" s="1562">
        <f>W498</f>
        <v/>
      </c>
      <c r="X554" s="1562">
        <f>X498-W498</f>
        <v/>
      </c>
      <c r="Y554" s="1562">
        <f>Y498-X498</f>
        <v/>
      </c>
      <c r="Z554" s="1562">
        <f>Z498-Y498</f>
        <v/>
      </c>
      <c r="AA554" s="1637">
        <f>AA498</f>
        <v/>
      </c>
      <c r="AB554" s="1562">
        <f>AB498</f>
        <v/>
      </c>
      <c r="AC554" s="1562">
        <f>AC498-AB498</f>
        <v/>
      </c>
      <c r="AD554" s="1562">
        <f>AD498-AC498</f>
        <v/>
      </c>
      <c r="AE554" s="1562">
        <f>AE498-AD498</f>
        <v/>
      </c>
      <c r="AF554" s="1637">
        <f>AF498</f>
        <v/>
      </c>
      <c r="AG554" s="1562">
        <f>AG498</f>
        <v/>
      </c>
      <c r="AH554" s="1562">
        <f>AH498-AG498</f>
        <v/>
      </c>
      <c r="AI554" s="1562">
        <f>AI498-AH498</f>
        <v/>
      </c>
      <c r="AJ554" s="1562">
        <f>AJ498-AI498</f>
        <v/>
      </c>
      <c r="AK554" s="1637">
        <f>AK498</f>
        <v/>
      </c>
      <c r="AL554" s="1562">
        <f>AL498</f>
        <v/>
      </c>
      <c r="AM554" s="1562">
        <f>AM498-AL498</f>
        <v/>
      </c>
      <c r="AN554" s="1562">
        <f>AN498-AM498</f>
        <v/>
      </c>
      <c r="AO554" s="1562">
        <f>AO498-AN498</f>
        <v/>
      </c>
      <c r="AP554" s="1637">
        <f>AP498</f>
        <v/>
      </c>
      <c r="AQ554" s="1562">
        <f>AQ498</f>
        <v/>
      </c>
      <c r="AR554" s="1562">
        <f>AR498-AQ498</f>
        <v/>
      </c>
      <c r="AS554" s="1562">
        <f>AS498-AR498</f>
        <v/>
      </c>
      <c r="AT554" s="1562">
        <f>AT498-AS498</f>
        <v/>
      </c>
      <c r="AU554" s="1637">
        <f>AU498</f>
        <v/>
      </c>
      <c r="AV554" s="1562">
        <f>AV498</f>
        <v/>
      </c>
      <c r="AW554" s="1562">
        <f>AW498-AV498</f>
        <v/>
      </c>
      <c r="AX554" s="1562">
        <f>AX498-AW498</f>
        <v/>
      </c>
      <c r="AY554" s="1562">
        <f>AY498-AX498</f>
        <v/>
      </c>
      <c r="AZ554" s="1637">
        <f>AZ498</f>
        <v/>
      </c>
      <c r="BA554" s="1562">
        <f>BA498</f>
        <v/>
      </c>
      <c r="BB554" s="1562">
        <f>BB498-BA498</f>
        <v/>
      </c>
      <c r="BC554" s="1562">
        <f>BC498-BB498</f>
        <v/>
      </c>
      <c r="BD554" s="1562">
        <f>BD498-BC498</f>
        <v/>
      </c>
      <c r="BE554" s="1637">
        <f>BE498</f>
        <v/>
      </c>
      <c r="BF554" s="1562">
        <f>BF498</f>
        <v/>
      </c>
      <c r="BG554" s="1562">
        <f>BG498-BF498</f>
        <v/>
      </c>
      <c r="BH554" s="1562">
        <f>BH498-BG498</f>
        <v/>
      </c>
      <c r="BI554" s="1562">
        <f>BI498-BH498</f>
        <v/>
      </c>
      <c r="BJ554" s="1637">
        <f>BJ498</f>
        <v/>
      </c>
      <c r="BK554" s="1562">
        <f>BK498</f>
        <v/>
      </c>
      <c r="BL554" s="1562">
        <f>BL498-BK498</f>
        <v/>
      </c>
      <c r="BM554" s="1562">
        <f>BM498-BL498</f>
        <v/>
      </c>
      <c r="BN554" s="1562">
        <f>BN498-BM498</f>
        <v/>
      </c>
      <c r="BO554" s="1638">
        <f>BO498</f>
        <v/>
      </c>
      <c r="BP554" s="1562" t="n"/>
      <c r="BQ554" s="1562" t="n"/>
      <c r="BR554" s="1562" t="n"/>
      <c r="BS554" s="1562" t="n"/>
      <c r="BT554" s="1637">
        <f>SUM(BP554,BQ554,BR554,BS554)</f>
        <v/>
      </c>
      <c r="BU554" s="1562" t="n"/>
      <c r="BV554" s="1562" t="n"/>
      <c r="BW554" s="1562" t="n"/>
      <c r="BX554" s="1562" t="n"/>
      <c r="BY554" s="1637">
        <f>SUM(BU554,BV554,BW554,BX554)</f>
        <v/>
      </c>
      <c r="BZ554" s="1637" t="n"/>
      <c r="CA554" s="1637" t="n"/>
      <c r="CB554" s="1637" t="n"/>
      <c r="CC554" s="1564" t="n"/>
    </row>
    <row r="555" ht="15" customFormat="1" customHeight="1" s="1561">
      <c r="A555" s="1622">
        <f>A499</f>
        <v/>
      </c>
      <c r="B555" s="1705" t="n"/>
      <c r="C555" s="1637">
        <f>C499</f>
        <v/>
      </c>
      <c r="D555" s="1637">
        <f>D499</f>
        <v/>
      </c>
      <c r="E555" s="1637">
        <f>E499</f>
        <v/>
      </c>
      <c r="F555" s="1637">
        <f>F499</f>
        <v/>
      </c>
      <c r="G555" s="1637">
        <f>G499</f>
        <v/>
      </c>
      <c r="H555" s="1562">
        <f>H499</f>
        <v/>
      </c>
      <c r="I555" s="1562">
        <f>I499-H499</f>
        <v/>
      </c>
      <c r="J555" s="1562">
        <f>J499-I499</f>
        <v/>
      </c>
      <c r="K555" s="1562">
        <f>K499-J499</f>
        <v/>
      </c>
      <c r="L555" s="1637">
        <f>L499</f>
        <v/>
      </c>
      <c r="M555" s="1562">
        <f>M499</f>
        <v/>
      </c>
      <c r="N555" s="1562">
        <f>N499-M499</f>
        <v/>
      </c>
      <c r="O555" s="1562">
        <f>O499-N499</f>
        <v/>
      </c>
      <c r="P555" s="1562">
        <f>P499-O499</f>
        <v/>
      </c>
      <c r="Q555" s="1637">
        <f>Q499</f>
        <v/>
      </c>
      <c r="R555" s="1562">
        <f>R499</f>
        <v/>
      </c>
      <c r="S555" s="1562">
        <f>S499-R499</f>
        <v/>
      </c>
      <c r="T555" s="1562">
        <f>T499-S499</f>
        <v/>
      </c>
      <c r="U555" s="1562">
        <f>U499-T499</f>
        <v/>
      </c>
      <c r="V555" s="1637">
        <f>V499</f>
        <v/>
      </c>
      <c r="W555" s="1562">
        <f>W499</f>
        <v/>
      </c>
      <c r="X555" s="1562">
        <f>X499-W499</f>
        <v/>
      </c>
      <c r="Y555" s="1562">
        <f>Y499-X499</f>
        <v/>
      </c>
      <c r="Z555" s="1562">
        <f>Z499-Y499</f>
        <v/>
      </c>
      <c r="AA555" s="1637">
        <f>AA499</f>
        <v/>
      </c>
      <c r="AB555" s="1562">
        <f>AB499</f>
        <v/>
      </c>
      <c r="AC555" s="1562">
        <f>AC499-AB499</f>
        <v/>
      </c>
      <c r="AD555" s="1562">
        <f>AD499-AC499</f>
        <v/>
      </c>
      <c r="AE555" s="1562">
        <f>AE499-AD499</f>
        <v/>
      </c>
      <c r="AF555" s="1637">
        <f>AF499</f>
        <v/>
      </c>
      <c r="AG555" s="1562">
        <f>AG499</f>
        <v/>
      </c>
      <c r="AH555" s="1562">
        <f>AH499-AG499</f>
        <v/>
      </c>
      <c r="AI555" s="1562">
        <f>AI499-AH499</f>
        <v/>
      </c>
      <c r="AJ555" s="1562">
        <f>AJ499-AI499</f>
        <v/>
      </c>
      <c r="AK555" s="1637">
        <f>AK499</f>
        <v/>
      </c>
      <c r="AL555" s="1562">
        <f>AL499</f>
        <v/>
      </c>
      <c r="AM555" s="1562">
        <f>AM499-AL499</f>
        <v/>
      </c>
      <c r="AN555" s="1562">
        <f>AN499-AM499</f>
        <v/>
      </c>
      <c r="AO555" s="1562">
        <f>AO499-AN499</f>
        <v/>
      </c>
      <c r="AP555" s="1637">
        <f>AP499</f>
        <v/>
      </c>
      <c r="AQ555" s="1562">
        <f>AQ499</f>
        <v/>
      </c>
      <c r="AR555" s="1562">
        <f>AR499-AQ499</f>
        <v/>
      </c>
      <c r="AS555" s="1562">
        <f>AS499-AR499</f>
        <v/>
      </c>
      <c r="AT555" s="1562">
        <f>AT499-AS499</f>
        <v/>
      </c>
      <c r="AU555" s="1637">
        <f>AU499</f>
        <v/>
      </c>
      <c r="AV555" s="1562">
        <f>AV499</f>
        <v/>
      </c>
      <c r="AW555" s="1562">
        <f>AW499-AV499</f>
        <v/>
      </c>
      <c r="AX555" s="1562">
        <f>AX499-AW499</f>
        <v/>
      </c>
      <c r="AY555" s="1562">
        <f>AY499-AX499</f>
        <v/>
      </c>
      <c r="AZ555" s="1637">
        <f>AZ499</f>
        <v/>
      </c>
      <c r="BA555" s="1562">
        <f>BA499</f>
        <v/>
      </c>
      <c r="BB555" s="1562">
        <f>BB499-BA499</f>
        <v/>
      </c>
      <c r="BC555" s="1562">
        <f>BC499-BB499</f>
        <v/>
      </c>
      <c r="BD555" s="1562">
        <f>BD499-BC499</f>
        <v/>
      </c>
      <c r="BE555" s="1637">
        <f>BE499</f>
        <v/>
      </c>
      <c r="BF555" s="1562">
        <f>BF499</f>
        <v/>
      </c>
      <c r="BG555" s="1562">
        <f>BG499-BF499</f>
        <v/>
      </c>
      <c r="BH555" s="1562">
        <f>BH499-BG499</f>
        <v/>
      </c>
      <c r="BI555" s="1562">
        <f>BI499-BH499</f>
        <v/>
      </c>
      <c r="BJ555" s="1637">
        <f>BJ499</f>
        <v/>
      </c>
      <c r="BK555" s="1562">
        <f>BK499</f>
        <v/>
      </c>
      <c r="BL555" s="1562">
        <f>BL499-BK499</f>
        <v/>
      </c>
      <c r="BM555" s="1562">
        <f>BM499-BL499</f>
        <v/>
      </c>
      <c r="BN555" s="1562">
        <f>BN499-BM499</f>
        <v/>
      </c>
      <c r="BO555" s="1638">
        <f>BO499</f>
        <v/>
      </c>
      <c r="BP555" s="1562" t="n"/>
      <c r="BQ555" s="1562" t="n"/>
      <c r="BR555" s="1562" t="n"/>
      <c r="BS555" s="1562" t="n"/>
      <c r="BT555" s="1637">
        <f>SUM(BP555,BQ555,BR555,BS555)</f>
        <v/>
      </c>
      <c r="BU555" s="1562" t="n"/>
      <c r="BV555" s="1562" t="n"/>
      <c r="BW555" s="1562" t="n"/>
      <c r="BX555" s="1562" t="n"/>
      <c r="BY555" s="1637">
        <f>SUM(BU555,BV555,BW555,BX555)</f>
        <v/>
      </c>
      <c r="BZ555" s="1637" t="n"/>
      <c r="CA555" s="1637" t="n"/>
      <c r="CB555" s="1637" t="n"/>
      <c r="CC555" s="1564" t="n"/>
    </row>
    <row r="556" ht="15" customFormat="1" customHeight="1" s="1561">
      <c r="A556" s="1622">
        <f>A500</f>
        <v/>
      </c>
      <c r="B556" s="1705" t="n"/>
      <c r="C556" s="1637">
        <f>C500</f>
        <v/>
      </c>
      <c r="D556" s="1637">
        <f>D500</f>
        <v/>
      </c>
      <c r="E556" s="1637">
        <f>E500</f>
        <v/>
      </c>
      <c r="F556" s="1637">
        <f>F500</f>
        <v/>
      </c>
      <c r="G556" s="1637">
        <f>G500</f>
        <v/>
      </c>
      <c r="H556" s="1562">
        <f>H500</f>
        <v/>
      </c>
      <c r="I556" s="1562">
        <f>I500-H500</f>
        <v/>
      </c>
      <c r="J556" s="1562">
        <f>J500-I500</f>
        <v/>
      </c>
      <c r="K556" s="1562">
        <f>K500-J500</f>
        <v/>
      </c>
      <c r="L556" s="1637">
        <f>L500</f>
        <v/>
      </c>
      <c r="M556" s="1562">
        <f>M500</f>
        <v/>
      </c>
      <c r="N556" s="1562">
        <f>N500-M500</f>
        <v/>
      </c>
      <c r="O556" s="1562">
        <f>O500-N500</f>
        <v/>
      </c>
      <c r="P556" s="1562">
        <f>P500-O500</f>
        <v/>
      </c>
      <c r="Q556" s="1637">
        <f>Q500</f>
        <v/>
      </c>
      <c r="R556" s="1562">
        <f>R500</f>
        <v/>
      </c>
      <c r="S556" s="1562">
        <f>S500-R500</f>
        <v/>
      </c>
      <c r="T556" s="1562">
        <f>T500-S500</f>
        <v/>
      </c>
      <c r="U556" s="1562">
        <f>U500-T500</f>
        <v/>
      </c>
      <c r="V556" s="1637">
        <f>V500</f>
        <v/>
      </c>
      <c r="W556" s="1562">
        <f>W500</f>
        <v/>
      </c>
      <c r="X556" s="1562">
        <f>X500-W500</f>
        <v/>
      </c>
      <c r="Y556" s="1562">
        <f>Y500-X500</f>
        <v/>
      </c>
      <c r="Z556" s="1562">
        <f>Z500-Y500</f>
        <v/>
      </c>
      <c r="AA556" s="1637">
        <f>AA500</f>
        <v/>
      </c>
      <c r="AB556" s="1562">
        <f>AB500</f>
        <v/>
      </c>
      <c r="AC556" s="1562">
        <f>AC500-AB500</f>
        <v/>
      </c>
      <c r="AD556" s="1562">
        <f>AD500-AC500</f>
        <v/>
      </c>
      <c r="AE556" s="1562">
        <f>AE500-AD500</f>
        <v/>
      </c>
      <c r="AF556" s="1637">
        <f>AF500</f>
        <v/>
      </c>
      <c r="AG556" s="1562">
        <f>AG500</f>
        <v/>
      </c>
      <c r="AH556" s="1562">
        <f>AH500-AG500</f>
        <v/>
      </c>
      <c r="AI556" s="1562">
        <f>AI500-AH500</f>
        <v/>
      </c>
      <c r="AJ556" s="1562">
        <f>AJ500-AI500</f>
        <v/>
      </c>
      <c r="AK556" s="1637">
        <f>AK500</f>
        <v/>
      </c>
      <c r="AL556" s="1562">
        <f>AL500</f>
        <v/>
      </c>
      <c r="AM556" s="1562">
        <f>AM500-AL500</f>
        <v/>
      </c>
      <c r="AN556" s="1562">
        <f>AN500-AM500</f>
        <v/>
      </c>
      <c r="AO556" s="1562">
        <f>AO500-AN500</f>
        <v/>
      </c>
      <c r="AP556" s="1637">
        <f>AP500</f>
        <v/>
      </c>
      <c r="AQ556" s="1562">
        <f>AQ500</f>
        <v/>
      </c>
      <c r="AR556" s="1562">
        <f>AR500-AQ500</f>
        <v/>
      </c>
      <c r="AS556" s="1562">
        <f>AS500-AR500</f>
        <v/>
      </c>
      <c r="AT556" s="1562">
        <f>AT500-AS500</f>
        <v/>
      </c>
      <c r="AU556" s="1637">
        <f>AU500</f>
        <v/>
      </c>
      <c r="AV556" s="1562">
        <f>AV500</f>
        <v/>
      </c>
      <c r="AW556" s="1562">
        <f>AW500-AV500</f>
        <v/>
      </c>
      <c r="AX556" s="1562">
        <f>AX500-AW500</f>
        <v/>
      </c>
      <c r="AY556" s="1562">
        <f>AY500-AX500</f>
        <v/>
      </c>
      <c r="AZ556" s="1637">
        <f>AZ500</f>
        <v/>
      </c>
      <c r="BA556" s="1562">
        <f>BA500</f>
        <v/>
      </c>
      <c r="BB556" s="1562">
        <f>BB500-BA500</f>
        <v/>
      </c>
      <c r="BC556" s="1562">
        <f>BC500-BB500</f>
        <v/>
      </c>
      <c r="BD556" s="1562">
        <f>BD500-BC500</f>
        <v/>
      </c>
      <c r="BE556" s="1637">
        <f>BE500</f>
        <v/>
      </c>
      <c r="BF556" s="1562">
        <f>BF500</f>
        <v/>
      </c>
      <c r="BG556" s="1562">
        <f>BG500-BF500</f>
        <v/>
      </c>
      <c r="BH556" s="1562">
        <f>BH500-BG500</f>
        <v/>
      </c>
      <c r="BI556" s="1562">
        <f>BI500-BH500</f>
        <v/>
      </c>
      <c r="BJ556" s="1637">
        <f>BJ500</f>
        <v/>
      </c>
      <c r="BK556" s="1562">
        <f>BK500</f>
        <v/>
      </c>
      <c r="BL556" s="1562">
        <f>BL500-BK500</f>
        <v/>
      </c>
      <c r="BM556" s="1562">
        <f>BM500-BL500</f>
        <v/>
      </c>
      <c r="BN556" s="1562">
        <f>BN500-BM500</f>
        <v/>
      </c>
      <c r="BO556" s="1638">
        <f>BO500</f>
        <v/>
      </c>
      <c r="BP556" s="1562" t="n"/>
      <c r="BQ556" s="1562" t="n"/>
      <c r="BR556" s="1562" t="n"/>
      <c r="BS556" s="1562" t="n"/>
      <c r="BT556" s="1637">
        <f>SUM(BP556,BQ556,BR556,BS556)</f>
        <v/>
      </c>
      <c r="BU556" s="1562" t="n"/>
      <c r="BV556" s="1562" t="n"/>
      <c r="BW556" s="1562" t="n"/>
      <c r="BX556" s="1562" t="n"/>
      <c r="BY556" s="1637">
        <f>SUM(BU556,BV556,BW556,BX556)</f>
        <v/>
      </c>
      <c r="BZ556" s="1637" t="n"/>
      <c r="CA556" s="1637" t="n"/>
      <c r="CB556" s="1637" t="n"/>
      <c r="CC556" s="1564" t="n"/>
    </row>
    <row r="557" ht="15" customFormat="1" customHeight="1" s="1561">
      <c r="A557" s="1622">
        <f>A501</f>
        <v/>
      </c>
      <c r="B557" s="1705" t="n"/>
      <c r="C557" s="1637">
        <f>C501</f>
        <v/>
      </c>
      <c r="D557" s="1637">
        <f>D501</f>
        <v/>
      </c>
      <c r="E557" s="1637">
        <f>E501</f>
        <v/>
      </c>
      <c r="F557" s="1637">
        <f>F501</f>
        <v/>
      </c>
      <c r="G557" s="1637">
        <f>G501</f>
        <v/>
      </c>
      <c r="H557" s="1562">
        <f>H501</f>
        <v/>
      </c>
      <c r="I557" s="1562">
        <f>I501-H501</f>
        <v/>
      </c>
      <c r="J557" s="1562">
        <f>J501-I501</f>
        <v/>
      </c>
      <c r="K557" s="1562">
        <f>K501-J501</f>
        <v/>
      </c>
      <c r="L557" s="1637">
        <f>L501</f>
        <v/>
      </c>
      <c r="M557" s="1562">
        <f>M501</f>
        <v/>
      </c>
      <c r="N557" s="1562">
        <f>N501-M501</f>
        <v/>
      </c>
      <c r="O557" s="1562">
        <f>O501-N501</f>
        <v/>
      </c>
      <c r="P557" s="1562">
        <f>P501-O501</f>
        <v/>
      </c>
      <c r="Q557" s="1637">
        <f>Q501</f>
        <v/>
      </c>
      <c r="R557" s="1562">
        <f>R501</f>
        <v/>
      </c>
      <c r="S557" s="1562">
        <f>S501-R501</f>
        <v/>
      </c>
      <c r="T557" s="1562">
        <f>T501-S501</f>
        <v/>
      </c>
      <c r="U557" s="1562">
        <f>U501-T501</f>
        <v/>
      </c>
      <c r="V557" s="1637">
        <f>V501</f>
        <v/>
      </c>
      <c r="W557" s="1562">
        <f>W501</f>
        <v/>
      </c>
      <c r="X557" s="1562">
        <f>X501-W501</f>
        <v/>
      </c>
      <c r="Y557" s="1562">
        <f>Y501-X501</f>
        <v/>
      </c>
      <c r="Z557" s="1562">
        <f>Z501-Y501</f>
        <v/>
      </c>
      <c r="AA557" s="1637">
        <f>AA501</f>
        <v/>
      </c>
      <c r="AB557" s="1562">
        <f>AB501</f>
        <v/>
      </c>
      <c r="AC557" s="1562">
        <f>AC501-AB501</f>
        <v/>
      </c>
      <c r="AD557" s="1562">
        <f>AD501-AC501</f>
        <v/>
      </c>
      <c r="AE557" s="1562">
        <f>AE501-AD501</f>
        <v/>
      </c>
      <c r="AF557" s="1637">
        <f>AF501</f>
        <v/>
      </c>
      <c r="AG557" s="1562">
        <f>AG501</f>
        <v/>
      </c>
      <c r="AH557" s="1562">
        <f>AH501-AG501</f>
        <v/>
      </c>
      <c r="AI557" s="1562">
        <f>AI501-AH501</f>
        <v/>
      </c>
      <c r="AJ557" s="1562">
        <f>AJ501-AI501</f>
        <v/>
      </c>
      <c r="AK557" s="1637">
        <f>AK501</f>
        <v/>
      </c>
      <c r="AL557" s="1562">
        <f>AL501</f>
        <v/>
      </c>
      <c r="AM557" s="1562">
        <f>AM501-AL501</f>
        <v/>
      </c>
      <c r="AN557" s="1562">
        <f>AN501-AM501</f>
        <v/>
      </c>
      <c r="AO557" s="1562">
        <f>AO501-AN501</f>
        <v/>
      </c>
      <c r="AP557" s="1637">
        <f>AP501</f>
        <v/>
      </c>
      <c r="AQ557" s="1562">
        <f>AQ501</f>
        <v/>
      </c>
      <c r="AR557" s="1562">
        <f>AR501-AQ501</f>
        <v/>
      </c>
      <c r="AS557" s="1562">
        <f>AS501-AR501</f>
        <v/>
      </c>
      <c r="AT557" s="1562">
        <f>AT501-AS501</f>
        <v/>
      </c>
      <c r="AU557" s="1637">
        <f>AU501</f>
        <v/>
      </c>
      <c r="AV557" s="1562">
        <f>AV501</f>
        <v/>
      </c>
      <c r="AW557" s="1562">
        <f>AW501-AV501</f>
        <v/>
      </c>
      <c r="AX557" s="1562">
        <f>AX501-AW501</f>
        <v/>
      </c>
      <c r="AY557" s="1562">
        <f>AY501-AX501</f>
        <v/>
      </c>
      <c r="AZ557" s="1637">
        <f>AZ501</f>
        <v/>
      </c>
      <c r="BA557" s="1562">
        <f>BA501</f>
        <v/>
      </c>
      <c r="BB557" s="1562">
        <f>BB501-BA501</f>
        <v/>
      </c>
      <c r="BC557" s="1562">
        <f>BC501-BB501</f>
        <v/>
      </c>
      <c r="BD557" s="1562">
        <f>BD501-BC501</f>
        <v/>
      </c>
      <c r="BE557" s="1637">
        <f>BE501</f>
        <v/>
      </c>
      <c r="BF557" s="1562">
        <f>BF501</f>
        <v/>
      </c>
      <c r="BG557" s="1562">
        <f>BG501-BF501</f>
        <v/>
      </c>
      <c r="BH557" s="1562">
        <f>BH501-BG501</f>
        <v/>
      </c>
      <c r="BI557" s="1562">
        <f>BI501-BH501</f>
        <v/>
      </c>
      <c r="BJ557" s="1637">
        <f>BJ501</f>
        <v/>
      </c>
      <c r="BK557" s="1562">
        <f>BK501</f>
        <v/>
      </c>
      <c r="BL557" s="1562">
        <f>BL501-BK501</f>
        <v/>
      </c>
      <c r="BM557" s="1562">
        <f>BM501-BL501</f>
        <v/>
      </c>
      <c r="BN557" s="1562">
        <f>BN501-BM501</f>
        <v/>
      </c>
      <c r="BO557" s="1638">
        <f>BO501</f>
        <v/>
      </c>
      <c r="BP557" s="1562" t="n"/>
      <c r="BQ557" s="1562" t="n"/>
      <c r="BR557" s="1562" t="n"/>
      <c r="BS557" s="1562" t="n"/>
      <c r="BT557" s="1637">
        <f>SUM(BP557,BQ557,BR557,BS557)</f>
        <v/>
      </c>
      <c r="BU557" s="1562" t="n"/>
      <c r="BV557" s="1562" t="n"/>
      <c r="BW557" s="1562" t="n"/>
      <c r="BX557" s="1562" t="n"/>
      <c r="BY557" s="1637">
        <f>SUM(BU557,BV557,BW557,BX557)</f>
        <v/>
      </c>
      <c r="BZ557" s="1637" t="n"/>
      <c r="CA557" s="1637" t="n"/>
      <c r="CB557" s="1637" t="n"/>
      <c r="CC557" s="1564" t="n"/>
    </row>
    <row r="558" ht="15" customFormat="1" customHeight="1" s="1561">
      <c r="A558" s="1622">
        <f>A502</f>
        <v/>
      </c>
      <c r="B558" s="1705" t="n"/>
      <c r="C558" s="1637">
        <f>C502</f>
        <v/>
      </c>
      <c r="D558" s="1637">
        <f>D502</f>
        <v/>
      </c>
      <c r="E558" s="1637">
        <f>E502</f>
        <v/>
      </c>
      <c r="F558" s="1637">
        <f>F502</f>
        <v/>
      </c>
      <c r="G558" s="1637">
        <f>G502</f>
        <v/>
      </c>
      <c r="H558" s="1562">
        <f>H502</f>
        <v/>
      </c>
      <c r="I558" s="1562">
        <f>I502-H502</f>
        <v/>
      </c>
      <c r="J558" s="1562">
        <f>J502-I502</f>
        <v/>
      </c>
      <c r="K558" s="1562">
        <f>K502-J502</f>
        <v/>
      </c>
      <c r="L558" s="1637">
        <f>L502</f>
        <v/>
      </c>
      <c r="M558" s="1562">
        <f>M502</f>
        <v/>
      </c>
      <c r="N558" s="1562">
        <f>N502-M502</f>
        <v/>
      </c>
      <c r="O558" s="1562">
        <f>O502-N502</f>
        <v/>
      </c>
      <c r="P558" s="1562">
        <f>P502-O502</f>
        <v/>
      </c>
      <c r="Q558" s="1637">
        <f>Q502</f>
        <v/>
      </c>
      <c r="R558" s="1562">
        <f>R502</f>
        <v/>
      </c>
      <c r="S558" s="1562">
        <f>S502-R502</f>
        <v/>
      </c>
      <c r="T558" s="1562">
        <f>T502-S502</f>
        <v/>
      </c>
      <c r="U558" s="1562">
        <f>U502-T502</f>
        <v/>
      </c>
      <c r="V558" s="1637">
        <f>V502</f>
        <v/>
      </c>
      <c r="W558" s="1562">
        <f>W502</f>
        <v/>
      </c>
      <c r="X558" s="1562">
        <f>X502-W502</f>
        <v/>
      </c>
      <c r="Y558" s="1562">
        <f>Y502-X502</f>
        <v/>
      </c>
      <c r="Z558" s="1562">
        <f>Z502-Y502</f>
        <v/>
      </c>
      <c r="AA558" s="1637">
        <f>AA502</f>
        <v/>
      </c>
      <c r="AB558" s="1562">
        <f>AB502</f>
        <v/>
      </c>
      <c r="AC558" s="1562">
        <f>AC502-AB502</f>
        <v/>
      </c>
      <c r="AD558" s="1562">
        <f>AD502-AC502</f>
        <v/>
      </c>
      <c r="AE558" s="1562">
        <f>AE502-AD502</f>
        <v/>
      </c>
      <c r="AF558" s="1637">
        <f>AF502</f>
        <v/>
      </c>
      <c r="AG558" s="1562">
        <f>AG502</f>
        <v/>
      </c>
      <c r="AH558" s="1562">
        <f>AH502-AG502</f>
        <v/>
      </c>
      <c r="AI558" s="1562">
        <f>AI502-AH502</f>
        <v/>
      </c>
      <c r="AJ558" s="1562">
        <f>AJ502-AI502</f>
        <v/>
      </c>
      <c r="AK558" s="1637">
        <f>AK502</f>
        <v/>
      </c>
      <c r="AL558" s="1562">
        <f>AL502</f>
        <v/>
      </c>
      <c r="AM558" s="1562">
        <f>AM502-AL502</f>
        <v/>
      </c>
      <c r="AN558" s="1562">
        <f>AN502-AM502</f>
        <v/>
      </c>
      <c r="AO558" s="1562">
        <f>AO502-AN502</f>
        <v/>
      </c>
      <c r="AP558" s="1637">
        <f>AP502</f>
        <v/>
      </c>
      <c r="AQ558" s="1562">
        <f>AQ502</f>
        <v/>
      </c>
      <c r="AR558" s="1562">
        <f>AR502-AQ502</f>
        <v/>
      </c>
      <c r="AS558" s="1562">
        <f>AS502-AR502</f>
        <v/>
      </c>
      <c r="AT558" s="1562">
        <f>AT502-AS502</f>
        <v/>
      </c>
      <c r="AU558" s="1637">
        <f>AU502</f>
        <v/>
      </c>
      <c r="AV558" s="1562">
        <f>AV502</f>
        <v/>
      </c>
      <c r="AW558" s="1562">
        <f>AW502-AV502</f>
        <v/>
      </c>
      <c r="AX558" s="1562">
        <f>AX502-AW502</f>
        <v/>
      </c>
      <c r="AY558" s="1562">
        <f>AY502-AX502</f>
        <v/>
      </c>
      <c r="AZ558" s="1637">
        <f>AZ502</f>
        <v/>
      </c>
      <c r="BA558" s="1562">
        <f>BA502</f>
        <v/>
      </c>
      <c r="BB558" s="1562">
        <f>BB502-BA502</f>
        <v/>
      </c>
      <c r="BC558" s="1562">
        <f>BC502-BB502</f>
        <v/>
      </c>
      <c r="BD558" s="1562">
        <f>BD502-BC502</f>
        <v/>
      </c>
      <c r="BE558" s="1637">
        <f>BE502</f>
        <v/>
      </c>
      <c r="BF558" s="1562">
        <f>BF502</f>
        <v/>
      </c>
      <c r="BG558" s="1562">
        <f>BG502-BF502</f>
        <v/>
      </c>
      <c r="BH558" s="1562">
        <f>BH502-BG502</f>
        <v/>
      </c>
      <c r="BI558" s="1562">
        <f>BI502-BH502</f>
        <v/>
      </c>
      <c r="BJ558" s="1637">
        <f>BJ502</f>
        <v/>
      </c>
      <c r="BK558" s="1562">
        <f>BK502</f>
        <v/>
      </c>
      <c r="BL558" s="1562">
        <f>BL502-BK502</f>
        <v/>
      </c>
      <c r="BM558" s="1562">
        <f>BM502-BL502</f>
        <v/>
      </c>
      <c r="BN558" s="1562">
        <f>BN502-BM502</f>
        <v/>
      </c>
      <c r="BO558" s="1638">
        <f>BO502</f>
        <v/>
      </c>
      <c r="BP558" s="1562">
        <f>BP406</f>
        <v/>
      </c>
      <c r="BQ558" s="1562">
        <f>BQ406</f>
        <v/>
      </c>
      <c r="BR558" s="1562">
        <f>BR406</f>
        <v/>
      </c>
      <c r="BS558" s="1562">
        <f>BS406</f>
        <v/>
      </c>
      <c r="BT558" s="1637">
        <f>SUM(BP558,BQ558,BR558,BS558)</f>
        <v/>
      </c>
      <c r="BU558" s="1562">
        <f>BU406</f>
        <v/>
      </c>
      <c r="BV558" s="1562">
        <f>BV406</f>
        <v/>
      </c>
      <c r="BW558" s="1562">
        <f>BW406</f>
        <v/>
      </c>
      <c r="BX558" s="1562">
        <f>BX406</f>
        <v/>
      </c>
      <c r="BY558" s="1637">
        <f>SUM(BU558,BV558,BW558,BX558)</f>
        <v/>
      </c>
      <c r="BZ558" s="1637">
        <f>BZ406</f>
        <v/>
      </c>
      <c r="CA558" s="1637">
        <f>CA406</f>
        <v/>
      </c>
      <c r="CB558" s="1637">
        <f>CB406</f>
        <v/>
      </c>
      <c r="CC558" s="1564" t="n"/>
    </row>
    <row r="559" ht="15" customFormat="1" customHeight="1" s="1561">
      <c r="A559" s="1702">
        <f>A503</f>
        <v/>
      </c>
      <c r="B559" s="1708" t="n"/>
      <c r="C559" s="1712">
        <f>C503</f>
        <v/>
      </c>
      <c r="D559" s="1712">
        <f>D503</f>
        <v/>
      </c>
      <c r="E559" s="1712">
        <f>E503</f>
        <v/>
      </c>
      <c r="F559" s="1712">
        <f>F503</f>
        <v/>
      </c>
      <c r="G559" s="1712">
        <f>G503</f>
        <v/>
      </c>
      <c r="H559" s="1710">
        <f>H503</f>
        <v/>
      </c>
      <c r="I559" s="1710">
        <f>I503-H503</f>
        <v/>
      </c>
      <c r="J559" s="1710">
        <f>J503-I503</f>
        <v/>
      </c>
      <c r="K559" s="1710">
        <f>K503-J503</f>
        <v/>
      </c>
      <c r="L559" s="1712">
        <f>L503</f>
        <v/>
      </c>
      <c r="M559" s="1710">
        <f>M503</f>
        <v/>
      </c>
      <c r="N559" s="1710">
        <f>N503-M503</f>
        <v/>
      </c>
      <c r="O559" s="1710">
        <f>O503-N503</f>
        <v/>
      </c>
      <c r="P559" s="1710">
        <f>P503-O503</f>
        <v/>
      </c>
      <c r="Q559" s="1712">
        <f>Q503</f>
        <v/>
      </c>
      <c r="R559" s="1710">
        <f>R503</f>
        <v/>
      </c>
      <c r="S559" s="1710">
        <f>S503-R503</f>
        <v/>
      </c>
      <c r="T559" s="1710">
        <f>T503-S503</f>
        <v/>
      </c>
      <c r="U559" s="1710">
        <f>U503-T503</f>
        <v/>
      </c>
      <c r="V559" s="1712">
        <f>V503</f>
        <v/>
      </c>
      <c r="W559" s="1710">
        <f>W503</f>
        <v/>
      </c>
      <c r="X559" s="1710">
        <f>X503-W503</f>
        <v/>
      </c>
      <c r="Y559" s="1710">
        <f>Y503-X503</f>
        <v/>
      </c>
      <c r="Z559" s="1710">
        <f>Z503-Y503</f>
        <v/>
      </c>
      <c r="AA559" s="1712">
        <f>AA503</f>
        <v/>
      </c>
      <c r="AB559" s="1710">
        <f>AB503</f>
        <v/>
      </c>
      <c r="AC559" s="1710">
        <f>AC503-AB503</f>
        <v/>
      </c>
      <c r="AD559" s="1710">
        <f>AD503-AC503</f>
        <v/>
      </c>
      <c r="AE559" s="1710">
        <f>AE503-AD503</f>
        <v/>
      </c>
      <c r="AF559" s="1712">
        <f>AF503</f>
        <v/>
      </c>
      <c r="AG559" s="1710">
        <f>AG503</f>
        <v/>
      </c>
      <c r="AH559" s="1710">
        <f>AH503-AG503</f>
        <v/>
      </c>
      <c r="AI559" s="1710">
        <f>AI503-AH503</f>
        <v/>
      </c>
      <c r="AJ559" s="1710">
        <f>AJ503-AI503</f>
        <v/>
      </c>
      <c r="AK559" s="1712">
        <f>AK503</f>
        <v/>
      </c>
      <c r="AL559" s="1710">
        <f>AL503</f>
        <v/>
      </c>
      <c r="AM559" s="1710">
        <f>AM503-AL503</f>
        <v/>
      </c>
      <c r="AN559" s="1710">
        <f>AN503-AM503</f>
        <v/>
      </c>
      <c r="AO559" s="1710">
        <f>AO503-AN503</f>
        <v/>
      </c>
      <c r="AP559" s="1712">
        <f>AP503</f>
        <v/>
      </c>
      <c r="AQ559" s="1710">
        <f>AQ503</f>
        <v/>
      </c>
      <c r="AR559" s="1710">
        <f>AR503-AQ503</f>
        <v/>
      </c>
      <c r="AS559" s="1710">
        <f>AS503-AR503</f>
        <v/>
      </c>
      <c r="AT559" s="1710">
        <f>AT503-AS503</f>
        <v/>
      </c>
      <c r="AU559" s="1712">
        <f>AU503</f>
        <v/>
      </c>
      <c r="AV559" s="1710">
        <f>AV503</f>
        <v/>
      </c>
      <c r="AW559" s="1710">
        <f>AW503-AV503</f>
        <v/>
      </c>
      <c r="AX559" s="1710">
        <f>AX503-AW503</f>
        <v/>
      </c>
      <c r="AY559" s="1710">
        <f>AY503-AX503</f>
        <v/>
      </c>
      <c r="AZ559" s="1712">
        <f>AZ503</f>
        <v/>
      </c>
      <c r="BA559" s="1710">
        <f>BA503</f>
        <v/>
      </c>
      <c r="BB559" s="1710">
        <f>BB503-BA503</f>
        <v/>
      </c>
      <c r="BC559" s="1710">
        <f>BC503-BB503</f>
        <v/>
      </c>
      <c r="BD559" s="1710">
        <f>BD503-BC503</f>
        <v/>
      </c>
      <c r="BE559" s="1712">
        <f>BE503</f>
        <v/>
      </c>
      <c r="BF559" s="1710">
        <f>BF503</f>
        <v/>
      </c>
      <c r="BG559" s="1710">
        <f>BG503-BF503</f>
        <v/>
      </c>
      <c r="BH559" s="1710">
        <f>BH503-BG503</f>
        <v/>
      </c>
      <c r="BI559" s="1710">
        <f>BI503-BH503</f>
        <v/>
      </c>
      <c r="BJ559" s="1712">
        <f>BJ503</f>
        <v/>
      </c>
      <c r="BK559" s="1710">
        <f>BK503</f>
        <v/>
      </c>
      <c r="BL559" s="1710">
        <f>BL503-BK503</f>
        <v/>
      </c>
      <c r="BM559" s="1710">
        <f>BM503-BL503</f>
        <v/>
      </c>
      <c r="BN559" s="1710">
        <f>BN503-BM503</f>
        <v/>
      </c>
      <c r="BO559" s="1711">
        <f>BO503</f>
        <v/>
      </c>
      <c r="BP559" s="1710">
        <f>BP405</f>
        <v/>
      </c>
      <c r="BQ559" s="1710">
        <f>BQ405</f>
        <v/>
      </c>
      <c r="BR559" s="1710">
        <f>BR405</f>
        <v/>
      </c>
      <c r="BS559" s="1710">
        <f>BS405</f>
        <v/>
      </c>
      <c r="BT559" s="1712">
        <f>SUM(BP559,BQ559,BR559,BS559)</f>
        <v/>
      </c>
      <c r="BU559" s="1710">
        <f>BU405</f>
        <v/>
      </c>
      <c r="BV559" s="1710">
        <f>BV405</f>
        <v/>
      </c>
      <c r="BW559" s="1710">
        <f>BW405</f>
        <v/>
      </c>
      <c r="BX559" s="1710">
        <f>BX405</f>
        <v/>
      </c>
      <c r="BY559" s="1712">
        <f>SUM(BU559,BV559,BW559,BX559)</f>
        <v/>
      </c>
      <c r="BZ559" s="1712">
        <f>BZ405</f>
        <v/>
      </c>
      <c r="CA559" s="1712">
        <f>CA405</f>
        <v/>
      </c>
      <c r="CB559" s="1712">
        <f>CB405</f>
        <v/>
      </c>
      <c r="CC559" s="1564" t="n"/>
    </row>
    <row r="560" ht="15" customFormat="1" customHeight="1" s="1628">
      <c r="A560" s="1629">
        <f>A504</f>
        <v/>
      </c>
      <c r="B560" s="1793" t="n"/>
      <c r="C560" s="1641">
        <f>SUM(C549:C559)</f>
        <v/>
      </c>
      <c r="D560" s="1641">
        <f>SUM(D549:D559)</f>
        <v/>
      </c>
      <c r="E560" s="1641">
        <f>SUM(E549:E559)</f>
        <v/>
      </c>
      <c r="F560" s="1641">
        <f>SUM(F549:F559)</f>
        <v/>
      </c>
      <c r="G560" s="1641">
        <f>SUM(G549:G559)</f>
        <v/>
      </c>
      <c r="H560" s="1642">
        <f>SUM(H549:H559)</f>
        <v/>
      </c>
      <c r="I560" s="1642">
        <f>SUM(I549:I559)</f>
        <v/>
      </c>
      <c r="J560" s="1642">
        <f>SUM(J549:J559)</f>
        <v/>
      </c>
      <c r="K560" s="1642">
        <f>SUM(K549:K559)</f>
        <v/>
      </c>
      <c r="L560" s="1641">
        <f>SUM(L549:L559)</f>
        <v/>
      </c>
      <c r="M560" s="1642">
        <f>SUM(M549:M559)</f>
        <v/>
      </c>
      <c r="N560" s="1642">
        <f>SUM(N549:N559)</f>
        <v/>
      </c>
      <c r="O560" s="1642">
        <f>SUM(O549:O559)</f>
        <v/>
      </c>
      <c r="P560" s="1642">
        <f>SUM(P549:P559)</f>
        <v/>
      </c>
      <c r="Q560" s="1641">
        <f>SUM(Q549:Q559)</f>
        <v/>
      </c>
      <c r="R560" s="1642">
        <f>SUM(R549:R559)</f>
        <v/>
      </c>
      <c r="S560" s="1642">
        <f>SUM(S549:S559)</f>
        <v/>
      </c>
      <c r="T560" s="1642">
        <f>SUM(T549:T559)</f>
        <v/>
      </c>
      <c r="U560" s="1642">
        <f>SUM(U549:U559)</f>
        <v/>
      </c>
      <c r="V560" s="1641">
        <f>SUM(V549:V559)</f>
        <v/>
      </c>
      <c r="W560" s="1642">
        <f>SUM(W549:W559)</f>
        <v/>
      </c>
      <c r="X560" s="1642">
        <f>SUM(X549:X559)</f>
        <v/>
      </c>
      <c r="Y560" s="1642">
        <f>SUM(Y549:Y559)</f>
        <v/>
      </c>
      <c r="Z560" s="1642">
        <f>SUM(Z549:Z559)</f>
        <v/>
      </c>
      <c r="AA560" s="1641">
        <f>SUM(AA549:AA559)</f>
        <v/>
      </c>
      <c r="AB560" s="1642">
        <f>SUM(AB549:AB559)</f>
        <v/>
      </c>
      <c r="AC560" s="1642">
        <f>SUM(AC549:AC559)</f>
        <v/>
      </c>
      <c r="AD560" s="1642">
        <f>SUM(AD549:AD559)</f>
        <v/>
      </c>
      <c r="AE560" s="1642">
        <f>SUM(AE549:AE559)</f>
        <v/>
      </c>
      <c r="AF560" s="1641">
        <f>SUM(AF549:AF559)</f>
        <v/>
      </c>
      <c r="AG560" s="1642">
        <f>SUM(AG549:AG559)</f>
        <v/>
      </c>
      <c r="AH560" s="1642">
        <f>SUM(AH549:AH559)</f>
        <v/>
      </c>
      <c r="AI560" s="1642">
        <f>SUM(AI549:AI559)</f>
        <v/>
      </c>
      <c r="AJ560" s="1642">
        <f>SUM(AJ549:AJ559)</f>
        <v/>
      </c>
      <c r="AK560" s="1641">
        <f>SUM(AK549:AK559)</f>
        <v/>
      </c>
      <c r="AL560" s="1642">
        <f>SUM(AL549:AL559)</f>
        <v/>
      </c>
      <c r="AM560" s="1642">
        <f>SUM(AM549:AM559)</f>
        <v/>
      </c>
      <c r="AN560" s="1642">
        <f>SUM(AN549:AN559)</f>
        <v/>
      </c>
      <c r="AO560" s="1642">
        <f>SUM(AO549:AO559)</f>
        <v/>
      </c>
      <c r="AP560" s="1641">
        <f>SUM(AP549:AP559)</f>
        <v/>
      </c>
      <c r="AQ560" s="1642">
        <f>SUM(AQ549:AQ559)</f>
        <v/>
      </c>
      <c r="AR560" s="1642">
        <f>SUM(AR549:AR559)</f>
        <v/>
      </c>
      <c r="AS560" s="1642">
        <f>SUM(AS549:AS559)</f>
        <v/>
      </c>
      <c r="AT560" s="1642">
        <f>SUM(AT549:AT559)</f>
        <v/>
      </c>
      <c r="AU560" s="1641">
        <f>SUM(AU549:AU559)</f>
        <v/>
      </c>
      <c r="AV560" s="1642">
        <f>SUM(AV549:AV559)</f>
        <v/>
      </c>
      <c r="AW560" s="1642">
        <f>SUM(AW549:AW559)</f>
        <v/>
      </c>
      <c r="AX560" s="1642">
        <f>SUM(AX549:AX559)</f>
        <v/>
      </c>
      <c r="AY560" s="1642">
        <f>SUM(AY549:AY559)</f>
        <v/>
      </c>
      <c r="AZ560" s="1641">
        <f>SUM(AZ549:AZ559)</f>
        <v/>
      </c>
      <c r="BA560" s="1642">
        <f>SUM(BA549:BA559)</f>
        <v/>
      </c>
      <c r="BB560" s="1642">
        <f>SUM(BB549:BB559)</f>
        <v/>
      </c>
      <c r="BC560" s="1642">
        <f>SUM(BC549:BC559)</f>
        <v/>
      </c>
      <c r="BD560" s="1642">
        <f>SUM(BD549:BD559)</f>
        <v/>
      </c>
      <c r="BE560" s="1641">
        <f>SUM(BE549:BE559)</f>
        <v/>
      </c>
      <c r="BF560" s="1642">
        <f>SUM(BF549:BF559)</f>
        <v/>
      </c>
      <c r="BG560" s="1642">
        <f>SUM(BG549:BG559)</f>
        <v/>
      </c>
      <c r="BH560" s="1642">
        <f>SUM(BH549:BH559)</f>
        <v/>
      </c>
      <c r="BI560" s="1642">
        <f>SUM(BI549:BI559)</f>
        <v/>
      </c>
      <c r="BJ560" s="1641">
        <f>SUM(BJ549:BJ559)</f>
        <v/>
      </c>
      <c r="BK560" s="1642">
        <f>SUM(BK549:BK559)</f>
        <v/>
      </c>
      <c r="BL560" s="1642">
        <f>SUM(BL549:BL559)</f>
        <v/>
      </c>
      <c r="BM560" s="1642">
        <f>SUM(BM549:BM559)</f>
        <v/>
      </c>
      <c r="BN560" s="1642">
        <f>SUM(BN549:BN559)</f>
        <v/>
      </c>
      <c r="BO560" s="1643">
        <f>SUM(BO549:BO559)</f>
        <v/>
      </c>
      <c r="BP560" s="1642">
        <f>SUM(BP549:BP559)</f>
        <v/>
      </c>
      <c r="BQ560" s="1642">
        <f>SUM(BQ549:BQ559)</f>
        <v/>
      </c>
      <c r="BR560" s="1642">
        <f>SUM(BR549:BR559)</f>
        <v/>
      </c>
      <c r="BS560" s="1642">
        <f>SUM(BS549:BS559)</f>
        <v/>
      </c>
      <c r="BT560" s="1641">
        <f>SUM(BT549:BT559)</f>
        <v/>
      </c>
      <c r="BU560" s="1642">
        <f>SUM(BU549:BU559)</f>
        <v/>
      </c>
      <c r="BV560" s="1642">
        <f>SUM(BV549:BV559)</f>
        <v/>
      </c>
      <c r="BW560" s="1642">
        <f>SUM(BW549:BW559)</f>
        <v/>
      </c>
      <c r="BX560" s="1642">
        <f>SUM(BX549:BX559)</f>
        <v/>
      </c>
      <c r="BY560" s="1641">
        <f>SUM(BY549:BY559)</f>
        <v/>
      </c>
      <c r="BZ560" s="1641">
        <f>SUM(BZ549:BZ559)</f>
        <v/>
      </c>
      <c r="CA560" s="1641">
        <f>SUM(CA549:CA559)</f>
        <v/>
      </c>
      <c r="CB560" s="1641">
        <f>SUM(CB549:CB559)</f>
        <v/>
      </c>
      <c r="CC560" s="1634" t="n"/>
    </row>
    <row r="561" ht="15" customFormat="1" customHeight="1" s="1628">
      <c r="A561" s="1703" t="n"/>
      <c r="B561" s="1717" t="n"/>
      <c r="C561" s="1718" t="n"/>
      <c r="D561" s="1718" t="n"/>
      <c r="E561" s="1718" t="n"/>
      <c r="F561" s="1718" t="n"/>
      <c r="G561" s="1718" t="n"/>
      <c r="H561" s="1719" t="n"/>
      <c r="I561" s="1719" t="n"/>
      <c r="J561" s="1719" t="n"/>
      <c r="K561" s="1719" t="n"/>
      <c r="L561" s="1718" t="n"/>
      <c r="M561" s="1719" t="n"/>
      <c r="N561" s="1719" t="n"/>
      <c r="O561" s="1719" t="n"/>
      <c r="P561" s="1719" t="n"/>
      <c r="Q561" s="1718" t="n"/>
      <c r="R561" s="1719" t="n"/>
      <c r="S561" s="1719" t="n"/>
      <c r="T561" s="1719" t="n"/>
      <c r="U561" s="1719" t="n"/>
      <c r="V561" s="1718" t="n"/>
      <c r="W561" s="1719" t="n"/>
      <c r="X561" s="1719" t="n"/>
      <c r="Y561" s="1719" t="n"/>
      <c r="Z561" s="1719" t="n"/>
      <c r="AA561" s="1718" t="n"/>
      <c r="AB561" s="1719" t="n"/>
      <c r="AC561" s="1719" t="n"/>
      <c r="AD561" s="1719" t="n"/>
      <c r="AE561" s="1719" t="n"/>
      <c r="AF561" s="1718" t="n"/>
      <c r="AG561" s="1719" t="n"/>
      <c r="AH561" s="1719" t="n"/>
      <c r="AI561" s="1719" t="n"/>
      <c r="AJ561" s="1719" t="n"/>
      <c r="AK561" s="1718" t="n"/>
      <c r="AL561" s="1719" t="n"/>
      <c r="AM561" s="1719" t="n"/>
      <c r="AN561" s="1719" t="n"/>
      <c r="AO561" s="1719" t="n"/>
      <c r="AP561" s="1718" t="n"/>
      <c r="AQ561" s="1719" t="n"/>
      <c r="AR561" s="1719" t="n"/>
      <c r="AS561" s="1719" t="n"/>
      <c r="AT561" s="1719" t="n"/>
      <c r="AU561" s="1718" t="n"/>
      <c r="AV561" s="1719" t="n"/>
      <c r="AW561" s="1719" t="n"/>
      <c r="AX561" s="1719" t="n"/>
      <c r="AY561" s="1719" t="n"/>
      <c r="AZ561" s="1718" t="n"/>
      <c r="BA561" s="1719" t="n"/>
      <c r="BB561" s="1719" t="n"/>
      <c r="BC561" s="1719" t="n"/>
      <c r="BD561" s="1719" t="n"/>
      <c r="BE561" s="1718" t="n"/>
      <c r="BF561" s="1719" t="n"/>
      <c r="BG561" s="1719" t="n"/>
      <c r="BH561" s="1719" t="n"/>
      <c r="BI561" s="1719" t="n"/>
      <c r="BJ561" s="1718" t="n"/>
      <c r="BK561" s="1719" t="n"/>
      <c r="BL561" s="1719" t="n"/>
      <c r="BM561" s="1719" t="n"/>
      <c r="BN561" s="1719" t="n"/>
      <c r="BO561" s="1720" t="n"/>
      <c r="BP561" s="1719" t="n"/>
      <c r="BQ561" s="1719" t="n"/>
      <c r="BR561" s="1719" t="n"/>
      <c r="BS561" s="1719" t="n"/>
      <c r="BT561" s="1718" t="n"/>
      <c r="BU561" s="1719" t="n"/>
      <c r="BV561" s="1719" t="n"/>
      <c r="BW561" s="1719" t="n"/>
      <c r="BX561" s="1719" t="n"/>
      <c r="BY561" s="1718" t="n"/>
      <c r="BZ561" s="1718" t="n"/>
      <c r="CA561" s="1718" t="n"/>
      <c r="CB561" s="1718" t="n"/>
      <c r="CC561" s="1634" t="n"/>
    </row>
    <row r="562" ht="15" customFormat="1" customHeight="1" s="1628">
      <c r="A562" s="1703">
        <f>A506</f>
        <v/>
      </c>
      <c r="B562" s="1717" t="n"/>
      <c r="C562" s="1718" t="n"/>
      <c r="D562" s="1718" t="n"/>
      <c r="E562" s="1718" t="n"/>
      <c r="F562" s="1718" t="n"/>
      <c r="G562" s="1718" t="n"/>
      <c r="H562" s="1719" t="n"/>
      <c r="I562" s="1719" t="n"/>
      <c r="J562" s="1719" t="n"/>
      <c r="K562" s="1719" t="n"/>
      <c r="L562" s="1718" t="n"/>
      <c r="M562" s="1719" t="n"/>
      <c r="N562" s="1719" t="n"/>
      <c r="O562" s="1719" t="n"/>
      <c r="P562" s="1719" t="n"/>
      <c r="Q562" s="1718" t="n"/>
      <c r="R562" s="1719" t="n"/>
      <c r="S562" s="1719" t="n"/>
      <c r="T562" s="1719" t="n"/>
      <c r="U562" s="1719" t="n"/>
      <c r="V562" s="1718" t="n"/>
      <c r="W562" s="1719" t="n"/>
      <c r="X562" s="1719" t="n"/>
      <c r="Y562" s="1719" t="n"/>
      <c r="Z562" s="1719" t="n"/>
      <c r="AA562" s="1718" t="n"/>
      <c r="AB562" s="1719" t="n"/>
      <c r="AC562" s="1719" t="n"/>
      <c r="AD562" s="1719" t="n"/>
      <c r="AE562" s="1719" t="n"/>
      <c r="AF562" s="1718" t="n"/>
      <c r="AG562" s="1719" t="n"/>
      <c r="AH562" s="1719" t="n"/>
      <c r="AI562" s="1719" t="n"/>
      <c r="AJ562" s="1719" t="n"/>
      <c r="AK562" s="1718" t="n"/>
      <c r="AL562" s="1719" t="n"/>
      <c r="AM562" s="1719" t="n"/>
      <c r="AN562" s="1719" t="n"/>
      <c r="AO562" s="1719" t="n"/>
      <c r="AP562" s="1718" t="n"/>
      <c r="AQ562" s="1719" t="n"/>
      <c r="AR562" s="1719" t="n"/>
      <c r="AS562" s="1719" t="n"/>
      <c r="AT562" s="1719" t="n"/>
      <c r="AU562" s="1718" t="n"/>
      <c r="AV562" s="1719" t="n"/>
      <c r="AW562" s="1719" t="n"/>
      <c r="AX562" s="1719" t="n"/>
      <c r="AY562" s="1719" t="n"/>
      <c r="AZ562" s="1718" t="n"/>
      <c r="BA562" s="1719" t="n"/>
      <c r="BB562" s="1719" t="n"/>
      <c r="BC562" s="1719" t="n"/>
      <c r="BD562" s="1719" t="n"/>
      <c r="BE562" s="1718" t="n"/>
      <c r="BF562" s="1719" t="n"/>
      <c r="BG562" s="1719" t="n"/>
      <c r="BH562" s="1719" t="n"/>
      <c r="BI562" s="1719" t="n"/>
      <c r="BJ562" s="1718" t="n"/>
      <c r="BK562" s="1719" t="n"/>
      <c r="BL562" s="1719" t="n"/>
      <c r="BM562" s="1719" t="n"/>
      <c r="BN562" s="1719" t="n"/>
      <c r="BO562" s="1720" t="n"/>
      <c r="BP562" s="1719" t="n"/>
      <c r="BQ562" s="1719" t="n"/>
      <c r="BR562" s="1719" t="n"/>
      <c r="BS562" s="1719" t="n"/>
      <c r="BT562" s="1718" t="n"/>
      <c r="BU562" s="1719" t="n"/>
      <c r="BV562" s="1719" t="n"/>
      <c r="BW562" s="1719" t="n"/>
      <c r="BX562" s="1719" t="n"/>
      <c r="BY562" s="1718" t="n"/>
      <c r="BZ562" s="1718" t="n"/>
      <c r="CA562" s="1718" t="n"/>
      <c r="CB562" s="1718" t="n"/>
      <c r="CC562" s="1634" t="n"/>
    </row>
    <row r="563" ht="15" customFormat="1" customHeight="1" s="1561">
      <c r="A563" s="1622">
        <f>A507</f>
        <v/>
      </c>
      <c r="B563" s="1705" t="n"/>
      <c r="C563" s="1637">
        <f>C507</f>
        <v/>
      </c>
      <c r="D563" s="1637">
        <f>D507</f>
        <v/>
      </c>
      <c r="E563" s="1637">
        <f>E507</f>
        <v/>
      </c>
      <c r="F563" s="1637">
        <f>F507</f>
        <v/>
      </c>
      <c r="G563" s="1637">
        <f>G507</f>
        <v/>
      </c>
      <c r="H563" s="1562">
        <f>H507</f>
        <v/>
      </c>
      <c r="I563" s="1562">
        <f>I507-H507</f>
        <v/>
      </c>
      <c r="J563" s="1562">
        <f>J507-I507</f>
        <v/>
      </c>
      <c r="K563" s="1562">
        <f>K507-J507</f>
        <v/>
      </c>
      <c r="L563" s="1637">
        <f>L507</f>
        <v/>
      </c>
      <c r="M563" s="1562">
        <f>M507</f>
        <v/>
      </c>
      <c r="N563" s="1562">
        <f>N507-M507</f>
        <v/>
      </c>
      <c r="O563" s="1562">
        <f>O507-N507</f>
        <v/>
      </c>
      <c r="P563" s="1562">
        <f>P507-O507</f>
        <v/>
      </c>
      <c r="Q563" s="1637">
        <f>Q507</f>
        <v/>
      </c>
      <c r="R563" s="1562">
        <f>R507</f>
        <v/>
      </c>
      <c r="S563" s="1562">
        <f>S507-R507</f>
        <v/>
      </c>
      <c r="T563" s="1562">
        <f>T507-S507</f>
        <v/>
      </c>
      <c r="U563" s="1562">
        <f>U507-T507</f>
        <v/>
      </c>
      <c r="V563" s="1637">
        <f>V507</f>
        <v/>
      </c>
      <c r="W563" s="1562">
        <f>W507</f>
        <v/>
      </c>
      <c r="X563" s="1562">
        <f>X507-W507</f>
        <v/>
      </c>
      <c r="Y563" s="1562">
        <f>Y507-X507</f>
        <v/>
      </c>
      <c r="Z563" s="1562">
        <f>Z507-Y507</f>
        <v/>
      </c>
      <c r="AA563" s="1637">
        <f>AA507</f>
        <v/>
      </c>
      <c r="AB563" s="1562">
        <f>AB507</f>
        <v/>
      </c>
      <c r="AC563" s="1562">
        <f>AC507-AB507</f>
        <v/>
      </c>
      <c r="AD563" s="1562">
        <f>AD507-AC507</f>
        <v/>
      </c>
      <c r="AE563" s="1562">
        <f>AE507-AD507</f>
        <v/>
      </c>
      <c r="AF563" s="1637">
        <f>AF507</f>
        <v/>
      </c>
      <c r="AG563" s="1562">
        <f>AG507</f>
        <v/>
      </c>
      <c r="AH563" s="1562">
        <f>AH507-AG507</f>
        <v/>
      </c>
      <c r="AI563" s="1562">
        <f>AI507-AH507</f>
        <v/>
      </c>
      <c r="AJ563" s="1562">
        <f>AJ507-AI507</f>
        <v/>
      </c>
      <c r="AK563" s="1637">
        <f>AK507</f>
        <v/>
      </c>
      <c r="AL563" s="1562">
        <f>AL507</f>
        <v/>
      </c>
      <c r="AM563" s="1562">
        <f>AM507-AL507</f>
        <v/>
      </c>
      <c r="AN563" s="1562">
        <f>AN507-AM507</f>
        <v/>
      </c>
      <c r="AO563" s="1562">
        <f>AO507-AN507</f>
        <v/>
      </c>
      <c r="AP563" s="1637">
        <f>AP507</f>
        <v/>
      </c>
      <c r="AQ563" s="1562">
        <f>AQ507</f>
        <v/>
      </c>
      <c r="AR563" s="1562">
        <f>AR507-AQ507</f>
        <v/>
      </c>
      <c r="AS563" s="1562">
        <f>AS507-AR507</f>
        <v/>
      </c>
      <c r="AT563" s="1562">
        <f>AT507-AS507</f>
        <v/>
      </c>
      <c r="AU563" s="1637">
        <f>AU507</f>
        <v/>
      </c>
      <c r="AV563" s="1562">
        <f>AV507</f>
        <v/>
      </c>
      <c r="AW563" s="1562">
        <f>AW507-AV507</f>
        <v/>
      </c>
      <c r="AX563" s="1562">
        <f>AX507-AW507</f>
        <v/>
      </c>
      <c r="AY563" s="1562">
        <f>AY507-AX507</f>
        <v/>
      </c>
      <c r="AZ563" s="1637">
        <f>AZ507</f>
        <v/>
      </c>
      <c r="BA563" s="1562">
        <f>BA507</f>
        <v/>
      </c>
      <c r="BB563" s="1562">
        <f>BB507-BA507</f>
        <v/>
      </c>
      <c r="BC563" s="1562">
        <f>BC507-BB507</f>
        <v/>
      </c>
      <c r="BD563" s="1562">
        <f>BD507-BC507</f>
        <v/>
      </c>
      <c r="BE563" s="1637">
        <f>BE507</f>
        <v/>
      </c>
      <c r="BF563" s="1562">
        <f>BF507</f>
        <v/>
      </c>
      <c r="BG563" s="1562">
        <f>BG507-BF507</f>
        <v/>
      </c>
      <c r="BH563" s="1562">
        <f>BH507-BG507</f>
        <v/>
      </c>
      <c r="BI563" s="1562">
        <f>BI507-BH507</f>
        <v/>
      </c>
      <c r="BJ563" s="1637">
        <f>BJ507</f>
        <v/>
      </c>
      <c r="BK563" s="1562">
        <f>BK507</f>
        <v/>
      </c>
      <c r="BL563" s="1562">
        <f>BL507-BK507</f>
        <v/>
      </c>
      <c r="BM563" s="1562">
        <f>BM507-BL507</f>
        <v/>
      </c>
      <c r="BN563" s="1562">
        <f>BN507-BM507</f>
        <v/>
      </c>
      <c r="BO563" s="1638">
        <f>BO507</f>
        <v/>
      </c>
      <c r="BP563" s="1562">
        <f>BP407</f>
        <v/>
      </c>
      <c r="BQ563" s="1562">
        <f>BQ407</f>
        <v/>
      </c>
      <c r="BR563" s="1562">
        <f>BR407</f>
        <v/>
      </c>
      <c r="BS563" s="1562">
        <f>BS407</f>
        <v/>
      </c>
      <c r="BT563" s="1637">
        <f>SUM(BP563,BQ563,BR563,BS563)</f>
        <v/>
      </c>
      <c r="BU563" s="1562">
        <f>BU407</f>
        <v/>
      </c>
      <c r="BV563" s="1562">
        <f>BV407</f>
        <v/>
      </c>
      <c r="BW563" s="1562">
        <f>BW407</f>
        <v/>
      </c>
      <c r="BX563" s="1562">
        <f>BX407</f>
        <v/>
      </c>
      <c r="BY563" s="1637">
        <f>SUM(BU563,BV563,BW563,BX563)</f>
        <v/>
      </c>
      <c r="BZ563" s="1637">
        <f>BZ407</f>
        <v/>
      </c>
      <c r="CA563" s="1637">
        <f>CA407</f>
        <v/>
      </c>
      <c r="CB563" s="1637">
        <f>CB407</f>
        <v/>
      </c>
      <c r="CC563" s="1564" t="n"/>
    </row>
    <row r="564" ht="15" customFormat="1" customHeight="1" s="1561">
      <c r="A564" s="1622">
        <f>A508</f>
        <v/>
      </c>
      <c r="B564" s="1705" t="n"/>
      <c r="C564" s="1637">
        <f>C508</f>
        <v/>
      </c>
      <c r="D564" s="1637">
        <f>D508</f>
        <v/>
      </c>
      <c r="E564" s="1637">
        <f>E508</f>
        <v/>
      </c>
      <c r="F564" s="1637">
        <f>F508</f>
        <v/>
      </c>
      <c r="G564" s="1637">
        <f>G508</f>
        <v/>
      </c>
      <c r="H564" s="1562">
        <f>H508</f>
        <v/>
      </c>
      <c r="I564" s="1562">
        <f>I508-H508</f>
        <v/>
      </c>
      <c r="J564" s="1562">
        <f>J508-I508</f>
        <v/>
      </c>
      <c r="K564" s="1562">
        <f>K508-J508</f>
        <v/>
      </c>
      <c r="L564" s="1637">
        <f>L508</f>
        <v/>
      </c>
      <c r="M564" s="1562">
        <f>M508</f>
        <v/>
      </c>
      <c r="N564" s="1562">
        <f>N508-M508</f>
        <v/>
      </c>
      <c r="O564" s="1562">
        <f>O508-N508</f>
        <v/>
      </c>
      <c r="P564" s="1562">
        <f>P508-O508</f>
        <v/>
      </c>
      <c r="Q564" s="1637">
        <f>Q508</f>
        <v/>
      </c>
      <c r="R564" s="1562">
        <f>R508</f>
        <v/>
      </c>
      <c r="S564" s="1562">
        <f>S508-R508</f>
        <v/>
      </c>
      <c r="T564" s="1562">
        <f>T508-S508</f>
        <v/>
      </c>
      <c r="U564" s="1562">
        <f>U508-T508</f>
        <v/>
      </c>
      <c r="V564" s="1637">
        <f>V508</f>
        <v/>
      </c>
      <c r="W564" s="1562">
        <f>W508</f>
        <v/>
      </c>
      <c r="X564" s="1562">
        <f>X508-W508</f>
        <v/>
      </c>
      <c r="Y564" s="1562">
        <f>Y508-X508</f>
        <v/>
      </c>
      <c r="Z564" s="1562">
        <f>Z508-Y508</f>
        <v/>
      </c>
      <c r="AA564" s="1637">
        <f>AA508</f>
        <v/>
      </c>
      <c r="AB564" s="1562">
        <f>AB508</f>
        <v/>
      </c>
      <c r="AC564" s="1562">
        <f>AC508-AB508</f>
        <v/>
      </c>
      <c r="AD564" s="1562">
        <f>AD508-AC508</f>
        <v/>
      </c>
      <c r="AE564" s="1562">
        <f>AE508-AD508</f>
        <v/>
      </c>
      <c r="AF564" s="1637">
        <f>AF508</f>
        <v/>
      </c>
      <c r="AG564" s="1562">
        <f>AG508</f>
        <v/>
      </c>
      <c r="AH564" s="1562">
        <f>AH508-AG508</f>
        <v/>
      </c>
      <c r="AI564" s="1562">
        <f>AI508-AH508</f>
        <v/>
      </c>
      <c r="AJ564" s="1562">
        <f>AJ508-AI508</f>
        <v/>
      </c>
      <c r="AK564" s="1637">
        <f>AK508</f>
        <v/>
      </c>
      <c r="AL564" s="1562">
        <f>AL508</f>
        <v/>
      </c>
      <c r="AM564" s="1562">
        <f>AM508-AL508</f>
        <v/>
      </c>
      <c r="AN564" s="1562">
        <f>AN508-AM508</f>
        <v/>
      </c>
      <c r="AO564" s="1562">
        <f>AO508-AN508</f>
        <v/>
      </c>
      <c r="AP564" s="1637">
        <f>AP508</f>
        <v/>
      </c>
      <c r="AQ564" s="1562">
        <f>AQ508</f>
        <v/>
      </c>
      <c r="AR564" s="1562">
        <f>AR508-AQ508</f>
        <v/>
      </c>
      <c r="AS564" s="1562">
        <f>AS508-AR508</f>
        <v/>
      </c>
      <c r="AT564" s="1562">
        <f>AT508-AS508</f>
        <v/>
      </c>
      <c r="AU564" s="1637">
        <f>AU508</f>
        <v/>
      </c>
      <c r="AV564" s="1562">
        <f>AV508</f>
        <v/>
      </c>
      <c r="AW564" s="1562">
        <f>AW508-AV508</f>
        <v/>
      </c>
      <c r="AX564" s="1562">
        <f>AX508-AW508</f>
        <v/>
      </c>
      <c r="AY564" s="1562">
        <f>AY508-AX508</f>
        <v/>
      </c>
      <c r="AZ564" s="1637">
        <f>AZ508</f>
        <v/>
      </c>
      <c r="BA564" s="1562">
        <f>BA508</f>
        <v/>
      </c>
      <c r="BB564" s="1562">
        <f>BB508-BA508</f>
        <v/>
      </c>
      <c r="BC564" s="1562">
        <f>BC508-BB508</f>
        <v/>
      </c>
      <c r="BD564" s="1562">
        <f>BD508-BC508</f>
        <v/>
      </c>
      <c r="BE564" s="1637">
        <f>BE508</f>
        <v/>
      </c>
      <c r="BF564" s="1562">
        <f>BF508</f>
        <v/>
      </c>
      <c r="BG564" s="1562">
        <f>BG508-BF508</f>
        <v/>
      </c>
      <c r="BH564" s="1562">
        <f>BH508-BG508</f>
        <v/>
      </c>
      <c r="BI564" s="1562">
        <f>BI508-BH508</f>
        <v/>
      </c>
      <c r="BJ564" s="1637">
        <f>BJ508</f>
        <v/>
      </c>
      <c r="BK564" s="1562">
        <f>BK508</f>
        <v/>
      </c>
      <c r="BL564" s="1562">
        <f>BL508-BK508</f>
        <v/>
      </c>
      <c r="BM564" s="1562">
        <f>BM508-BL508</f>
        <v/>
      </c>
      <c r="BN564" s="1562">
        <f>BN508-BM508</f>
        <v/>
      </c>
      <c r="BO564" s="1638">
        <f>BO508</f>
        <v/>
      </c>
      <c r="BP564" s="1562">
        <f>BP411</f>
        <v/>
      </c>
      <c r="BQ564" s="1562">
        <f>BQ411</f>
        <v/>
      </c>
      <c r="BR564" s="1562">
        <f>BR411</f>
        <v/>
      </c>
      <c r="BS564" s="1562">
        <f>BS411</f>
        <v/>
      </c>
      <c r="BT564" s="1637">
        <f>SUM(BP564,BQ564,BR564,BS564)</f>
        <v/>
      </c>
      <c r="BU564" s="1562">
        <f>BU411</f>
        <v/>
      </c>
      <c r="BV564" s="1562">
        <f>BV411</f>
        <v/>
      </c>
      <c r="BW564" s="1562">
        <f>BW411</f>
        <v/>
      </c>
      <c r="BX564" s="1562">
        <f>BX411</f>
        <v/>
      </c>
      <c r="BY564" s="1637">
        <f>SUM(BU564,BV564,BW564,BX564)</f>
        <v/>
      </c>
      <c r="BZ564" s="1637">
        <f>BZ411</f>
        <v/>
      </c>
      <c r="CA564" s="1637">
        <f>CA411</f>
        <v/>
      </c>
      <c r="CB564" s="1637">
        <f>CB411</f>
        <v/>
      </c>
      <c r="CC564" s="1564" t="n"/>
    </row>
    <row r="565" ht="15" customFormat="1" customHeight="1" s="1561">
      <c r="A565" s="1622">
        <f>A509</f>
        <v/>
      </c>
      <c r="B565" s="1705" t="n"/>
      <c r="C565" s="1637">
        <f>C509</f>
        <v/>
      </c>
      <c r="D565" s="1637">
        <f>D509</f>
        <v/>
      </c>
      <c r="E565" s="1637">
        <f>E509</f>
        <v/>
      </c>
      <c r="F565" s="1637">
        <f>F509</f>
        <v/>
      </c>
      <c r="G565" s="1637">
        <f>G509</f>
        <v/>
      </c>
      <c r="H565" s="1562">
        <f>H509</f>
        <v/>
      </c>
      <c r="I565" s="1562">
        <f>I509-H509</f>
        <v/>
      </c>
      <c r="J565" s="1562">
        <f>J509-I509</f>
        <v/>
      </c>
      <c r="K565" s="1562">
        <f>K509-J509</f>
        <v/>
      </c>
      <c r="L565" s="1637">
        <f>L509</f>
        <v/>
      </c>
      <c r="M565" s="1562">
        <f>M509</f>
        <v/>
      </c>
      <c r="N565" s="1562">
        <f>N509-M509</f>
        <v/>
      </c>
      <c r="O565" s="1562">
        <f>O509-N509</f>
        <v/>
      </c>
      <c r="P565" s="1562">
        <f>P509-O509</f>
        <v/>
      </c>
      <c r="Q565" s="1637">
        <f>Q509</f>
        <v/>
      </c>
      <c r="R565" s="1562">
        <f>R509</f>
        <v/>
      </c>
      <c r="S565" s="1562">
        <f>S509-R509</f>
        <v/>
      </c>
      <c r="T565" s="1562">
        <f>T509-S509</f>
        <v/>
      </c>
      <c r="U565" s="1562">
        <f>U509-T509</f>
        <v/>
      </c>
      <c r="V565" s="1637">
        <f>V509</f>
        <v/>
      </c>
      <c r="W565" s="1562">
        <f>W509</f>
        <v/>
      </c>
      <c r="X565" s="1562">
        <f>X509-W509</f>
        <v/>
      </c>
      <c r="Y565" s="1562">
        <f>Y509-X509</f>
        <v/>
      </c>
      <c r="Z565" s="1562">
        <f>Z509-Y509</f>
        <v/>
      </c>
      <c r="AA565" s="1637">
        <f>AA509</f>
        <v/>
      </c>
      <c r="AB565" s="1562">
        <f>AB509</f>
        <v/>
      </c>
      <c r="AC565" s="1562">
        <f>AC509-AB509</f>
        <v/>
      </c>
      <c r="AD565" s="1562">
        <f>AD509-AC509</f>
        <v/>
      </c>
      <c r="AE565" s="1562">
        <f>AE509-AD509</f>
        <v/>
      </c>
      <c r="AF565" s="1637">
        <f>AF509</f>
        <v/>
      </c>
      <c r="AG565" s="1562">
        <f>AG509</f>
        <v/>
      </c>
      <c r="AH565" s="1562">
        <f>AH509-AG509</f>
        <v/>
      </c>
      <c r="AI565" s="1562">
        <f>AI509-AH509</f>
        <v/>
      </c>
      <c r="AJ565" s="1562">
        <f>AJ509-AI509</f>
        <v/>
      </c>
      <c r="AK565" s="1637">
        <f>AK509</f>
        <v/>
      </c>
      <c r="AL565" s="1562">
        <f>AL509</f>
        <v/>
      </c>
      <c r="AM565" s="1562">
        <f>AM509-AL509</f>
        <v/>
      </c>
      <c r="AN565" s="1562">
        <f>AN509-AM509</f>
        <v/>
      </c>
      <c r="AO565" s="1562">
        <f>AO509-AN509</f>
        <v/>
      </c>
      <c r="AP565" s="1637">
        <f>AP509</f>
        <v/>
      </c>
      <c r="AQ565" s="1562">
        <f>AQ509</f>
        <v/>
      </c>
      <c r="AR565" s="1562">
        <f>AR509-AQ509</f>
        <v/>
      </c>
      <c r="AS565" s="1562">
        <f>AS509-AR509</f>
        <v/>
      </c>
      <c r="AT565" s="1562">
        <f>AT509-AS509</f>
        <v/>
      </c>
      <c r="AU565" s="1637">
        <f>AU509</f>
        <v/>
      </c>
      <c r="AV565" s="1562">
        <f>AV509</f>
        <v/>
      </c>
      <c r="AW565" s="1562">
        <f>AW509-AV509</f>
        <v/>
      </c>
      <c r="AX565" s="1562">
        <f>AX509-AW509</f>
        <v/>
      </c>
      <c r="AY565" s="1562">
        <f>AY509-AX509</f>
        <v/>
      </c>
      <c r="AZ565" s="1637">
        <f>AZ509</f>
        <v/>
      </c>
      <c r="BA565" s="1562">
        <f>BA509</f>
        <v/>
      </c>
      <c r="BB565" s="1562">
        <f>BB509-BA509</f>
        <v/>
      </c>
      <c r="BC565" s="1562">
        <f>BC509-BB509</f>
        <v/>
      </c>
      <c r="BD565" s="1562">
        <f>BD509-BC509</f>
        <v/>
      </c>
      <c r="BE565" s="1637">
        <f>BE509</f>
        <v/>
      </c>
      <c r="BF565" s="1562">
        <f>BF509</f>
        <v/>
      </c>
      <c r="BG565" s="1562">
        <f>BG509-BF509</f>
        <v/>
      </c>
      <c r="BH565" s="1562">
        <f>BH509-BG509</f>
        <v/>
      </c>
      <c r="BI565" s="1562">
        <f>BI509-BH509</f>
        <v/>
      </c>
      <c r="BJ565" s="1637">
        <f>BJ509</f>
        <v/>
      </c>
      <c r="BK565" s="1562">
        <f>BK509</f>
        <v/>
      </c>
      <c r="BL565" s="1562">
        <f>BL509-BK509</f>
        <v/>
      </c>
      <c r="BM565" s="1562">
        <f>BM509-BL509</f>
        <v/>
      </c>
      <c r="BN565" s="1562">
        <f>BN509-BM509</f>
        <v/>
      </c>
      <c r="BO565" s="1638">
        <f>BO509</f>
        <v/>
      </c>
      <c r="BP565" s="1562" t="n"/>
      <c r="BQ565" s="1562" t="n"/>
      <c r="BR565" s="1562" t="n"/>
      <c r="BS565" s="1562" t="n"/>
      <c r="BT565" s="1637">
        <f>SUM(BP565,BQ565,BR565,BS565)</f>
        <v/>
      </c>
      <c r="BU565" s="1562" t="n"/>
      <c r="BV565" s="1562" t="n"/>
      <c r="BW565" s="1562" t="n"/>
      <c r="BX565" s="1562" t="n"/>
      <c r="BY565" s="1637">
        <f>SUM(BU565,BV565,BW565,BX565)</f>
        <v/>
      </c>
      <c r="BZ565" s="1637" t="n"/>
      <c r="CA565" s="1637" t="n"/>
      <c r="CB565" s="1637" t="n"/>
      <c r="CC565" s="1564" t="n"/>
    </row>
    <row r="566" ht="15" customFormat="1" customHeight="1" s="1561">
      <c r="A566" s="1622">
        <f>A510</f>
        <v/>
      </c>
      <c r="B566" s="1705" t="n"/>
      <c r="C566" s="1637">
        <f>C510</f>
        <v/>
      </c>
      <c r="D566" s="1637">
        <f>D510</f>
        <v/>
      </c>
      <c r="E566" s="1637">
        <f>E510</f>
        <v/>
      </c>
      <c r="F566" s="1637">
        <f>F510</f>
        <v/>
      </c>
      <c r="G566" s="1637">
        <f>G510</f>
        <v/>
      </c>
      <c r="H566" s="1562">
        <f>H510</f>
        <v/>
      </c>
      <c r="I566" s="1562">
        <f>I510-H510</f>
        <v/>
      </c>
      <c r="J566" s="1562">
        <f>J510-I510</f>
        <v/>
      </c>
      <c r="K566" s="1562">
        <f>K510-J510</f>
        <v/>
      </c>
      <c r="L566" s="1637">
        <f>L510</f>
        <v/>
      </c>
      <c r="M566" s="1562">
        <f>M510</f>
        <v/>
      </c>
      <c r="N566" s="1562">
        <f>N510-M510</f>
        <v/>
      </c>
      <c r="O566" s="1562">
        <f>O510-N510</f>
        <v/>
      </c>
      <c r="P566" s="1562">
        <f>P510-O510</f>
        <v/>
      </c>
      <c r="Q566" s="1637">
        <f>Q510</f>
        <v/>
      </c>
      <c r="R566" s="1562">
        <f>R510</f>
        <v/>
      </c>
      <c r="S566" s="1562">
        <f>S510-R510</f>
        <v/>
      </c>
      <c r="T566" s="1562">
        <f>T510-S510</f>
        <v/>
      </c>
      <c r="U566" s="1562">
        <f>U510-T510</f>
        <v/>
      </c>
      <c r="V566" s="1637">
        <f>V510</f>
        <v/>
      </c>
      <c r="W566" s="1562">
        <f>W510</f>
        <v/>
      </c>
      <c r="X566" s="1562">
        <f>X510-W510</f>
        <v/>
      </c>
      <c r="Y566" s="1562">
        <f>Y510-X510</f>
        <v/>
      </c>
      <c r="Z566" s="1562">
        <f>Z510-Y510</f>
        <v/>
      </c>
      <c r="AA566" s="1637">
        <f>AA510</f>
        <v/>
      </c>
      <c r="AB566" s="1562">
        <f>AB510</f>
        <v/>
      </c>
      <c r="AC566" s="1562">
        <f>AC510-AB510</f>
        <v/>
      </c>
      <c r="AD566" s="1562">
        <f>AD510-AC510</f>
        <v/>
      </c>
      <c r="AE566" s="1562">
        <f>AE510-AD510</f>
        <v/>
      </c>
      <c r="AF566" s="1637">
        <f>AF510</f>
        <v/>
      </c>
      <c r="AG566" s="1562">
        <f>AG510</f>
        <v/>
      </c>
      <c r="AH566" s="1562">
        <f>AH510-AG510</f>
        <v/>
      </c>
      <c r="AI566" s="1562">
        <f>AI510-AH510</f>
        <v/>
      </c>
      <c r="AJ566" s="1562">
        <f>AJ510-AI510</f>
        <v/>
      </c>
      <c r="AK566" s="1637">
        <f>AK510</f>
        <v/>
      </c>
      <c r="AL566" s="1562">
        <f>AL510</f>
        <v/>
      </c>
      <c r="AM566" s="1562">
        <f>AM510-AL510</f>
        <v/>
      </c>
      <c r="AN566" s="1562">
        <f>AN510-AM510</f>
        <v/>
      </c>
      <c r="AO566" s="1562">
        <f>AO510-AN510</f>
        <v/>
      </c>
      <c r="AP566" s="1637">
        <f>AP510</f>
        <v/>
      </c>
      <c r="AQ566" s="1562">
        <f>AQ510</f>
        <v/>
      </c>
      <c r="AR566" s="1562">
        <f>AR510-AQ510</f>
        <v/>
      </c>
      <c r="AS566" s="1562">
        <f>AS510-AR510</f>
        <v/>
      </c>
      <c r="AT566" s="1562">
        <f>AT510-AS510</f>
        <v/>
      </c>
      <c r="AU566" s="1637">
        <f>AU510</f>
        <v/>
      </c>
      <c r="AV566" s="1562">
        <f>AV510</f>
        <v/>
      </c>
      <c r="AW566" s="1562">
        <f>AW510-AV510</f>
        <v/>
      </c>
      <c r="AX566" s="1562">
        <f>AX510-AW510</f>
        <v/>
      </c>
      <c r="AY566" s="1562">
        <f>AY510-AX510</f>
        <v/>
      </c>
      <c r="AZ566" s="1637">
        <f>AZ510</f>
        <v/>
      </c>
      <c r="BA566" s="1562">
        <f>BA510</f>
        <v/>
      </c>
      <c r="BB566" s="1562">
        <f>BB510-BA510</f>
        <v/>
      </c>
      <c r="BC566" s="1562">
        <f>BC510-BB510</f>
        <v/>
      </c>
      <c r="BD566" s="1562">
        <f>BD510-BC510</f>
        <v/>
      </c>
      <c r="BE566" s="1637">
        <f>BE510</f>
        <v/>
      </c>
      <c r="BF566" s="1562">
        <f>BF510</f>
        <v/>
      </c>
      <c r="BG566" s="1562">
        <f>BG510-BF510</f>
        <v/>
      </c>
      <c r="BH566" s="1562">
        <f>BH510-BG510</f>
        <v/>
      </c>
      <c r="BI566" s="1562">
        <f>BI510-BH510</f>
        <v/>
      </c>
      <c r="BJ566" s="1637">
        <f>BJ510</f>
        <v/>
      </c>
      <c r="BK566" s="1562">
        <f>BK510</f>
        <v/>
      </c>
      <c r="BL566" s="1562">
        <f>BL510-BK510</f>
        <v/>
      </c>
      <c r="BM566" s="1562">
        <f>BM510-BL510</f>
        <v/>
      </c>
      <c r="BN566" s="1562">
        <f>BN510-BM510</f>
        <v/>
      </c>
      <c r="BO566" s="1638">
        <f>BO510</f>
        <v/>
      </c>
      <c r="BP566" s="1562">
        <f>BP410</f>
        <v/>
      </c>
      <c r="BQ566" s="1562">
        <f>BQ410</f>
        <v/>
      </c>
      <c r="BR566" s="1562">
        <f>BR410</f>
        <v/>
      </c>
      <c r="BS566" s="1562">
        <f>BS410</f>
        <v/>
      </c>
      <c r="BT566" s="1637">
        <f>SUM(BP566,BQ566,BR566,BS566)</f>
        <v/>
      </c>
      <c r="BU566" s="1562">
        <f>BU410</f>
        <v/>
      </c>
      <c r="BV566" s="1562">
        <f>BV410</f>
        <v/>
      </c>
      <c r="BW566" s="1562">
        <f>BW410</f>
        <v/>
      </c>
      <c r="BX566" s="1562">
        <f>BX410</f>
        <v/>
      </c>
      <c r="BY566" s="1637">
        <f>SUM(BU566,BV566,BW566,BX566)</f>
        <v/>
      </c>
      <c r="BZ566" s="1637">
        <f>BZ410</f>
        <v/>
      </c>
      <c r="CA566" s="1637">
        <f>CA410</f>
        <v/>
      </c>
      <c r="CB566" s="1637">
        <f>CB410</f>
        <v/>
      </c>
      <c r="CC566" s="1564" t="n"/>
    </row>
    <row r="567" ht="15" customFormat="1" customHeight="1" s="1561">
      <c r="A567" s="1622">
        <f>A511</f>
        <v/>
      </c>
      <c r="B567" s="1705" t="n"/>
      <c r="C567" s="1637">
        <f>C511</f>
        <v/>
      </c>
      <c r="D567" s="1637">
        <f>D511</f>
        <v/>
      </c>
      <c r="E567" s="1637">
        <f>E511</f>
        <v/>
      </c>
      <c r="F567" s="1637">
        <f>F511</f>
        <v/>
      </c>
      <c r="G567" s="1637">
        <f>G511</f>
        <v/>
      </c>
      <c r="H567" s="1562">
        <f>H511</f>
        <v/>
      </c>
      <c r="I567" s="1562">
        <f>I511-H511</f>
        <v/>
      </c>
      <c r="J567" s="1562">
        <f>J511-I511</f>
        <v/>
      </c>
      <c r="K567" s="1562">
        <f>K511-J511</f>
        <v/>
      </c>
      <c r="L567" s="1637">
        <f>L511</f>
        <v/>
      </c>
      <c r="M567" s="1562">
        <f>M511</f>
        <v/>
      </c>
      <c r="N567" s="1562">
        <f>N511-M511</f>
        <v/>
      </c>
      <c r="O567" s="1562">
        <f>O511-N511</f>
        <v/>
      </c>
      <c r="P567" s="1562">
        <f>P511-O511</f>
        <v/>
      </c>
      <c r="Q567" s="1637">
        <f>Q511</f>
        <v/>
      </c>
      <c r="R567" s="1562">
        <f>R511</f>
        <v/>
      </c>
      <c r="S567" s="1562">
        <f>S511-R511</f>
        <v/>
      </c>
      <c r="T567" s="1562">
        <f>T511-S511</f>
        <v/>
      </c>
      <c r="U567" s="1562">
        <f>U511-T511</f>
        <v/>
      </c>
      <c r="V567" s="1637">
        <f>V511</f>
        <v/>
      </c>
      <c r="W567" s="1562">
        <f>W511</f>
        <v/>
      </c>
      <c r="X567" s="1562">
        <f>X511-W511</f>
        <v/>
      </c>
      <c r="Y567" s="1562">
        <f>Y511-X511</f>
        <v/>
      </c>
      <c r="Z567" s="1562">
        <f>Z511-Y511</f>
        <v/>
      </c>
      <c r="AA567" s="1637">
        <f>AA511</f>
        <v/>
      </c>
      <c r="AB567" s="1562">
        <f>AB511</f>
        <v/>
      </c>
      <c r="AC567" s="1562">
        <f>AC511-AB511</f>
        <v/>
      </c>
      <c r="AD567" s="1562">
        <f>AD511-AC511</f>
        <v/>
      </c>
      <c r="AE567" s="1562">
        <f>AE511-AD511</f>
        <v/>
      </c>
      <c r="AF567" s="1637">
        <f>AF511</f>
        <v/>
      </c>
      <c r="AG567" s="1562">
        <f>AG511</f>
        <v/>
      </c>
      <c r="AH567" s="1562">
        <f>AH511-AG511</f>
        <v/>
      </c>
      <c r="AI567" s="1562">
        <f>AI511-AH511</f>
        <v/>
      </c>
      <c r="AJ567" s="1562">
        <f>AJ511-AI511</f>
        <v/>
      </c>
      <c r="AK567" s="1637">
        <f>AK511</f>
        <v/>
      </c>
      <c r="AL567" s="1562">
        <f>AL511</f>
        <v/>
      </c>
      <c r="AM567" s="1562">
        <f>AM511-AL511</f>
        <v/>
      </c>
      <c r="AN567" s="1562">
        <f>AN511-AM511</f>
        <v/>
      </c>
      <c r="AO567" s="1562">
        <f>AO511-AN511</f>
        <v/>
      </c>
      <c r="AP567" s="1637">
        <f>AP511</f>
        <v/>
      </c>
      <c r="AQ567" s="1562">
        <f>AQ511</f>
        <v/>
      </c>
      <c r="AR567" s="1562">
        <f>AR511-AQ511</f>
        <v/>
      </c>
      <c r="AS567" s="1562">
        <f>AS511-AR511</f>
        <v/>
      </c>
      <c r="AT567" s="1562">
        <f>AT511-AS511</f>
        <v/>
      </c>
      <c r="AU567" s="1637">
        <f>AU511</f>
        <v/>
      </c>
      <c r="AV567" s="1562">
        <f>AV511</f>
        <v/>
      </c>
      <c r="AW567" s="1562">
        <f>AW511-AV511</f>
        <v/>
      </c>
      <c r="AX567" s="1562">
        <f>AX511-AW511</f>
        <v/>
      </c>
      <c r="AY567" s="1562">
        <f>AY511-AX511</f>
        <v/>
      </c>
      <c r="AZ567" s="1637">
        <f>AZ511</f>
        <v/>
      </c>
      <c r="BA567" s="1562">
        <f>BA511</f>
        <v/>
      </c>
      <c r="BB567" s="1562">
        <f>BB511-BA511</f>
        <v/>
      </c>
      <c r="BC567" s="1562">
        <f>BC511-BB511</f>
        <v/>
      </c>
      <c r="BD567" s="1562">
        <f>BD511-BC511</f>
        <v/>
      </c>
      <c r="BE567" s="1637">
        <f>BE511</f>
        <v/>
      </c>
      <c r="BF567" s="1562">
        <f>BF511</f>
        <v/>
      </c>
      <c r="BG567" s="1562">
        <f>BG511-BF511</f>
        <v/>
      </c>
      <c r="BH567" s="1562">
        <f>BH511-BG511</f>
        <v/>
      </c>
      <c r="BI567" s="1562">
        <f>BI511-BH511</f>
        <v/>
      </c>
      <c r="BJ567" s="1637">
        <f>BJ511</f>
        <v/>
      </c>
      <c r="BK567" s="1562">
        <f>BK511</f>
        <v/>
      </c>
      <c r="BL567" s="1562">
        <f>BL511-BK511</f>
        <v/>
      </c>
      <c r="BM567" s="1562">
        <f>BM511-BL511</f>
        <v/>
      </c>
      <c r="BN567" s="1562">
        <f>BN511-BM511</f>
        <v/>
      </c>
      <c r="BO567" s="1638">
        <f>BO511</f>
        <v/>
      </c>
      <c r="BP567" s="1562" t="n"/>
      <c r="BQ567" s="1562" t="n"/>
      <c r="BR567" s="1562" t="n"/>
      <c r="BS567" s="1562" t="n"/>
      <c r="BT567" s="1637">
        <f>SUM(BP567,BQ567,BR567,BS567)</f>
        <v/>
      </c>
      <c r="BU567" s="1562" t="n"/>
      <c r="BV567" s="1562" t="n"/>
      <c r="BW567" s="1562" t="n"/>
      <c r="BX567" s="1562" t="n"/>
      <c r="BY567" s="1637">
        <f>SUM(BU567,BV567,BW567,BX567)</f>
        <v/>
      </c>
      <c r="BZ567" s="1637" t="n"/>
      <c r="CA567" s="1637" t="n"/>
      <c r="CB567" s="1637" t="n"/>
      <c r="CC567" s="1564" t="n"/>
    </row>
    <row r="568" ht="15" customFormat="1" customHeight="1" s="1561">
      <c r="A568" s="1622">
        <f>A512</f>
        <v/>
      </c>
      <c r="B568" s="1705" t="n"/>
      <c r="C568" s="1637">
        <f>C512</f>
        <v/>
      </c>
      <c r="D568" s="1637">
        <f>D512</f>
        <v/>
      </c>
      <c r="E568" s="1637">
        <f>E512</f>
        <v/>
      </c>
      <c r="F568" s="1713">
        <f>F512</f>
        <v/>
      </c>
      <c r="G568" s="1637">
        <f>G512</f>
        <v/>
      </c>
      <c r="H568" s="1562">
        <f>H512</f>
        <v/>
      </c>
      <c r="I568" s="1562">
        <f>I512-H512</f>
        <v/>
      </c>
      <c r="J568" s="1562">
        <f>J512-I512</f>
        <v/>
      </c>
      <c r="K568" s="1562">
        <f>K512-J512</f>
        <v/>
      </c>
      <c r="L568" s="1637">
        <f>L512</f>
        <v/>
      </c>
      <c r="M568" s="1562">
        <f>M512</f>
        <v/>
      </c>
      <c r="N568" s="1562">
        <f>N512-M512</f>
        <v/>
      </c>
      <c r="O568" s="1562">
        <f>O512-N512</f>
        <v/>
      </c>
      <c r="P568" s="1562">
        <f>P512-O512</f>
        <v/>
      </c>
      <c r="Q568" s="1637">
        <f>Q512</f>
        <v/>
      </c>
      <c r="R568" s="1562">
        <f>R512</f>
        <v/>
      </c>
      <c r="S568" s="1562">
        <f>S512-R512</f>
        <v/>
      </c>
      <c r="T568" s="1562">
        <f>T512-S512</f>
        <v/>
      </c>
      <c r="U568" s="1562">
        <f>U512-T512</f>
        <v/>
      </c>
      <c r="V568" s="1637">
        <f>V512</f>
        <v/>
      </c>
      <c r="W568" s="1562">
        <f>W512</f>
        <v/>
      </c>
      <c r="X568" s="1562">
        <f>X512-W512</f>
        <v/>
      </c>
      <c r="Y568" s="1562">
        <f>Y512-X512</f>
        <v/>
      </c>
      <c r="Z568" s="1562">
        <f>Z512-Y512</f>
        <v/>
      </c>
      <c r="AA568" s="1637">
        <f>AA512</f>
        <v/>
      </c>
      <c r="AB568" s="1562">
        <f>AB512</f>
        <v/>
      </c>
      <c r="AC568" s="1562">
        <f>AC512-AB512</f>
        <v/>
      </c>
      <c r="AD568" s="1562">
        <f>AD512-AC512</f>
        <v/>
      </c>
      <c r="AE568" s="1562">
        <f>AE512-AD512</f>
        <v/>
      </c>
      <c r="AF568" s="1637">
        <f>AF512</f>
        <v/>
      </c>
      <c r="AG568" s="1562">
        <f>AG512</f>
        <v/>
      </c>
      <c r="AH568" s="1562">
        <f>AH512-AG512</f>
        <v/>
      </c>
      <c r="AI568" s="1562">
        <f>AI512-AH512</f>
        <v/>
      </c>
      <c r="AJ568" s="1562">
        <f>AJ512-AI512</f>
        <v/>
      </c>
      <c r="AK568" s="1637">
        <f>AK512</f>
        <v/>
      </c>
      <c r="AL568" s="1562">
        <f>AL512</f>
        <v/>
      </c>
      <c r="AM568" s="1562">
        <f>AM512-AL512</f>
        <v/>
      </c>
      <c r="AN568" s="1562">
        <f>AN512-AM512</f>
        <v/>
      </c>
      <c r="AO568" s="1562">
        <f>AO512-AN512</f>
        <v/>
      </c>
      <c r="AP568" s="1637">
        <f>AP512</f>
        <v/>
      </c>
      <c r="AQ568" s="1562">
        <f>AQ512</f>
        <v/>
      </c>
      <c r="AR568" s="1562">
        <f>AR512-AQ512</f>
        <v/>
      </c>
      <c r="AS568" s="1562">
        <f>AS512-AR512</f>
        <v/>
      </c>
      <c r="AT568" s="1562">
        <f>AT512-AS512</f>
        <v/>
      </c>
      <c r="AU568" s="1637">
        <f>AU512</f>
        <v/>
      </c>
      <c r="AV568" s="1562">
        <f>AV512</f>
        <v/>
      </c>
      <c r="AW568" s="1562">
        <f>AW512-AV512</f>
        <v/>
      </c>
      <c r="AX568" s="1562">
        <f>AX512-AW512</f>
        <v/>
      </c>
      <c r="AY568" s="1562">
        <f>AY512-AX512</f>
        <v/>
      </c>
      <c r="AZ568" s="1637">
        <f>AZ512</f>
        <v/>
      </c>
      <c r="BA568" s="1562">
        <f>BA512</f>
        <v/>
      </c>
      <c r="BB568" s="1562">
        <f>BB512-BA512</f>
        <v/>
      </c>
      <c r="BC568" s="1562">
        <f>BC512-BB512</f>
        <v/>
      </c>
      <c r="BD568" s="1562">
        <f>BD512-BC512</f>
        <v/>
      </c>
      <c r="BE568" s="1637">
        <f>BE512</f>
        <v/>
      </c>
      <c r="BF568" s="1562">
        <f>BF512</f>
        <v/>
      </c>
      <c r="BG568" s="1562">
        <f>BG512-BF512</f>
        <v/>
      </c>
      <c r="BH568" s="1562">
        <f>BH512-BG512</f>
        <v/>
      </c>
      <c r="BI568" s="1562">
        <f>BI512-BH512</f>
        <v/>
      </c>
      <c r="BJ568" s="1637">
        <f>BJ512</f>
        <v/>
      </c>
      <c r="BK568" s="1562">
        <f>BK512</f>
        <v/>
      </c>
      <c r="BL568" s="1562">
        <f>BL512-BK512</f>
        <v/>
      </c>
      <c r="BM568" s="1562">
        <f>BM512-BL512</f>
        <v/>
      </c>
      <c r="BN568" s="1562">
        <f>BN512-BM512</f>
        <v/>
      </c>
      <c r="BO568" s="1638">
        <f>BO512</f>
        <v/>
      </c>
      <c r="BP568" s="1562" t="n"/>
      <c r="BQ568" s="1562" t="n"/>
      <c r="BR568" s="1562" t="n"/>
      <c r="BS568" s="1562" t="n"/>
      <c r="BT568" s="1637">
        <f>SUM(BP568,BQ568,BR568,BS568)</f>
        <v/>
      </c>
      <c r="BU568" s="1562" t="n"/>
      <c r="BV568" s="1562" t="n"/>
      <c r="BW568" s="1562" t="n"/>
      <c r="BX568" s="1562" t="n"/>
      <c r="BY568" s="1637">
        <f>SUM(BU568,BV568,BW568,BX568)</f>
        <v/>
      </c>
      <c r="BZ568" s="1637" t="n"/>
      <c r="CA568" s="1637" t="n"/>
      <c r="CB568" s="1637" t="n"/>
      <c r="CC568" s="1564" t="n"/>
    </row>
    <row r="569" ht="15" customFormat="1" customHeight="1" s="1561">
      <c r="A569" s="1622">
        <f>A513</f>
        <v/>
      </c>
      <c r="B569" s="1705" t="n"/>
      <c r="C569" s="1637">
        <f>C513</f>
        <v/>
      </c>
      <c r="D569" s="1637">
        <f>D513</f>
        <v/>
      </c>
      <c r="E569" s="1637">
        <f>E513</f>
        <v/>
      </c>
      <c r="F569" s="1637">
        <f>F513</f>
        <v/>
      </c>
      <c r="G569" s="1637">
        <f>G513</f>
        <v/>
      </c>
      <c r="H569" s="1562">
        <f>H513</f>
        <v/>
      </c>
      <c r="I569" s="1562">
        <f>I513-H513</f>
        <v/>
      </c>
      <c r="J569" s="1562">
        <f>J513-I513</f>
        <v/>
      </c>
      <c r="K569" s="1562">
        <f>K513-J513</f>
        <v/>
      </c>
      <c r="L569" s="1637">
        <f>L513</f>
        <v/>
      </c>
      <c r="M569" s="1562">
        <f>M513</f>
        <v/>
      </c>
      <c r="N569" s="1562">
        <f>N513-M513</f>
        <v/>
      </c>
      <c r="O569" s="1562">
        <f>O513-N513</f>
        <v/>
      </c>
      <c r="P569" s="1562">
        <f>P513-O513</f>
        <v/>
      </c>
      <c r="Q569" s="1637">
        <f>Q513</f>
        <v/>
      </c>
      <c r="R569" s="1562">
        <f>R513</f>
        <v/>
      </c>
      <c r="S569" s="1562">
        <f>S513-R513</f>
        <v/>
      </c>
      <c r="T569" s="1562">
        <f>T513-S513</f>
        <v/>
      </c>
      <c r="U569" s="1562">
        <f>U513-T513</f>
        <v/>
      </c>
      <c r="V569" s="1637">
        <f>V513</f>
        <v/>
      </c>
      <c r="W569" s="1562">
        <f>W513</f>
        <v/>
      </c>
      <c r="X569" s="1562">
        <f>X513-W513</f>
        <v/>
      </c>
      <c r="Y569" s="1562">
        <f>Y513-X513</f>
        <v/>
      </c>
      <c r="Z569" s="1562">
        <f>Z513-Y513</f>
        <v/>
      </c>
      <c r="AA569" s="1637">
        <f>AA513</f>
        <v/>
      </c>
      <c r="AB569" s="1562">
        <f>AB513</f>
        <v/>
      </c>
      <c r="AC569" s="1562">
        <f>AC513-AB513</f>
        <v/>
      </c>
      <c r="AD569" s="1562">
        <f>AD513-AC513</f>
        <v/>
      </c>
      <c r="AE569" s="1562">
        <f>AE513-AD513</f>
        <v/>
      </c>
      <c r="AF569" s="1637">
        <f>AF513</f>
        <v/>
      </c>
      <c r="AG569" s="1562">
        <f>AG513</f>
        <v/>
      </c>
      <c r="AH569" s="1562">
        <f>AH513-AG513</f>
        <v/>
      </c>
      <c r="AI569" s="1562">
        <f>AI513-AH513</f>
        <v/>
      </c>
      <c r="AJ569" s="1562">
        <f>AJ513-AI513</f>
        <v/>
      </c>
      <c r="AK569" s="1637">
        <f>AK513</f>
        <v/>
      </c>
      <c r="AL569" s="1562">
        <f>AL513</f>
        <v/>
      </c>
      <c r="AM569" s="1562">
        <f>AM513-AL513</f>
        <v/>
      </c>
      <c r="AN569" s="1562">
        <f>AN513-AM513</f>
        <v/>
      </c>
      <c r="AO569" s="1562">
        <f>AO513-AN513</f>
        <v/>
      </c>
      <c r="AP569" s="1637">
        <f>AP513</f>
        <v/>
      </c>
      <c r="AQ569" s="1562">
        <f>AQ513</f>
        <v/>
      </c>
      <c r="AR569" s="1562">
        <f>AR513-AQ513</f>
        <v/>
      </c>
      <c r="AS569" s="1562">
        <f>AS513-AR513</f>
        <v/>
      </c>
      <c r="AT569" s="1562">
        <f>AT513-AS513</f>
        <v/>
      </c>
      <c r="AU569" s="1637">
        <f>AU513</f>
        <v/>
      </c>
      <c r="AV569" s="1562">
        <f>AV513</f>
        <v/>
      </c>
      <c r="AW569" s="1562">
        <f>AW513-AV513</f>
        <v/>
      </c>
      <c r="AX569" s="1562">
        <f>AX513-AW513</f>
        <v/>
      </c>
      <c r="AY569" s="1562">
        <f>AY513-AX513</f>
        <v/>
      </c>
      <c r="AZ569" s="1637">
        <f>AZ513</f>
        <v/>
      </c>
      <c r="BA569" s="1562">
        <f>BA513</f>
        <v/>
      </c>
      <c r="BB569" s="1562">
        <f>BB513-BA513</f>
        <v/>
      </c>
      <c r="BC569" s="1562">
        <f>BC513-BB513</f>
        <v/>
      </c>
      <c r="BD569" s="1562">
        <f>BD513-BC513</f>
        <v/>
      </c>
      <c r="BE569" s="1637">
        <f>BE513</f>
        <v/>
      </c>
      <c r="BF569" s="1562">
        <f>BF513</f>
        <v/>
      </c>
      <c r="BG569" s="1562">
        <f>BG513-BF513</f>
        <v/>
      </c>
      <c r="BH569" s="1562">
        <f>BH513-BG513</f>
        <v/>
      </c>
      <c r="BI569" s="1562">
        <f>BI513-BH513</f>
        <v/>
      </c>
      <c r="BJ569" s="1637">
        <f>BJ513</f>
        <v/>
      </c>
      <c r="BK569" s="1562">
        <f>BK513</f>
        <v/>
      </c>
      <c r="BL569" s="1562">
        <f>BL513-BK513</f>
        <v/>
      </c>
      <c r="BM569" s="1562">
        <f>BM513-BL513</f>
        <v/>
      </c>
      <c r="BN569" s="1562">
        <f>BN513-BM513</f>
        <v/>
      </c>
      <c r="BO569" s="1638">
        <f>BO513</f>
        <v/>
      </c>
      <c r="BP569" s="1562" t="n"/>
      <c r="BQ569" s="1562" t="n"/>
      <c r="BR569" s="1562" t="n"/>
      <c r="BS569" s="1562" t="n"/>
      <c r="BT569" s="1637">
        <f>SUM(BP569,BQ569,BR569,BS569)</f>
        <v/>
      </c>
      <c r="BU569" s="1562" t="n"/>
      <c r="BV569" s="1562" t="n"/>
      <c r="BW569" s="1562" t="n"/>
      <c r="BX569" s="1562" t="n"/>
      <c r="BY569" s="1637">
        <f>SUM(BU569,BV569,BW569,BX569)</f>
        <v/>
      </c>
      <c r="BZ569" s="1637" t="n"/>
      <c r="CA569" s="1637" t="n"/>
      <c r="CB569" s="1637" t="n"/>
      <c r="CC569" s="1564" t="n"/>
    </row>
    <row r="570" ht="15" customFormat="1" customHeight="1" s="1561">
      <c r="A570" s="1622">
        <f>A514</f>
        <v/>
      </c>
      <c r="B570" s="1705" t="n"/>
      <c r="C570" s="1637">
        <f>C514</f>
        <v/>
      </c>
      <c r="D570" s="1637">
        <f>D514</f>
        <v/>
      </c>
      <c r="E570" s="1637">
        <f>E514</f>
        <v/>
      </c>
      <c r="F570" s="1637">
        <f>F514</f>
        <v/>
      </c>
      <c r="G570" s="1637">
        <f>G514</f>
        <v/>
      </c>
      <c r="H570" s="1562">
        <f>H514</f>
        <v/>
      </c>
      <c r="I570" s="1562">
        <f>I514-H514</f>
        <v/>
      </c>
      <c r="J570" s="1562">
        <f>J514-I514</f>
        <v/>
      </c>
      <c r="K570" s="1562">
        <f>K514-J514</f>
        <v/>
      </c>
      <c r="L570" s="1637">
        <f>L514</f>
        <v/>
      </c>
      <c r="M570" s="1562">
        <f>M514</f>
        <v/>
      </c>
      <c r="N570" s="1562">
        <f>N514-M514</f>
        <v/>
      </c>
      <c r="O570" s="1562">
        <f>O514-N514</f>
        <v/>
      </c>
      <c r="P570" s="1562">
        <f>P514-O514</f>
        <v/>
      </c>
      <c r="Q570" s="1637">
        <f>Q514</f>
        <v/>
      </c>
      <c r="R570" s="1562">
        <f>R514</f>
        <v/>
      </c>
      <c r="S570" s="1562">
        <f>S514-R514</f>
        <v/>
      </c>
      <c r="T570" s="1562">
        <f>T514-S514</f>
        <v/>
      </c>
      <c r="U570" s="1562">
        <f>U514-T514</f>
        <v/>
      </c>
      <c r="V570" s="1637">
        <f>V514</f>
        <v/>
      </c>
      <c r="W570" s="1562">
        <f>W514</f>
        <v/>
      </c>
      <c r="X570" s="1562">
        <f>X514-W514</f>
        <v/>
      </c>
      <c r="Y570" s="1562">
        <f>Y514-X514</f>
        <v/>
      </c>
      <c r="Z570" s="1562">
        <f>Z514-Y514</f>
        <v/>
      </c>
      <c r="AA570" s="1637">
        <f>AA514</f>
        <v/>
      </c>
      <c r="AB570" s="1562">
        <f>AB514</f>
        <v/>
      </c>
      <c r="AC570" s="1562">
        <f>AC514-AB514</f>
        <v/>
      </c>
      <c r="AD570" s="1562">
        <f>AD514-AC514</f>
        <v/>
      </c>
      <c r="AE570" s="1562">
        <f>AE514-AD514</f>
        <v/>
      </c>
      <c r="AF570" s="1637">
        <f>AF514</f>
        <v/>
      </c>
      <c r="AG570" s="1562">
        <f>AG514</f>
        <v/>
      </c>
      <c r="AH570" s="1562">
        <f>AH514-AG514</f>
        <v/>
      </c>
      <c r="AI570" s="1562">
        <f>AI514-AH514</f>
        <v/>
      </c>
      <c r="AJ570" s="1562">
        <f>AJ514-AI514</f>
        <v/>
      </c>
      <c r="AK570" s="1637">
        <f>AK514</f>
        <v/>
      </c>
      <c r="AL570" s="1562">
        <f>AL514</f>
        <v/>
      </c>
      <c r="AM570" s="1562">
        <f>AM514-AL514</f>
        <v/>
      </c>
      <c r="AN570" s="1562">
        <f>AN514-AM514</f>
        <v/>
      </c>
      <c r="AO570" s="1562">
        <f>AO514-AN514</f>
        <v/>
      </c>
      <c r="AP570" s="1637">
        <f>AP514</f>
        <v/>
      </c>
      <c r="AQ570" s="1562">
        <f>AQ514</f>
        <v/>
      </c>
      <c r="AR570" s="1562">
        <f>AR514-AQ514</f>
        <v/>
      </c>
      <c r="AS570" s="1562">
        <f>AS514-AR514</f>
        <v/>
      </c>
      <c r="AT570" s="1562">
        <f>AT514-AS514</f>
        <v/>
      </c>
      <c r="AU570" s="1637">
        <f>AU514</f>
        <v/>
      </c>
      <c r="AV570" s="1562">
        <f>AV514</f>
        <v/>
      </c>
      <c r="AW570" s="1562">
        <f>AW514-AV514</f>
        <v/>
      </c>
      <c r="AX570" s="1562">
        <f>AX514-AW514</f>
        <v/>
      </c>
      <c r="AY570" s="1562">
        <f>AY514-AX514</f>
        <v/>
      </c>
      <c r="AZ570" s="1637">
        <f>AZ514</f>
        <v/>
      </c>
      <c r="BA570" s="1562">
        <f>BA514</f>
        <v/>
      </c>
      <c r="BB570" s="1562">
        <f>BB514-BA514</f>
        <v/>
      </c>
      <c r="BC570" s="1562">
        <f>BC514-BB514</f>
        <v/>
      </c>
      <c r="BD570" s="1562">
        <f>BD514-BC514</f>
        <v/>
      </c>
      <c r="BE570" s="1637">
        <f>BE514</f>
        <v/>
      </c>
      <c r="BF570" s="1562">
        <f>BF514</f>
        <v/>
      </c>
      <c r="BG570" s="1562">
        <f>BG514-BF514</f>
        <v/>
      </c>
      <c r="BH570" s="1562">
        <f>BH514-BG514</f>
        <v/>
      </c>
      <c r="BI570" s="1562">
        <f>BI514-BH514</f>
        <v/>
      </c>
      <c r="BJ570" s="1637">
        <f>BJ514</f>
        <v/>
      </c>
      <c r="BK570" s="1562">
        <f>BK514</f>
        <v/>
      </c>
      <c r="BL570" s="1562">
        <f>BL514-BK514</f>
        <v/>
      </c>
      <c r="BM570" s="1562">
        <f>BM514-BL514</f>
        <v/>
      </c>
      <c r="BN570" s="1562">
        <f>BN514-BM514</f>
        <v/>
      </c>
      <c r="BO570" s="1638">
        <f>BO514</f>
        <v/>
      </c>
      <c r="BP570" s="1562" t="n"/>
      <c r="BQ570" s="1562" t="n"/>
      <c r="BR570" s="1562" t="n"/>
      <c r="BS570" s="1562" t="n"/>
      <c r="BT570" s="1637">
        <f>SUM(BP570,BQ570,BR570,BS570)</f>
        <v/>
      </c>
      <c r="BU570" s="1562" t="n"/>
      <c r="BV570" s="1562" t="n"/>
      <c r="BW570" s="1562" t="n"/>
      <c r="BX570" s="1562" t="n"/>
      <c r="BY570" s="1637">
        <f>SUM(BU570,BV570,BW570,BX570)</f>
        <v/>
      </c>
      <c r="BZ570" s="1637" t="n"/>
      <c r="CA570" s="1637" t="n"/>
      <c r="CB570" s="1637" t="n"/>
      <c r="CC570" s="1564" t="n"/>
    </row>
    <row r="571" ht="15" customFormat="1" customHeight="1" s="1561">
      <c r="A571" s="1702">
        <f>A515</f>
        <v/>
      </c>
      <c r="B571" s="1708" t="n"/>
      <c r="C571" s="1712">
        <f>C515</f>
        <v/>
      </c>
      <c r="D571" s="1712">
        <f>D515</f>
        <v/>
      </c>
      <c r="E571" s="1712">
        <f>E515</f>
        <v/>
      </c>
      <c r="F571" s="1712">
        <f>F515</f>
        <v/>
      </c>
      <c r="G571" s="1712">
        <f>G515</f>
        <v/>
      </c>
      <c r="H571" s="1710">
        <f>H515</f>
        <v/>
      </c>
      <c r="I571" s="1710">
        <f>I515-H515</f>
        <v/>
      </c>
      <c r="J571" s="1710">
        <f>J515-I515</f>
        <v/>
      </c>
      <c r="K571" s="1710">
        <f>K515-J515</f>
        <v/>
      </c>
      <c r="L571" s="1712">
        <f>L515</f>
        <v/>
      </c>
      <c r="M571" s="1710">
        <f>M515</f>
        <v/>
      </c>
      <c r="N571" s="1710">
        <f>N515-M515</f>
        <v/>
      </c>
      <c r="O571" s="1710">
        <f>O515-N515</f>
        <v/>
      </c>
      <c r="P571" s="1710">
        <f>P515-O515</f>
        <v/>
      </c>
      <c r="Q571" s="1712">
        <f>Q515</f>
        <v/>
      </c>
      <c r="R571" s="1710">
        <f>R515</f>
        <v/>
      </c>
      <c r="S571" s="1710">
        <f>S515-R515</f>
        <v/>
      </c>
      <c r="T571" s="1710">
        <f>T515-S515</f>
        <v/>
      </c>
      <c r="U571" s="1710">
        <f>U515-T515</f>
        <v/>
      </c>
      <c r="V571" s="1712">
        <f>V515</f>
        <v/>
      </c>
      <c r="W571" s="1710">
        <f>W515</f>
        <v/>
      </c>
      <c r="X571" s="1710">
        <f>X515-W515</f>
        <v/>
      </c>
      <c r="Y571" s="1710">
        <f>Y515-X515</f>
        <v/>
      </c>
      <c r="Z571" s="1710">
        <f>Z515-Y515</f>
        <v/>
      </c>
      <c r="AA571" s="1712">
        <f>AA515</f>
        <v/>
      </c>
      <c r="AB571" s="1710">
        <f>AB515</f>
        <v/>
      </c>
      <c r="AC571" s="1710">
        <f>AC515-AB515</f>
        <v/>
      </c>
      <c r="AD571" s="1710">
        <f>AD515-AC515</f>
        <v/>
      </c>
      <c r="AE571" s="1710">
        <f>AE515-AD515</f>
        <v/>
      </c>
      <c r="AF571" s="1712">
        <f>AF515</f>
        <v/>
      </c>
      <c r="AG571" s="1710">
        <f>AG515</f>
        <v/>
      </c>
      <c r="AH571" s="1710">
        <f>AH515-AG515</f>
        <v/>
      </c>
      <c r="AI571" s="1710">
        <f>AI515-AH515</f>
        <v/>
      </c>
      <c r="AJ571" s="1710">
        <f>AJ515-AI515</f>
        <v/>
      </c>
      <c r="AK571" s="1712">
        <f>AK515</f>
        <v/>
      </c>
      <c r="AL571" s="1710">
        <f>AL515</f>
        <v/>
      </c>
      <c r="AM571" s="1710">
        <f>AM515-AL515</f>
        <v/>
      </c>
      <c r="AN571" s="1710">
        <f>AN515-AM515</f>
        <v/>
      </c>
      <c r="AO571" s="1710">
        <f>AO515-AN515</f>
        <v/>
      </c>
      <c r="AP571" s="1712">
        <f>AP515</f>
        <v/>
      </c>
      <c r="AQ571" s="1710">
        <f>AQ515</f>
        <v/>
      </c>
      <c r="AR571" s="1710">
        <f>AR515-AQ515</f>
        <v/>
      </c>
      <c r="AS571" s="1710">
        <f>AS515-AR515</f>
        <v/>
      </c>
      <c r="AT571" s="1710">
        <f>AT515-AS515</f>
        <v/>
      </c>
      <c r="AU571" s="1712">
        <f>AU515</f>
        <v/>
      </c>
      <c r="AV571" s="1710">
        <f>AV515</f>
        <v/>
      </c>
      <c r="AW571" s="1710">
        <f>AW515-AV515</f>
        <v/>
      </c>
      <c r="AX571" s="1710">
        <f>AX515-AW515</f>
        <v/>
      </c>
      <c r="AY571" s="1710">
        <f>AY515-AX515</f>
        <v/>
      </c>
      <c r="AZ571" s="1712">
        <f>AZ515</f>
        <v/>
      </c>
      <c r="BA571" s="1710">
        <f>BA515</f>
        <v/>
      </c>
      <c r="BB571" s="1710">
        <f>BB515-BA515</f>
        <v/>
      </c>
      <c r="BC571" s="1710">
        <f>BC515-BB515</f>
        <v/>
      </c>
      <c r="BD571" s="1710">
        <f>BD515-BC515</f>
        <v/>
      </c>
      <c r="BE571" s="1712">
        <f>BE515</f>
        <v/>
      </c>
      <c r="BF571" s="1710">
        <f>BF515</f>
        <v/>
      </c>
      <c r="BG571" s="1710">
        <f>BG515-BF515</f>
        <v/>
      </c>
      <c r="BH571" s="1710">
        <f>BH515-BG515</f>
        <v/>
      </c>
      <c r="BI571" s="1710">
        <f>BI515-BH515</f>
        <v/>
      </c>
      <c r="BJ571" s="1712">
        <f>BJ515</f>
        <v/>
      </c>
      <c r="BK571" s="1710">
        <f>BK515</f>
        <v/>
      </c>
      <c r="BL571" s="1710">
        <f>BL515-BK515</f>
        <v/>
      </c>
      <c r="BM571" s="1710">
        <f>BM515-BL515</f>
        <v/>
      </c>
      <c r="BN571" s="1710">
        <f>BN515-BM515</f>
        <v/>
      </c>
      <c r="BO571" s="1711">
        <f>BO515</f>
        <v/>
      </c>
      <c r="BP571" s="1710" t="n"/>
      <c r="BQ571" s="1710" t="n"/>
      <c r="BR571" s="1710" t="n"/>
      <c r="BS571" s="1710" t="n"/>
      <c r="BT571" s="1712">
        <f>SUM(BP571,BQ571,BR571,BS571)</f>
        <v/>
      </c>
      <c r="BU571" s="1710" t="n"/>
      <c r="BV571" s="1710" t="n"/>
      <c r="BW571" s="1710" t="n"/>
      <c r="BX571" s="1710" t="n"/>
      <c r="BY571" s="1712">
        <f>SUM(BU571,BV571,BW571,BX571)</f>
        <v/>
      </c>
      <c r="BZ571" s="1712" t="n"/>
      <c r="CA571" s="1712" t="n"/>
      <c r="CB571" s="1712" t="n"/>
      <c r="CC571" s="1564" t="n"/>
    </row>
    <row r="572" ht="15" customFormat="1" customHeight="1" s="1628">
      <c r="A572" s="1629">
        <f>A516</f>
        <v/>
      </c>
      <c r="B572" s="1793" t="n"/>
      <c r="C572" s="1641">
        <f>SUM(C563:C571)</f>
        <v/>
      </c>
      <c r="D572" s="1641">
        <f>SUM(D563:D571)</f>
        <v/>
      </c>
      <c r="E572" s="1641">
        <f>SUM(E563:E571)</f>
        <v/>
      </c>
      <c r="F572" s="1641">
        <f>SUM(F563:F571)</f>
        <v/>
      </c>
      <c r="G572" s="1641">
        <f>SUM(G563:G571)</f>
        <v/>
      </c>
      <c r="H572" s="1642">
        <f>SUM(H563:H571)</f>
        <v/>
      </c>
      <c r="I572" s="1642">
        <f>SUM(I563:I571)</f>
        <v/>
      </c>
      <c r="J572" s="1642">
        <f>SUM(J563:J571)</f>
        <v/>
      </c>
      <c r="K572" s="1642">
        <f>SUM(K563:K571)</f>
        <v/>
      </c>
      <c r="L572" s="1641">
        <f>SUM(L563:L571)</f>
        <v/>
      </c>
      <c r="M572" s="1642">
        <f>SUM(M563:M571)</f>
        <v/>
      </c>
      <c r="N572" s="1642">
        <f>SUM(N563:N571)</f>
        <v/>
      </c>
      <c r="O572" s="1642">
        <f>SUM(O563:O571)</f>
        <v/>
      </c>
      <c r="P572" s="1642">
        <f>SUM(P563:P571)</f>
        <v/>
      </c>
      <c r="Q572" s="1641">
        <f>SUM(Q563:Q571)</f>
        <v/>
      </c>
      <c r="R572" s="1642">
        <f>SUM(R563:R571)</f>
        <v/>
      </c>
      <c r="S572" s="1642">
        <f>SUM(S563:S571)</f>
        <v/>
      </c>
      <c r="T572" s="1642">
        <f>SUM(T563:T571)</f>
        <v/>
      </c>
      <c r="U572" s="1642">
        <f>SUM(U563:U571)</f>
        <v/>
      </c>
      <c r="V572" s="1641">
        <f>SUM(V563:V571)</f>
        <v/>
      </c>
      <c r="W572" s="1642">
        <f>SUM(W563:W571)</f>
        <v/>
      </c>
      <c r="X572" s="1642">
        <f>SUM(X563:X571)</f>
        <v/>
      </c>
      <c r="Y572" s="1642">
        <f>SUM(Y563:Y571)</f>
        <v/>
      </c>
      <c r="Z572" s="1642">
        <f>SUM(Z563:Z571)</f>
        <v/>
      </c>
      <c r="AA572" s="1641">
        <f>SUM(AA563:AA571)</f>
        <v/>
      </c>
      <c r="AB572" s="1642">
        <f>SUM(AB563:AB571)</f>
        <v/>
      </c>
      <c r="AC572" s="1642">
        <f>SUM(AC563:AC571)</f>
        <v/>
      </c>
      <c r="AD572" s="1642">
        <f>SUM(AD563:AD571)</f>
        <v/>
      </c>
      <c r="AE572" s="1642">
        <f>SUM(AE563:AE571)</f>
        <v/>
      </c>
      <c r="AF572" s="1641">
        <f>SUM(AF563:AF571)</f>
        <v/>
      </c>
      <c r="AG572" s="1642">
        <f>SUM(AG563:AG571)</f>
        <v/>
      </c>
      <c r="AH572" s="1642">
        <f>SUM(AH563:AH571)</f>
        <v/>
      </c>
      <c r="AI572" s="1642">
        <f>SUM(AI563:AI571)</f>
        <v/>
      </c>
      <c r="AJ572" s="1642">
        <f>SUM(AJ563:AJ571)</f>
        <v/>
      </c>
      <c r="AK572" s="1641">
        <f>SUM(AK563:AK571)</f>
        <v/>
      </c>
      <c r="AL572" s="1642">
        <f>SUM(AL563:AL571)</f>
        <v/>
      </c>
      <c r="AM572" s="1642">
        <f>SUM(AM563:AM571)</f>
        <v/>
      </c>
      <c r="AN572" s="1642">
        <f>SUM(AN563:AN571)</f>
        <v/>
      </c>
      <c r="AO572" s="1642">
        <f>SUM(AO563:AO571)</f>
        <v/>
      </c>
      <c r="AP572" s="1641">
        <f>SUM(AP563:AP571)</f>
        <v/>
      </c>
      <c r="AQ572" s="1642">
        <f>SUM(AQ563:AQ571)</f>
        <v/>
      </c>
      <c r="AR572" s="1642">
        <f>SUM(AR563:AR571)</f>
        <v/>
      </c>
      <c r="AS572" s="1642">
        <f>SUM(AS563:AS571)</f>
        <v/>
      </c>
      <c r="AT572" s="1642">
        <f>SUM(AT563:AT571)</f>
        <v/>
      </c>
      <c r="AU572" s="1641">
        <f>SUM(AU563:AU571)</f>
        <v/>
      </c>
      <c r="AV572" s="1642">
        <f>SUM(AV563:AV571)</f>
        <v/>
      </c>
      <c r="AW572" s="1642">
        <f>SUM(AW563:AW571)</f>
        <v/>
      </c>
      <c r="AX572" s="1642">
        <f>SUM(AX563:AX571)</f>
        <v/>
      </c>
      <c r="AY572" s="1642">
        <f>SUM(AY563:AY571)</f>
        <v/>
      </c>
      <c r="AZ572" s="1641">
        <f>SUM(AZ563:AZ571)</f>
        <v/>
      </c>
      <c r="BA572" s="1642">
        <f>SUM(BA563:BA571)</f>
        <v/>
      </c>
      <c r="BB572" s="1642">
        <f>SUM(BB563:BB571)</f>
        <v/>
      </c>
      <c r="BC572" s="1642">
        <f>SUM(BC563:BC571)</f>
        <v/>
      </c>
      <c r="BD572" s="1642">
        <f>SUM(BD563:BD571)</f>
        <v/>
      </c>
      <c r="BE572" s="1641">
        <f>SUM(BE563:BE571)</f>
        <v/>
      </c>
      <c r="BF572" s="1642">
        <f>SUM(BF563:BF571)</f>
        <v/>
      </c>
      <c r="BG572" s="1642">
        <f>SUM(BG563:BG571)</f>
        <v/>
      </c>
      <c r="BH572" s="1642">
        <f>SUM(BH563:BH571)</f>
        <v/>
      </c>
      <c r="BI572" s="1642">
        <f>SUM(BI563:BI571)</f>
        <v/>
      </c>
      <c r="BJ572" s="1641">
        <f>SUM(BJ563:BJ571)</f>
        <v/>
      </c>
      <c r="BK572" s="1642">
        <f>SUM(BK563:BK571)</f>
        <v/>
      </c>
      <c r="BL572" s="1642">
        <f>SUM(BL563:BL571)</f>
        <v/>
      </c>
      <c r="BM572" s="1642">
        <f>SUM(BM563:BM571)</f>
        <v/>
      </c>
      <c r="BN572" s="1642">
        <f>SUM(BN563:BN571)</f>
        <v/>
      </c>
      <c r="BO572" s="1643">
        <f>SUM(BO563:BO571)</f>
        <v/>
      </c>
      <c r="BP572" s="1642">
        <f>SUM(BP563:BP571)</f>
        <v/>
      </c>
      <c r="BQ572" s="1642">
        <f>SUM(BQ563:BQ571)</f>
        <v/>
      </c>
      <c r="BR572" s="1642">
        <f>SUM(BR563:BR571)</f>
        <v/>
      </c>
      <c r="BS572" s="1642">
        <f>SUM(BS563:BS571)</f>
        <v/>
      </c>
      <c r="BT572" s="1641">
        <f>SUM(BT563:BT571)</f>
        <v/>
      </c>
      <c r="BU572" s="1642">
        <f>SUM(BU563:BU571)</f>
        <v/>
      </c>
      <c r="BV572" s="1642">
        <f>SUM(BV563:BV571)</f>
        <v/>
      </c>
      <c r="BW572" s="1642">
        <f>SUM(BW563:BW571)</f>
        <v/>
      </c>
      <c r="BX572" s="1642">
        <f>SUM(BX563:BX571)</f>
        <v/>
      </c>
      <c r="BY572" s="1641">
        <f>SUM(BY563:BY571)</f>
        <v/>
      </c>
      <c r="BZ572" s="1641">
        <f>SUM(BZ563:BZ571)</f>
        <v/>
      </c>
      <c r="CA572" s="1641">
        <f>SUM(CA563:CA571)</f>
        <v/>
      </c>
      <c r="CB572" s="1641">
        <f>SUM(CB563:CB571)</f>
        <v/>
      </c>
      <c r="CC572" s="1634" t="n"/>
    </row>
    <row r="573" ht="15" customFormat="1" customHeight="1" s="1628">
      <c r="A573" s="1703" t="n"/>
      <c r="B573" s="1717" t="n"/>
      <c r="C573" s="1718" t="n"/>
      <c r="D573" s="1718" t="n"/>
      <c r="E573" s="1718" t="n"/>
      <c r="F573" s="1718" t="n"/>
      <c r="G573" s="1718" t="n"/>
      <c r="H573" s="1719" t="n"/>
      <c r="I573" s="1719" t="n"/>
      <c r="J573" s="1719" t="n"/>
      <c r="K573" s="1719" t="n"/>
      <c r="L573" s="1718" t="n"/>
      <c r="M573" s="1719" t="n"/>
      <c r="N573" s="1719" t="n"/>
      <c r="O573" s="1719" t="n"/>
      <c r="P573" s="1719" t="n"/>
      <c r="Q573" s="1718" t="n"/>
      <c r="R573" s="1719" t="n"/>
      <c r="S573" s="1719" t="n"/>
      <c r="T573" s="1719" t="n"/>
      <c r="U573" s="1719" t="n"/>
      <c r="V573" s="1718" t="n"/>
      <c r="W573" s="1719" t="n"/>
      <c r="X573" s="1719" t="n"/>
      <c r="Y573" s="1719" t="n"/>
      <c r="Z573" s="1719" t="n"/>
      <c r="AA573" s="1718" t="n"/>
      <c r="AB573" s="1719" t="n"/>
      <c r="AC573" s="1719" t="n"/>
      <c r="AD573" s="1719" t="n"/>
      <c r="AE573" s="1719" t="n"/>
      <c r="AF573" s="1718" t="n"/>
      <c r="AG573" s="1719" t="n"/>
      <c r="AH573" s="1719" t="n"/>
      <c r="AI573" s="1719" t="n"/>
      <c r="AJ573" s="1719" t="n"/>
      <c r="AK573" s="1718" t="n"/>
      <c r="AL573" s="1719" t="n"/>
      <c r="AM573" s="1719" t="n"/>
      <c r="AN573" s="1719" t="n"/>
      <c r="AO573" s="1719" t="n"/>
      <c r="AP573" s="1718" t="n"/>
      <c r="AQ573" s="1719" t="n"/>
      <c r="AR573" s="1719" t="n"/>
      <c r="AS573" s="1719" t="n"/>
      <c r="AT573" s="1719" t="n"/>
      <c r="AU573" s="1718" t="n"/>
      <c r="AV573" s="1719" t="n"/>
      <c r="AW573" s="1719" t="n"/>
      <c r="AX573" s="1719" t="n"/>
      <c r="AY573" s="1719" t="n"/>
      <c r="AZ573" s="1718" t="n"/>
      <c r="BA573" s="1719" t="n"/>
      <c r="BB573" s="1719" t="n"/>
      <c r="BC573" s="1719" t="n"/>
      <c r="BD573" s="1719" t="n"/>
      <c r="BE573" s="1718" t="n"/>
      <c r="BF573" s="1719" t="n"/>
      <c r="BG573" s="1719" t="n"/>
      <c r="BH573" s="1719" t="n"/>
      <c r="BI573" s="1719" t="n"/>
      <c r="BJ573" s="1718" t="n"/>
      <c r="BK573" s="1719" t="n"/>
      <c r="BL573" s="1719" t="n"/>
      <c r="BM573" s="1719" t="n"/>
      <c r="BN573" s="1719" t="n"/>
      <c r="BO573" s="1720" t="n"/>
      <c r="BP573" s="1719" t="n"/>
      <c r="BQ573" s="1719" t="n"/>
      <c r="BR573" s="1719" t="n"/>
      <c r="BS573" s="1719" t="n"/>
      <c r="BT573" s="1718" t="n"/>
      <c r="BU573" s="1719" t="n"/>
      <c r="BV573" s="1719" t="n"/>
      <c r="BW573" s="1719" t="n"/>
      <c r="BX573" s="1719" t="n"/>
      <c r="BY573" s="1718" t="n"/>
      <c r="BZ573" s="1718" t="n"/>
      <c r="CA573" s="1718" t="n"/>
      <c r="CB573" s="1718" t="n"/>
      <c r="CC573" s="1634" t="n"/>
    </row>
    <row r="574" ht="15" customFormat="1" customHeight="1" s="1561">
      <c r="A574" s="1669">
        <f>A518</f>
        <v/>
      </c>
      <c r="B574" s="1705" t="n"/>
      <c r="C574" s="1637">
        <f>C518</f>
        <v/>
      </c>
      <c r="D574" s="1637">
        <f>D518</f>
        <v/>
      </c>
      <c r="E574" s="1637">
        <f>E518</f>
        <v/>
      </c>
      <c r="F574" s="1637">
        <f>F518</f>
        <v/>
      </c>
      <c r="G574" s="1637">
        <f>G518</f>
        <v/>
      </c>
      <c r="H574" s="1562">
        <f>H518</f>
        <v/>
      </c>
      <c r="I574" s="1562">
        <f>I518-H518</f>
        <v/>
      </c>
      <c r="J574" s="1562">
        <f>J518-I518</f>
        <v/>
      </c>
      <c r="K574" s="1562">
        <f>K518-J518</f>
        <v/>
      </c>
      <c r="L574" s="1637">
        <f>L518</f>
        <v/>
      </c>
      <c r="M574" s="1562">
        <f>M518</f>
        <v/>
      </c>
      <c r="N574" s="1562">
        <f>N518-M518</f>
        <v/>
      </c>
      <c r="O574" s="1562">
        <f>O518-N518</f>
        <v/>
      </c>
      <c r="P574" s="1562">
        <f>P518-O518</f>
        <v/>
      </c>
      <c r="Q574" s="1637">
        <f>Q518</f>
        <v/>
      </c>
      <c r="R574" s="1562">
        <f>R518</f>
        <v/>
      </c>
      <c r="S574" s="1562">
        <f>S518-R518</f>
        <v/>
      </c>
      <c r="T574" s="1562">
        <f>T518-S518</f>
        <v/>
      </c>
      <c r="U574" s="1562">
        <f>U518-T518</f>
        <v/>
      </c>
      <c r="V574" s="1637">
        <f>V518</f>
        <v/>
      </c>
      <c r="W574" s="1562">
        <f>W518</f>
        <v/>
      </c>
      <c r="X574" s="1562">
        <f>X518-W518</f>
        <v/>
      </c>
      <c r="Y574" s="1562">
        <f>Y518-X518</f>
        <v/>
      </c>
      <c r="Z574" s="1562">
        <f>Z518-Y518</f>
        <v/>
      </c>
      <c r="AA574" s="1637">
        <f>AA518</f>
        <v/>
      </c>
      <c r="AB574" s="1562">
        <f>AB518</f>
        <v/>
      </c>
      <c r="AC574" s="1562">
        <f>AC518-AB518</f>
        <v/>
      </c>
      <c r="AD574" s="1562">
        <f>AD518-AC518</f>
        <v/>
      </c>
      <c r="AE574" s="1562">
        <f>AE518-AD518</f>
        <v/>
      </c>
      <c r="AF574" s="1637">
        <f>AF518</f>
        <v/>
      </c>
      <c r="AG574" s="1562">
        <f>AG518</f>
        <v/>
      </c>
      <c r="AH574" s="1562">
        <f>AH518-AG518</f>
        <v/>
      </c>
      <c r="AI574" s="1562">
        <f>AI518-AH518</f>
        <v/>
      </c>
      <c r="AJ574" s="1562">
        <f>AJ518-AI518</f>
        <v/>
      </c>
      <c r="AK574" s="1637">
        <f>AK518</f>
        <v/>
      </c>
      <c r="AL574" s="1562">
        <f>AL518</f>
        <v/>
      </c>
      <c r="AM574" s="1562">
        <f>AM518-AL518</f>
        <v/>
      </c>
      <c r="AN574" s="1562">
        <f>AN518-AM518</f>
        <v/>
      </c>
      <c r="AO574" s="1562">
        <f>AO518-AN518</f>
        <v/>
      </c>
      <c r="AP574" s="1637">
        <f>AP518</f>
        <v/>
      </c>
      <c r="AQ574" s="1562">
        <f>AQ518</f>
        <v/>
      </c>
      <c r="AR574" s="1562">
        <f>AR518-AQ518</f>
        <v/>
      </c>
      <c r="AS574" s="1562">
        <f>AS518-AR518</f>
        <v/>
      </c>
      <c r="AT574" s="1562">
        <f>AT518-AS518</f>
        <v/>
      </c>
      <c r="AU574" s="1637">
        <f>AU518</f>
        <v/>
      </c>
      <c r="AV574" s="1562">
        <f>AV518</f>
        <v/>
      </c>
      <c r="AW574" s="1562">
        <f>AW518-AV518</f>
        <v/>
      </c>
      <c r="AX574" s="1562">
        <f>AX518-AW518</f>
        <v/>
      </c>
      <c r="AY574" s="1562">
        <f>AY518-AX518</f>
        <v/>
      </c>
      <c r="AZ574" s="1637">
        <f>AZ518</f>
        <v/>
      </c>
      <c r="BA574" s="1562">
        <f>BA518</f>
        <v/>
      </c>
      <c r="BB574" s="1562">
        <f>BB518-BA518</f>
        <v/>
      </c>
      <c r="BC574" s="1562">
        <f>BC518-BB518</f>
        <v/>
      </c>
      <c r="BD574" s="1562">
        <f>BD518-BC518</f>
        <v/>
      </c>
      <c r="BE574" s="1637">
        <f>BE518</f>
        <v/>
      </c>
      <c r="BF574" s="1562">
        <f>BF518</f>
        <v/>
      </c>
      <c r="BG574" s="1562">
        <f>BG518-BF518</f>
        <v/>
      </c>
      <c r="BH574" s="1562">
        <f>BH518-BG518</f>
        <v/>
      </c>
      <c r="BI574" s="1562">
        <f>BI518-BH518</f>
        <v/>
      </c>
      <c r="BJ574" s="1637">
        <f>BJ518</f>
        <v/>
      </c>
      <c r="BK574" s="1562">
        <f>BK518</f>
        <v/>
      </c>
      <c r="BL574" s="1562">
        <f>BL518-BK518</f>
        <v/>
      </c>
      <c r="BM574" s="1562">
        <f>BM518-BL518</f>
        <v/>
      </c>
      <c r="BN574" s="1562">
        <f>BN518-BM518</f>
        <v/>
      </c>
      <c r="BO574" s="1638">
        <f>BO518</f>
        <v/>
      </c>
      <c r="BP574" s="1562" t="n"/>
      <c r="BQ574" s="1562" t="n"/>
      <c r="BR574" s="1562" t="n"/>
      <c r="BS574" s="1562" t="n"/>
      <c r="BT574" s="1637">
        <f>SUM(BP574,BQ574,BR574,BS574)</f>
        <v/>
      </c>
      <c r="BU574" s="1562" t="n"/>
      <c r="BV574" s="1562" t="n"/>
      <c r="BW574" s="1562" t="n"/>
      <c r="BX574" s="1562" t="n"/>
      <c r="BY574" s="1637">
        <f>SUM(BU574,BV574,BW574,BX574)</f>
        <v/>
      </c>
      <c r="BZ574" s="1637" t="n"/>
      <c r="CA574" s="1637" t="n"/>
      <c r="CB574" s="1637" t="n"/>
      <c r="CC574" s="1564" t="n"/>
    </row>
    <row r="575" ht="15" customFormat="1" customHeight="1" s="1628">
      <c r="A575" s="1681">
        <f>A519</f>
        <v/>
      </c>
      <c r="B575" s="1717" t="n"/>
      <c r="C575" s="1802">
        <f>C572+C560+C546+C574</f>
        <v/>
      </c>
      <c r="D575" s="1802">
        <f>D572+D560+D546+D574</f>
        <v/>
      </c>
      <c r="E575" s="1802">
        <f>E572+E560+E546+E574</f>
        <v/>
      </c>
      <c r="F575" s="1802">
        <f>F572+F560+F546+F574</f>
        <v/>
      </c>
      <c r="G575" s="1802">
        <f>G572+G560+G546+G574</f>
        <v/>
      </c>
      <c r="H575" s="1634">
        <f>H572+H560+H546+H574</f>
        <v/>
      </c>
      <c r="I575" s="1634">
        <f>I572+I560+I546+I574</f>
        <v/>
      </c>
      <c r="J575" s="1634">
        <f>J572+J560+J546+J574</f>
        <v/>
      </c>
      <c r="K575" s="1634">
        <f>K572+K560+K546+K574</f>
        <v/>
      </c>
      <c r="L575" s="1802">
        <f>L572+L560+L546+L574</f>
        <v/>
      </c>
      <c r="M575" s="1634">
        <f>M572+M560+M546+M574</f>
        <v/>
      </c>
      <c r="N575" s="1634">
        <f>N572+N560+N546+N574</f>
        <v/>
      </c>
      <c r="O575" s="1634">
        <f>O572+O560+O546+O574</f>
        <v/>
      </c>
      <c r="P575" s="1634">
        <f>P572+P560+P546+P574</f>
        <v/>
      </c>
      <c r="Q575" s="1802">
        <f>Q572+Q560+Q546+Q574</f>
        <v/>
      </c>
      <c r="R575" s="1634">
        <f>R572+R560+R546+R574</f>
        <v/>
      </c>
      <c r="S575" s="1634">
        <f>S572+S560+S546+S574</f>
        <v/>
      </c>
      <c r="T575" s="1634">
        <f>T572+T560+T546+T574</f>
        <v/>
      </c>
      <c r="U575" s="1634">
        <f>U572+U560+U546+U574</f>
        <v/>
      </c>
      <c r="V575" s="1802">
        <f>V572+V560+V546+V574</f>
        <v/>
      </c>
      <c r="W575" s="1634">
        <f>W572+W560+W546+W574</f>
        <v/>
      </c>
      <c r="X575" s="1634">
        <f>X572+X560+X546+X574</f>
        <v/>
      </c>
      <c r="Y575" s="1634">
        <f>Y572+Y560+Y546+Y574</f>
        <v/>
      </c>
      <c r="Z575" s="1634">
        <f>Z572+Z560+Z546+Z574</f>
        <v/>
      </c>
      <c r="AA575" s="1802">
        <f>AA572+AA560+AA546+AA574</f>
        <v/>
      </c>
      <c r="AB575" s="1634">
        <f>AB572+AB560+AB546+AB574</f>
        <v/>
      </c>
      <c r="AC575" s="1634">
        <f>AC572+AC560+AC546+AC574</f>
        <v/>
      </c>
      <c r="AD575" s="1634">
        <f>AD572+AD560+AD546+AD574</f>
        <v/>
      </c>
      <c r="AE575" s="1634">
        <f>AE572+AE560+AE546+AE574</f>
        <v/>
      </c>
      <c r="AF575" s="1802">
        <f>AF572+AF560+AF546+AF574</f>
        <v/>
      </c>
      <c r="AG575" s="1634">
        <f>AG572+AG560+AG546+AG574</f>
        <v/>
      </c>
      <c r="AH575" s="1634">
        <f>AH572+AH560+AH546+AH574</f>
        <v/>
      </c>
      <c r="AI575" s="1634">
        <f>AI572+AI560+AI546+AI574</f>
        <v/>
      </c>
      <c r="AJ575" s="1634">
        <f>AJ572+AJ560+AJ546+AJ574</f>
        <v/>
      </c>
      <c r="AK575" s="1802">
        <f>AK572+AK560+AK546+AK574</f>
        <v/>
      </c>
      <c r="AL575" s="1634">
        <f>AL572+AL560+AL546+AL574</f>
        <v/>
      </c>
      <c r="AM575" s="1634">
        <f>AM572+AM560+AM546+AM574</f>
        <v/>
      </c>
      <c r="AN575" s="1634">
        <f>AN572+AN560+AN546+AN574</f>
        <v/>
      </c>
      <c r="AO575" s="1634">
        <f>AO572+AO560+AO546+AO574</f>
        <v/>
      </c>
      <c r="AP575" s="1802">
        <f>AP572+AP560+AP546+AP574</f>
        <v/>
      </c>
      <c r="AQ575" s="1634">
        <f>AQ572+AQ560+AQ546+AQ574</f>
        <v/>
      </c>
      <c r="AR575" s="1634">
        <f>AR572+AR560+AR546+AR574</f>
        <v/>
      </c>
      <c r="AS575" s="1634">
        <f>AS572+AS560+AS546+AS574</f>
        <v/>
      </c>
      <c r="AT575" s="1634">
        <f>AT572+AT560+AT546+AT574</f>
        <v/>
      </c>
      <c r="AU575" s="1802">
        <f>AU572+AU560+AU546+AU574</f>
        <v/>
      </c>
      <c r="AV575" s="1634">
        <f>AV572+AV560+AV546+AV574</f>
        <v/>
      </c>
      <c r="AW575" s="1634">
        <f>AW572+AW560+AW546+AW574</f>
        <v/>
      </c>
      <c r="AX575" s="1634">
        <f>AX572+AX560+AX546+AX574</f>
        <v/>
      </c>
      <c r="AY575" s="1634">
        <f>AY572+AY560+AY546+AY574</f>
        <v/>
      </c>
      <c r="AZ575" s="1802">
        <f>AZ572+AZ560+AZ546+AZ574</f>
        <v/>
      </c>
      <c r="BA575" s="1634">
        <f>BA572+BA560+BA546+BA574</f>
        <v/>
      </c>
      <c r="BB575" s="1634">
        <f>BB572+BB560+BB546+BB574</f>
        <v/>
      </c>
      <c r="BC575" s="1634">
        <f>BC572+BC560+BC546+BC574</f>
        <v/>
      </c>
      <c r="BD575" s="1634">
        <f>BD572+BD560+BD546+BD574</f>
        <v/>
      </c>
      <c r="BE575" s="1802">
        <f>BE572+BE560+BE546+BE574</f>
        <v/>
      </c>
      <c r="BF575" s="1634">
        <f>BF572+BF560+BF546+BF574</f>
        <v/>
      </c>
      <c r="BG575" s="1634">
        <f>BG572+BG560+BG546+BG574</f>
        <v/>
      </c>
      <c r="BH575" s="1634">
        <f>BH572+BH560+BH546+BH574</f>
        <v/>
      </c>
      <c r="BI575" s="1634">
        <f>BI572+BI560+BI546+BI574</f>
        <v/>
      </c>
      <c r="BJ575" s="1802">
        <f>BJ572+BJ560+BJ546+BJ574</f>
        <v/>
      </c>
      <c r="BK575" s="1634">
        <f>BK572+BK560+BK546+BK574</f>
        <v/>
      </c>
      <c r="BL575" s="1634">
        <f>BL572+BL560+BL546+BL574</f>
        <v/>
      </c>
      <c r="BM575" s="1634">
        <f>BM572+BM560+BM546+BM574</f>
        <v/>
      </c>
      <c r="BN575" s="1634">
        <f>BN572+BN560+BN546+BN574</f>
        <v/>
      </c>
      <c r="BO575" s="1803">
        <f>BO572+BO560+BO546+BO574</f>
        <v/>
      </c>
      <c r="BP575" s="1719">
        <f>BP572+BP560+BP546+BP574</f>
        <v/>
      </c>
      <c r="BQ575" s="1719">
        <f>BQ572+BQ560+BQ546+BQ574</f>
        <v/>
      </c>
      <c r="BR575" s="1719">
        <f>BR572+BR560+BR546+BR574</f>
        <v/>
      </c>
      <c r="BS575" s="1719">
        <f>BS572+BS560+BS546+BS574</f>
        <v/>
      </c>
      <c r="BT575" s="1718">
        <f>BT572+BT560+BT546+BT574</f>
        <v/>
      </c>
      <c r="BU575" s="1719">
        <f>BU572+BU560+BU546+BU574</f>
        <v/>
      </c>
      <c r="BV575" s="1719">
        <f>BV572+BV560+BV546+BV574</f>
        <v/>
      </c>
      <c r="BW575" s="1719">
        <f>BW572+BW560+BW546+BW574</f>
        <v/>
      </c>
      <c r="BX575" s="1719">
        <f>BX572+BX560+BX546+BX574</f>
        <v/>
      </c>
      <c r="BY575" s="1718">
        <f>BY572+BY560+BY546+BY574</f>
        <v/>
      </c>
      <c r="BZ575" s="1718">
        <f>BZ572+BZ560+BZ546+BZ574</f>
        <v/>
      </c>
      <c r="CA575" s="1718">
        <f>CA572+CA560+CA546+CA574</f>
        <v/>
      </c>
      <c r="CB575" s="1718">
        <f>CB572+CB560+CB546+CB574</f>
        <v/>
      </c>
      <c r="CC575" s="1634" t="n"/>
    </row>
    <row r="576" ht="15" customFormat="1" customHeight="1" s="1628">
      <c r="A576" s="1703" t="n"/>
      <c r="B576" s="1717" t="n"/>
      <c r="C576" s="1718" t="n"/>
      <c r="D576" s="1718" t="n"/>
      <c r="E576" s="1718" t="n"/>
      <c r="F576" s="1718" t="n"/>
      <c r="G576" s="1718" t="n"/>
      <c r="H576" s="1719" t="n"/>
      <c r="I576" s="1719" t="n"/>
      <c r="J576" s="1719" t="n"/>
      <c r="K576" s="1719" t="n"/>
      <c r="L576" s="1718" t="n"/>
      <c r="M576" s="1719" t="n"/>
      <c r="N576" s="1719" t="n"/>
      <c r="O576" s="1719" t="n"/>
      <c r="P576" s="1719" t="n"/>
      <c r="Q576" s="1718" t="n"/>
      <c r="R576" s="1719" t="n"/>
      <c r="S576" s="1719" t="n"/>
      <c r="T576" s="1719" t="n"/>
      <c r="U576" s="1719" t="n"/>
      <c r="V576" s="1718" t="n"/>
      <c r="W576" s="1719" t="n"/>
      <c r="X576" s="1719" t="n"/>
      <c r="Y576" s="1719" t="n"/>
      <c r="Z576" s="1719" t="n"/>
      <c r="AA576" s="1718" t="n"/>
      <c r="AB576" s="1719" t="n"/>
      <c r="AC576" s="1719" t="n"/>
      <c r="AD576" s="1719" t="n"/>
      <c r="AE576" s="1719" t="n"/>
      <c r="AF576" s="1718" t="n"/>
      <c r="AG576" s="1719" t="n"/>
      <c r="AH576" s="1719" t="n"/>
      <c r="AI576" s="1719" t="n"/>
      <c r="AJ576" s="1719" t="n"/>
      <c r="AK576" s="1718" t="n"/>
      <c r="AL576" s="1719" t="n"/>
      <c r="AM576" s="1719" t="n"/>
      <c r="AN576" s="1719" t="n"/>
      <c r="AO576" s="1719" t="n"/>
      <c r="AP576" s="1718" t="n"/>
      <c r="AQ576" s="1719" t="n"/>
      <c r="AR576" s="1719" t="n"/>
      <c r="AS576" s="1719" t="n"/>
      <c r="AT576" s="1719" t="n"/>
      <c r="AU576" s="1718" t="n"/>
      <c r="AV576" s="1719" t="n"/>
      <c r="AW576" s="1719" t="n"/>
      <c r="AX576" s="1719" t="n"/>
      <c r="AY576" s="1719" t="n"/>
      <c r="AZ576" s="1718" t="n"/>
      <c r="BA576" s="1719" t="n"/>
      <c r="BB576" s="1719" t="n"/>
      <c r="BC576" s="1719" t="n"/>
      <c r="BD576" s="1719" t="n"/>
      <c r="BE576" s="1718" t="n"/>
      <c r="BF576" s="1719" t="n"/>
      <c r="BG576" s="1719" t="n"/>
      <c r="BH576" s="1719" t="n"/>
      <c r="BI576" s="1719" t="n"/>
      <c r="BJ576" s="1718" t="n"/>
      <c r="BK576" s="1719" t="n"/>
      <c r="BL576" s="1719" t="n"/>
      <c r="BM576" s="1719" t="n"/>
      <c r="BN576" s="1719" t="n"/>
      <c r="BO576" s="1720" t="n"/>
      <c r="BP576" s="1719" t="n"/>
      <c r="BQ576" s="1719" t="n"/>
      <c r="BR576" s="1719" t="n"/>
      <c r="BS576" s="1719" t="n"/>
      <c r="BT576" s="1718" t="n"/>
      <c r="BU576" s="1719" t="n"/>
      <c r="BV576" s="1719" t="n"/>
      <c r="BW576" s="1719" t="n"/>
      <c r="BX576" s="1719" t="n"/>
      <c r="BY576" s="1718" t="n"/>
      <c r="BZ576" s="1718" t="n"/>
      <c r="CA576" s="1718" t="n"/>
      <c r="CB576" s="1718" t="n"/>
      <c r="CC576" s="1634" t="n"/>
    </row>
    <row r="577" ht="15" customFormat="1" customHeight="1" s="1628">
      <c r="A577" s="1681">
        <f>A521</f>
        <v/>
      </c>
      <c r="B577" s="1717" t="n"/>
      <c r="C577" s="1802">
        <f>C521</f>
        <v/>
      </c>
      <c r="D577" s="1802">
        <f>C578</f>
        <v/>
      </c>
      <c r="E577" s="1802">
        <f>D578</f>
        <v/>
      </c>
      <c r="F577" s="1802">
        <f>E578</f>
        <v/>
      </c>
      <c r="G577" s="1802">
        <f>F578</f>
        <v/>
      </c>
      <c r="H577" s="1634">
        <f>G578+H521-G522</f>
        <v/>
      </c>
      <c r="I577" s="1634">
        <f>H578</f>
        <v/>
      </c>
      <c r="J577" s="1634">
        <f>I578</f>
        <v/>
      </c>
      <c r="K577" s="1634">
        <f>J578+K521-J521</f>
        <v/>
      </c>
      <c r="L577" s="1802">
        <f>G578</f>
        <v/>
      </c>
      <c r="M577" s="1634">
        <f>L578+M521-L522</f>
        <v/>
      </c>
      <c r="N577" s="1634">
        <f>M578</f>
        <v/>
      </c>
      <c r="O577" s="1634">
        <f>N578</f>
        <v/>
      </c>
      <c r="P577" s="1634">
        <f>O578+P521-O521</f>
        <v/>
      </c>
      <c r="Q577" s="1802">
        <f>L578</f>
        <v/>
      </c>
      <c r="R577" s="1634">
        <f>Q578+R521-Q522</f>
        <v/>
      </c>
      <c r="S577" s="1634">
        <f>R578</f>
        <v/>
      </c>
      <c r="T577" s="1634">
        <f>S578</f>
        <v/>
      </c>
      <c r="U577" s="1634">
        <f>T578</f>
        <v/>
      </c>
      <c r="V577" s="1802">
        <f>Q578+V521-Q522</f>
        <v/>
      </c>
      <c r="W577" s="1634">
        <f>V578</f>
        <v/>
      </c>
      <c r="X577" s="1634">
        <f>W578</f>
        <v/>
      </c>
      <c r="Y577" s="1634">
        <f>X578</f>
        <v/>
      </c>
      <c r="Z577" s="1634">
        <f>Y578</f>
        <v/>
      </c>
      <c r="AA577" s="1802">
        <f>V578</f>
        <v/>
      </c>
      <c r="AB577" s="1634">
        <f>AA578</f>
        <v/>
      </c>
      <c r="AC577" s="1634">
        <f>AB578</f>
        <v/>
      </c>
      <c r="AD577" s="1634">
        <f>AC578</f>
        <v/>
      </c>
      <c r="AE577" s="1634">
        <f>AD578</f>
        <v/>
      </c>
      <c r="AF577" s="1802">
        <f>AA578</f>
        <v/>
      </c>
      <c r="AG577" s="1634">
        <f>AF578</f>
        <v/>
      </c>
      <c r="AH577" s="1634">
        <f>AG578</f>
        <v/>
      </c>
      <c r="AI577" s="1634">
        <f>AH578</f>
        <v/>
      </c>
      <c r="AJ577" s="1634">
        <f>AI578</f>
        <v/>
      </c>
      <c r="AK577" s="1802">
        <f>AF578</f>
        <v/>
      </c>
      <c r="AL577" s="1634">
        <f>AK578</f>
        <v/>
      </c>
      <c r="AM577" s="1634">
        <f>AL578</f>
        <v/>
      </c>
      <c r="AN577" s="1634">
        <f>AM578</f>
        <v/>
      </c>
      <c r="AO577" s="1634">
        <f>AN578</f>
        <v/>
      </c>
      <c r="AP577" s="1802">
        <f>AK578</f>
        <v/>
      </c>
      <c r="AQ577" s="1634">
        <f>AP578</f>
        <v/>
      </c>
      <c r="AR577" s="1634">
        <f>AQ578</f>
        <v/>
      </c>
      <c r="AS577" s="1634">
        <f>AR578</f>
        <v/>
      </c>
      <c r="AT577" s="1634">
        <f>AS578</f>
        <v/>
      </c>
      <c r="AU577" s="1802">
        <f>AP578</f>
        <v/>
      </c>
      <c r="AV577" s="1634">
        <f>AU578</f>
        <v/>
      </c>
      <c r="AW577" s="1634">
        <f>AV578</f>
        <v/>
      </c>
      <c r="AX577" s="1634">
        <f>AW578</f>
        <v/>
      </c>
      <c r="AY577" s="1634">
        <f>AX578</f>
        <v/>
      </c>
      <c r="AZ577" s="1802">
        <f>AU578</f>
        <v/>
      </c>
      <c r="BA577" s="1634">
        <f>AZ578</f>
        <v/>
      </c>
      <c r="BB577" s="1634">
        <f>BA578</f>
        <v/>
      </c>
      <c r="BC577" s="1634">
        <f>BB578</f>
        <v/>
      </c>
      <c r="BD577" s="1634">
        <f>BC578</f>
        <v/>
      </c>
      <c r="BE577" s="1802">
        <f>AZ578</f>
        <v/>
      </c>
      <c r="BF577" s="1634">
        <f>BE578</f>
        <v/>
      </c>
      <c r="BG577" s="1634">
        <f>BF578</f>
        <v/>
      </c>
      <c r="BH577" s="1634">
        <f>BG578</f>
        <v/>
      </c>
      <c r="BI577" s="1634">
        <f>BH578</f>
        <v/>
      </c>
      <c r="BJ577" s="1802">
        <f>BE578</f>
        <v/>
      </c>
      <c r="BK577" s="1634">
        <f>BJ578</f>
        <v/>
      </c>
      <c r="BL577" s="1634">
        <f>BK578</f>
        <v/>
      </c>
      <c r="BM577" s="1634">
        <f>BL578</f>
        <v/>
      </c>
      <c r="BN577" s="1634">
        <f>BM578</f>
        <v/>
      </c>
      <c r="BO577" s="1803">
        <f>BJ578</f>
        <v/>
      </c>
      <c r="BP577" s="1719">
        <f>BO578</f>
        <v/>
      </c>
      <c r="BQ577" s="1719">
        <f>BP578</f>
        <v/>
      </c>
      <c r="BR577" s="1719">
        <f>BQ578</f>
        <v/>
      </c>
      <c r="BS577" s="1719">
        <f>BR578</f>
        <v/>
      </c>
      <c r="BT577" s="1718">
        <f>BO578</f>
        <v/>
      </c>
      <c r="BU577" s="1719">
        <f>BT578</f>
        <v/>
      </c>
      <c r="BV577" s="1719">
        <f>BU578</f>
        <v/>
      </c>
      <c r="BW577" s="1719">
        <f>BV578</f>
        <v/>
      </c>
      <c r="BX577" s="1719">
        <f>BW578</f>
        <v/>
      </c>
      <c r="BY577" s="1718">
        <f>BT578</f>
        <v/>
      </c>
      <c r="BZ577" s="1718">
        <f>BY578</f>
        <v/>
      </c>
      <c r="CA577" s="1718">
        <f>BZ578</f>
        <v/>
      </c>
      <c r="CB577" s="1718">
        <f>CA578</f>
        <v/>
      </c>
      <c r="CC577" s="1634" t="n"/>
    </row>
    <row r="578" ht="15" customFormat="1" customHeight="1" s="1628">
      <c r="A578" s="1681">
        <f>A522</f>
        <v/>
      </c>
      <c r="B578" s="1717" t="n"/>
      <c r="C578" s="1802">
        <f>C577+C575</f>
        <v/>
      </c>
      <c r="D578" s="1802">
        <f>D577+D575</f>
        <v/>
      </c>
      <c r="E578" s="1802">
        <f>E577+E575</f>
        <v/>
      </c>
      <c r="F578" s="1802">
        <f>F577+F575</f>
        <v/>
      </c>
      <c r="G578" s="1802">
        <f>G577+G575</f>
        <v/>
      </c>
      <c r="H578" s="1634">
        <f>H577+H575</f>
        <v/>
      </c>
      <c r="I578" s="1634">
        <f>I577+I575</f>
        <v/>
      </c>
      <c r="J578" s="1634">
        <f>J577+J575</f>
        <v/>
      </c>
      <c r="K578" s="1634">
        <f>K577+K575</f>
        <v/>
      </c>
      <c r="L578" s="1802">
        <f>L577+L575</f>
        <v/>
      </c>
      <c r="M578" s="1634">
        <f>M577+M575</f>
        <v/>
      </c>
      <c r="N578" s="1634">
        <f>N577+N575</f>
        <v/>
      </c>
      <c r="O578" s="1634">
        <f>O577+O575</f>
        <v/>
      </c>
      <c r="P578" s="1634">
        <f>P577+P575</f>
        <v/>
      </c>
      <c r="Q578" s="1802">
        <f>Q577+Q575</f>
        <v/>
      </c>
      <c r="R578" s="1634">
        <f>R577+R575</f>
        <v/>
      </c>
      <c r="S578" s="1634">
        <f>S577+S575</f>
        <v/>
      </c>
      <c r="T578" s="1634">
        <f>T577+T575</f>
        <v/>
      </c>
      <c r="U578" s="1634">
        <f>U577+U575</f>
        <v/>
      </c>
      <c r="V578" s="1802">
        <f>V577+V575</f>
        <v/>
      </c>
      <c r="W578" s="1634">
        <f>W577+W575</f>
        <v/>
      </c>
      <c r="X578" s="1634">
        <f>X577+X575</f>
        <v/>
      </c>
      <c r="Y578" s="1634">
        <f>Y577+Y575</f>
        <v/>
      </c>
      <c r="Z578" s="1634">
        <f>Z577+Z575</f>
        <v/>
      </c>
      <c r="AA578" s="1802">
        <f>AA577+AA575</f>
        <v/>
      </c>
      <c r="AB578" s="1634">
        <f>AB577+AB575</f>
        <v/>
      </c>
      <c r="AC578" s="1634">
        <f>AC577+AC575</f>
        <v/>
      </c>
      <c r="AD578" s="1634">
        <f>AD577+AD575</f>
        <v/>
      </c>
      <c r="AE578" s="1634">
        <f>AE577+AE575</f>
        <v/>
      </c>
      <c r="AF578" s="1802">
        <f>AF577+AF575</f>
        <v/>
      </c>
      <c r="AG578" s="1634">
        <f>AG577+AG575</f>
        <v/>
      </c>
      <c r="AH578" s="1634">
        <f>AH577+AH575</f>
        <v/>
      </c>
      <c r="AI578" s="1634">
        <f>AI577+AI575</f>
        <v/>
      </c>
      <c r="AJ578" s="1634">
        <f>AJ577+AJ575</f>
        <v/>
      </c>
      <c r="AK578" s="1802">
        <f>AK577+AK575</f>
        <v/>
      </c>
      <c r="AL578" s="1634">
        <f>AL577+AL575</f>
        <v/>
      </c>
      <c r="AM578" s="1634">
        <f>AM577+AM575</f>
        <v/>
      </c>
      <c r="AN578" s="1634">
        <f>AN577+AN575</f>
        <v/>
      </c>
      <c r="AO578" s="1634">
        <f>AO577+AO575</f>
        <v/>
      </c>
      <c r="AP578" s="1802">
        <f>AP577+AP575</f>
        <v/>
      </c>
      <c r="AQ578" s="1634">
        <f>AQ577+AQ575</f>
        <v/>
      </c>
      <c r="AR578" s="1634">
        <f>AR577+AR575</f>
        <v/>
      </c>
      <c r="AS578" s="1634">
        <f>AS577+AS575</f>
        <v/>
      </c>
      <c r="AT578" s="1634">
        <f>AT577+AT575</f>
        <v/>
      </c>
      <c r="AU578" s="1802">
        <f>AU577+AU575</f>
        <v/>
      </c>
      <c r="AV578" s="1634">
        <f>AV577+AV575</f>
        <v/>
      </c>
      <c r="AW578" s="1634">
        <f>AW577+AW575</f>
        <v/>
      </c>
      <c r="AX578" s="1634">
        <f>AX577+AX575</f>
        <v/>
      </c>
      <c r="AY578" s="1634">
        <f>AY577+AY575</f>
        <v/>
      </c>
      <c r="AZ578" s="1802">
        <f>AZ577+AZ575</f>
        <v/>
      </c>
      <c r="BA578" s="1634">
        <f>BA577+BA575</f>
        <v/>
      </c>
      <c r="BB578" s="1634">
        <f>BB577+BB575</f>
        <v/>
      </c>
      <c r="BC578" s="1634">
        <f>BC577+BC575</f>
        <v/>
      </c>
      <c r="BD578" s="1634">
        <f>BD577+BD575</f>
        <v/>
      </c>
      <c r="BE578" s="1802">
        <f>BE577+BE575</f>
        <v/>
      </c>
      <c r="BF578" s="1634">
        <f>BF577+BF575</f>
        <v/>
      </c>
      <c r="BG578" s="1634">
        <f>BG577+BG575</f>
        <v/>
      </c>
      <c r="BH578" s="1634">
        <f>BH577+BH575</f>
        <v/>
      </c>
      <c r="BI578" s="1634">
        <f>BI577+BI575</f>
        <v/>
      </c>
      <c r="BJ578" s="1802">
        <f>BJ577+BJ575</f>
        <v/>
      </c>
      <c r="BK578" s="1634">
        <f>BK577+BK575</f>
        <v/>
      </c>
      <c r="BL578" s="1634">
        <f>BL577+BL575</f>
        <v/>
      </c>
      <c r="BM578" s="1634">
        <f>BM577+BM575</f>
        <v/>
      </c>
      <c r="BN578" s="1634">
        <f>BN577+BN575</f>
        <v/>
      </c>
      <c r="BO578" s="1803">
        <f>BO577+BO575</f>
        <v/>
      </c>
      <c r="BP578" s="1719">
        <f>BP577+BP575</f>
        <v/>
      </c>
      <c r="BQ578" s="1719">
        <f>BQ577+BQ575</f>
        <v/>
      </c>
      <c r="BR578" s="1719">
        <f>BR577+BR575</f>
        <v/>
      </c>
      <c r="BS578" s="1719">
        <f>BS577+BS575</f>
        <v/>
      </c>
      <c r="BT578" s="1718">
        <f>BT577+BT575</f>
        <v/>
      </c>
      <c r="BU578" s="1719">
        <f>BU577+BU575</f>
        <v/>
      </c>
      <c r="BV578" s="1719">
        <f>BV577+BV575</f>
        <v/>
      </c>
      <c r="BW578" s="1719">
        <f>BW577+BW575</f>
        <v/>
      </c>
      <c r="BX578" s="1719">
        <f>BX577+BX575</f>
        <v/>
      </c>
      <c r="BY578" s="1718">
        <f>BY577+BY575</f>
        <v/>
      </c>
      <c r="BZ578" s="1718">
        <f>BZ577+BZ575</f>
        <v/>
      </c>
      <c r="CA578" s="1718">
        <f>CA577+CA575</f>
        <v/>
      </c>
      <c r="CB578" s="1718">
        <f>CB577+CB575</f>
        <v/>
      </c>
      <c r="CC578" s="1634" t="n"/>
    </row>
    <row r="579" ht="15" customFormat="1" customHeight="1" s="1628">
      <c r="A579" s="1703" t="n"/>
      <c r="B579" s="1717" t="n"/>
      <c r="C579" s="1718" t="n"/>
      <c r="D579" s="1718" t="n"/>
      <c r="E579" s="1718" t="n"/>
      <c r="F579" s="1718" t="n"/>
      <c r="G579" s="1718" t="n"/>
      <c r="H579" s="1719" t="n"/>
      <c r="I579" s="1719" t="n"/>
      <c r="J579" s="1719" t="n"/>
      <c r="K579" s="1719" t="n"/>
      <c r="L579" s="1718" t="n"/>
      <c r="M579" s="1719" t="n"/>
      <c r="N579" s="1719" t="n"/>
      <c r="O579" s="1719" t="n"/>
      <c r="P579" s="1719" t="n"/>
      <c r="Q579" s="1718" t="n"/>
      <c r="R579" s="1719" t="n"/>
      <c r="S579" s="1719" t="n"/>
      <c r="T579" s="1719" t="n"/>
      <c r="U579" s="1719" t="n"/>
      <c r="V579" s="1718" t="n"/>
      <c r="W579" s="1719" t="n"/>
      <c r="X579" s="1719" t="n"/>
      <c r="Y579" s="1719" t="n"/>
      <c r="Z579" s="1719" t="n"/>
      <c r="AA579" s="1718" t="n"/>
      <c r="AB579" s="1719" t="n"/>
      <c r="AC579" s="1719" t="n"/>
      <c r="AD579" s="1719" t="n"/>
      <c r="AE579" s="1719" t="n"/>
      <c r="AF579" s="1718" t="n"/>
      <c r="AG579" s="1719" t="n"/>
      <c r="AH579" s="1719" t="n"/>
      <c r="AI579" s="1719" t="n"/>
      <c r="AJ579" s="1719" t="n"/>
      <c r="AK579" s="1718" t="n"/>
      <c r="AL579" s="1719" t="n"/>
      <c r="AM579" s="1719" t="n"/>
      <c r="AN579" s="1719" t="n"/>
      <c r="AO579" s="1719" t="n"/>
      <c r="AP579" s="1718" t="n"/>
      <c r="AQ579" s="1719" t="n"/>
      <c r="AR579" s="1719" t="n"/>
      <c r="AS579" s="1719" t="n"/>
      <c r="AT579" s="1719" t="n"/>
      <c r="AU579" s="1718" t="n"/>
      <c r="AV579" s="1719" t="n"/>
      <c r="AW579" s="1719" t="n"/>
      <c r="AX579" s="1719" t="n"/>
      <c r="AY579" s="1719" t="n"/>
      <c r="AZ579" s="1718" t="n"/>
      <c r="BA579" s="1719" t="n"/>
      <c r="BB579" s="1719" t="n"/>
      <c r="BC579" s="1719" t="n"/>
      <c r="BD579" s="1719" t="n"/>
      <c r="BE579" s="1718" t="n"/>
      <c r="BF579" s="1719" t="n"/>
      <c r="BG579" s="1719" t="n"/>
      <c r="BH579" s="1719" t="n"/>
      <c r="BI579" s="1719" t="n"/>
      <c r="BJ579" s="1718" t="n"/>
      <c r="BK579" s="1719" t="n"/>
      <c r="BL579" s="1719" t="n"/>
      <c r="BM579" s="1719" t="n"/>
      <c r="BN579" s="1719" t="n"/>
      <c r="BO579" s="1720" t="n"/>
      <c r="BP579" s="1719" t="n"/>
      <c r="BQ579" s="1719" t="n"/>
      <c r="BR579" s="1719" t="n"/>
      <c r="BS579" s="1719" t="n"/>
      <c r="BT579" s="1718" t="n"/>
      <c r="BU579" s="1719" t="n"/>
      <c r="BV579" s="1719" t="n"/>
      <c r="BW579" s="1719" t="n"/>
      <c r="BX579" s="1719" t="n"/>
      <c r="BY579" s="1718" t="n"/>
      <c r="BZ579" s="1718" t="n"/>
      <c r="CA579" s="1718" t="n"/>
      <c r="CB579" s="1718" t="n"/>
      <c r="CC579" s="1634" t="n"/>
    </row>
    <row r="580" ht="15" customFormat="1" customHeight="1" s="1561">
      <c r="A580" s="1823" t="inlineStr">
        <is>
          <t>CF Check</t>
        </is>
      </c>
      <c r="B580" s="1823" t="n"/>
      <c r="C580" s="1824">
        <f>ROUND(C578-C625,6)</f>
        <v/>
      </c>
      <c r="D580" s="1824">
        <f>ROUND(D578-D625,6)</f>
        <v/>
      </c>
      <c r="E580" s="1824">
        <f>ROUND(E578-E625,6)</f>
        <v/>
      </c>
      <c r="F580" s="1824">
        <f>ROUND(F578-F625,6)</f>
        <v/>
      </c>
      <c r="G580" s="1824">
        <f>ROUND(G578-G625,6)</f>
        <v/>
      </c>
      <c r="H580" s="1824">
        <f>ROUND(H578-H625,6)</f>
        <v/>
      </c>
      <c r="I580" s="1824">
        <f>ROUND(I578-I625,6)</f>
        <v/>
      </c>
      <c r="J580" s="1824">
        <f>ROUND(J578-J625,6)</f>
        <v/>
      </c>
      <c r="K580" s="1824">
        <f>ROUND(K578-K625,6)</f>
        <v/>
      </c>
      <c r="L580" s="1824">
        <f>ROUND(L578-L625,6)</f>
        <v/>
      </c>
      <c r="M580" s="1824">
        <f>ROUND(M578-M625,6)</f>
        <v/>
      </c>
      <c r="N580" s="1824">
        <f>ROUND(N578-N625,6)</f>
        <v/>
      </c>
      <c r="O580" s="1824">
        <f>ROUND(O578-O625,6)</f>
        <v/>
      </c>
      <c r="P580" s="1824">
        <f>ROUND(P578-P625,6)</f>
        <v/>
      </c>
      <c r="Q580" s="1824">
        <f>ROUND(Q578-Q625,6)</f>
        <v/>
      </c>
      <c r="R580" s="1824">
        <f>ROUND(R578-R625,6)</f>
        <v/>
      </c>
      <c r="S580" s="1824">
        <f>ROUND(S578-S625,6)</f>
        <v/>
      </c>
      <c r="T580" s="1824">
        <f>ROUND(T578-T625,6)</f>
        <v/>
      </c>
      <c r="U580" s="1824">
        <f>ROUND(U578-U625,6)</f>
        <v/>
      </c>
      <c r="V580" s="1824">
        <f>ROUND(V578-V625,6)</f>
        <v/>
      </c>
      <c r="W580" s="1824">
        <f>ROUND(W578-W625,6)</f>
        <v/>
      </c>
      <c r="X580" s="1824">
        <f>ROUND(X578-X625,6)</f>
        <v/>
      </c>
      <c r="Y580" s="1824">
        <f>ROUND(Y578-Y625,6)</f>
        <v/>
      </c>
      <c r="Z580" s="1824">
        <f>ROUND(Z578-Z625,6)</f>
        <v/>
      </c>
      <c r="AA580" s="1824">
        <f>ROUND(AA578-AA625,6)</f>
        <v/>
      </c>
      <c r="AB580" s="1824">
        <f>ROUND(AB578-AB625,6)</f>
        <v/>
      </c>
      <c r="AC580" s="1824">
        <f>ROUND(AC578-AC625,6)</f>
        <v/>
      </c>
      <c r="AD580" s="1824">
        <f>ROUND(AD578-AD625,6)</f>
        <v/>
      </c>
      <c r="AE580" s="1824">
        <f>ROUND(AE578-AE625,6)</f>
        <v/>
      </c>
      <c r="AF580" s="1824">
        <f>ROUND(AF578-AF625,6)</f>
        <v/>
      </c>
      <c r="AG580" s="1824">
        <f>ROUND(AG578-AG625,6)</f>
        <v/>
      </c>
      <c r="AH580" s="1824">
        <f>ROUND(AH578-AH625,6)</f>
        <v/>
      </c>
      <c r="AI580" s="1824">
        <f>ROUND(AI578-AI625,6)</f>
        <v/>
      </c>
      <c r="AJ580" s="1824">
        <f>ROUND(AJ578-AJ625,6)</f>
        <v/>
      </c>
      <c r="AK580" s="1824">
        <f>ROUND(AK578-AK625,6)</f>
        <v/>
      </c>
      <c r="AL580" s="1824">
        <f>ROUND(AL578-AL625,6)</f>
        <v/>
      </c>
      <c r="AM580" s="1824">
        <f>ROUND(AM578-AM625,6)</f>
        <v/>
      </c>
      <c r="AN580" s="1824">
        <f>ROUND(AN578-AN625,6)</f>
        <v/>
      </c>
      <c r="AO580" s="1824">
        <f>ROUND(AO578-AO625,6)</f>
        <v/>
      </c>
      <c r="AP580" s="1824">
        <f>ROUND(AP578-AP625,6)</f>
        <v/>
      </c>
      <c r="AQ580" s="1824">
        <f>ROUND(AQ578-AQ625,6)</f>
        <v/>
      </c>
      <c r="AR580" s="1824">
        <f>ROUND(AR578-AR625,6)</f>
        <v/>
      </c>
      <c r="AS580" s="1824">
        <f>ROUND(AS578-AS625,6)</f>
        <v/>
      </c>
      <c r="AT580" s="1824">
        <f>ROUND(AT578-AT625,6)</f>
        <v/>
      </c>
      <c r="AU580" s="1824">
        <f>ROUND(AU578-AU625,6)</f>
        <v/>
      </c>
      <c r="AV580" s="1824">
        <f>ROUND(AV578-AV625,6)</f>
        <v/>
      </c>
      <c r="AW580" s="1824">
        <f>ROUND(AW578-AW625,6)</f>
        <v/>
      </c>
      <c r="AX580" s="1824">
        <f>ROUND(AX578-AX625,6)</f>
        <v/>
      </c>
      <c r="AY580" s="1824">
        <f>ROUND(AY578-AY625,6)</f>
        <v/>
      </c>
      <c r="AZ580" s="1824">
        <f>ROUND(AZ578-AZ625,6)</f>
        <v/>
      </c>
      <c r="BA580" s="1824">
        <f>ROUND(BA578-BA625,6)</f>
        <v/>
      </c>
      <c r="BB580" s="1824">
        <f>ROUND(BB578-BB625,6)</f>
        <v/>
      </c>
      <c r="BC580" s="1824">
        <f>ROUND(BC578-BC625,6)</f>
        <v/>
      </c>
      <c r="BD580" s="1824">
        <f>ROUND(BD578-BD625,6)</f>
        <v/>
      </c>
      <c r="BE580" s="1824">
        <f>ROUND(BE578-BE625,6)</f>
        <v/>
      </c>
      <c r="BF580" s="1824">
        <f>ROUND(BF578-BF625,6)</f>
        <v/>
      </c>
      <c r="BG580" s="1824">
        <f>ROUND(BG578-BG625,6)</f>
        <v/>
      </c>
      <c r="BH580" s="1824">
        <f>ROUND(BH578-BH625,6)</f>
        <v/>
      </c>
      <c r="BI580" s="1824">
        <f>ROUND(BI578-BI625,6)</f>
        <v/>
      </c>
      <c r="BJ580" s="1824">
        <f>ROUND(BJ578-BJ625,6)</f>
        <v/>
      </c>
      <c r="BK580" s="1824">
        <f>ROUND(BK578-BK625,6)</f>
        <v/>
      </c>
      <c r="BL580" s="1824">
        <f>ROUND(BL578-BL625,6)</f>
        <v/>
      </c>
      <c r="BM580" s="1824">
        <f>ROUND(BM578-BM625,6)</f>
        <v/>
      </c>
      <c r="BN580" s="1824">
        <f>ROUND(BN578-BN625,6)</f>
        <v/>
      </c>
      <c r="BO580" s="1825">
        <f>ROUND(BO578-BO625,6)</f>
        <v/>
      </c>
      <c r="BP580" s="1824">
        <f>ROUND(BP578-BP625,6)</f>
        <v/>
      </c>
      <c r="BQ580" s="1824">
        <f>ROUND(BQ578-BQ625,6)</f>
        <v/>
      </c>
      <c r="BR580" s="1824">
        <f>ROUND(BR578-BR625,6)</f>
        <v/>
      </c>
      <c r="BS580" s="1824">
        <f>ROUND(BS578-BS625,6)</f>
        <v/>
      </c>
      <c r="BT580" s="1824">
        <f>ROUND(BT578-BT625,6)</f>
        <v/>
      </c>
      <c r="BU580" s="1824">
        <f>ROUND(BU578-BU625,6)</f>
        <v/>
      </c>
      <c r="BV580" s="1824">
        <f>ROUND(BV578-BV625,6)</f>
        <v/>
      </c>
      <c r="BW580" s="1824">
        <f>ROUND(BW578-BW625,6)</f>
        <v/>
      </c>
      <c r="BX580" s="1824">
        <f>ROUND(BX578-BX625,6)</f>
        <v/>
      </c>
      <c r="BY580" s="1824">
        <f>ROUND(BY578-BY625,6)</f>
        <v/>
      </c>
      <c r="BZ580" s="1824">
        <f>ROUND(BZ578-BZ625,6)</f>
        <v/>
      </c>
      <c r="CA580" s="1824">
        <f>ROUND(CA578-CA625,6)</f>
        <v/>
      </c>
      <c r="CB580" s="1824">
        <f>ROUND(CB578-CB625,6)</f>
        <v/>
      </c>
      <c r="CC580" s="1564" t="n"/>
    </row>
    <row r="581" ht="15" customFormat="1" customHeight="1" s="1628">
      <c r="A581" s="1703" t="n"/>
      <c r="B581" s="1717" t="n"/>
      <c r="C581" s="1718" t="n"/>
      <c r="D581" s="1718" t="n"/>
      <c r="E581" s="1718" t="n"/>
      <c r="F581" s="1718" t="n"/>
      <c r="G581" s="1718" t="n"/>
      <c r="H581" s="1719" t="n"/>
      <c r="I581" s="1719" t="n"/>
      <c r="J581" s="1719" t="n"/>
      <c r="K581" s="1719" t="n"/>
      <c r="L581" s="1718" t="n"/>
      <c r="M581" s="1719" t="n"/>
      <c r="N581" s="1719" t="n"/>
      <c r="O581" s="1719" t="n"/>
      <c r="P581" s="1719" t="n"/>
      <c r="Q581" s="1718" t="n"/>
      <c r="R581" s="1719" t="n"/>
      <c r="S581" s="1719" t="n"/>
      <c r="T581" s="1719" t="n"/>
      <c r="U581" s="1719" t="n"/>
      <c r="V581" s="1718" t="n"/>
      <c r="W581" s="1719" t="n"/>
      <c r="X581" s="1719" t="n"/>
      <c r="Y581" s="1719" t="n"/>
      <c r="Z581" s="1719" t="n"/>
      <c r="AA581" s="1718" t="n"/>
      <c r="AB581" s="1719" t="n"/>
      <c r="AC581" s="1719" t="n"/>
      <c r="AD581" s="1719" t="n"/>
      <c r="AE581" s="1719" t="n"/>
      <c r="AF581" s="1718" t="n"/>
      <c r="AG581" s="1719" t="n"/>
      <c r="AH581" s="1719" t="n"/>
      <c r="AI581" s="1719" t="n"/>
      <c r="AJ581" s="1719" t="n"/>
      <c r="AK581" s="1718" t="n"/>
      <c r="AL581" s="1719" t="n"/>
      <c r="AM581" s="1719" t="n"/>
      <c r="AN581" s="1719" t="n"/>
      <c r="AO581" s="1719" t="n"/>
      <c r="AP581" s="1718" t="n"/>
      <c r="AQ581" s="1719" t="n"/>
      <c r="AR581" s="1719" t="n"/>
      <c r="AS581" s="1719" t="n"/>
      <c r="AT581" s="1719" t="n"/>
      <c r="AU581" s="1718" t="n"/>
      <c r="AV581" s="1719" t="n"/>
      <c r="AW581" s="1719" t="n"/>
      <c r="AX581" s="1719" t="n"/>
      <c r="AY581" s="1719" t="n"/>
      <c r="AZ581" s="1718" t="n"/>
      <c r="BA581" s="1719" t="n"/>
      <c r="BB581" s="1719" t="n"/>
      <c r="BC581" s="1719" t="n"/>
      <c r="BD581" s="1719" t="n"/>
      <c r="BE581" s="1718" t="n"/>
      <c r="BF581" s="1719" t="n"/>
      <c r="BG581" s="1719" t="n"/>
      <c r="BH581" s="1719" t="n"/>
      <c r="BI581" s="1719" t="n"/>
      <c r="BJ581" s="1718" t="n"/>
      <c r="BK581" s="1719" t="n"/>
      <c r="BL581" s="1719" t="n"/>
      <c r="BM581" s="1719" t="n"/>
      <c r="BN581" s="1719" t="n"/>
      <c r="BO581" s="1720" t="n"/>
      <c r="BP581" s="1719" t="n"/>
      <c r="BQ581" s="1719" t="n"/>
      <c r="BR581" s="1719" t="n"/>
      <c r="BS581" s="1719" t="n"/>
      <c r="BT581" s="1718" t="n"/>
      <c r="BU581" s="1719" t="n"/>
      <c r="BV581" s="1719" t="n"/>
      <c r="BW581" s="1719" t="n"/>
      <c r="BX581" s="1719" t="n"/>
      <c r="BY581" s="1718" t="n"/>
      <c r="BZ581" s="1718" t="n"/>
      <c r="CA581" s="1718" t="n"/>
      <c r="CB581" s="1718" t="n"/>
      <c r="CC581" s="1634" t="n"/>
    </row>
    <row r="582" ht="15" customFormat="1" customHeight="1" s="1628">
      <c r="A582" s="1989" t="inlineStr">
        <is>
          <t>D&amp;A Forecasting</t>
        </is>
      </c>
      <c r="B582" s="1990" t="n"/>
      <c r="C582" s="1991" t="n"/>
      <c r="D582" s="1991" t="n"/>
      <c r="E582" s="1991" t="n"/>
      <c r="F582" s="1991" t="n"/>
      <c r="G582" s="1991" t="n"/>
      <c r="H582" s="1991" t="n"/>
      <c r="I582" s="1991" t="n"/>
      <c r="J582" s="1991" t="n"/>
      <c r="K582" s="1991" t="n"/>
      <c r="L582" s="1991" t="n"/>
      <c r="M582" s="1991" t="n"/>
      <c r="N582" s="1991" t="n"/>
      <c r="O582" s="1991" t="n"/>
      <c r="P582" s="1991" t="n"/>
      <c r="Q582" s="1991" t="n"/>
      <c r="R582" s="1991" t="n"/>
      <c r="S582" s="1991" t="n"/>
      <c r="T582" s="1991" t="n"/>
      <c r="U582" s="1991" t="n"/>
      <c r="V582" s="1991" t="n"/>
      <c r="W582" s="1991" t="n"/>
      <c r="X582" s="1991" t="n"/>
      <c r="Y582" s="1991" t="n"/>
      <c r="Z582" s="1991" t="n"/>
      <c r="AA582" s="1991" t="n"/>
      <c r="AB582" s="1991" t="n"/>
      <c r="AC582" s="1991" t="n"/>
      <c r="AD582" s="1991" t="n"/>
      <c r="AE582" s="1991" t="n"/>
      <c r="AF582" s="1991" t="n"/>
      <c r="AG582" s="1991" t="n"/>
      <c r="AH582" s="1991" t="n"/>
      <c r="AI582" s="1991" t="n"/>
      <c r="AJ582" s="1991" t="n"/>
      <c r="AK582" s="1991" t="n"/>
      <c r="AL582" s="1991" t="n"/>
      <c r="AM582" s="1991" t="n"/>
      <c r="AN582" s="1991" t="n"/>
      <c r="AO582" s="1991" t="n"/>
      <c r="AP582" s="1991" t="n"/>
      <c r="AQ582" s="1991" t="n"/>
      <c r="AR582" s="1991" t="n"/>
      <c r="AS582" s="1991" t="n"/>
      <c r="AT582" s="1991" t="n"/>
      <c r="AU582" s="1991" t="n"/>
      <c r="AV582" s="1991" t="n"/>
      <c r="AW582" s="1991" t="n"/>
      <c r="AX582" s="1991" t="n"/>
      <c r="AY582" s="1991" t="n"/>
      <c r="AZ582" s="1991" t="n"/>
      <c r="BA582" s="1991" t="n"/>
      <c r="BB582" s="1991" t="n"/>
      <c r="BC582" s="1991" t="n"/>
      <c r="BD582" s="1991" t="n"/>
      <c r="BE582" s="1991" t="n"/>
      <c r="BF582" s="1991" t="n"/>
      <c r="BG582" s="1991" t="n"/>
      <c r="BH582" s="1991" t="n"/>
      <c r="BI582" s="1991" t="n"/>
      <c r="BJ582" s="1991" t="n"/>
      <c r="BK582" s="1991" t="n"/>
      <c r="BL582" s="1991" t="n"/>
      <c r="BM582" s="1991" t="n"/>
      <c r="BN582" s="1991" t="n"/>
      <c r="BO582" s="1992" t="n"/>
      <c r="BP582" s="1991" t="n"/>
      <c r="BQ582" s="1991" t="n"/>
      <c r="BR582" s="1991" t="n"/>
      <c r="BS582" s="1991" t="n"/>
      <c r="BT582" s="1991" t="n"/>
      <c r="BU582" s="1991" t="n"/>
      <c r="BV582" s="1991" t="n"/>
      <c r="BW582" s="1991" t="n"/>
      <c r="BX582" s="1991" t="n"/>
      <c r="BY582" s="1991" t="n"/>
      <c r="BZ582" s="1991" t="n"/>
      <c r="CA582" s="1991" t="n"/>
      <c r="CB582" s="1991" t="n"/>
      <c r="CC582" s="1634" t="n"/>
    </row>
    <row r="583" ht="15" customFormat="1" customHeight="1" s="1628">
      <c r="A583" s="1703" t="inlineStr">
        <is>
          <t>PP&amp;E BoP, mm</t>
        </is>
      </c>
      <c r="B583" s="1717" t="n"/>
      <c r="C583" s="1683" t="n"/>
      <c r="D583" s="1683">
        <f>C587</f>
        <v/>
      </c>
      <c r="E583" s="1683">
        <f>D587</f>
        <v/>
      </c>
      <c r="F583" s="1683">
        <f>E587</f>
        <v/>
      </c>
      <c r="G583" s="1683">
        <f>F587</f>
        <v/>
      </c>
      <c r="H583" s="1684">
        <f>G587</f>
        <v/>
      </c>
      <c r="I583" s="1684">
        <f>H587</f>
        <v/>
      </c>
      <c r="J583" s="1684">
        <f>I587</f>
        <v/>
      </c>
      <c r="K583" s="1684">
        <f>J587</f>
        <v/>
      </c>
      <c r="L583" s="1683">
        <f>G587</f>
        <v/>
      </c>
      <c r="M583" s="1684">
        <f>L587</f>
        <v/>
      </c>
      <c r="N583" s="1684">
        <f>M587</f>
        <v/>
      </c>
      <c r="O583" s="1684">
        <f>N587</f>
        <v/>
      </c>
      <c r="P583" s="1684">
        <f>O587</f>
        <v/>
      </c>
      <c r="Q583" s="1683">
        <f>L587</f>
        <v/>
      </c>
      <c r="R583" s="1684">
        <f>Q587</f>
        <v/>
      </c>
      <c r="S583" s="1684">
        <f>R587</f>
        <v/>
      </c>
      <c r="T583" s="1684">
        <f>S587</f>
        <v/>
      </c>
      <c r="U583" s="1684">
        <f>T587</f>
        <v/>
      </c>
      <c r="V583" s="1683">
        <f>Q587</f>
        <v/>
      </c>
      <c r="W583" s="1684">
        <f>V587</f>
        <v/>
      </c>
      <c r="X583" s="1684">
        <f>W587</f>
        <v/>
      </c>
      <c r="Y583" s="1684">
        <f>X587</f>
        <v/>
      </c>
      <c r="Z583" s="1684">
        <f>Y587</f>
        <v/>
      </c>
      <c r="AA583" s="1683">
        <f>V587</f>
        <v/>
      </c>
      <c r="AB583" s="1684">
        <f>AA587</f>
        <v/>
      </c>
      <c r="AC583" s="1684">
        <f>AB587</f>
        <v/>
      </c>
      <c r="AD583" s="1684">
        <f>AC587</f>
        <v/>
      </c>
      <c r="AE583" s="1684">
        <f>AD587</f>
        <v/>
      </c>
      <c r="AF583" s="1683">
        <f>AA587</f>
        <v/>
      </c>
      <c r="AG583" s="1684">
        <f>AF587</f>
        <v/>
      </c>
      <c r="AH583" s="1684">
        <f>AG587</f>
        <v/>
      </c>
      <c r="AI583" s="1684">
        <f>AH587</f>
        <v/>
      </c>
      <c r="AJ583" s="1684">
        <f>AI587</f>
        <v/>
      </c>
      <c r="AK583" s="1683">
        <f>AF587</f>
        <v/>
      </c>
      <c r="AL583" s="1684">
        <f>AK587</f>
        <v/>
      </c>
      <c r="AM583" s="1684">
        <f>AL587</f>
        <v/>
      </c>
      <c r="AN583" s="1684">
        <f>AM587</f>
        <v/>
      </c>
      <c r="AO583" s="1684">
        <f>AN587</f>
        <v/>
      </c>
      <c r="AP583" s="1683">
        <f>AK587</f>
        <v/>
      </c>
      <c r="AQ583" s="1684">
        <f>AP587</f>
        <v/>
      </c>
      <c r="AR583" s="1684">
        <f>AQ587</f>
        <v/>
      </c>
      <c r="AS583" s="1684">
        <f>AR587</f>
        <v/>
      </c>
      <c r="AT583" s="1684">
        <f>AS587</f>
        <v/>
      </c>
      <c r="AU583" s="1683">
        <f>AP587</f>
        <v/>
      </c>
      <c r="AV583" s="1684">
        <f>AU587</f>
        <v/>
      </c>
      <c r="AW583" s="1684">
        <f>AV587</f>
        <v/>
      </c>
      <c r="AX583" s="1684">
        <f>AW587</f>
        <v/>
      </c>
      <c r="AY583" s="1684">
        <f>AX587</f>
        <v/>
      </c>
      <c r="AZ583" s="1683">
        <f>AU587</f>
        <v/>
      </c>
      <c r="BA583" s="1684">
        <f>AZ587</f>
        <v/>
      </c>
      <c r="BB583" s="1684">
        <f>BA587</f>
        <v/>
      </c>
      <c r="BC583" s="1684">
        <f>BB587</f>
        <v/>
      </c>
      <c r="BD583" s="1684">
        <f>BC587</f>
        <v/>
      </c>
      <c r="BE583" s="1683">
        <f>AZ587</f>
        <v/>
      </c>
      <c r="BF583" s="1684">
        <f>BE587</f>
        <v/>
      </c>
      <c r="BG583" s="1684">
        <f>BF587</f>
        <v/>
      </c>
      <c r="BH583" s="1684">
        <f>BG587</f>
        <v/>
      </c>
      <c r="BI583" s="1684">
        <f>BH587</f>
        <v/>
      </c>
      <c r="BJ583" s="1683">
        <f>BE587</f>
        <v/>
      </c>
      <c r="BK583" s="1684">
        <f>BJ587</f>
        <v/>
      </c>
      <c r="BL583" s="1684">
        <f>BK587</f>
        <v/>
      </c>
      <c r="BM583" s="1684">
        <f>BL587</f>
        <v/>
      </c>
      <c r="BN583" s="1684">
        <f>BM587</f>
        <v/>
      </c>
      <c r="BO583" s="1685">
        <f>BJ587</f>
        <v/>
      </c>
      <c r="BP583" s="1684">
        <f>BO587</f>
        <v/>
      </c>
      <c r="BQ583" s="1684">
        <f>BP587</f>
        <v/>
      </c>
      <c r="BR583" s="1684">
        <f>BQ587</f>
        <v/>
      </c>
      <c r="BS583" s="1684">
        <f>BR587</f>
        <v/>
      </c>
      <c r="BT583" s="1683">
        <f>BO587</f>
        <v/>
      </c>
      <c r="BU583" s="1684">
        <f>BT587</f>
        <v/>
      </c>
      <c r="BV583" s="1684">
        <f>BU587</f>
        <v/>
      </c>
      <c r="BW583" s="1684">
        <f>BV587</f>
        <v/>
      </c>
      <c r="BX583" s="1684">
        <f>BW587</f>
        <v/>
      </c>
      <c r="BY583" s="1683">
        <f>BT587</f>
        <v/>
      </c>
      <c r="BZ583" s="1683">
        <f>BY587</f>
        <v/>
      </c>
      <c r="CA583" s="1683">
        <f>BZ587</f>
        <v/>
      </c>
      <c r="CB583" s="1683">
        <f>CA587</f>
        <v/>
      </c>
      <c r="CC583" s="1634" t="n"/>
    </row>
    <row r="584" ht="15" customFormat="1" customHeight="1" s="1628">
      <c r="A584" s="1622" t="inlineStr">
        <is>
          <t>Depreciation of fixed assets, mm</t>
        </is>
      </c>
      <c r="B584" s="1705" t="n"/>
      <c r="C584" s="1624" t="n"/>
      <c r="D584" s="1624">
        <f>-D107</f>
        <v/>
      </c>
      <c r="E584" s="1624">
        <f>-E107</f>
        <v/>
      </c>
      <c r="F584" s="1624">
        <f>-F107</f>
        <v/>
      </c>
      <c r="G584" s="1624">
        <f>-G107</f>
        <v/>
      </c>
      <c r="H584" s="1626">
        <f>-H107</f>
        <v/>
      </c>
      <c r="I584" s="1626">
        <f>-I107</f>
        <v/>
      </c>
      <c r="J584" s="1626">
        <f>-J107</f>
        <v/>
      </c>
      <c r="K584" s="1626">
        <f>-K107</f>
        <v/>
      </c>
      <c r="L584" s="1624">
        <f>-L107</f>
        <v/>
      </c>
      <c r="M584" s="1626">
        <f>-M107</f>
        <v/>
      </c>
      <c r="N584" s="1626">
        <f>-N107</f>
        <v/>
      </c>
      <c r="O584" s="1626">
        <f>-O107</f>
        <v/>
      </c>
      <c r="P584" s="1626">
        <f>-P107</f>
        <v/>
      </c>
      <c r="Q584" s="1624">
        <f>-Q107</f>
        <v/>
      </c>
      <c r="R584" s="1626">
        <f>-R107</f>
        <v/>
      </c>
      <c r="S584" s="1626">
        <f>-S107</f>
        <v/>
      </c>
      <c r="T584" s="1626">
        <f>-T107</f>
        <v/>
      </c>
      <c r="U584" s="1626">
        <f>-U107</f>
        <v/>
      </c>
      <c r="V584" s="1624">
        <f>-V107</f>
        <v/>
      </c>
      <c r="W584" s="1626">
        <f>-W107</f>
        <v/>
      </c>
      <c r="X584" s="1626">
        <f>-X107</f>
        <v/>
      </c>
      <c r="Y584" s="1626">
        <f>-Y107</f>
        <v/>
      </c>
      <c r="Z584" s="1626">
        <f>-Z107</f>
        <v/>
      </c>
      <c r="AA584" s="1624">
        <f>-AA107</f>
        <v/>
      </c>
      <c r="AB584" s="1626">
        <f>-AB107</f>
        <v/>
      </c>
      <c r="AC584" s="1626">
        <f>-AC107</f>
        <v/>
      </c>
      <c r="AD584" s="1626">
        <f>-AD107</f>
        <v/>
      </c>
      <c r="AE584" s="1626">
        <f>-AE107</f>
        <v/>
      </c>
      <c r="AF584" s="1624">
        <f>-AF107</f>
        <v/>
      </c>
      <c r="AG584" s="1626">
        <f>-AG107</f>
        <v/>
      </c>
      <c r="AH584" s="1626">
        <f>-AH107</f>
        <v/>
      </c>
      <c r="AI584" s="1626">
        <f>-AI107</f>
        <v/>
      </c>
      <c r="AJ584" s="1626">
        <f>-AJ107</f>
        <v/>
      </c>
      <c r="AK584" s="1624">
        <f>-AK107</f>
        <v/>
      </c>
      <c r="AL584" s="1626">
        <f>-AL107</f>
        <v/>
      </c>
      <c r="AM584" s="1626">
        <f>-AM107</f>
        <v/>
      </c>
      <c r="AN584" s="1626">
        <f>-AN107</f>
        <v/>
      </c>
      <c r="AO584" s="1626">
        <f>-AO107</f>
        <v/>
      </c>
      <c r="AP584" s="1624">
        <f>-AP107</f>
        <v/>
      </c>
      <c r="AQ584" s="1626">
        <f>-AQ107</f>
        <v/>
      </c>
      <c r="AR584" s="1626">
        <f>-AR107</f>
        <v/>
      </c>
      <c r="AS584" s="1626">
        <f>-AS107</f>
        <v/>
      </c>
      <c r="AT584" s="1626">
        <f>-AT107</f>
        <v/>
      </c>
      <c r="AU584" s="1624">
        <f>-AU107</f>
        <v/>
      </c>
      <c r="AV584" s="1626">
        <f>-AV107</f>
        <v/>
      </c>
      <c r="AW584" s="1626">
        <f>-AW107</f>
        <v/>
      </c>
      <c r="AX584" s="1626">
        <f>-AX107</f>
        <v/>
      </c>
      <c r="AY584" s="1626">
        <f>-AY107</f>
        <v/>
      </c>
      <c r="AZ584" s="1624">
        <f>-AZ107</f>
        <v/>
      </c>
      <c r="BA584" s="1626">
        <f>-BA107</f>
        <v/>
      </c>
      <c r="BB584" s="1626">
        <f>-BB107</f>
        <v/>
      </c>
      <c r="BC584" s="1626">
        <f>-BC107</f>
        <v/>
      </c>
      <c r="BD584" s="1626">
        <f>-BD107</f>
        <v/>
      </c>
      <c r="BE584" s="1624">
        <f>-BE107</f>
        <v/>
      </c>
      <c r="BF584" s="1626">
        <f>-BF107</f>
        <v/>
      </c>
      <c r="BG584" s="1626">
        <f>-BG107</f>
        <v/>
      </c>
      <c r="BH584" s="1626">
        <f>-BH107</f>
        <v/>
      </c>
      <c r="BI584" s="1626">
        <f>-BI107</f>
        <v/>
      </c>
      <c r="BJ584" s="1624">
        <f>-BJ107</f>
        <v/>
      </c>
      <c r="BK584" s="1626">
        <f>-BK107</f>
        <v/>
      </c>
      <c r="BL584" s="1626">
        <f>-BL107</f>
        <v/>
      </c>
      <c r="BM584" s="1626">
        <f>-BM107</f>
        <v/>
      </c>
      <c r="BN584" s="1626">
        <f>-BN107</f>
        <v/>
      </c>
      <c r="BO584" s="1627">
        <f>-BO107</f>
        <v/>
      </c>
      <c r="BP584" s="1626">
        <f>-BP583*BP595*BP3/BT3</f>
        <v/>
      </c>
      <c r="BQ584" s="1626">
        <f>-BQ583*BQ595*BQ3/BT3</f>
        <v/>
      </c>
      <c r="BR584" s="1626">
        <f>-BR583*BR595*BR3/BT3</f>
        <v/>
      </c>
      <c r="BS584" s="1626">
        <f>-BS583*BS595*BS3/BT3</f>
        <v/>
      </c>
      <c r="BT584" s="1624">
        <f>IF(OR(ISBLANK(BP584),ISBLANK(BQ584),ISBLANK(BR584),ISBLANK(BS584)),"n/a",SUM(BP584,BQ584,BR584,BS584))</f>
        <v/>
      </c>
      <c r="BU584" s="1626">
        <f>-BU583*BU595*BU3/BY3</f>
        <v/>
      </c>
      <c r="BV584" s="1626">
        <f>-BV583*BV595*BV3/BY3</f>
        <v/>
      </c>
      <c r="BW584" s="1626">
        <f>-BW583*BW595*BW3/BY3</f>
        <v/>
      </c>
      <c r="BX584" s="1626">
        <f>-BX583*BX595*BX3/BY3</f>
        <v/>
      </c>
      <c r="BY584" s="1624">
        <f>IF(OR(ISBLANK(BU584),ISBLANK(BV584),ISBLANK(BW584),ISBLANK(BX584)),"n/a",SUM(BU584,BV584,BW584,BX584))</f>
        <v/>
      </c>
      <c r="BZ584" s="1624">
        <f>-BZ583*BZ595</f>
        <v/>
      </c>
      <c r="CA584" s="1624">
        <f>-CA583*CA595</f>
        <v/>
      </c>
      <c r="CB584" s="1624">
        <f>-CB583*CB595</f>
        <v/>
      </c>
      <c r="CC584" s="1634" t="n"/>
    </row>
    <row r="585" ht="15" customFormat="1" customHeight="1" s="1628">
      <c r="A585" s="1622" t="inlineStr">
        <is>
          <t>Capex of PP&amp;E, mm</t>
        </is>
      </c>
      <c r="B585" s="1705" t="n"/>
      <c r="C585" s="1624" t="n"/>
      <c r="D585" s="1624">
        <f>-D549</f>
        <v/>
      </c>
      <c r="E585" s="1624">
        <f>-E549</f>
        <v/>
      </c>
      <c r="F585" s="1624">
        <f>-F549</f>
        <v/>
      </c>
      <c r="G585" s="1624">
        <f>-G549</f>
        <v/>
      </c>
      <c r="H585" s="1626">
        <f>-H549</f>
        <v/>
      </c>
      <c r="I585" s="1626">
        <f>-I549</f>
        <v/>
      </c>
      <c r="J585" s="1626">
        <f>-J549</f>
        <v/>
      </c>
      <c r="K585" s="1626">
        <f>-K549</f>
        <v/>
      </c>
      <c r="L585" s="1624">
        <f>-L549</f>
        <v/>
      </c>
      <c r="M585" s="1626">
        <f>-M549</f>
        <v/>
      </c>
      <c r="N585" s="1626">
        <f>-N549</f>
        <v/>
      </c>
      <c r="O585" s="1626">
        <f>-O549</f>
        <v/>
      </c>
      <c r="P585" s="1626">
        <f>-P549</f>
        <v/>
      </c>
      <c r="Q585" s="1624">
        <f>-Q549</f>
        <v/>
      </c>
      <c r="R585" s="1626">
        <f>-R549</f>
        <v/>
      </c>
      <c r="S585" s="1626">
        <f>-S549</f>
        <v/>
      </c>
      <c r="T585" s="1626">
        <f>-T549</f>
        <v/>
      </c>
      <c r="U585" s="1626">
        <f>-U549</f>
        <v/>
      </c>
      <c r="V585" s="1624">
        <f>-V549</f>
        <v/>
      </c>
      <c r="W585" s="1626">
        <f>-W549</f>
        <v/>
      </c>
      <c r="X585" s="1626">
        <f>-X549</f>
        <v/>
      </c>
      <c r="Y585" s="1626">
        <f>-Y549</f>
        <v/>
      </c>
      <c r="Z585" s="1626">
        <f>-Z549</f>
        <v/>
      </c>
      <c r="AA585" s="1624">
        <f>-AA549</f>
        <v/>
      </c>
      <c r="AB585" s="1626">
        <f>-AB549</f>
        <v/>
      </c>
      <c r="AC585" s="1626">
        <f>-AC549</f>
        <v/>
      </c>
      <c r="AD585" s="1626">
        <f>-AD549</f>
        <v/>
      </c>
      <c r="AE585" s="1626">
        <f>-AE549</f>
        <v/>
      </c>
      <c r="AF585" s="1624">
        <f>-AF549</f>
        <v/>
      </c>
      <c r="AG585" s="1626">
        <f>-AG549</f>
        <v/>
      </c>
      <c r="AH585" s="1626">
        <f>-AH549</f>
        <v/>
      </c>
      <c r="AI585" s="1626">
        <f>-AI549</f>
        <v/>
      </c>
      <c r="AJ585" s="1626">
        <f>-AJ549</f>
        <v/>
      </c>
      <c r="AK585" s="1624">
        <f>-AK549</f>
        <v/>
      </c>
      <c r="AL585" s="1626">
        <f>-AL549</f>
        <v/>
      </c>
      <c r="AM585" s="1626">
        <f>-AM549</f>
        <v/>
      </c>
      <c r="AN585" s="1626">
        <f>-AN549</f>
        <v/>
      </c>
      <c r="AO585" s="1626">
        <f>-AO549</f>
        <v/>
      </c>
      <c r="AP585" s="1624">
        <f>-AP549</f>
        <v/>
      </c>
      <c r="AQ585" s="1626">
        <f>-AQ549</f>
        <v/>
      </c>
      <c r="AR585" s="1626">
        <f>-AR549</f>
        <v/>
      </c>
      <c r="AS585" s="1626">
        <f>-AS549</f>
        <v/>
      </c>
      <c r="AT585" s="1626">
        <f>-AT549</f>
        <v/>
      </c>
      <c r="AU585" s="1624">
        <f>-AU549</f>
        <v/>
      </c>
      <c r="AV585" s="1626">
        <f>-AV549</f>
        <v/>
      </c>
      <c r="AW585" s="1626">
        <f>-AW549</f>
        <v/>
      </c>
      <c r="AX585" s="1626">
        <f>-AX549</f>
        <v/>
      </c>
      <c r="AY585" s="1626">
        <f>-AY549</f>
        <v/>
      </c>
      <c r="AZ585" s="1624">
        <f>-AZ549</f>
        <v/>
      </c>
      <c r="BA585" s="1626">
        <f>-BA549</f>
        <v/>
      </c>
      <c r="BB585" s="1626">
        <f>-BB549</f>
        <v/>
      </c>
      <c r="BC585" s="1626">
        <f>-BC549</f>
        <v/>
      </c>
      <c r="BD585" s="1626">
        <f>-BD549</f>
        <v/>
      </c>
      <c r="BE585" s="1624">
        <f>-BE549</f>
        <v/>
      </c>
      <c r="BF585" s="1626">
        <f>-BF549</f>
        <v/>
      </c>
      <c r="BG585" s="1626">
        <f>-BG549</f>
        <v/>
      </c>
      <c r="BH585" s="1626">
        <f>-BH549</f>
        <v/>
      </c>
      <c r="BI585" s="1626">
        <f>-BI549</f>
        <v/>
      </c>
      <c r="BJ585" s="1624">
        <f>-BJ549</f>
        <v/>
      </c>
      <c r="BK585" s="1626">
        <f>-BK549</f>
        <v/>
      </c>
      <c r="BL585" s="1626">
        <f>-BL549</f>
        <v/>
      </c>
      <c r="BM585" s="1626">
        <f>-BM549</f>
        <v/>
      </c>
      <c r="BN585" s="1626">
        <f>-BN549</f>
        <v/>
      </c>
      <c r="BO585" s="1627">
        <f>-BO549</f>
        <v/>
      </c>
      <c r="BP585" s="1626">
        <f>BP601*(1-BP602)</f>
        <v/>
      </c>
      <c r="BQ585" s="1626">
        <f>BQ601*(1-BQ602)</f>
        <v/>
      </c>
      <c r="BR585" s="1626">
        <f>BR601*(1-BR602)</f>
        <v/>
      </c>
      <c r="BS585" s="1626">
        <f>BS601*(1-BS602)</f>
        <v/>
      </c>
      <c r="BT585" s="1624">
        <f>IF(OR(ISBLANK(BP585),ISBLANK(BQ585),ISBLANK(BR585),ISBLANK(BS585)),"n/a",SUM(BP585,BQ585,BR585,BS585))</f>
        <v/>
      </c>
      <c r="BU585" s="1626">
        <f>BU601*(1-BU602)</f>
        <v/>
      </c>
      <c r="BV585" s="1626">
        <f>BV601*(1-BV602)</f>
        <v/>
      </c>
      <c r="BW585" s="1626">
        <f>BW601*(1-BW602)</f>
        <v/>
      </c>
      <c r="BX585" s="1626">
        <f>BX601*(1-BX602)</f>
        <v/>
      </c>
      <c r="BY585" s="1624">
        <f>IF(OR(ISBLANK(BU585),ISBLANK(BV585),ISBLANK(BW585),ISBLANK(BX585)),"n/a",SUM(BU585,BV585,BW585,BX585))</f>
        <v/>
      </c>
      <c r="BZ585" s="1624">
        <f>BZ601*(1-BZ602)</f>
        <v/>
      </c>
      <c r="CA585" s="1624">
        <f>CA601*(1-CA602)</f>
        <v/>
      </c>
      <c r="CB585" s="1624">
        <f>CB601*(1-CB602)</f>
        <v/>
      </c>
      <c r="CC585" s="1634" t="n"/>
    </row>
    <row r="586" ht="15" customFormat="1" customHeight="1" s="1628">
      <c r="A586" s="1622" t="inlineStr">
        <is>
          <t>Other net additions to PP&amp;E, mm</t>
        </is>
      </c>
      <c r="B586" s="1705" t="n"/>
      <c r="C586" s="1624" t="n"/>
      <c r="D586" s="1624">
        <f>ROUND(D587-D583-D584-D585,6)</f>
        <v/>
      </c>
      <c r="E586" s="1624">
        <f>ROUND(E587-E583-E584-E585,6)</f>
        <v/>
      </c>
      <c r="F586" s="1624">
        <f>ROUND(F587-F583-F584-F585,6)</f>
        <v/>
      </c>
      <c r="G586" s="1624">
        <f>ROUND(G587-G583-G584-G585,6)</f>
        <v/>
      </c>
      <c r="H586" s="1626">
        <f>ROUND(H587-H583-H584-H585,6)</f>
        <v/>
      </c>
      <c r="I586" s="1626">
        <f>ROUND(I587-I583-I584-I585,6)</f>
        <v/>
      </c>
      <c r="J586" s="1626">
        <f>ROUND(J587-J583-J584-J585,6)</f>
        <v/>
      </c>
      <c r="K586" s="1626">
        <f>ROUND(K587-K583-K584-K585,6)</f>
        <v/>
      </c>
      <c r="L586" s="1624">
        <f>ROUND(L587-L583-L584-L585,6)</f>
        <v/>
      </c>
      <c r="M586" s="1626">
        <f>ROUND(M587-M583-M584-M585,6)</f>
        <v/>
      </c>
      <c r="N586" s="1626">
        <f>ROUND(N587-N583-N584-N585,6)</f>
        <v/>
      </c>
      <c r="O586" s="1626">
        <f>ROUND(O587-O583-O584-O585,6)</f>
        <v/>
      </c>
      <c r="P586" s="1626">
        <f>ROUND(P587-P583-P584-P585,6)</f>
        <v/>
      </c>
      <c r="Q586" s="1624">
        <f>ROUND(Q587-Q583-Q584-Q585,6)</f>
        <v/>
      </c>
      <c r="R586" s="1626">
        <f>ROUND(R587-R583-R584-R585,6)</f>
        <v/>
      </c>
      <c r="S586" s="1626">
        <f>ROUND(S587-S583-S584-S585,6)</f>
        <v/>
      </c>
      <c r="T586" s="1626">
        <f>ROUND(T587-T583-T584-T585,6)</f>
        <v/>
      </c>
      <c r="U586" s="1626">
        <f>ROUND(U587-U583-U584-U585,6)</f>
        <v/>
      </c>
      <c r="V586" s="1624">
        <f>ROUND(V587-V583-V584-V585,6)</f>
        <v/>
      </c>
      <c r="W586" s="1626">
        <f>ROUND(W587-W583-W584-W585,6)</f>
        <v/>
      </c>
      <c r="X586" s="1626">
        <f>ROUND(X587-X583-X584-X585,6)</f>
        <v/>
      </c>
      <c r="Y586" s="1626">
        <f>ROUND(Y587-Y583-Y584-Y585,6)</f>
        <v/>
      </c>
      <c r="Z586" s="1626">
        <f>ROUND(Z587-Z583-Z584-Z585,6)</f>
        <v/>
      </c>
      <c r="AA586" s="1624">
        <f>ROUND(AA587-AA583-AA584-AA585,6)</f>
        <v/>
      </c>
      <c r="AB586" s="1626">
        <f>ROUND(AB587-AB583-AB584-AB585,6)</f>
        <v/>
      </c>
      <c r="AC586" s="1626">
        <f>ROUND(AC587-AC583-AC584-AC585,6)</f>
        <v/>
      </c>
      <c r="AD586" s="1626">
        <f>ROUND(AD587-AD583-AD584-AD585,6)</f>
        <v/>
      </c>
      <c r="AE586" s="1626">
        <f>ROUND(AE587-AE583-AE584-AE585,6)</f>
        <v/>
      </c>
      <c r="AF586" s="1624">
        <f>ROUND(AF587-AF583-AF584-AF585,6)</f>
        <v/>
      </c>
      <c r="AG586" s="1626">
        <f>ROUND(AG587-AG583-AG584-AG585,6)</f>
        <v/>
      </c>
      <c r="AH586" s="1626">
        <f>ROUND(AH587-AH583-AH584-AH585,6)</f>
        <v/>
      </c>
      <c r="AI586" s="1626">
        <f>ROUND(AI587-AI583-AI584-AI585,6)</f>
        <v/>
      </c>
      <c r="AJ586" s="1626">
        <f>ROUND(AJ587-AJ583-AJ584-AJ585,6)</f>
        <v/>
      </c>
      <c r="AK586" s="1624">
        <f>ROUND(AK587-AK583-AK584-AK585,6)</f>
        <v/>
      </c>
      <c r="AL586" s="1626">
        <f>ROUND(AL587-AL583-AL584-AL585,6)</f>
        <v/>
      </c>
      <c r="AM586" s="1626">
        <f>ROUND(AM587-AM583-AM584-AM585,6)</f>
        <v/>
      </c>
      <c r="AN586" s="1626">
        <f>ROUND(AN587-AN583-AN584-AN585,6)</f>
        <v/>
      </c>
      <c r="AO586" s="1626">
        <f>ROUND(AO587-AO583-AO584-AO585,6)</f>
        <v/>
      </c>
      <c r="AP586" s="1624">
        <f>ROUND(AP587-AP583-AP584-AP585,6)</f>
        <v/>
      </c>
      <c r="AQ586" s="1626">
        <f>ROUND(AQ587-AQ583-AQ584-AQ585,6)</f>
        <v/>
      </c>
      <c r="AR586" s="1626">
        <f>ROUND(AR587-AR583-AR584-AR585,6)</f>
        <v/>
      </c>
      <c r="AS586" s="1626">
        <f>ROUND(AS587-AS583-AS584-AS585,6)</f>
        <v/>
      </c>
      <c r="AT586" s="1626">
        <f>ROUND(AT587-AT583-AT584-AT585,6)</f>
        <v/>
      </c>
      <c r="AU586" s="1624">
        <f>ROUND(AU587-AU583-AU584-AU585,6)</f>
        <v/>
      </c>
      <c r="AV586" s="1626">
        <f>ROUND(AV587-AV583-AV584-AV585,6)</f>
        <v/>
      </c>
      <c r="AW586" s="1626">
        <f>ROUND(AW587-AW583-AW584-AW585,6)</f>
        <v/>
      </c>
      <c r="AX586" s="1626">
        <f>ROUND(AX587-AX583-AX584-AX585,6)</f>
        <v/>
      </c>
      <c r="AY586" s="1626">
        <f>ROUND(AY587-AY583-AY584-AY585,6)</f>
        <v/>
      </c>
      <c r="AZ586" s="1624">
        <f>ROUND(AZ587-AZ583-AZ584-AZ585,6)</f>
        <v/>
      </c>
      <c r="BA586" s="1626">
        <f>ROUND(BA587-BA583-BA584-BA585,6)</f>
        <v/>
      </c>
      <c r="BB586" s="1626">
        <f>ROUND(BB587-BB583-BB584-BB585,6)</f>
        <v/>
      </c>
      <c r="BC586" s="1626">
        <f>ROUND(BC587-BC583-BC584-BC585,6)</f>
        <v/>
      </c>
      <c r="BD586" s="1626">
        <f>ROUND(BD587-BD583-BD584-BD585,6)</f>
        <v/>
      </c>
      <c r="BE586" s="1624">
        <f>ROUND(BE587-BE583-BE584-BE585,6)</f>
        <v/>
      </c>
      <c r="BF586" s="1626">
        <f>ROUND(BF587-BF583-BF584-BF585,6)</f>
        <v/>
      </c>
      <c r="BG586" s="1626">
        <f>ROUND(BG587-BG583-BG584-BG585,6)</f>
        <v/>
      </c>
      <c r="BH586" s="1626">
        <f>ROUND(BH587-BH583-BH584-BH585,6)</f>
        <v/>
      </c>
      <c r="BI586" s="1626">
        <f>ROUND(BI587-BI583-BI584-BI585,6)</f>
        <v/>
      </c>
      <c r="BJ586" s="1624">
        <f>ROUND(BJ587-BJ583-BJ584-BJ585,6)</f>
        <v/>
      </c>
      <c r="BK586" s="1626">
        <f>ROUND(BK587-BK583-BK584-BK585,6)</f>
        <v/>
      </c>
      <c r="BL586" s="1626">
        <f>ROUND(BL587-BL583-BL584-BL585,6)</f>
        <v/>
      </c>
      <c r="BM586" s="1626">
        <f>ROUND(BM587-BM583-BM584-BM585,6)</f>
        <v/>
      </c>
      <c r="BN586" s="1626">
        <f>ROUND(BN587-BN583-BN584-BN585,6)</f>
        <v/>
      </c>
      <c r="BO586" s="1627">
        <f>ROUND(BO587-BO583-BO584-BO585,6)</f>
        <v/>
      </c>
      <c r="BP586" s="1626">
        <f>ROUND(BP587-BP583-BP584-BP585,6)</f>
        <v/>
      </c>
      <c r="BQ586" s="1626">
        <f>ROUND(BQ587-BQ583-BQ584-BQ585,6)</f>
        <v/>
      </c>
      <c r="BR586" s="1626">
        <f>ROUND(BR587-BR583-BR584-BR585,6)</f>
        <v/>
      </c>
      <c r="BS586" s="1626">
        <f>ROUND(BS587-BS583-BS584-BS585,6)</f>
        <v/>
      </c>
      <c r="BT586" s="1624">
        <f>ROUND(BT587-BT583-IF(ISNUMBER(BT584),BT584,0)-IF(ISNUMBER(BT585),BT585,0),6)</f>
        <v/>
      </c>
      <c r="BU586" s="1626">
        <f>ROUND(BU587-BU583-BU584-BU585,6)</f>
        <v/>
      </c>
      <c r="BV586" s="1626">
        <f>ROUND(BV587-BV583-BV584-BV585,6)</f>
        <v/>
      </c>
      <c r="BW586" s="1626">
        <f>ROUND(BW587-BW583-BW584-BW585,6)</f>
        <v/>
      </c>
      <c r="BX586" s="1626">
        <f>ROUND(BX587-BX583-BX584-BX585,6)</f>
        <v/>
      </c>
      <c r="BY586" s="1624">
        <f>ROUND(BY587-BY583-IF(ISNUMBER(BY584),BY584,0)-IF(ISNUMBER(BY585),BY585,0),6)</f>
        <v/>
      </c>
      <c r="BZ586" s="1624">
        <f>ROUND(BZ587-BZ583-BZ584-BZ585,6)</f>
        <v/>
      </c>
      <c r="CA586" s="1624">
        <f>ROUND(CA587-CA583-CA584-CA585,6)</f>
        <v/>
      </c>
      <c r="CB586" s="1624">
        <f>ROUND(CB587-CB583-CB584-CB585,6)</f>
        <v/>
      </c>
      <c r="CC586" s="1634" t="n"/>
    </row>
    <row r="587" ht="15" customFormat="1" customHeight="1" s="1628">
      <c r="A587" s="1993" t="inlineStr">
        <is>
          <t>PP&amp;E EoP, mm</t>
        </is>
      </c>
      <c r="B587" s="1887" t="n"/>
      <c r="C587" s="1994">
        <f>C648</f>
        <v/>
      </c>
      <c r="D587" s="1994">
        <f>D648</f>
        <v/>
      </c>
      <c r="E587" s="1994">
        <f>E648</f>
        <v/>
      </c>
      <c r="F587" s="1994">
        <f>F648</f>
        <v/>
      </c>
      <c r="G587" s="1994">
        <f>G648</f>
        <v/>
      </c>
      <c r="H587" s="1995">
        <f>H648</f>
        <v/>
      </c>
      <c r="I587" s="1995">
        <f>I648</f>
        <v/>
      </c>
      <c r="J587" s="1995">
        <f>J648</f>
        <v/>
      </c>
      <c r="K587" s="1995">
        <f>K648</f>
        <v/>
      </c>
      <c r="L587" s="1994">
        <f>L648</f>
        <v/>
      </c>
      <c r="M587" s="1995">
        <f>M648</f>
        <v/>
      </c>
      <c r="N587" s="1995">
        <f>N648</f>
        <v/>
      </c>
      <c r="O587" s="1995">
        <f>O648</f>
        <v/>
      </c>
      <c r="P587" s="1995">
        <f>P648</f>
        <v/>
      </c>
      <c r="Q587" s="1994">
        <f>Q648</f>
        <v/>
      </c>
      <c r="R587" s="1995">
        <f>R648</f>
        <v/>
      </c>
      <c r="S587" s="1995">
        <f>S648</f>
        <v/>
      </c>
      <c r="T587" s="1995">
        <f>T648</f>
        <v/>
      </c>
      <c r="U587" s="1995">
        <f>U648</f>
        <v/>
      </c>
      <c r="V587" s="1994">
        <f>V648</f>
        <v/>
      </c>
      <c r="W587" s="1995">
        <f>W648</f>
        <v/>
      </c>
      <c r="X587" s="1995">
        <f>X648</f>
        <v/>
      </c>
      <c r="Y587" s="1995">
        <f>Y648</f>
        <v/>
      </c>
      <c r="Z587" s="1995">
        <f>Z648</f>
        <v/>
      </c>
      <c r="AA587" s="1994">
        <f>AA648</f>
        <v/>
      </c>
      <c r="AB587" s="1995">
        <f>AB648</f>
        <v/>
      </c>
      <c r="AC587" s="1995">
        <f>AC648</f>
        <v/>
      </c>
      <c r="AD587" s="1995">
        <f>AD648</f>
        <v/>
      </c>
      <c r="AE587" s="1995">
        <f>AE648</f>
        <v/>
      </c>
      <c r="AF587" s="1994">
        <f>AF648</f>
        <v/>
      </c>
      <c r="AG587" s="1995">
        <f>AG648</f>
        <v/>
      </c>
      <c r="AH587" s="1995">
        <f>AH648</f>
        <v/>
      </c>
      <c r="AI587" s="1995">
        <f>AI648</f>
        <v/>
      </c>
      <c r="AJ587" s="1995">
        <f>AJ648</f>
        <v/>
      </c>
      <c r="AK587" s="1994">
        <f>AK648</f>
        <v/>
      </c>
      <c r="AL587" s="1995">
        <f>AL648</f>
        <v/>
      </c>
      <c r="AM587" s="1995">
        <f>AM648</f>
        <v/>
      </c>
      <c r="AN587" s="1995">
        <f>AN648</f>
        <v/>
      </c>
      <c r="AO587" s="1995">
        <f>AO648</f>
        <v/>
      </c>
      <c r="AP587" s="1994">
        <f>AP648</f>
        <v/>
      </c>
      <c r="AQ587" s="1995">
        <f>AQ648</f>
        <v/>
      </c>
      <c r="AR587" s="1995">
        <f>AR648</f>
        <v/>
      </c>
      <c r="AS587" s="1995">
        <f>AS648</f>
        <v/>
      </c>
      <c r="AT587" s="1995">
        <f>AT648</f>
        <v/>
      </c>
      <c r="AU587" s="1994">
        <f>AU648</f>
        <v/>
      </c>
      <c r="AV587" s="1995">
        <f>AV648</f>
        <v/>
      </c>
      <c r="AW587" s="1995">
        <f>AW648</f>
        <v/>
      </c>
      <c r="AX587" s="1995">
        <f>AX648</f>
        <v/>
      </c>
      <c r="AY587" s="1995">
        <f>AY648</f>
        <v/>
      </c>
      <c r="AZ587" s="1994">
        <f>AZ648</f>
        <v/>
      </c>
      <c r="BA587" s="1995">
        <f>BA648</f>
        <v/>
      </c>
      <c r="BB587" s="1995">
        <f>BB648</f>
        <v/>
      </c>
      <c r="BC587" s="1995">
        <f>BC648</f>
        <v/>
      </c>
      <c r="BD587" s="1995">
        <f>BD648</f>
        <v/>
      </c>
      <c r="BE587" s="1994">
        <f>BE648</f>
        <v/>
      </c>
      <c r="BF587" s="1995">
        <f>BF648</f>
        <v/>
      </c>
      <c r="BG587" s="1995">
        <f>BG648</f>
        <v/>
      </c>
      <c r="BH587" s="1995">
        <f>BH648</f>
        <v/>
      </c>
      <c r="BI587" s="1995">
        <f>BI648</f>
        <v/>
      </c>
      <c r="BJ587" s="1994">
        <f>BJ648</f>
        <v/>
      </c>
      <c r="BK587" s="1995">
        <f>BK648</f>
        <v/>
      </c>
      <c r="BL587" s="1995">
        <f>BL648</f>
        <v/>
      </c>
      <c r="BM587" s="1995">
        <f>BM648</f>
        <v/>
      </c>
      <c r="BN587" s="1995">
        <f>BN648</f>
        <v/>
      </c>
      <c r="BO587" s="1996">
        <f>BO648</f>
        <v/>
      </c>
      <c r="BP587" s="1995">
        <f>BP648</f>
        <v/>
      </c>
      <c r="BQ587" s="1995">
        <f>BQ648</f>
        <v/>
      </c>
      <c r="BR587" s="1995">
        <f>BR648</f>
        <v/>
      </c>
      <c r="BS587" s="1995">
        <f>BS648</f>
        <v/>
      </c>
      <c r="BT587" s="1994">
        <f>BT648</f>
        <v/>
      </c>
      <c r="BU587" s="1995">
        <f>BU648</f>
        <v/>
      </c>
      <c r="BV587" s="1995">
        <f>BV648</f>
        <v/>
      </c>
      <c r="BW587" s="1995">
        <f>BW648</f>
        <v/>
      </c>
      <c r="BX587" s="1995">
        <f>BX648</f>
        <v/>
      </c>
      <c r="BY587" s="1994">
        <f>BY648</f>
        <v/>
      </c>
      <c r="BZ587" s="1994">
        <f>BZ648</f>
        <v/>
      </c>
      <c r="CA587" s="1994">
        <f>CA648</f>
        <v/>
      </c>
      <c r="CB587" s="1994">
        <f>CB648</f>
        <v/>
      </c>
      <c r="CC587" s="1634" t="n"/>
    </row>
    <row r="588" ht="15" customFormat="1" customHeight="1" s="1628">
      <c r="A588" s="1622" t="n"/>
      <c r="B588" s="1705" t="n"/>
      <c r="C588" s="1624" t="n"/>
      <c r="D588" s="1624" t="n"/>
      <c r="E588" s="1624" t="n"/>
      <c r="F588" s="1624" t="n"/>
      <c r="G588" s="1624" t="n"/>
      <c r="H588" s="1626" t="n"/>
      <c r="I588" s="1626" t="n"/>
      <c r="J588" s="1626" t="n"/>
      <c r="K588" s="1626" t="n"/>
      <c r="L588" s="1624" t="n"/>
      <c r="M588" s="1626" t="n"/>
      <c r="N588" s="1626" t="n"/>
      <c r="O588" s="1626" t="n"/>
      <c r="P588" s="1626" t="n"/>
      <c r="Q588" s="1624" t="n"/>
      <c r="R588" s="1626" t="n"/>
      <c r="S588" s="1626" t="n"/>
      <c r="T588" s="1626" t="n"/>
      <c r="U588" s="1626" t="n"/>
      <c r="V588" s="1624" t="n"/>
      <c r="W588" s="1626" t="n"/>
      <c r="X588" s="1626" t="n"/>
      <c r="Y588" s="1626" t="n"/>
      <c r="Z588" s="1626" t="n"/>
      <c r="AA588" s="1624" t="n"/>
      <c r="AB588" s="1626" t="n"/>
      <c r="AC588" s="1626" t="n"/>
      <c r="AD588" s="1626" t="n"/>
      <c r="AE588" s="1626" t="n"/>
      <c r="AF588" s="1624" t="n"/>
      <c r="AG588" s="1626" t="n"/>
      <c r="AH588" s="1626" t="n"/>
      <c r="AI588" s="1626" t="n"/>
      <c r="AJ588" s="1626" t="n"/>
      <c r="AK588" s="1624" t="n"/>
      <c r="AL588" s="1626" t="n"/>
      <c r="AM588" s="1626" t="n"/>
      <c r="AN588" s="1626" t="n"/>
      <c r="AO588" s="1626" t="n"/>
      <c r="AP588" s="1624" t="n"/>
      <c r="AQ588" s="1626" t="n"/>
      <c r="AR588" s="1626" t="n"/>
      <c r="AS588" s="1626" t="n"/>
      <c r="AT588" s="1626" t="n"/>
      <c r="AU588" s="1624" t="n"/>
      <c r="AV588" s="1626" t="n"/>
      <c r="AW588" s="1626" t="n"/>
      <c r="AX588" s="1626" t="n"/>
      <c r="AY588" s="1626" t="n"/>
      <c r="AZ588" s="1624" t="n"/>
      <c r="BA588" s="1626" t="n"/>
      <c r="BB588" s="1626" t="n"/>
      <c r="BC588" s="1626" t="n"/>
      <c r="BD588" s="1626" t="n"/>
      <c r="BE588" s="1624" t="n"/>
      <c r="BF588" s="1626" t="n"/>
      <c r="BG588" s="1626" t="n"/>
      <c r="BH588" s="1626" t="n"/>
      <c r="BI588" s="1626" t="n"/>
      <c r="BJ588" s="1624" t="n"/>
      <c r="BK588" s="1626" t="n"/>
      <c r="BL588" s="1626" t="n"/>
      <c r="BM588" s="1626" t="n"/>
      <c r="BN588" s="1626" t="n"/>
      <c r="BO588" s="1627" t="n"/>
      <c r="BP588" s="1626" t="n"/>
      <c r="BQ588" s="1626" t="n"/>
      <c r="BR588" s="1626" t="n"/>
      <c r="BS588" s="1626" t="n"/>
      <c r="BT588" s="1624" t="n"/>
      <c r="BU588" s="1626" t="n"/>
      <c r="BV588" s="1626" t="n"/>
      <c r="BW588" s="1626" t="n"/>
      <c r="BX588" s="1626" t="n"/>
      <c r="BY588" s="1624" t="n"/>
      <c r="BZ588" s="1624" t="n"/>
      <c r="CA588" s="1624" t="n"/>
      <c r="CB588" s="1624" t="n"/>
      <c r="CC588" s="1634" t="n"/>
    </row>
    <row r="589" ht="15" customFormat="1" customHeight="1" s="1628">
      <c r="A589" s="1703" t="inlineStr">
        <is>
          <t>Intangibles BoP, mm</t>
        </is>
      </c>
      <c r="B589" s="1717" t="n"/>
      <c r="C589" s="1683" t="n"/>
      <c r="D589" s="1683">
        <f>C593</f>
        <v/>
      </c>
      <c r="E589" s="1683">
        <f>D593</f>
        <v/>
      </c>
      <c r="F589" s="1683">
        <f>E593</f>
        <v/>
      </c>
      <c r="G589" s="1683">
        <f>F593</f>
        <v/>
      </c>
      <c r="H589" s="1684">
        <f>G593</f>
        <v/>
      </c>
      <c r="I589" s="1684">
        <f>H593</f>
        <v/>
      </c>
      <c r="J589" s="1684">
        <f>I593</f>
        <v/>
      </c>
      <c r="K589" s="1684">
        <f>J593</f>
        <v/>
      </c>
      <c r="L589" s="1683">
        <f>G593</f>
        <v/>
      </c>
      <c r="M589" s="1684">
        <f>L593</f>
        <v/>
      </c>
      <c r="N589" s="1684">
        <f>M593</f>
        <v/>
      </c>
      <c r="O589" s="1684">
        <f>N593</f>
        <v/>
      </c>
      <c r="P589" s="1684">
        <f>O593</f>
        <v/>
      </c>
      <c r="Q589" s="1683">
        <f>L593</f>
        <v/>
      </c>
      <c r="R589" s="1684">
        <f>Q593</f>
        <v/>
      </c>
      <c r="S589" s="1684">
        <f>R593</f>
        <v/>
      </c>
      <c r="T589" s="1684">
        <f>S593</f>
        <v/>
      </c>
      <c r="U589" s="1684">
        <f>T593</f>
        <v/>
      </c>
      <c r="V589" s="1683">
        <f>Q593</f>
        <v/>
      </c>
      <c r="W589" s="1684">
        <f>V593</f>
        <v/>
      </c>
      <c r="X589" s="1684">
        <f>W593</f>
        <v/>
      </c>
      <c r="Y589" s="1684">
        <f>X593</f>
        <v/>
      </c>
      <c r="Z589" s="1684">
        <f>Y593</f>
        <v/>
      </c>
      <c r="AA589" s="1683">
        <f>V593</f>
        <v/>
      </c>
      <c r="AB589" s="1684">
        <f>AA593</f>
        <v/>
      </c>
      <c r="AC589" s="1684">
        <f>AB593</f>
        <v/>
      </c>
      <c r="AD589" s="1684">
        <f>AC593</f>
        <v/>
      </c>
      <c r="AE589" s="1684">
        <f>AD593</f>
        <v/>
      </c>
      <c r="AF589" s="1683">
        <f>AA593</f>
        <v/>
      </c>
      <c r="AG589" s="1684">
        <f>AF593</f>
        <v/>
      </c>
      <c r="AH589" s="1684">
        <f>AG593</f>
        <v/>
      </c>
      <c r="AI589" s="1684">
        <f>AH593</f>
        <v/>
      </c>
      <c r="AJ589" s="1684">
        <f>AI593</f>
        <v/>
      </c>
      <c r="AK589" s="1683">
        <f>AF593</f>
        <v/>
      </c>
      <c r="AL589" s="1684">
        <f>AK593</f>
        <v/>
      </c>
      <c r="AM589" s="1684">
        <f>AL593</f>
        <v/>
      </c>
      <c r="AN589" s="1684">
        <f>AM593</f>
        <v/>
      </c>
      <c r="AO589" s="1684">
        <f>AN593</f>
        <v/>
      </c>
      <c r="AP589" s="1683">
        <f>AK593</f>
        <v/>
      </c>
      <c r="AQ589" s="1684">
        <f>AP593</f>
        <v/>
      </c>
      <c r="AR589" s="1684">
        <f>AQ593</f>
        <v/>
      </c>
      <c r="AS589" s="1684">
        <f>AR593</f>
        <v/>
      </c>
      <c r="AT589" s="1684">
        <f>AS593</f>
        <v/>
      </c>
      <c r="AU589" s="1683">
        <f>AP593</f>
        <v/>
      </c>
      <c r="AV589" s="1684">
        <f>AU593</f>
        <v/>
      </c>
      <c r="AW589" s="1684">
        <f>AV593</f>
        <v/>
      </c>
      <c r="AX589" s="1684">
        <f>AW593</f>
        <v/>
      </c>
      <c r="AY589" s="1684">
        <f>AX593</f>
        <v/>
      </c>
      <c r="AZ589" s="1683">
        <f>AU593</f>
        <v/>
      </c>
      <c r="BA589" s="1684">
        <f>AZ593</f>
        <v/>
      </c>
      <c r="BB589" s="1684">
        <f>BA593</f>
        <v/>
      </c>
      <c r="BC589" s="1684">
        <f>BB593</f>
        <v/>
      </c>
      <c r="BD589" s="1684">
        <f>BC593</f>
        <v/>
      </c>
      <c r="BE589" s="1683">
        <f>AZ593</f>
        <v/>
      </c>
      <c r="BF589" s="1684">
        <f>BE593</f>
        <v/>
      </c>
      <c r="BG589" s="1684">
        <f>BF593</f>
        <v/>
      </c>
      <c r="BH589" s="1684">
        <f>BG593</f>
        <v/>
      </c>
      <c r="BI589" s="1684">
        <f>BH593</f>
        <v/>
      </c>
      <c r="BJ589" s="1683">
        <f>BE593</f>
        <v/>
      </c>
      <c r="BK589" s="1684">
        <f>BJ593</f>
        <v/>
      </c>
      <c r="BL589" s="1684">
        <f>BK593</f>
        <v/>
      </c>
      <c r="BM589" s="1684">
        <f>BL593</f>
        <v/>
      </c>
      <c r="BN589" s="1684">
        <f>BM593</f>
        <v/>
      </c>
      <c r="BO589" s="1685">
        <f>BJ593</f>
        <v/>
      </c>
      <c r="BP589" s="1684">
        <f>BO593</f>
        <v/>
      </c>
      <c r="BQ589" s="1684">
        <f>BP593</f>
        <v/>
      </c>
      <c r="BR589" s="1684">
        <f>BQ593</f>
        <v/>
      </c>
      <c r="BS589" s="1684">
        <f>BR593</f>
        <v/>
      </c>
      <c r="BT589" s="1683">
        <f>BO593</f>
        <v/>
      </c>
      <c r="BU589" s="1684">
        <f>BT593</f>
        <v/>
      </c>
      <c r="BV589" s="1684">
        <f>BU593</f>
        <v/>
      </c>
      <c r="BW589" s="1684">
        <f>BV593</f>
        <v/>
      </c>
      <c r="BX589" s="1684">
        <f>BW593</f>
        <v/>
      </c>
      <c r="BY589" s="1683">
        <f>BT593</f>
        <v/>
      </c>
      <c r="BZ589" s="1683">
        <f>BY593</f>
        <v/>
      </c>
      <c r="CA589" s="1683">
        <f>BZ593</f>
        <v/>
      </c>
      <c r="CB589" s="1683">
        <f>CA593</f>
        <v/>
      </c>
      <c r="CC589" s="1634" t="n"/>
    </row>
    <row r="590" ht="15" customFormat="1" customHeight="1" s="1628">
      <c r="A590" s="1622" t="inlineStr">
        <is>
          <t>Amortization of intangibles, mm</t>
        </is>
      </c>
      <c r="B590" s="1705" t="n"/>
      <c r="C590" s="1624" t="n"/>
      <c r="D590" s="1624">
        <f>-D111</f>
        <v/>
      </c>
      <c r="E590" s="1624">
        <f>-E111</f>
        <v/>
      </c>
      <c r="F590" s="1624">
        <f>-F111</f>
        <v/>
      </c>
      <c r="G590" s="1624">
        <f>-G111</f>
        <v/>
      </c>
      <c r="H590" s="1626">
        <f>-H111</f>
        <v/>
      </c>
      <c r="I590" s="1626">
        <f>-I111</f>
        <v/>
      </c>
      <c r="J590" s="1626">
        <f>-J111</f>
        <v/>
      </c>
      <c r="K590" s="1626">
        <f>-K111</f>
        <v/>
      </c>
      <c r="L590" s="1624">
        <f>-L111</f>
        <v/>
      </c>
      <c r="M590" s="1626">
        <f>-M111</f>
        <v/>
      </c>
      <c r="N590" s="1626">
        <f>-N111</f>
        <v/>
      </c>
      <c r="O590" s="1626">
        <f>-O111</f>
        <v/>
      </c>
      <c r="P590" s="1626">
        <f>-P111</f>
        <v/>
      </c>
      <c r="Q590" s="1624">
        <f>-Q111</f>
        <v/>
      </c>
      <c r="R590" s="1626">
        <f>-R111</f>
        <v/>
      </c>
      <c r="S590" s="1626">
        <f>-S111</f>
        <v/>
      </c>
      <c r="T590" s="1626">
        <f>-T111</f>
        <v/>
      </c>
      <c r="U590" s="1626">
        <f>-U111</f>
        <v/>
      </c>
      <c r="V590" s="1624">
        <f>-V111</f>
        <v/>
      </c>
      <c r="W590" s="1626">
        <f>-W111</f>
        <v/>
      </c>
      <c r="X590" s="1626">
        <f>-X111</f>
        <v/>
      </c>
      <c r="Y590" s="1626">
        <f>-Y111</f>
        <v/>
      </c>
      <c r="Z590" s="1626">
        <f>-Z111</f>
        <v/>
      </c>
      <c r="AA590" s="1624">
        <f>-AA111</f>
        <v/>
      </c>
      <c r="AB590" s="1626">
        <f>-AB111</f>
        <v/>
      </c>
      <c r="AC590" s="1626">
        <f>-AC111</f>
        <v/>
      </c>
      <c r="AD590" s="1626">
        <f>-AD111</f>
        <v/>
      </c>
      <c r="AE590" s="1626">
        <f>-AE111</f>
        <v/>
      </c>
      <c r="AF590" s="1624">
        <f>-AF111</f>
        <v/>
      </c>
      <c r="AG590" s="1626">
        <f>-AG111</f>
        <v/>
      </c>
      <c r="AH590" s="1626">
        <f>-AH111</f>
        <v/>
      </c>
      <c r="AI590" s="1626">
        <f>-AI111</f>
        <v/>
      </c>
      <c r="AJ590" s="1626">
        <f>-AJ111</f>
        <v/>
      </c>
      <c r="AK590" s="1624">
        <f>-AK111</f>
        <v/>
      </c>
      <c r="AL590" s="1626">
        <f>-AL111</f>
        <v/>
      </c>
      <c r="AM590" s="1626">
        <f>-AM111</f>
        <v/>
      </c>
      <c r="AN590" s="1626">
        <f>-AN111</f>
        <v/>
      </c>
      <c r="AO590" s="1626">
        <f>-AO111</f>
        <v/>
      </c>
      <c r="AP590" s="1624">
        <f>-AP111</f>
        <v/>
      </c>
      <c r="AQ590" s="1626">
        <f>-AQ111</f>
        <v/>
      </c>
      <c r="AR590" s="1626">
        <f>-AR111</f>
        <v/>
      </c>
      <c r="AS590" s="1626">
        <f>-AS111</f>
        <v/>
      </c>
      <c r="AT590" s="1626">
        <f>-AT111</f>
        <v/>
      </c>
      <c r="AU590" s="1624">
        <f>-AU111</f>
        <v/>
      </c>
      <c r="AV590" s="1626">
        <f>-AV111</f>
        <v/>
      </c>
      <c r="AW590" s="1626">
        <f>-AW111</f>
        <v/>
      </c>
      <c r="AX590" s="1626">
        <f>-AX111</f>
        <v/>
      </c>
      <c r="AY590" s="1626">
        <f>-AY111</f>
        <v/>
      </c>
      <c r="AZ590" s="1624">
        <f>-AZ111</f>
        <v/>
      </c>
      <c r="BA590" s="1626">
        <f>-BA111</f>
        <v/>
      </c>
      <c r="BB590" s="1626">
        <f>-BB111</f>
        <v/>
      </c>
      <c r="BC590" s="1626">
        <f>-BC111</f>
        <v/>
      </c>
      <c r="BD590" s="1626">
        <f>-BD111</f>
        <v/>
      </c>
      <c r="BE590" s="1624">
        <f>-BE111</f>
        <v/>
      </c>
      <c r="BF590" s="1626">
        <f>-BF111</f>
        <v/>
      </c>
      <c r="BG590" s="1626">
        <f>-BG111</f>
        <v/>
      </c>
      <c r="BH590" s="1626">
        <f>-BH111</f>
        <v/>
      </c>
      <c r="BI590" s="1626">
        <f>-BI111</f>
        <v/>
      </c>
      <c r="BJ590" s="1624">
        <f>-BJ111</f>
        <v/>
      </c>
      <c r="BK590" s="1626">
        <f>-BK111</f>
        <v/>
      </c>
      <c r="BL590" s="1626">
        <f>-BL111</f>
        <v/>
      </c>
      <c r="BM590" s="1626">
        <f>-BM111</f>
        <v/>
      </c>
      <c r="BN590" s="1626">
        <f>-BN111</f>
        <v/>
      </c>
      <c r="BO590" s="1627">
        <f>-BO111</f>
        <v/>
      </c>
      <c r="BP590" s="1626">
        <f>-BP589*BP596*BP3/BT3</f>
        <v/>
      </c>
      <c r="BQ590" s="1626">
        <f>-BQ589*BQ596*BQ3/BT3</f>
        <v/>
      </c>
      <c r="BR590" s="1626">
        <f>-BR589*BR596*BR3/BT3</f>
        <v/>
      </c>
      <c r="BS590" s="1626">
        <f>-BS589*BS596*BS3/BT3</f>
        <v/>
      </c>
      <c r="BT590" s="1624">
        <f>IF(OR(ISBLANK(BP590),ISBLANK(BQ590),ISBLANK(BR590),ISBLANK(BS590)),"n/a",SUM(BP590,BQ590,BR590,BS590))</f>
        <v/>
      </c>
      <c r="BU590" s="1626">
        <f>-BU589*BU596*BU3/BY3</f>
        <v/>
      </c>
      <c r="BV590" s="1626">
        <f>-BV589*BV596*BV3/BY3</f>
        <v/>
      </c>
      <c r="BW590" s="1626">
        <f>-BW589*BW596*BW3/BY3</f>
        <v/>
      </c>
      <c r="BX590" s="1626">
        <f>-BX589*BX596*BX3/BY3</f>
        <v/>
      </c>
      <c r="BY590" s="1624">
        <f>IF(OR(ISBLANK(BU590),ISBLANK(BV590),ISBLANK(BW590),ISBLANK(BX590)),"n/a",SUM(BU590,BV590,BW590,BX590))</f>
        <v/>
      </c>
      <c r="BZ590" s="1624">
        <f>-BZ589*BZ596</f>
        <v/>
      </c>
      <c r="CA590" s="1624">
        <f>-CA589*CA596</f>
        <v/>
      </c>
      <c r="CB590" s="1624">
        <f>-CB589*CB596</f>
        <v/>
      </c>
      <c r="CC590" s="1634" t="n"/>
    </row>
    <row r="591" ht="15" customFormat="1" customHeight="1" s="1628">
      <c r="A591" s="1622" t="inlineStr">
        <is>
          <t>Capex of intangibles, mm</t>
        </is>
      </c>
      <c r="B591" s="1705" t="n"/>
      <c r="C591" s="1624" t="n"/>
      <c r="D591" s="1624">
        <f>-D550</f>
        <v/>
      </c>
      <c r="E591" s="1624">
        <f>-E550</f>
        <v/>
      </c>
      <c r="F591" s="1624">
        <f>-F550</f>
        <v/>
      </c>
      <c r="G591" s="1624">
        <f>-G550</f>
        <v/>
      </c>
      <c r="H591" s="1626">
        <f>-H550</f>
        <v/>
      </c>
      <c r="I591" s="1626">
        <f>-I550</f>
        <v/>
      </c>
      <c r="J591" s="1626">
        <f>-J550</f>
        <v/>
      </c>
      <c r="K591" s="1626">
        <f>-K550</f>
        <v/>
      </c>
      <c r="L591" s="1624">
        <f>-L550</f>
        <v/>
      </c>
      <c r="M591" s="1626">
        <f>-M550</f>
        <v/>
      </c>
      <c r="N591" s="1626">
        <f>-N550</f>
        <v/>
      </c>
      <c r="O591" s="1626">
        <f>-O550</f>
        <v/>
      </c>
      <c r="P591" s="1626">
        <f>-P550</f>
        <v/>
      </c>
      <c r="Q591" s="1624">
        <f>-Q550</f>
        <v/>
      </c>
      <c r="R591" s="1626">
        <f>-R550</f>
        <v/>
      </c>
      <c r="S591" s="1626">
        <f>-S550</f>
        <v/>
      </c>
      <c r="T591" s="1626">
        <f>-T550</f>
        <v/>
      </c>
      <c r="U591" s="1626">
        <f>-U550</f>
        <v/>
      </c>
      <c r="V591" s="1624">
        <f>-V550</f>
        <v/>
      </c>
      <c r="W591" s="1626">
        <f>-W550</f>
        <v/>
      </c>
      <c r="X591" s="1626">
        <f>-X550</f>
        <v/>
      </c>
      <c r="Y591" s="1626">
        <f>-Y550</f>
        <v/>
      </c>
      <c r="Z591" s="1626">
        <f>-Z550</f>
        <v/>
      </c>
      <c r="AA591" s="1624">
        <f>-AA550</f>
        <v/>
      </c>
      <c r="AB591" s="1626">
        <f>-AB550</f>
        <v/>
      </c>
      <c r="AC591" s="1626">
        <f>-AC550</f>
        <v/>
      </c>
      <c r="AD591" s="1626">
        <f>-AD550</f>
        <v/>
      </c>
      <c r="AE591" s="1626">
        <f>-AE550</f>
        <v/>
      </c>
      <c r="AF591" s="1624">
        <f>-AF550</f>
        <v/>
      </c>
      <c r="AG591" s="1626">
        <f>-AG550</f>
        <v/>
      </c>
      <c r="AH591" s="1626">
        <f>-AH550</f>
        <v/>
      </c>
      <c r="AI591" s="1626">
        <f>-AI550</f>
        <v/>
      </c>
      <c r="AJ591" s="1626">
        <f>-AJ550</f>
        <v/>
      </c>
      <c r="AK591" s="1624">
        <f>-AK550</f>
        <v/>
      </c>
      <c r="AL591" s="1626">
        <f>-AL550</f>
        <v/>
      </c>
      <c r="AM591" s="1626">
        <f>-AM550</f>
        <v/>
      </c>
      <c r="AN591" s="1626">
        <f>-AN550</f>
        <v/>
      </c>
      <c r="AO591" s="1626">
        <f>-AO550</f>
        <v/>
      </c>
      <c r="AP591" s="1624">
        <f>-AP550</f>
        <v/>
      </c>
      <c r="AQ591" s="1626">
        <f>-AQ550</f>
        <v/>
      </c>
      <c r="AR591" s="1626">
        <f>-AR550</f>
        <v/>
      </c>
      <c r="AS591" s="1626">
        <f>-AS550</f>
        <v/>
      </c>
      <c r="AT591" s="1626">
        <f>-AT550</f>
        <v/>
      </c>
      <c r="AU591" s="1624">
        <f>-AU550</f>
        <v/>
      </c>
      <c r="AV591" s="1626">
        <f>-AV550</f>
        <v/>
      </c>
      <c r="AW591" s="1626">
        <f>-AW550</f>
        <v/>
      </c>
      <c r="AX591" s="1626">
        <f>-AX550</f>
        <v/>
      </c>
      <c r="AY591" s="1626">
        <f>-AY550</f>
        <v/>
      </c>
      <c r="AZ591" s="1624">
        <f>-AZ550</f>
        <v/>
      </c>
      <c r="BA591" s="1626">
        <f>-BA550</f>
        <v/>
      </c>
      <c r="BB591" s="1626">
        <f>-BB550</f>
        <v/>
      </c>
      <c r="BC591" s="1626">
        <f>-BC550</f>
        <v/>
      </c>
      <c r="BD591" s="1626">
        <f>-BD550</f>
        <v/>
      </c>
      <c r="BE591" s="1624">
        <f>-BE550</f>
        <v/>
      </c>
      <c r="BF591" s="1626">
        <f>-BF550</f>
        <v/>
      </c>
      <c r="BG591" s="1626">
        <f>-BG550</f>
        <v/>
      </c>
      <c r="BH591" s="1626">
        <f>-BH550</f>
        <v/>
      </c>
      <c r="BI591" s="1626">
        <f>-BI550</f>
        <v/>
      </c>
      <c r="BJ591" s="1624">
        <f>-BJ550</f>
        <v/>
      </c>
      <c r="BK591" s="1626">
        <f>-BK550</f>
        <v/>
      </c>
      <c r="BL591" s="1626">
        <f>-BL550</f>
        <v/>
      </c>
      <c r="BM591" s="1626">
        <f>-BM550</f>
        <v/>
      </c>
      <c r="BN591" s="1626">
        <f>-BN550</f>
        <v/>
      </c>
      <c r="BO591" s="1627">
        <f>-BO550</f>
        <v/>
      </c>
      <c r="BP591" s="1626">
        <f>BP601*BP602</f>
        <v/>
      </c>
      <c r="BQ591" s="1626">
        <f>BQ601*BQ602</f>
        <v/>
      </c>
      <c r="BR591" s="1626">
        <f>BR601*BR602</f>
        <v/>
      </c>
      <c r="BS591" s="1626">
        <f>BS601*BS602</f>
        <v/>
      </c>
      <c r="BT591" s="1624">
        <f>IF(OR(ISBLANK(BP591),ISBLANK(BQ591),ISBLANK(BR591),ISBLANK(BS591)),"n/a",SUM(BP591,BQ591,BR591,BS591))</f>
        <v/>
      </c>
      <c r="BU591" s="1626">
        <f>BU601*BU602</f>
        <v/>
      </c>
      <c r="BV591" s="1626">
        <f>BV601*BV602</f>
        <v/>
      </c>
      <c r="BW591" s="1626">
        <f>BW601*BW602</f>
        <v/>
      </c>
      <c r="BX591" s="1626">
        <f>BX601*BX602</f>
        <v/>
      </c>
      <c r="BY591" s="1624">
        <f>IF(OR(ISBLANK(BU591),ISBLANK(BV591),ISBLANK(BW591),ISBLANK(BX591)),"n/a",SUM(BU591,BV591,BW591,BX591))</f>
        <v/>
      </c>
      <c r="BZ591" s="1624">
        <f>BZ601*BZ602</f>
        <v/>
      </c>
      <c r="CA591" s="1624">
        <f>CA601*CA602</f>
        <v/>
      </c>
      <c r="CB591" s="1624">
        <f>CB601*CB602</f>
        <v/>
      </c>
      <c r="CC591" s="1634" t="n"/>
    </row>
    <row r="592" ht="15" customFormat="1" customHeight="1" s="1628">
      <c r="A592" s="1622" t="inlineStr">
        <is>
          <t>Other net additions to intangibles, mm</t>
        </is>
      </c>
      <c r="B592" s="1705" t="n"/>
      <c r="C592" s="1624" t="n"/>
      <c r="D592" s="1624">
        <f>ROUND(D593-D589-D590-D591,6)</f>
        <v/>
      </c>
      <c r="E592" s="1624">
        <f>ROUND(E593-E589-E590-E591,6)</f>
        <v/>
      </c>
      <c r="F592" s="1624">
        <f>ROUND(F593-F589-F590-F591,6)</f>
        <v/>
      </c>
      <c r="G592" s="1624">
        <f>ROUND(G593-G589-G590-G591,6)</f>
        <v/>
      </c>
      <c r="H592" s="1626">
        <f>ROUND(H593-H589-H590-H591,6)</f>
        <v/>
      </c>
      <c r="I592" s="1626">
        <f>ROUND(I593-I589-I590-I591,6)</f>
        <v/>
      </c>
      <c r="J592" s="1626">
        <f>ROUND(J593-J589-J590-J591,6)</f>
        <v/>
      </c>
      <c r="K592" s="1626">
        <f>ROUND(K593-K589-K590-K591,6)</f>
        <v/>
      </c>
      <c r="L592" s="1624">
        <f>ROUND(L593-L589-L590-L591,6)</f>
        <v/>
      </c>
      <c r="M592" s="1626">
        <f>ROUND(M593-M589-M590-M591,6)</f>
        <v/>
      </c>
      <c r="N592" s="1626">
        <f>ROUND(N593-N589-N590-N591,6)</f>
        <v/>
      </c>
      <c r="O592" s="1626">
        <f>ROUND(O593-O589-O590-O591,6)</f>
        <v/>
      </c>
      <c r="P592" s="1626">
        <f>ROUND(P593-P589-P590-P591,6)</f>
        <v/>
      </c>
      <c r="Q592" s="1624">
        <f>ROUND(Q593-Q589-Q590-Q591,6)</f>
        <v/>
      </c>
      <c r="R592" s="1626">
        <f>ROUND(R593-R589-R590-R591,6)</f>
        <v/>
      </c>
      <c r="S592" s="1626">
        <f>ROUND(S593-S589-S590-S591,6)</f>
        <v/>
      </c>
      <c r="T592" s="1626">
        <f>ROUND(T593-T589-T590-T591,6)</f>
        <v/>
      </c>
      <c r="U592" s="1626">
        <f>ROUND(U593-U589-U590-U591,6)</f>
        <v/>
      </c>
      <c r="V592" s="1624">
        <f>ROUND(V593-V589-V590-V591,6)</f>
        <v/>
      </c>
      <c r="W592" s="1626">
        <f>ROUND(W593-W589-W590-W591,6)</f>
        <v/>
      </c>
      <c r="X592" s="1626">
        <f>ROUND(X593-X589-X590-X591,6)</f>
        <v/>
      </c>
      <c r="Y592" s="1626">
        <f>ROUND(Y593-Y589-Y590-Y591,6)</f>
        <v/>
      </c>
      <c r="Z592" s="1626">
        <f>ROUND(Z593-Z589-Z590-Z591,6)</f>
        <v/>
      </c>
      <c r="AA592" s="1624">
        <f>ROUND(AA593-AA589-AA590-AA591,6)</f>
        <v/>
      </c>
      <c r="AB592" s="1626">
        <f>ROUND(AB593-AB589-AB590-AB591,6)</f>
        <v/>
      </c>
      <c r="AC592" s="1626">
        <f>ROUND(AC593-AC589-AC590-AC591,6)</f>
        <v/>
      </c>
      <c r="AD592" s="1626">
        <f>ROUND(AD593-AD589-AD590-AD591,6)</f>
        <v/>
      </c>
      <c r="AE592" s="1626">
        <f>ROUND(AE593-AE589-AE590-AE591,6)</f>
        <v/>
      </c>
      <c r="AF592" s="1624">
        <f>ROUND(AF593-AF589-AF590-AF591,6)</f>
        <v/>
      </c>
      <c r="AG592" s="1626">
        <f>ROUND(AG593-AG589-AG590-AG591,6)</f>
        <v/>
      </c>
      <c r="AH592" s="1626">
        <f>ROUND(AH593-AH589-AH590-AH591,6)</f>
        <v/>
      </c>
      <c r="AI592" s="1626">
        <f>ROUND(AI593-AI589-AI590-AI591,6)</f>
        <v/>
      </c>
      <c r="AJ592" s="1626">
        <f>ROUND(AJ593-AJ589-AJ590-AJ591,6)</f>
        <v/>
      </c>
      <c r="AK592" s="1624">
        <f>ROUND(AK593-AK589-AK590-AK591,6)</f>
        <v/>
      </c>
      <c r="AL592" s="1626">
        <f>ROUND(AL593-AL589-AL590-AL591,6)</f>
        <v/>
      </c>
      <c r="AM592" s="1626">
        <f>ROUND(AM593-AM589-AM590-AM591,6)</f>
        <v/>
      </c>
      <c r="AN592" s="1626">
        <f>ROUND(AN593-AN589-AN590-AN591,6)</f>
        <v/>
      </c>
      <c r="AO592" s="1626">
        <f>ROUND(AO593-AO589-AO590-AO591,6)</f>
        <v/>
      </c>
      <c r="AP592" s="1624">
        <f>ROUND(AP593-AP589-AP590-AP591,6)</f>
        <v/>
      </c>
      <c r="AQ592" s="1626">
        <f>ROUND(AQ593-AQ589-AQ590-AQ591,6)</f>
        <v/>
      </c>
      <c r="AR592" s="1626">
        <f>ROUND(AR593-AR589-AR590-AR591,6)</f>
        <v/>
      </c>
      <c r="AS592" s="1626">
        <f>ROUND(AS593-AS589-AS590-AS591,6)</f>
        <v/>
      </c>
      <c r="AT592" s="1626">
        <f>ROUND(AT593-AT589-AT590-AT591,6)</f>
        <v/>
      </c>
      <c r="AU592" s="1624">
        <f>ROUND(AU593-AU589-AU590-AU591,6)</f>
        <v/>
      </c>
      <c r="AV592" s="1626">
        <f>ROUND(AV593-AV589-AV590-AV591,6)</f>
        <v/>
      </c>
      <c r="AW592" s="1626">
        <f>ROUND(AW593-AW589-AW590-AW591,6)</f>
        <v/>
      </c>
      <c r="AX592" s="1626">
        <f>ROUND(AX593-AX589-AX590-AX591,6)</f>
        <v/>
      </c>
      <c r="AY592" s="1626">
        <f>ROUND(AY593-AY589-AY590-AY591,6)</f>
        <v/>
      </c>
      <c r="AZ592" s="1624">
        <f>ROUND(AZ593-AZ589-AZ590-AZ591,6)</f>
        <v/>
      </c>
      <c r="BA592" s="1626">
        <f>ROUND(BA593-BA589-BA590-BA591,6)</f>
        <v/>
      </c>
      <c r="BB592" s="1626">
        <f>ROUND(BB593-BB589-BB590-BB591,6)</f>
        <v/>
      </c>
      <c r="BC592" s="1626">
        <f>ROUND(BC593-BC589-BC590-BC591,6)</f>
        <v/>
      </c>
      <c r="BD592" s="1626">
        <f>ROUND(BD593-BD589-BD590-BD591,6)</f>
        <v/>
      </c>
      <c r="BE592" s="1624">
        <f>ROUND(BE593-BE589-BE590-BE591,6)</f>
        <v/>
      </c>
      <c r="BF592" s="1626">
        <f>ROUND(BF593-BF589-BF590-BF591,6)</f>
        <v/>
      </c>
      <c r="BG592" s="1626">
        <f>ROUND(BG593-BG589-BG590-BG591,6)</f>
        <v/>
      </c>
      <c r="BH592" s="1626">
        <f>ROUND(BH593-BH589-BH590-BH591,6)</f>
        <v/>
      </c>
      <c r="BI592" s="1626">
        <f>ROUND(BI593-BI589-BI590-BI591,6)</f>
        <v/>
      </c>
      <c r="BJ592" s="1624">
        <f>ROUND(BJ593-BJ589-BJ590-BJ591,6)</f>
        <v/>
      </c>
      <c r="BK592" s="1626">
        <f>ROUND(BK593-BK589-BK590-BK591,6)</f>
        <v/>
      </c>
      <c r="BL592" s="1626">
        <f>ROUND(BL593-BL589-BL590-BL591,6)</f>
        <v/>
      </c>
      <c r="BM592" s="1626">
        <f>ROUND(BM593-BM589-BM590-BM591,6)</f>
        <v/>
      </c>
      <c r="BN592" s="1626">
        <f>ROUND(BN593-BN589-BN590-BN591,6)</f>
        <v/>
      </c>
      <c r="BO592" s="1627">
        <f>ROUND(BO593-BO589-BO590-BO591,6)</f>
        <v/>
      </c>
      <c r="BP592" s="1626">
        <f>ROUND(BP593-BP589-BP590-BP591,6)</f>
        <v/>
      </c>
      <c r="BQ592" s="1626">
        <f>ROUND(BQ593-BQ589-BQ590-BQ591,6)</f>
        <v/>
      </c>
      <c r="BR592" s="1626">
        <f>ROUND(BR593-BR589-BR590-BR591,6)</f>
        <v/>
      </c>
      <c r="BS592" s="1626">
        <f>ROUND(BS593-BS589-BS590-BS591,6)</f>
        <v/>
      </c>
      <c r="BT592" s="1624">
        <f>ROUND(BT593-BT589-IF(ISNUMBER(BT590),BT590,0)-IF(ISNUMBER(BT591),BT591,0),6)</f>
        <v/>
      </c>
      <c r="BU592" s="1626">
        <f>ROUND(BU593-BU589-BU590-BU591,6)</f>
        <v/>
      </c>
      <c r="BV592" s="1626">
        <f>ROUND(BV593-BV589-BV590-BV591,6)</f>
        <v/>
      </c>
      <c r="BW592" s="1626">
        <f>ROUND(BW593-BW589-BW590-BW591,6)</f>
        <v/>
      </c>
      <c r="BX592" s="1626">
        <f>ROUND(BX593-BX589-BX590-BX591,6)</f>
        <v/>
      </c>
      <c r="BY592" s="1624">
        <f>ROUND(BY593-BY589-IF(ISNUMBER(BY590),BY590,0)-IF(ISNUMBER(BY591),BY591,0),6)</f>
        <v/>
      </c>
      <c r="BZ592" s="1624">
        <f>ROUND(BZ593-BZ589-BZ590-BZ591,6)</f>
        <v/>
      </c>
      <c r="CA592" s="1624">
        <f>ROUND(CA593-CA589-CA590-CA591,6)</f>
        <v/>
      </c>
      <c r="CB592" s="1624">
        <f>ROUND(CB593-CB589-CB590-CB591,6)</f>
        <v/>
      </c>
      <c r="CC592" s="1634" t="n"/>
    </row>
    <row r="593" ht="15" customFormat="1" customHeight="1" s="1628">
      <c r="A593" s="1993" t="inlineStr">
        <is>
          <t>Intangibles EoP, mm</t>
        </is>
      </c>
      <c r="B593" s="1887" t="n"/>
      <c r="C593" s="1994">
        <f>C647</f>
        <v/>
      </c>
      <c r="D593" s="1994">
        <f>D647</f>
        <v/>
      </c>
      <c r="E593" s="1994">
        <f>E647</f>
        <v/>
      </c>
      <c r="F593" s="1994">
        <f>F647</f>
        <v/>
      </c>
      <c r="G593" s="1994">
        <f>G647</f>
        <v/>
      </c>
      <c r="H593" s="1995">
        <f>H647</f>
        <v/>
      </c>
      <c r="I593" s="1995">
        <f>I647</f>
        <v/>
      </c>
      <c r="J593" s="1995">
        <f>J647</f>
        <v/>
      </c>
      <c r="K593" s="1995">
        <f>K647</f>
        <v/>
      </c>
      <c r="L593" s="1994">
        <f>L647</f>
        <v/>
      </c>
      <c r="M593" s="1995">
        <f>M647</f>
        <v/>
      </c>
      <c r="N593" s="1995">
        <f>N647</f>
        <v/>
      </c>
      <c r="O593" s="1995">
        <f>O647</f>
        <v/>
      </c>
      <c r="P593" s="1995">
        <f>P647</f>
        <v/>
      </c>
      <c r="Q593" s="1994">
        <f>Q647</f>
        <v/>
      </c>
      <c r="R593" s="1995">
        <f>R647</f>
        <v/>
      </c>
      <c r="S593" s="1995">
        <f>S647</f>
        <v/>
      </c>
      <c r="T593" s="1995">
        <f>T647</f>
        <v/>
      </c>
      <c r="U593" s="1995">
        <f>U647</f>
        <v/>
      </c>
      <c r="V593" s="1994">
        <f>V647</f>
        <v/>
      </c>
      <c r="W593" s="1995">
        <f>W647</f>
        <v/>
      </c>
      <c r="X593" s="1995">
        <f>X647</f>
        <v/>
      </c>
      <c r="Y593" s="1995">
        <f>Y647</f>
        <v/>
      </c>
      <c r="Z593" s="1995">
        <f>Z647</f>
        <v/>
      </c>
      <c r="AA593" s="1994">
        <f>AA647</f>
        <v/>
      </c>
      <c r="AB593" s="1995">
        <f>AB647</f>
        <v/>
      </c>
      <c r="AC593" s="1995">
        <f>AC647</f>
        <v/>
      </c>
      <c r="AD593" s="1995">
        <f>AD647</f>
        <v/>
      </c>
      <c r="AE593" s="1995">
        <f>AE647</f>
        <v/>
      </c>
      <c r="AF593" s="1994">
        <f>AF647</f>
        <v/>
      </c>
      <c r="AG593" s="1995">
        <f>AG647</f>
        <v/>
      </c>
      <c r="AH593" s="1995">
        <f>AH647</f>
        <v/>
      </c>
      <c r="AI593" s="1995">
        <f>AI647</f>
        <v/>
      </c>
      <c r="AJ593" s="1995">
        <f>AJ647</f>
        <v/>
      </c>
      <c r="AK593" s="1994">
        <f>AK647</f>
        <v/>
      </c>
      <c r="AL593" s="1995">
        <f>AL647</f>
        <v/>
      </c>
      <c r="AM593" s="1995">
        <f>AM647</f>
        <v/>
      </c>
      <c r="AN593" s="1995">
        <f>AN647</f>
        <v/>
      </c>
      <c r="AO593" s="1995">
        <f>AO647</f>
        <v/>
      </c>
      <c r="AP593" s="1994">
        <f>AP647</f>
        <v/>
      </c>
      <c r="AQ593" s="1995">
        <f>AQ647</f>
        <v/>
      </c>
      <c r="AR593" s="1995">
        <f>AR647</f>
        <v/>
      </c>
      <c r="AS593" s="1995">
        <f>AS647</f>
        <v/>
      </c>
      <c r="AT593" s="1995">
        <f>AT647</f>
        <v/>
      </c>
      <c r="AU593" s="1994">
        <f>AU647</f>
        <v/>
      </c>
      <c r="AV593" s="1995">
        <f>AV647</f>
        <v/>
      </c>
      <c r="AW593" s="1995">
        <f>AW647</f>
        <v/>
      </c>
      <c r="AX593" s="1995">
        <f>AX647</f>
        <v/>
      </c>
      <c r="AY593" s="1995">
        <f>AY647</f>
        <v/>
      </c>
      <c r="AZ593" s="1994">
        <f>AZ647</f>
        <v/>
      </c>
      <c r="BA593" s="1995">
        <f>BA647</f>
        <v/>
      </c>
      <c r="BB593" s="1995">
        <f>BB647</f>
        <v/>
      </c>
      <c r="BC593" s="1995">
        <f>BC647</f>
        <v/>
      </c>
      <c r="BD593" s="1995">
        <f>BD647</f>
        <v/>
      </c>
      <c r="BE593" s="1994">
        <f>BE647</f>
        <v/>
      </c>
      <c r="BF593" s="1995">
        <f>BF647</f>
        <v/>
      </c>
      <c r="BG593" s="1995">
        <f>BG647</f>
        <v/>
      </c>
      <c r="BH593" s="1995">
        <f>BH647</f>
        <v/>
      </c>
      <c r="BI593" s="1995">
        <f>BI647</f>
        <v/>
      </c>
      <c r="BJ593" s="1994">
        <f>BJ647</f>
        <v/>
      </c>
      <c r="BK593" s="1995">
        <f>BK647</f>
        <v/>
      </c>
      <c r="BL593" s="1995">
        <f>BL647</f>
        <v/>
      </c>
      <c r="BM593" s="1995">
        <f>BM647</f>
        <v/>
      </c>
      <c r="BN593" s="1995">
        <f>BN647</f>
        <v/>
      </c>
      <c r="BO593" s="1996">
        <f>BO647</f>
        <v/>
      </c>
      <c r="BP593" s="1995">
        <f>BP647</f>
        <v/>
      </c>
      <c r="BQ593" s="1995">
        <f>BQ647</f>
        <v/>
      </c>
      <c r="BR593" s="1995">
        <f>BR647</f>
        <v/>
      </c>
      <c r="BS593" s="1995">
        <f>BS647</f>
        <v/>
      </c>
      <c r="BT593" s="1994">
        <f>BT647</f>
        <v/>
      </c>
      <c r="BU593" s="1995">
        <f>BU647</f>
        <v/>
      </c>
      <c r="BV593" s="1995">
        <f>BV647</f>
        <v/>
      </c>
      <c r="BW593" s="1995">
        <f>BW647</f>
        <v/>
      </c>
      <c r="BX593" s="1995">
        <f>BX647</f>
        <v/>
      </c>
      <c r="BY593" s="1994">
        <f>BY647</f>
        <v/>
      </c>
      <c r="BZ593" s="1994">
        <f>BZ647</f>
        <v/>
      </c>
      <c r="CA593" s="1994">
        <f>CA647</f>
        <v/>
      </c>
      <c r="CB593" s="1994">
        <f>CB647</f>
        <v/>
      </c>
      <c r="CC593" s="1634" t="n"/>
    </row>
    <row r="594" ht="15" customFormat="1" customHeight="1" s="1628">
      <c r="A594" s="1622" t="n"/>
      <c r="B594" s="1705" t="n"/>
      <c r="C594" s="1624" t="n"/>
      <c r="D594" s="1624" t="n"/>
      <c r="E594" s="1624" t="n"/>
      <c r="F594" s="1624" t="n"/>
      <c r="G594" s="1624" t="n"/>
      <c r="H594" s="1626" t="n"/>
      <c r="I594" s="1626" t="n"/>
      <c r="J594" s="1626" t="n"/>
      <c r="K594" s="1626" t="n"/>
      <c r="L594" s="1624" t="n"/>
      <c r="M594" s="1626" t="n"/>
      <c r="N594" s="1626" t="n"/>
      <c r="O594" s="1626" t="n"/>
      <c r="P594" s="1626" t="n"/>
      <c r="Q594" s="1624" t="n"/>
      <c r="R594" s="1626" t="n"/>
      <c r="S594" s="1626" t="n"/>
      <c r="T594" s="1626" t="n"/>
      <c r="U594" s="1626" t="n"/>
      <c r="V594" s="1624" t="n"/>
      <c r="W594" s="1626" t="n"/>
      <c r="X594" s="1626" t="n"/>
      <c r="Y594" s="1626" t="n"/>
      <c r="Z594" s="1626" t="n"/>
      <c r="AA594" s="1624" t="n"/>
      <c r="AB594" s="1626" t="n"/>
      <c r="AC594" s="1626" t="n"/>
      <c r="AD594" s="1626" t="n"/>
      <c r="AE594" s="1626" t="n"/>
      <c r="AF594" s="1624" t="n"/>
      <c r="AG594" s="1626" t="n"/>
      <c r="AH594" s="1626" t="n"/>
      <c r="AI594" s="1626" t="n"/>
      <c r="AJ594" s="1626" t="n"/>
      <c r="AK594" s="1624" t="n"/>
      <c r="AL594" s="1626" t="n"/>
      <c r="AM594" s="1626" t="n"/>
      <c r="AN594" s="1626" t="n"/>
      <c r="AO594" s="1626" t="n"/>
      <c r="AP594" s="1624" t="n"/>
      <c r="AQ594" s="1626" t="n"/>
      <c r="AR594" s="1626" t="n"/>
      <c r="AS594" s="1626" t="n"/>
      <c r="AT594" s="1626" t="n"/>
      <c r="AU594" s="1624" t="n"/>
      <c r="AV594" s="1626" t="n"/>
      <c r="AW594" s="1626" t="n"/>
      <c r="AX594" s="1626" t="n"/>
      <c r="AY594" s="1626" t="n"/>
      <c r="AZ594" s="1624" t="n"/>
      <c r="BA594" s="1626" t="n"/>
      <c r="BB594" s="1626" t="n"/>
      <c r="BC594" s="1626" t="n"/>
      <c r="BD594" s="1626" t="n"/>
      <c r="BE594" s="1624" t="n"/>
      <c r="BF594" s="1626" t="n"/>
      <c r="BG594" s="1626" t="n"/>
      <c r="BH594" s="1626" t="n"/>
      <c r="BI594" s="1626" t="n"/>
      <c r="BJ594" s="1624" t="n"/>
      <c r="BK594" s="1626" t="n"/>
      <c r="BL594" s="1626" t="n"/>
      <c r="BM594" s="1626" t="n"/>
      <c r="BN594" s="1626" t="n"/>
      <c r="BO594" s="1627" t="n"/>
      <c r="BP594" s="1626" t="n"/>
      <c r="BQ594" s="1626" t="n"/>
      <c r="BR594" s="1626" t="n"/>
      <c r="BS594" s="1626" t="n"/>
      <c r="BT594" s="1624" t="n"/>
      <c r="BU594" s="1626" t="n"/>
      <c r="BV594" s="1626" t="n"/>
      <c r="BW594" s="1626" t="n"/>
      <c r="BX594" s="1626" t="n"/>
      <c r="BY594" s="1624" t="n"/>
      <c r="BZ594" s="1624" t="n"/>
      <c r="CA594" s="1624" t="n"/>
      <c r="CB594" s="1624" t="n"/>
      <c r="CC594" s="1634" t="n"/>
    </row>
    <row r="595" ht="15" customFormat="1" customHeight="1" s="1628">
      <c r="A595" s="1997" t="inlineStr">
        <is>
          <t>Depreciation as percentage of PP&amp;E BoP, %</t>
        </is>
      </c>
      <c r="B595" s="1829" t="n"/>
      <c r="C595" s="1249" t="n"/>
      <c r="D595" s="1249">
        <f>IFERROR(-D584/D583,"n/a")</f>
        <v/>
      </c>
      <c r="E595" s="1249">
        <f>IFERROR(-E584/E583,"n/a")</f>
        <v/>
      </c>
      <c r="F595" s="1249">
        <f>IFERROR(-F584/F583,"n/a")</f>
        <v/>
      </c>
      <c r="G595" s="1249">
        <f>IFERROR(-G584/G583,"n/a")</f>
        <v/>
      </c>
      <c r="H595" s="672">
        <f>IFERROR(-H584/H583*L3/H3,"n/a")</f>
        <v/>
      </c>
      <c r="I595" s="672">
        <f>IFERROR(-I584/I583*L3/I3,"n/a")</f>
        <v/>
      </c>
      <c r="J595" s="672">
        <f>IFERROR(-J584/J583*L3/J3,"n/a")</f>
        <v/>
      </c>
      <c r="K595" s="672">
        <f>IFERROR(-K584/K583*L3/K3,"n/a")</f>
        <v/>
      </c>
      <c r="L595" s="1249">
        <f>IFERROR(-L584/L583,"n/a")</f>
        <v/>
      </c>
      <c r="M595" s="672">
        <f>IFERROR(-M584/M583*Q3/M3,"n/a")</f>
        <v/>
      </c>
      <c r="N595" s="672">
        <f>IFERROR(-N584/N583*Q3/N3,"n/a")</f>
        <v/>
      </c>
      <c r="O595" s="672">
        <f>IFERROR(-O584/O583*Q3/O3,"n/a")</f>
        <v/>
      </c>
      <c r="P595" s="672">
        <f>IFERROR(-P584/P583*Q3/P3,"n/a")</f>
        <v/>
      </c>
      <c r="Q595" s="1249">
        <f>IFERROR(-Q584/Q583,"n/a")</f>
        <v/>
      </c>
      <c r="R595" s="672">
        <f>IFERROR(-R584/R583*V3/R3,"n/a")</f>
        <v/>
      </c>
      <c r="S595" s="672">
        <f>IFERROR(-S584/S583*V3/S3,"n/a")</f>
        <v/>
      </c>
      <c r="T595" s="672">
        <f>IFERROR(-T584/T583*V3/T3,"n/a")</f>
        <v/>
      </c>
      <c r="U595" s="672">
        <f>IFERROR(-U584/U583*V3/U3,"n/a")</f>
        <v/>
      </c>
      <c r="V595" s="1249">
        <f>IFERROR(-V584/V583,"n/a")</f>
        <v/>
      </c>
      <c r="W595" s="672">
        <f>IFERROR(-W584/W583*AA3/W3,"n/a")</f>
        <v/>
      </c>
      <c r="X595" s="672">
        <f>IFERROR(-X584/X583*AA3/X3,"n/a")</f>
        <v/>
      </c>
      <c r="Y595" s="672">
        <f>IFERROR(-Y584/Y583*AA3/Y3,"n/a")</f>
        <v/>
      </c>
      <c r="Z595" s="672">
        <f>IFERROR(-Z584/Z583*AA3/Z3,"n/a")</f>
        <v/>
      </c>
      <c r="AA595" s="1249">
        <f>IFERROR(-AA584/AA583,"n/a")</f>
        <v/>
      </c>
      <c r="AB595" s="672">
        <f>IFERROR(-AB584/AB583*AF3/AB3,"n/a")</f>
        <v/>
      </c>
      <c r="AC595" s="672">
        <f>IFERROR(-AC584/AC583*AF3/AC3,"n/a")</f>
        <v/>
      </c>
      <c r="AD595" s="672">
        <f>IFERROR(-AD584/AD583*AF3/AD3,"n/a")</f>
        <v/>
      </c>
      <c r="AE595" s="672">
        <f>IFERROR(-AE584/AE583*AF3/AE3,"n/a")</f>
        <v/>
      </c>
      <c r="AF595" s="1249">
        <f>IFERROR(-AF584/AF583,"n/a")</f>
        <v/>
      </c>
      <c r="AG595" s="672">
        <f>IFERROR(-AG584/AG583*AK3/AG3,"n/a")</f>
        <v/>
      </c>
      <c r="AH595" s="672">
        <f>IFERROR(-AH584/AH583*AK3/AH3,"n/a")</f>
        <v/>
      </c>
      <c r="AI595" s="672">
        <f>IFERROR(-AI584/AI583*AK3/AI3,"n/a")</f>
        <v/>
      </c>
      <c r="AJ595" s="672">
        <f>IFERROR(-AJ584/AJ583*AK3/AJ3,"n/a")</f>
        <v/>
      </c>
      <c r="AK595" s="1249">
        <f>IFERROR(-AK584/AK583,"n/a")</f>
        <v/>
      </c>
      <c r="AL595" s="672">
        <f>IFERROR(-AL584/AL583*AP3/AL3,"n/a")</f>
        <v/>
      </c>
      <c r="AM595" s="672">
        <f>IFERROR(-AM584/AM583*AP3/AM3,"n/a")</f>
        <v/>
      </c>
      <c r="AN595" s="672">
        <f>IFERROR(-AN584/AN583*AP3/AN3,"n/a")</f>
        <v/>
      </c>
      <c r="AO595" s="672">
        <f>IFERROR(-AO584/AO583*AP3/AO3,"n/a")</f>
        <v/>
      </c>
      <c r="AP595" s="1249">
        <f>IFERROR(-AP584/AP583,"n/a")</f>
        <v/>
      </c>
      <c r="AQ595" s="672">
        <f>IFERROR(-AQ584/AQ583*AU3/AQ3,"n/a")</f>
        <v/>
      </c>
      <c r="AR595" s="672">
        <f>IFERROR(-AR584/AR583*AU3/AR3,"n/a")</f>
        <v/>
      </c>
      <c r="AS595" s="672">
        <f>IFERROR(-AS584/AS583*AU3/AS3,"n/a")</f>
        <v/>
      </c>
      <c r="AT595" s="672">
        <f>IFERROR(-AT584/AT583*AU3/AT3,"n/a")</f>
        <v/>
      </c>
      <c r="AU595" s="1249">
        <f>IFERROR(-AU584/AU583,"n/a")</f>
        <v/>
      </c>
      <c r="AV595" s="672">
        <f>IFERROR(-AV584/AV583*AZ3/AV3,"n/a")</f>
        <v/>
      </c>
      <c r="AW595" s="672">
        <f>IFERROR(-AW584/AW583*AZ3/AW3,"n/a")</f>
        <v/>
      </c>
      <c r="AX595" s="672">
        <f>IFERROR(-AX584/AX583*AZ3/AX3,"n/a")</f>
        <v/>
      </c>
      <c r="AY595" s="672">
        <f>IFERROR(-AY584/AY583*AZ3/AY3,"n/a")</f>
        <v/>
      </c>
      <c r="AZ595" s="1249">
        <f>IFERROR(-AZ584/AZ583,"n/a")</f>
        <v/>
      </c>
      <c r="BA595" s="672">
        <f>IFERROR(-BA584/BA583*BE3/BA3,"n/a")</f>
        <v/>
      </c>
      <c r="BB595" s="672">
        <f>IFERROR(-BB584/BB583*BE3/BB3,"n/a")</f>
        <v/>
      </c>
      <c r="BC595" s="672">
        <f>IFERROR(-BC584/BC583*BE3/BC3,"n/a")</f>
        <v/>
      </c>
      <c r="BD595" s="672">
        <f>IFERROR(-BD584/BD583*BE3/BD3,"n/a")</f>
        <v/>
      </c>
      <c r="BE595" s="1249">
        <f>IFERROR(-BE584/BE583,"n/a")</f>
        <v/>
      </c>
      <c r="BF595" s="672">
        <f>IFERROR(-BF584/BF583*BJ3/BF3,"n/a")</f>
        <v/>
      </c>
      <c r="BG595" s="672">
        <f>IFERROR(-BG584/BG583*BJ3/BG3,"n/a")</f>
        <v/>
      </c>
      <c r="BH595" s="672">
        <f>IFERROR(-BH584/BH583*BJ3/BH3,"n/a")</f>
        <v/>
      </c>
      <c r="BI595" s="672">
        <f>IFERROR(-BI584/BI583*BJ3/BI3,"n/a")</f>
        <v/>
      </c>
      <c r="BJ595" s="1249">
        <f>IFERROR(-BJ584/BJ583,"n/a")</f>
        <v/>
      </c>
      <c r="BK595" s="672">
        <f>IFERROR(-BK584/BK583*BO3/BK3,"n/a")</f>
        <v/>
      </c>
      <c r="BL595" s="672">
        <f>IFERROR(-BL584/BL583*BO3/BL3,"n/a")</f>
        <v/>
      </c>
      <c r="BM595" s="672">
        <f>IFERROR(-BM584/BM583*BO3/BM3,"n/a")</f>
        <v/>
      </c>
      <c r="BN595" s="672">
        <f>IFERROR(-BN584/BN583*BO3/BN3,"n/a")</f>
        <v/>
      </c>
      <c r="BO595" s="1248">
        <f>IFERROR(-BO584/BO583,"n/a")</f>
        <v/>
      </c>
      <c r="BP595" s="1121" t="n">
        <v>0.14</v>
      </c>
      <c r="BQ595" s="1121" t="n">
        <v>0.14</v>
      </c>
      <c r="BR595" s="1121" t="n">
        <v>0.14</v>
      </c>
      <c r="BS595" s="1121" t="n">
        <v>0.14</v>
      </c>
      <c r="BT595" s="1249">
        <f>AVERAGE(BP595,BQ595,BR595,BS595)</f>
        <v/>
      </c>
      <c r="BU595" s="1121" t="n">
        <v>0.14</v>
      </c>
      <c r="BV595" s="1121" t="n">
        <v>0.14</v>
      </c>
      <c r="BW595" s="1121" t="n">
        <v>0.14</v>
      </c>
      <c r="BX595" s="1121" t="n">
        <v>0.14</v>
      </c>
      <c r="BY595" s="1249">
        <f>AVERAGE(BU595,BV595,BW595,BX595)</f>
        <v/>
      </c>
      <c r="BZ595" s="1251" t="n">
        <v>0.14</v>
      </c>
      <c r="CA595" s="1251" t="n">
        <v>0.14</v>
      </c>
      <c r="CB595" s="1251" t="n">
        <v>0.14</v>
      </c>
      <c r="CC595" s="1634" t="n"/>
    </row>
    <row r="596" ht="15" customFormat="1" customHeight="1" s="1628">
      <c r="A596" s="1997" t="inlineStr">
        <is>
          <t>Amortization as percentage of Intangibles BoP, %</t>
        </is>
      </c>
      <c r="B596" s="1829" t="n"/>
      <c r="C596" s="1249" t="n"/>
      <c r="D596" s="1249">
        <f>IFERROR(-D590/D589,"n/a")</f>
        <v/>
      </c>
      <c r="E596" s="1249">
        <f>IFERROR(-E590/E589,"n/a")</f>
        <v/>
      </c>
      <c r="F596" s="1249">
        <f>IFERROR(-F590/F589,"n/a")</f>
        <v/>
      </c>
      <c r="G596" s="1249">
        <f>IFERROR(-G590/G589,"n/a")</f>
        <v/>
      </c>
      <c r="H596" s="672">
        <f>IFERROR(-H590/H589*L3/H3,"n/a")</f>
        <v/>
      </c>
      <c r="I596" s="672">
        <f>IFERROR(-I590/I589*L3/I3,"n/a")</f>
        <v/>
      </c>
      <c r="J596" s="672">
        <f>IFERROR(-J590/J589*L3/J3,"n/a")</f>
        <v/>
      </c>
      <c r="K596" s="672">
        <f>IFERROR(-K590/K589*L3/K3,"n/a")</f>
        <v/>
      </c>
      <c r="L596" s="1249">
        <f>IFERROR(-L590/L589,"n/a")</f>
        <v/>
      </c>
      <c r="M596" s="672">
        <f>IFERROR(-M590/M589*Q3/M3,"n/a")</f>
        <v/>
      </c>
      <c r="N596" s="672">
        <f>IFERROR(-N590/N589*Q3/N3,"n/a")</f>
        <v/>
      </c>
      <c r="O596" s="672">
        <f>IFERROR(-O590/O589*Q3/O3,"n/a")</f>
        <v/>
      </c>
      <c r="P596" s="672">
        <f>IFERROR(-P590/P589*Q3/P3,"n/a")</f>
        <v/>
      </c>
      <c r="Q596" s="1249">
        <f>IFERROR(-Q590/Q589,"n/a")</f>
        <v/>
      </c>
      <c r="R596" s="672">
        <f>IFERROR(-R590/R589*V3/R3,"n/a")</f>
        <v/>
      </c>
      <c r="S596" s="672">
        <f>IFERROR(-S590/S589*V3/S3,"n/a")</f>
        <v/>
      </c>
      <c r="T596" s="672">
        <f>IFERROR(-T590/T589*V3/T3,"n/a")</f>
        <v/>
      </c>
      <c r="U596" s="672">
        <f>IFERROR(-U590/U589*V3/U3,"n/a")</f>
        <v/>
      </c>
      <c r="V596" s="1249">
        <f>IFERROR(-V590/V589,"n/a")</f>
        <v/>
      </c>
      <c r="W596" s="672">
        <f>IFERROR(-W590/W589*AA3/W3,"n/a")</f>
        <v/>
      </c>
      <c r="X596" s="672">
        <f>IFERROR(-X590/X589*AA3/X3,"n/a")</f>
        <v/>
      </c>
      <c r="Y596" s="672">
        <f>IFERROR(-Y590/Y589*AA3/Y3,"n/a")</f>
        <v/>
      </c>
      <c r="Z596" s="672">
        <f>IFERROR(-Z590/Z589*AA3/Z3,"n/a")</f>
        <v/>
      </c>
      <c r="AA596" s="1249">
        <f>IFERROR(-AA590/AA589,"n/a")</f>
        <v/>
      </c>
      <c r="AB596" s="672">
        <f>IFERROR(-AB590/AB589*AF3/AB3,"n/a")</f>
        <v/>
      </c>
      <c r="AC596" s="672">
        <f>IFERROR(-AC590/AC589*AF3/AC3,"n/a")</f>
        <v/>
      </c>
      <c r="AD596" s="672">
        <f>IFERROR(-AD590/AD589*AF3/AD3,"n/a")</f>
        <v/>
      </c>
      <c r="AE596" s="672">
        <f>IFERROR(-AE590/AE589*AF3/AE3,"n/a")</f>
        <v/>
      </c>
      <c r="AF596" s="1249">
        <f>IFERROR(-AF590/AF589,"n/a")</f>
        <v/>
      </c>
      <c r="AG596" s="672">
        <f>IFERROR(-AG590/AG589*AK3/AG3,"n/a")</f>
        <v/>
      </c>
      <c r="AH596" s="672">
        <f>IFERROR(-AH590/AH589*AK3/AH3,"n/a")</f>
        <v/>
      </c>
      <c r="AI596" s="672">
        <f>IFERROR(-AI590/AI589*AK3/AI3,"n/a")</f>
        <v/>
      </c>
      <c r="AJ596" s="672">
        <f>IFERROR(-AJ590/AJ589*AK3/AJ3,"n/a")</f>
        <v/>
      </c>
      <c r="AK596" s="1249">
        <f>IFERROR(-AK590/AK589,"n/a")</f>
        <v/>
      </c>
      <c r="AL596" s="672">
        <f>IFERROR(-AL590/AL589*AP3/AL3,"n/a")</f>
        <v/>
      </c>
      <c r="AM596" s="672">
        <f>IFERROR(-AM590/AM589*AP3/AM3,"n/a")</f>
        <v/>
      </c>
      <c r="AN596" s="672">
        <f>IFERROR(-AN590/AN589*AP3/AN3,"n/a")</f>
        <v/>
      </c>
      <c r="AO596" s="672">
        <f>IFERROR(-AO590/AO589*AP3/AO3,"n/a")</f>
        <v/>
      </c>
      <c r="AP596" s="1249">
        <f>IFERROR(-AP590/AP589,"n/a")</f>
        <v/>
      </c>
      <c r="AQ596" s="672">
        <f>IFERROR(-AQ590/AQ589*AU3/AQ3,"n/a")</f>
        <v/>
      </c>
      <c r="AR596" s="672">
        <f>IFERROR(-AR590/AR589*AU3/AR3,"n/a")</f>
        <v/>
      </c>
      <c r="AS596" s="672">
        <f>IFERROR(-AS590/AS589*AU3/AS3,"n/a")</f>
        <v/>
      </c>
      <c r="AT596" s="672">
        <f>IFERROR(-AT590/AT589*AU3/AT3,"n/a")</f>
        <v/>
      </c>
      <c r="AU596" s="1249">
        <f>IFERROR(-AU590/AU589,"n/a")</f>
        <v/>
      </c>
      <c r="AV596" s="672">
        <f>IFERROR(-AV590/AV589*AZ3/AV3,"n/a")</f>
        <v/>
      </c>
      <c r="AW596" s="672">
        <f>IFERROR(-AW590/AW589*AZ3/AW3,"n/a")</f>
        <v/>
      </c>
      <c r="AX596" s="672">
        <f>IFERROR(-AX590/AX589*AZ3/AX3,"n/a")</f>
        <v/>
      </c>
      <c r="AY596" s="672">
        <f>IFERROR(-AY590/AY589*AZ3/AY3,"n/a")</f>
        <v/>
      </c>
      <c r="AZ596" s="1249">
        <f>IFERROR(-AZ590/AZ589,"n/a")</f>
        <v/>
      </c>
      <c r="BA596" s="672">
        <f>IFERROR(-BA590/BA589*BE3/BA3,"n/a")</f>
        <v/>
      </c>
      <c r="BB596" s="672">
        <f>IFERROR(-BB590/BB589*BE3/BB3,"n/a")</f>
        <v/>
      </c>
      <c r="BC596" s="672">
        <f>IFERROR(-BC590/BC589*BE3/BC3,"n/a")</f>
        <v/>
      </c>
      <c r="BD596" s="672">
        <f>IFERROR(-BD590/BD589*BE3/BD3,"n/a")</f>
        <v/>
      </c>
      <c r="BE596" s="1249">
        <f>IFERROR(-BE590/BE589,"n/a")</f>
        <v/>
      </c>
      <c r="BF596" s="672">
        <f>IFERROR(-BF590/BF589*BJ3/BF3,"n/a")</f>
        <v/>
      </c>
      <c r="BG596" s="672">
        <f>IFERROR(-BG590/BG589*BJ3/BG3,"n/a")</f>
        <v/>
      </c>
      <c r="BH596" s="672">
        <f>IFERROR(-BH590/BH589*BJ3/BH3,"n/a")</f>
        <v/>
      </c>
      <c r="BI596" s="672">
        <f>IFERROR(-BI590/BI589*BJ3/BI3,"n/a")</f>
        <v/>
      </c>
      <c r="BJ596" s="1249">
        <f>IFERROR(-BJ590/BJ589,"n/a")</f>
        <v/>
      </c>
      <c r="BK596" s="672">
        <f>IFERROR(-BK590/BK589*BO3/BK3,"n/a")</f>
        <v/>
      </c>
      <c r="BL596" s="672">
        <f>IFERROR(-BL590/BL589*BO3/BL3,"n/a")</f>
        <v/>
      </c>
      <c r="BM596" s="672">
        <f>IFERROR(-BM590/BM589*BO3/BM3,"n/a")</f>
        <v/>
      </c>
      <c r="BN596" s="672">
        <f>IFERROR(-BN590/BN589*BO3/BN3,"n/a")</f>
        <v/>
      </c>
      <c r="BO596" s="1248">
        <f>IFERROR(-BO590/BO589,"n/a")</f>
        <v/>
      </c>
      <c r="BP596" s="1121" t="n">
        <v>0.15</v>
      </c>
      <c r="BQ596" s="1121" t="n">
        <v>0.15</v>
      </c>
      <c r="BR596" s="1121" t="n">
        <v>0.15</v>
      </c>
      <c r="BS596" s="1121" t="n">
        <v>0.15</v>
      </c>
      <c r="BT596" s="1249">
        <f>AVERAGE(BP596,BQ596,BR596,BS596)</f>
        <v/>
      </c>
      <c r="BU596" s="1121" t="n">
        <v>0.15</v>
      </c>
      <c r="BV596" s="1121" t="n">
        <v>0.15</v>
      </c>
      <c r="BW596" s="1121" t="n">
        <v>0.15</v>
      </c>
      <c r="BX596" s="1121" t="n">
        <v>0.15</v>
      </c>
      <c r="BY596" s="1249">
        <f>AVERAGE(BU596,BV596,BW596,BX596)</f>
        <v/>
      </c>
      <c r="BZ596" s="1251" t="n">
        <v>0.15</v>
      </c>
      <c r="CA596" s="1251" t="n">
        <v>0.15</v>
      </c>
      <c r="CB596" s="1251" t="n">
        <v>0.15</v>
      </c>
      <c r="CC596" s="1634" t="n"/>
    </row>
    <row r="597" ht="15" customFormat="1" customHeight="1" s="1628">
      <c r="A597" s="1703" t="inlineStr">
        <is>
          <t>Implied life of fixed assets, yr</t>
        </is>
      </c>
      <c r="B597" s="1717" t="n"/>
      <c r="C597" s="1602" t="n"/>
      <c r="D597" s="1602">
        <f>IFERROR(-D583/D584,"n/a")</f>
        <v/>
      </c>
      <c r="E597" s="1602">
        <f>IFERROR(-E583/E584,"n/a")</f>
        <v/>
      </c>
      <c r="F597" s="1602">
        <f>IFERROR(-F583/F584,"n/a")</f>
        <v/>
      </c>
      <c r="G597" s="1602">
        <f>IFERROR(-G583/G584,"n/a")</f>
        <v/>
      </c>
      <c r="H597" s="1603">
        <f>IFERROR(-H583/H584*H3/L3,"n/a")</f>
        <v/>
      </c>
      <c r="I597" s="1603">
        <f>IFERROR(-I583/I584*I3/L3,"n/a")</f>
        <v/>
      </c>
      <c r="J597" s="1603">
        <f>IFERROR(-J583/J584*J3/L3,"n/a")</f>
        <v/>
      </c>
      <c r="K597" s="1603">
        <f>IFERROR(-K583/K584*K3/L3,"n/a")</f>
        <v/>
      </c>
      <c r="L597" s="1602">
        <f>AVERAGE(H597,I597,J597,K597)</f>
        <v/>
      </c>
      <c r="M597" s="1603">
        <f>IFERROR(-M583/M584*M3/Q3,"n/a")</f>
        <v/>
      </c>
      <c r="N597" s="1603">
        <f>IFERROR(-N583/N584*N3/Q3,"n/a")</f>
        <v/>
      </c>
      <c r="O597" s="1603">
        <f>IFERROR(-O583/O584*O3/Q3,"n/a")</f>
        <v/>
      </c>
      <c r="P597" s="1603">
        <f>IFERROR(-P583/P584*P3/Q3,"n/a")</f>
        <v/>
      </c>
      <c r="Q597" s="1602">
        <f>AVERAGE(M597,N597,O597,P597)</f>
        <v/>
      </c>
      <c r="R597" s="1603">
        <f>IFERROR(-R583/R584*R3/V3,"n/a")</f>
        <v/>
      </c>
      <c r="S597" s="1603">
        <f>IFERROR(-S583/S584*S3/V3,"n/a")</f>
        <v/>
      </c>
      <c r="T597" s="1603">
        <f>IFERROR(-T583/T584*T3/V3,"n/a")</f>
        <v/>
      </c>
      <c r="U597" s="1603">
        <f>IFERROR(-U583/U584*U3/V3,"n/a")</f>
        <v/>
      </c>
      <c r="V597" s="1602">
        <f>AVERAGE(R597,S597,T597,U597)</f>
        <v/>
      </c>
      <c r="W597" s="1603">
        <f>IFERROR(-W583/W584*W3/AA3,"n/a")</f>
        <v/>
      </c>
      <c r="X597" s="1603">
        <f>IFERROR(-X583/X584*X3/AA3,"n/a")</f>
        <v/>
      </c>
      <c r="Y597" s="1603">
        <f>IFERROR(-Y583/Y584*Y3/AA3,"n/a")</f>
        <v/>
      </c>
      <c r="Z597" s="1603">
        <f>IFERROR(-Z583/Z584*Z3/AA3,"n/a")</f>
        <v/>
      </c>
      <c r="AA597" s="1602">
        <f>AVERAGE(W597,X597,Y597,Z597)</f>
        <v/>
      </c>
      <c r="AB597" s="1603">
        <f>IFERROR(-AB583/AB584*AB3/AF3,"n/a")</f>
        <v/>
      </c>
      <c r="AC597" s="1603">
        <f>IFERROR(-AC583/AC584*AC3/AF3,"n/a")</f>
        <v/>
      </c>
      <c r="AD597" s="1603">
        <f>IFERROR(-AD583/AD584*AD3/AF3,"n/a")</f>
        <v/>
      </c>
      <c r="AE597" s="1603">
        <f>IFERROR(-AE583/AE584*AE3/AF3,"n/a")</f>
        <v/>
      </c>
      <c r="AF597" s="1602">
        <f>AVERAGE(AB597,AC597,AD597,AE597)</f>
        <v/>
      </c>
      <c r="AG597" s="1603">
        <f>IFERROR(-AG583/AG584*AG3/AK3,"n/a")</f>
        <v/>
      </c>
      <c r="AH597" s="1603">
        <f>IFERROR(-AH583/AH584*AH3/AK3,"n/a")</f>
        <v/>
      </c>
      <c r="AI597" s="1603">
        <f>IFERROR(-AI583/AI584*AI3/AK3,"n/a")</f>
        <v/>
      </c>
      <c r="AJ597" s="1603">
        <f>IFERROR(-AJ583/AJ584*AJ3/AK3,"n/a")</f>
        <v/>
      </c>
      <c r="AK597" s="1602">
        <f>AVERAGE(AG597,AH597,AI597,AJ597)</f>
        <v/>
      </c>
      <c r="AL597" s="1603">
        <f>IFERROR(-AL583/AL584*AL3/AP3,"n/a")</f>
        <v/>
      </c>
      <c r="AM597" s="1603">
        <f>IFERROR(-AM583/AM584*AM3/AP3,"n/a")</f>
        <v/>
      </c>
      <c r="AN597" s="1603">
        <f>IFERROR(-AN583/AN584*AN3/AP3,"n/a")</f>
        <v/>
      </c>
      <c r="AO597" s="1603">
        <f>IFERROR(-AO583/AO584*AO3/AP3,"n/a")</f>
        <v/>
      </c>
      <c r="AP597" s="1602">
        <f>AVERAGE(AL597,AM597,AN597,AO597)</f>
        <v/>
      </c>
      <c r="AQ597" s="1603">
        <f>IFERROR(-AQ583/AQ584*AQ3/AU3,"n/a")</f>
        <v/>
      </c>
      <c r="AR597" s="1603">
        <f>IFERROR(-AR583/AR584*AR3/AU3,"n/a")</f>
        <v/>
      </c>
      <c r="AS597" s="1603">
        <f>IFERROR(-AS583/AS584*AS3/AU3,"n/a")</f>
        <v/>
      </c>
      <c r="AT597" s="1603">
        <f>IFERROR(-AT583/AT584*AT3/AU3,"n/a")</f>
        <v/>
      </c>
      <c r="AU597" s="1602">
        <f>AVERAGE(AQ597,AR597,AS597,AT597)</f>
        <v/>
      </c>
      <c r="AV597" s="1603">
        <f>IFERROR(-AV583/AV584*AV3/AZ3,"n/a")</f>
        <v/>
      </c>
      <c r="AW597" s="1603">
        <f>IFERROR(-AW583/AW584*AW3/AZ3,"n/a")</f>
        <v/>
      </c>
      <c r="AX597" s="1603">
        <f>IFERROR(-AX583/AX584*AX3/AZ3,"n/a")</f>
        <v/>
      </c>
      <c r="AY597" s="1603">
        <f>IFERROR(-AY583/AY584*AY3/AZ3,"n/a")</f>
        <v/>
      </c>
      <c r="AZ597" s="1602">
        <f>AVERAGE(AV597,AW597,AX597,AY597)</f>
        <v/>
      </c>
      <c r="BA597" s="1603">
        <f>IFERROR(-BA583/BA584*BA3/BE3,"n/a")</f>
        <v/>
      </c>
      <c r="BB597" s="1603">
        <f>IFERROR(-BB583/BB584*BB3/BE3,"n/a")</f>
        <v/>
      </c>
      <c r="BC597" s="1603">
        <f>IFERROR(-BC583/BC584*BC3/BE3,"n/a")</f>
        <v/>
      </c>
      <c r="BD597" s="1603">
        <f>IFERROR(-BD583/BD584*BD3/BE3,"n/a")</f>
        <v/>
      </c>
      <c r="BE597" s="1602">
        <f>AVERAGE(BA597,BB597,BC597,BD597)</f>
        <v/>
      </c>
      <c r="BF597" s="1603">
        <f>IFERROR(-BF583/BF584*BF3/BJ3,"n/a")</f>
        <v/>
      </c>
      <c r="BG597" s="1603">
        <f>IFERROR(-BG583/BG584*BG3/BJ3,"n/a")</f>
        <v/>
      </c>
      <c r="BH597" s="1603">
        <f>IFERROR(-BH583/BH584*BH3/BJ3,"n/a")</f>
        <v/>
      </c>
      <c r="BI597" s="1603">
        <f>IFERROR(-BI583/BI584*BI3/BJ3,"n/a")</f>
        <v/>
      </c>
      <c r="BJ597" s="1602">
        <f>AVERAGE(BF597,BG597,BH597,BI597)</f>
        <v/>
      </c>
      <c r="BK597" s="1603">
        <f>IFERROR(-BK583/BK584*BK3/BO3,"n/a")</f>
        <v/>
      </c>
      <c r="BL597" s="1603">
        <f>IFERROR(-BL583/BL584*BL3/BO3,"n/a")</f>
        <v/>
      </c>
      <c r="BM597" s="1603">
        <f>IFERROR(-BM583/BM584*BM3/BO3,"n/a")</f>
        <v/>
      </c>
      <c r="BN597" s="1603">
        <f>IFERROR(-BN583/BN584*BN3/BO3,"n/a")</f>
        <v/>
      </c>
      <c r="BO597" s="1604">
        <f>AVERAGE(BK597,BL597,BM597,BN597)</f>
        <v/>
      </c>
      <c r="BP597" s="1603">
        <f>IFERROR(-BP583/BP584*BP3/BT3,"n/a")</f>
        <v/>
      </c>
      <c r="BQ597" s="1603">
        <f>IFERROR(-BQ583/BQ584*BQ3/BT3,"n/a")</f>
        <v/>
      </c>
      <c r="BR597" s="1603">
        <f>IFERROR(-BR583/BR584*BR3/BT3,"n/a")</f>
        <v/>
      </c>
      <c r="BS597" s="1603">
        <f>IFERROR(-BS583/BS584*BS3/BT3,"n/a")</f>
        <v/>
      </c>
      <c r="BT597" s="1602">
        <f>AVERAGE(BP597,BQ597,BR597,BS597)</f>
        <v/>
      </c>
      <c r="BU597" s="1603">
        <f>IFERROR(-BU583/BU584*BU3/BY3,"n/a")</f>
        <v/>
      </c>
      <c r="BV597" s="1603">
        <f>IFERROR(-BV583/BV584*BV3/BY3,"n/a")</f>
        <v/>
      </c>
      <c r="BW597" s="1603">
        <f>IFERROR(-BW583/BW584*BW3/BY3,"n/a")</f>
        <v/>
      </c>
      <c r="BX597" s="1603">
        <f>IFERROR(-BX583/BX584*BX3/BY3,"n/a")</f>
        <v/>
      </c>
      <c r="BY597" s="1602">
        <f>AVERAGE(BU597,BV597,BW597,BX597)</f>
        <v/>
      </c>
      <c r="BZ597" s="1602">
        <f>IFERROR(-BZ583/BZ584,"n/a")</f>
        <v/>
      </c>
      <c r="CA597" s="1602">
        <f>IFERROR(-CA583/CA584,"n/a")</f>
        <v/>
      </c>
      <c r="CB597" s="1602">
        <f>IFERROR(-CB583/CB584,"n/a")</f>
        <v/>
      </c>
      <c r="CC597" s="1634" t="n"/>
    </row>
    <row r="598" ht="15" customFormat="1" customHeight="1" s="1628">
      <c r="A598" s="1703" t="inlineStr">
        <is>
          <t>Implied life of intangibles, yr</t>
        </is>
      </c>
      <c r="B598" s="1717" t="n"/>
      <c r="C598" s="1602" t="n"/>
      <c r="D598" s="1602">
        <f>IFERROR(-D589/D590,"n/a")</f>
        <v/>
      </c>
      <c r="E598" s="1602">
        <f>IFERROR(-E589/E590,"n/a")</f>
        <v/>
      </c>
      <c r="F598" s="1602">
        <f>IFERROR(-F589/F590,"n/a")</f>
        <v/>
      </c>
      <c r="G598" s="1602">
        <f>IFERROR(-G589/G590,"n/a")</f>
        <v/>
      </c>
      <c r="H598" s="1603">
        <f>IFERROR(-H589/H590*H3/L3,"n/a")</f>
        <v/>
      </c>
      <c r="I598" s="1603">
        <f>IFERROR(-I589/I590*I3/L3,"n/a")</f>
        <v/>
      </c>
      <c r="J598" s="1603">
        <f>IFERROR(-J589/J590*J3/L3,"n/a")</f>
        <v/>
      </c>
      <c r="K598" s="1603">
        <f>IFERROR(-K589/K590*K3/L3,"n/a")</f>
        <v/>
      </c>
      <c r="L598" s="1602">
        <f>AVERAGE(H598,I598,J598,K598)</f>
        <v/>
      </c>
      <c r="M598" s="1603">
        <f>IFERROR(-M589/M590*M3/Q3,"n/a")</f>
        <v/>
      </c>
      <c r="N598" s="1603">
        <f>IFERROR(-N589/N590*N3/Q3,"n/a")</f>
        <v/>
      </c>
      <c r="O598" s="1603">
        <f>IFERROR(-O589/O590*O3/Q3,"n/a")</f>
        <v/>
      </c>
      <c r="P598" s="1603">
        <f>IFERROR(-P589/P590*P3/Q3,"n/a")</f>
        <v/>
      </c>
      <c r="Q598" s="1602">
        <f>AVERAGE(M598,N598,O598,P598)</f>
        <v/>
      </c>
      <c r="R598" s="1603">
        <f>IFERROR(-R589/R590*R3/V3,"n/a")</f>
        <v/>
      </c>
      <c r="S598" s="1603">
        <f>IFERROR(-S589/S590*S3/V3,"n/a")</f>
        <v/>
      </c>
      <c r="T598" s="1603">
        <f>IFERROR(-T589/T590*T3/V3,"n/a")</f>
        <v/>
      </c>
      <c r="U598" s="1603">
        <f>IFERROR(-U589/U590*U3/V3,"n/a")</f>
        <v/>
      </c>
      <c r="V598" s="1602">
        <f>AVERAGE(R598,S598,T598,U598)</f>
        <v/>
      </c>
      <c r="W598" s="1603">
        <f>IFERROR(-W589/W590*W3/AA3,"n/a")</f>
        <v/>
      </c>
      <c r="X598" s="1603">
        <f>IFERROR(-X589/X590*X3/AA3,"n/a")</f>
        <v/>
      </c>
      <c r="Y598" s="1603">
        <f>IFERROR(-Y589/Y590*Y3/AA3,"n/a")</f>
        <v/>
      </c>
      <c r="Z598" s="1603">
        <f>IFERROR(-Z589/Z590*Z3/AA3,"n/a")</f>
        <v/>
      </c>
      <c r="AA598" s="1602">
        <f>AVERAGE(W598,X598,Y598,Z598)</f>
        <v/>
      </c>
      <c r="AB598" s="1603">
        <f>IFERROR(-AB589/AB590*AB3/AF3,"n/a")</f>
        <v/>
      </c>
      <c r="AC598" s="1603">
        <f>IFERROR(-AC589/AC590*AC3/AF3,"n/a")</f>
        <v/>
      </c>
      <c r="AD598" s="1603">
        <f>IFERROR(-AD589/AD590*AD3/AF3,"n/a")</f>
        <v/>
      </c>
      <c r="AE598" s="1603">
        <f>IFERROR(-AE589/AE590*AE3/AF3,"n/a")</f>
        <v/>
      </c>
      <c r="AF598" s="1602">
        <f>AVERAGE(AB598,AC598,AD598,AE598)</f>
        <v/>
      </c>
      <c r="AG598" s="1603">
        <f>IFERROR(-AG589/AG590*AG3/AK3,"n/a")</f>
        <v/>
      </c>
      <c r="AH598" s="1603">
        <f>IFERROR(-AH589/AH590*AH3/AK3,"n/a")</f>
        <v/>
      </c>
      <c r="AI598" s="1603">
        <f>IFERROR(-AI589/AI590*AI3/AK3,"n/a")</f>
        <v/>
      </c>
      <c r="AJ598" s="1603">
        <f>IFERROR(-AJ589/AJ590*AJ3/AK3,"n/a")</f>
        <v/>
      </c>
      <c r="AK598" s="1602">
        <f>AVERAGE(AG598,AH598,AI598,AJ598)</f>
        <v/>
      </c>
      <c r="AL598" s="1603">
        <f>IFERROR(-AL589/AL590*AL3/AP3,"n/a")</f>
        <v/>
      </c>
      <c r="AM598" s="1603">
        <f>IFERROR(-AM589/AM590*AM3/AP3,"n/a")</f>
        <v/>
      </c>
      <c r="AN598" s="1603">
        <f>IFERROR(-AN589/AN590*AN3/AP3,"n/a")</f>
        <v/>
      </c>
      <c r="AO598" s="1603">
        <f>IFERROR(-AO589/AO590*AO3/AP3,"n/a")</f>
        <v/>
      </c>
      <c r="AP598" s="1602">
        <f>AVERAGE(AL598,AM598,AN598,AO598)</f>
        <v/>
      </c>
      <c r="AQ598" s="1603">
        <f>IFERROR(-AQ589/AQ590*AQ3/AU3,"n/a")</f>
        <v/>
      </c>
      <c r="AR598" s="1603">
        <f>IFERROR(-AR589/AR590*AR3/AU3,"n/a")</f>
        <v/>
      </c>
      <c r="AS598" s="1603">
        <f>IFERROR(-AS589/AS590*AS3/AU3,"n/a")</f>
        <v/>
      </c>
      <c r="AT598" s="1603">
        <f>IFERROR(-AT589/AT590*AT3/AU3,"n/a")</f>
        <v/>
      </c>
      <c r="AU598" s="1602">
        <f>AVERAGE(AQ598,AR598,AS598,AT598)</f>
        <v/>
      </c>
      <c r="AV598" s="1603">
        <f>IFERROR(-AV589/AV590*AV3/AZ3,"n/a")</f>
        <v/>
      </c>
      <c r="AW598" s="1603">
        <f>IFERROR(-AW589/AW590*AW3/AZ3,"n/a")</f>
        <v/>
      </c>
      <c r="AX598" s="1603">
        <f>IFERROR(-AX589/AX590*AX3/AZ3,"n/a")</f>
        <v/>
      </c>
      <c r="AY598" s="1603">
        <f>IFERROR(-AY589/AY590*AY3/AZ3,"n/a")</f>
        <v/>
      </c>
      <c r="AZ598" s="1602">
        <f>AVERAGE(AV598,AW598,AX598,AY598)</f>
        <v/>
      </c>
      <c r="BA598" s="1603">
        <f>IFERROR(-BA589/BA590*BA3/BE3,"n/a")</f>
        <v/>
      </c>
      <c r="BB598" s="1603">
        <f>IFERROR(-BB589/BB590*BB3/BE3,"n/a")</f>
        <v/>
      </c>
      <c r="BC598" s="1603">
        <f>IFERROR(-BC589/BC590*BC3/BE3,"n/a")</f>
        <v/>
      </c>
      <c r="BD598" s="1603">
        <f>IFERROR(-BD589/BD590*BD3/BE3,"n/a")</f>
        <v/>
      </c>
      <c r="BE598" s="1602">
        <f>AVERAGE(BA598,BB598,BC598,BD598)</f>
        <v/>
      </c>
      <c r="BF598" s="1603">
        <f>IFERROR(-BF589/BF590*BF3/BJ3,"n/a")</f>
        <v/>
      </c>
      <c r="BG598" s="1603">
        <f>IFERROR(-BG589/BG590*BG3/BJ3,"n/a")</f>
        <v/>
      </c>
      <c r="BH598" s="1603">
        <f>IFERROR(-BH589/BH590*BH3/BJ3,"n/a")</f>
        <v/>
      </c>
      <c r="BI598" s="1603">
        <f>IFERROR(-BI589/BI590*BI3/BJ3,"n/a")</f>
        <v/>
      </c>
      <c r="BJ598" s="1602">
        <f>AVERAGE(BF598,BG598,BH598,BI598)</f>
        <v/>
      </c>
      <c r="BK598" s="1603">
        <f>IFERROR(-BK589/BK590*BK3/BO3,"n/a")</f>
        <v/>
      </c>
      <c r="BL598" s="1603">
        <f>IFERROR(-BL589/BL590*BL3/BO3,"n/a")</f>
        <v/>
      </c>
      <c r="BM598" s="1603">
        <f>IFERROR(-BM589/BM590*BM3/BO3,"n/a")</f>
        <v/>
      </c>
      <c r="BN598" s="1603">
        <f>IFERROR(-BN589/BN590*BN3/BO3,"n/a")</f>
        <v/>
      </c>
      <c r="BO598" s="1604">
        <f>AVERAGE(BK598,BL598,BM598,BN598)</f>
        <v/>
      </c>
      <c r="BP598" s="1603">
        <f>IFERROR(-BP589/BP590*BP3/BT3,"n/a")</f>
        <v/>
      </c>
      <c r="BQ598" s="1603">
        <f>IFERROR(-BQ589/BQ590*BQ3/BT3,"n/a")</f>
        <v/>
      </c>
      <c r="BR598" s="1603">
        <f>IFERROR(-BR589/BR590*BR3/BT3,"n/a")</f>
        <v/>
      </c>
      <c r="BS598" s="1603">
        <f>IFERROR(-BS589/BS590*BS3/BT3,"n/a")</f>
        <v/>
      </c>
      <c r="BT598" s="1602">
        <f>AVERAGE(BP598,BQ598,BR598,BS598)</f>
        <v/>
      </c>
      <c r="BU598" s="1603">
        <f>IFERROR(-BU589/BU590*BU3/BY3,"n/a")</f>
        <v/>
      </c>
      <c r="BV598" s="1603">
        <f>IFERROR(-BV589/BV590*BV3/BY3,"n/a")</f>
        <v/>
      </c>
      <c r="BW598" s="1603">
        <f>IFERROR(-BW589/BW590*BW3/BY3,"n/a")</f>
        <v/>
      </c>
      <c r="BX598" s="1603">
        <f>IFERROR(-BX589/BX590*BX3/BY3,"n/a")</f>
        <v/>
      </c>
      <c r="BY598" s="1602">
        <f>AVERAGE(BU598,BV598,BW598,BX598)</f>
        <v/>
      </c>
      <c r="BZ598" s="1602">
        <f>IFERROR(-BZ589/BZ590,"n/a")</f>
        <v/>
      </c>
      <c r="CA598" s="1602">
        <f>IFERROR(-CA589/CA590,"n/a")</f>
        <v/>
      </c>
      <c r="CB598" s="1602">
        <f>IFERROR(-CB589/CB590,"n/a")</f>
        <v/>
      </c>
      <c r="CC598" s="1634" t="n"/>
    </row>
    <row r="599" ht="15" customFormat="1" customHeight="1" s="1628">
      <c r="A599" s="1622" t="n"/>
      <c r="B599" s="1705" t="n"/>
      <c r="C599" s="1624" t="n"/>
      <c r="D599" s="1624" t="n"/>
      <c r="E599" s="1624" t="n"/>
      <c r="F599" s="1624" t="n"/>
      <c r="G599" s="1624" t="n"/>
      <c r="H599" s="1626" t="n"/>
      <c r="I599" s="1626" t="n"/>
      <c r="J599" s="1626" t="n"/>
      <c r="K599" s="1626" t="n"/>
      <c r="L599" s="1624" t="n"/>
      <c r="M599" s="1626" t="n"/>
      <c r="N599" s="1626" t="n"/>
      <c r="O599" s="1626" t="n"/>
      <c r="P599" s="1626" t="n"/>
      <c r="Q599" s="1624" t="n"/>
      <c r="R599" s="1626" t="n"/>
      <c r="S599" s="1626" t="n"/>
      <c r="T599" s="1626" t="n"/>
      <c r="U599" s="1626" t="n"/>
      <c r="V599" s="1624" t="n"/>
      <c r="W599" s="1626" t="n"/>
      <c r="X599" s="1626" t="n"/>
      <c r="Y599" s="1626" t="n"/>
      <c r="Z599" s="1626" t="n"/>
      <c r="AA599" s="1624" t="n"/>
      <c r="AB599" s="1626" t="n"/>
      <c r="AC599" s="1626" t="n"/>
      <c r="AD599" s="1626" t="n"/>
      <c r="AE599" s="1626" t="n"/>
      <c r="AF599" s="1624" t="n"/>
      <c r="AG599" s="1626" t="n"/>
      <c r="AH599" s="1626" t="n"/>
      <c r="AI599" s="1626" t="n"/>
      <c r="AJ599" s="1626" t="n"/>
      <c r="AK599" s="1624" t="n"/>
      <c r="AL599" s="1626" t="n"/>
      <c r="AM599" s="1626" t="n"/>
      <c r="AN599" s="1626" t="n"/>
      <c r="AO599" s="1626" t="n"/>
      <c r="AP599" s="1624" t="n"/>
      <c r="AQ599" s="1626" t="n"/>
      <c r="AR599" s="1626" t="n"/>
      <c r="AS599" s="1626" t="n"/>
      <c r="AT599" s="1626" t="n"/>
      <c r="AU599" s="1624" t="n"/>
      <c r="AV599" s="1626" t="n"/>
      <c r="AW599" s="1626" t="n"/>
      <c r="AX599" s="1626" t="n"/>
      <c r="AY599" s="1626" t="n"/>
      <c r="AZ599" s="1624" t="n"/>
      <c r="BA599" s="1626" t="n"/>
      <c r="BB599" s="1626" t="n"/>
      <c r="BC599" s="1626" t="n"/>
      <c r="BD599" s="1626" t="n"/>
      <c r="BE599" s="1624" t="n"/>
      <c r="BF599" s="1626" t="n"/>
      <c r="BG599" s="1626" t="n"/>
      <c r="BH599" s="1626" t="n"/>
      <c r="BI599" s="1626" t="n"/>
      <c r="BJ599" s="1624" t="n"/>
      <c r="BK599" s="1626" t="n"/>
      <c r="BL599" s="1626" t="n"/>
      <c r="BM599" s="1626" t="n"/>
      <c r="BN599" s="1626" t="n"/>
      <c r="BO599" s="1627" t="n"/>
      <c r="BP599" s="1626" t="n"/>
      <c r="BQ599" s="1626" t="n"/>
      <c r="BR599" s="1626" t="n"/>
      <c r="BS599" s="1626" t="n"/>
      <c r="BT599" s="1624" t="n"/>
      <c r="BU599" s="1626" t="n"/>
      <c r="BV599" s="1626" t="n"/>
      <c r="BW599" s="1626" t="n"/>
      <c r="BX599" s="1626" t="n"/>
      <c r="BY599" s="1624" t="n"/>
      <c r="BZ599" s="1624" t="n"/>
      <c r="CA599" s="1624" t="n"/>
      <c r="CB599" s="1624" t="n"/>
      <c r="CC599" s="1634" t="n"/>
    </row>
    <row r="600" ht="15" customFormat="1" customHeight="1" s="1628">
      <c r="A600" s="1703" t="inlineStr">
        <is>
          <t>Total D&amp;A, mm</t>
        </is>
      </c>
      <c r="B600" s="1717" t="n"/>
      <c r="C600" s="1683">
        <f>C107+C111</f>
        <v/>
      </c>
      <c r="D600" s="1683">
        <f>D107+D111</f>
        <v/>
      </c>
      <c r="E600" s="1683">
        <f>E107+E111</f>
        <v/>
      </c>
      <c r="F600" s="1683">
        <f>F107+F111</f>
        <v/>
      </c>
      <c r="G600" s="1683">
        <f>G107+G111</f>
        <v/>
      </c>
      <c r="H600" s="1684">
        <f>H107+H111</f>
        <v/>
      </c>
      <c r="I600" s="1684">
        <f>I107+I111</f>
        <v/>
      </c>
      <c r="J600" s="1684">
        <f>J107+J111</f>
        <v/>
      </c>
      <c r="K600" s="1684">
        <f>K107+K111</f>
        <v/>
      </c>
      <c r="L600" s="1683">
        <f>L107+L111</f>
        <v/>
      </c>
      <c r="M600" s="1684">
        <f>M107+M111</f>
        <v/>
      </c>
      <c r="N600" s="1684">
        <f>N107+N111</f>
        <v/>
      </c>
      <c r="O600" s="1684">
        <f>O107+O111</f>
        <v/>
      </c>
      <c r="P600" s="1684">
        <f>P107+P111</f>
        <v/>
      </c>
      <c r="Q600" s="1683">
        <f>Q107+Q111</f>
        <v/>
      </c>
      <c r="R600" s="1684">
        <f>R107+R111</f>
        <v/>
      </c>
      <c r="S600" s="1684">
        <f>S107+S111</f>
        <v/>
      </c>
      <c r="T600" s="1684">
        <f>T107+T111</f>
        <v/>
      </c>
      <c r="U600" s="1684">
        <f>U107+U111</f>
        <v/>
      </c>
      <c r="V600" s="1683">
        <f>V107+V111</f>
        <v/>
      </c>
      <c r="W600" s="1684">
        <f>W107+W111</f>
        <v/>
      </c>
      <c r="X600" s="1684">
        <f>X107+X111</f>
        <v/>
      </c>
      <c r="Y600" s="1684">
        <f>Y107+Y111</f>
        <v/>
      </c>
      <c r="Z600" s="1684">
        <f>Z107+Z111</f>
        <v/>
      </c>
      <c r="AA600" s="1683">
        <f>AA107+AA111</f>
        <v/>
      </c>
      <c r="AB600" s="1684">
        <f>AB107+AB111</f>
        <v/>
      </c>
      <c r="AC600" s="1684">
        <f>AC107+AC111</f>
        <v/>
      </c>
      <c r="AD600" s="1684">
        <f>AD107+AD111</f>
        <v/>
      </c>
      <c r="AE600" s="1684">
        <f>AE107+AE111</f>
        <v/>
      </c>
      <c r="AF600" s="1683">
        <f>AF107+AF111</f>
        <v/>
      </c>
      <c r="AG600" s="1684">
        <f>AG107+AG111</f>
        <v/>
      </c>
      <c r="AH600" s="1684">
        <f>AH107+AH111</f>
        <v/>
      </c>
      <c r="AI600" s="1684">
        <f>AI107+AI111</f>
        <v/>
      </c>
      <c r="AJ600" s="1684">
        <f>AJ107+AJ111</f>
        <v/>
      </c>
      <c r="AK600" s="1683">
        <f>AK107+AK111</f>
        <v/>
      </c>
      <c r="AL600" s="1684">
        <f>AL107+AL111</f>
        <v/>
      </c>
      <c r="AM600" s="1684">
        <f>AM107+AM111</f>
        <v/>
      </c>
      <c r="AN600" s="1684">
        <f>AN107+AN111</f>
        <v/>
      </c>
      <c r="AO600" s="1684">
        <f>AO107+AO111</f>
        <v/>
      </c>
      <c r="AP600" s="1683">
        <f>AP107+AP111</f>
        <v/>
      </c>
      <c r="AQ600" s="1684">
        <f>AQ107+AQ111</f>
        <v/>
      </c>
      <c r="AR600" s="1684">
        <f>AR107+AR111</f>
        <v/>
      </c>
      <c r="AS600" s="1684">
        <f>AS107+AS111</f>
        <v/>
      </c>
      <c r="AT600" s="1684">
        <f>AT107+AT111</f>
        <v/>
      </c>
      <c r="AU600" s="1683">
        <f>AU107+AU111</f>
        <v/>
      </c>
      <c r="AV600" s="1684">
        <f>AV107+AV111</f>
        <v/>
      </c>
      <c r="AW600" s="1684">
        <f>AW107+AW111</f>
        <v/>
      </c>
      <c r="AX600" s="1684">
        <f>AX107+AX111</f>
        <v/>
      </c>
      <c r="AY600" s="1684">
        <f>AY107+AY111</f>
        <v/>
      </c>
      <c r="AZ600" s="1683">
        <f>AZ107+AZ111</f>
        <v/>
      </c>
      <c r="BA600" s="1684">
        <f>BA107+BA111</f>
        <v/>
      </c>
      <c r="BB600" s="1684">
        <f>BB107+BB111</f>
        <v/>
      </c>
      <c r="BC600" s="1684">
        <f>BC107+BC111</f>
        <v/>
      </c>
      <c r="BD600" s="1684">
        <f>BD107+BD111</f>
        <v/>
      </c>
      <c r="BE600" s="1683">
        <f>BE107+BE111</f>
        <v/>
      </c>
      <c r="BF600" s="1684">
        <f>BF107+BF111</f>
        <v/>
      </c>
      <c r="BG600" s="1684">
        <f>BG107+BG111</f>
        <v/>
      </c>
      <c r="BH600" s="1684">
        <f>BH107+BH111</f>
        <v/>
      </c>
      <c r="BI600" s="1684">
        <f>BI107+BI111</f>
        <v/>
      </c>
      <c r="BJ600" s="1683">
        <f>BJ107+BJ111</f>
        <v/>
      </c>
      <c r="BK600" s="1684">
        <f>BK107+BK111</f>
        <v/>
      </c>
      <c r="BL600" s="1684">
        <f>BL107+BL111</f>
        <v/>
      </c>
      <c r="BM600" s="1684">
        <f>BM107+BM111</f>
        <v/>
      </c>
      <c r="BN600" s="1684">
        <f>BN107+BN111</f>
        <v/>
      </c>
      <c r="BO600" s="1685">
        <f>BO107+BO111</f>
        <v/>
      </c>
      <c r="BP600" s="1684">
        <f>BP107+BP111</f>
        <v/>
      </c>
      <c r="BQ600" s="1684">
        <f>BQ107+BQ111</f>
        <v/>
      </c>
      <c r="BR600" s="1684">
        <f>BR107+BR111</f>
        <v/>
      </c>
      <c r="BS600" s="1684">
        <f>BS107+BS111</f>
        <v/>
      </c>
      <c r="BT600" s="1683">
        <f>BT107+BT111</f>
        <v/>
      </c>
      <c r="BU600" s="1684">
        <f>BU107+BU111</f>
        <v/>
      </c>
      <c r="BV600" s="1684">
        <f>BV107+BV111</f>
        <v/>
      </c>
      <c r="BW600" s="1684">
        <f>BW107+BW111</f>
        <v/>
      </c>
      <c r="BX600" s="1684">
        <f>BX107+BX111</f>
        <v/>
      </c>
      <c r="BY600" s="1683">
        <f>BY107+BY111</f>
        <v/>
      </c>
      <c r="BZ600" s="1683">
        <f>BZ107+BZ111</f>
        <v/>
      </c>
      <c r="CA600" s="1683">
        <f>CA107+CA111</f>
        <v/>
      </c>
      <c r="CB600" s="1683">
        <f>CB107+CB111</f>
        <v/>
      </c>
      <c r="CC600" s="1634" t="n"/>
    </row>
    <row r="601" ht="15" customFormat="1" customHeight="1" s="1628">
      <c r="A601" s="1703" t="inlineStr">
        <is>
          <t>Total Capex, mm</t>
        </is>
      </c>
      <c r="B601" s="1717" t="n"/>
      <c r="C601" s="1683">
        <f>-C403</f>
        <v/>
      </c>
      <c r="D601" s="1683">
        <f>-D403</f>
        <v/>
      </c>
      <c r="E601" s="1683">
        <f>-E403</f>
        <v/>
      </c>
      <c r="F601" s="1683">
        <f>-F403</f>
        <v/>
      </c>
      <c r="G601" s="1683">
        <f>-G403</f>
        <v/>
      </c>
      <c r="H601" s="1684">
        <f>-H403</f>
        <v/>
      </c>
      <c r="I601" s="1684">
        <f>-I403</f>
        <v/>
      </c>
      <c r="J601" s="1684">
        <f>-J403</f>
        <v/>
      </c>
      <c r="K601" s="1684">
        <f>-K403</f>
        <v/>
      </c>
      <c r="L601" s="1683">
        <f>-L403</f>
        <v/>
      </c>
      <c r="M601" s="1684">
        <f>-M403</f>
        <v/>
      </c>
      <c r="N601" s="1684">
        <f>-N403</f>
        <v/>
      </c>
      <c r="O601" s="1684">
        <f>-O403</f>
        <v/>
      </c>
      <c r="P601" s="1684">
        <f>-P403</f>
        <v/>
      </c>
      <c r="Q601" s="1683">
        <f>-Q403</f>
        <v/>
      </c>
      <c r="R601" s="1684">
        <f>-R403</f>
        <v/>
      </c>
      <c r="S601" s="1684">
        <f>-S403</f>
        <v/>
      </c>
      <c r="T601" s="1684">
        <f>-T403</f>
        <v/>
      </c>
      <c r="U601" s="1684">
        <f>-U403</f>
        <v/>
      </c>
      <c r="V601" s="1683">
        <f>-V403</f>
        <v/>
      </c>
      <c r="W601" s="1684">
        <f>-W403</f>
        <v/>
      </c>
      <c r="X601" s="1684">
        <f>-X403</f>
        <v/>
      </c>
      <c r="Y601" s="1684">
        <f>-Y403</f>
        <v/>
      </c>
      <c r="Z601" s="1684">
        <f>-Z403</f>
        <v/>
      </c>
      <c r="AA601" s="1683">
        <f>-AA403</f>
        <v/>
      </c>
      <c r="AB601" s="1684">
        <f>-AB403</f>
        <v/>
      </c>
      <c r="AC601" s="1684">
        <f>-AC403</f>
        <v/>
      </c>
      <c r="AD601" s="1684">
        <f>-AD403</f>
        <v/>
      </c>
      <c r="AE601" s="1684">
        <f>-AE403</f>
        <v/>
      </c>
      <c r="AF601" s="1683">
        <f>-AF403</f>
        <v/>
      </c>
      <c r="AG601" s="1684">
        <f>-AG403</f>
        <v/>
      </c>
      <c r="AH601" s="1684">
        <f>-AH403</f>
        <v/>
      </c>
      <c r="AI601" s="1684">
        <f>-AI403</f>
        <v/>
      </c>
      <c r="AJ601" s="1684">
        <f>-AJ403</f>
        <v/>
      </c>
      <c r="AK601" s="1683">
        <f>-AK403</f>
        <v/>
      </c>
      <c r="AL601" s="1684">
        <f>-AL403</f>
        <v/>
      </c>
      <c r="AM601" s="1684">
        <f>-AM403</f>
        <v/>
      </c>
      <c r="AN601" s="1684">
        <f>-AN403</f>
        <v/>
      </c>
      <c r="AO601" s="1684">
        <f>-AO403</f>
        <v/>
      </c>
      <c r="AP601" s="1683">
        <f>-AP403</f>
        <v/>
      </c>
      <c r="AQ601" s="1684">
        <f>-AQ403</f>
        <v/>
      </c>
      <c r="AR601" s="1684">
        <f>-AR403</f>
        <v/>
      </c>
      <c r="AS601" s="1684">
        <f>-AS403</f>
        <v/>
      </c>
      <c r="AT601" s="1684">
        <f>-AT403</f>
        <v/>
      </c>
      <c r="AU601" s="1683">
        <f>-AU403</f>
        <v/>
      </c>
      <c r="AV601" s="1684">
        <f>-AV403</f>
        <v/>
      </c>
      <c r="AW601" s="1684">
        <f>-AW403</f>
        <v/>
      </c>
      <c r="AX601" s="1684">
        <f>-AX403</f>
        <v/>
      </c>
      <c r="AY601" s="1684">
        <f>-AY403</f>
        <v/>
      </c>
      <c r="AZ601" s="1683">
        <f>-AZ403</f>
        <v/>
      </c>
      <c r="BA601" s="1684">
        <f>-BA403</f>
        <v/>
      </c>
      <c r="BB601" s="1684">
        <f>-BB403</f>
        <v/>
      </c>
      <c r="BC601" s="1684">
        <f>-BC403</f>
        <v/>
      </c>
      <c r="BD601" s="1684">
        <f>-BD403</f>
        <v/>
      </c>
      <c r="BE601" s="1683">
        <f>-BE403</f>
        <v/>
      </c>
      <c r="BF601" s="1684">
        <f>-BF403</f>
        <v/>
      </c>
      <c r="BG601" s="1684">
        <f>-BG403</f>
        <v/>
      </c>
      <c r="BH601" s="1684">
        <f>-BH403</f>
        <v/>
      </c>
      <c r="BI601" s="1684">
        <f>-BI403</f>
        <v/>
      </c>
      <c r="BJ601" s="1683">
        <f>-BJ403</f>
        <v/>
      </c>
      <c r="BK601" s="1684">
        <f>-BK403</f>
        <v/>
      </c>
      <c r="BL601" s="1684">
        <f>-BL403</f>
        <v/>
      </c>
      <c r="BM601" s="1684">
        <f>-BM403</f>
        <v/>
      </c>
      <c r="BN601" s="1684">
        <f>-BN403</f>
        <v/>
      </c>
      <c r="BO601" s="1685">
        <f>-BO403</f>
        <v/>
      </c>
      <c r="BP601" s="1684">
        <f>-BP403</f>
        <v/>
      </c>
      <c r="BQ601" s="1684">
        <f>-BQ403</f>
        <v/>
      </c>
      <c r="BR601" s="1684">
        <f>-BR403</f>
        <v/>
      </c>
      <c r="BS601" s="1684">
        <f>-BS403</f>
        <v/>
      </c>
      <c r="BT601" s="1683">
        <f>-BT403</f>
        <v/>
      </c>
      <c r="BU601" s="1684">
        <f>-BU403</f>
        <v/>
      </c>
      <c r="BV601" s="1684">
        <f>-BV403</f>
        <v/>
      </c>
      <c r="BW601" s="1684">
        <f>-BW403</f>
        <v/>
      </c>
      <c r="BX601" s="1684">
        <f>-BX403</f>
        <v/>
      </c>
      <c r="BY601" s="1683">
        <f>-BY403</f>
        <v/>
      </c>
      <c r="BZ601" s="1683">
        <f>-BZ403</f>
        <v/>
      </c>
      <c r="CA601" s="1683">
        <f>-CA403</f>
        <v/>
      </c>
      <c r="CB601" s="1683">
        <f>-CB403</f>
        <v/>
      </c>
      <c r="CC601" s="1634" t="n"/>
    </row>
    <row r="602" ht="15" customFormat="1" customHeight="1" s="1628">
      <c r="A602" s="1997" t="inlineStr">
        <is>
          <t>Percentage of capex allocated to intangible assets, %</t>
        </is>
      </c>
      <c r="B602" s="1829" t="n"/>
      <c r="C602" s="1249" t="n"/>
      <c r="D602" s="1249">
        <f>IFERROR(D591/D601,"n/a")</f>
        <v/>
      </c>
      <c r="E602" s="1249">
        <f>IFERROR(E591/E601,"n/a")</f>
        <v/>
      </c>
      <c r="F602" s="1249">
        <f>IFERROR(F591/F601,"n/a")</f>
        <v/>
      </c>
      <c r="G602" s="1249">
        <f>IFERROR(G591/G601,"n/a")</f>
        <v/>
      </c>
      <c r="H602" s="672">
        <f>IFERROR(H591/H601,"n/a")</f>
        <v/>
      </c>
      <c r="I602" s="672">
        <f>IFERROR(I591/I601,"n/a")</f>
        <v/>
      </c>
      <c r="J602" s="672">
        <f>IFERROR(J591/J601,"n/a")</f>
        <v/>
      </c>
      <c r="K602" s="672">
        <f>IFERROR(K591/K601,"n/a")</f>
        <v/>
      </c>
      <c r="L602" s="1249">
        <f>IFERROR(L591/L601,"n/a")</f>
        <v/>
      </c>
      <c r="M602" s="672">
        <f>IFERROR(M591/M601,"n/a")</f>
        <v/>
      </c>
      <c r="N602" s="672">
        <f>IFERROR(N591/N601,"n/a")</f>
        <v/>
      </c>
      <c r="O602" s="672">
        <f>IFERROR(O591/O601,"n/a")</f>
        <v/>
      </c>
      <c r="P602" s="672">
        <f>IFERROR(P591/P601,"n/a")</f>
        <v/>
      </c>
      <c r="Q602" s="1249">
        <f>IFERROR(Q591/Q601,"n/a")</f>
        <v/>
      </c>
      <c r="R602" s="672">
        <f>IFERROR(R591/R601,"n/a")</f>
        <v/>
      </c>
      <c r="S602" s="672">
        <f>IFERROR(S591/S601,"n/a")</f>
        <v/>
      </c>
      <c r="T602" s="672">
        <f>IFERROR(T591/T601,"n/a")</f>
        <v/>
      </c>
      <c r="U602" s="672">
        <f>IFERROR(U591/U601,"n/a")</f>
        <v/>
      </c>
      <c r="V602" s="1249">
        <f>IFERROR(V591/V601,"n/a")</f>
        <v/>
      </c>
      <c r="W602" s="672">
        <f>IFERROR(W591/W601,"n/a")</f>
        <v/>
      </c>
      <c r="X602" s="672">
        <f>IFERROR(X591/X601,"n/a")</f>
        <v/>
      </c>
      <c r="Y602" s="672">
        <f>IFERROR(Y591/Y601,"n/a")</f>
        <v/>
      </c>
      <c r="Z602" s="672">
        <f>IFERROR(Z591/Z601,"n/a")</f>
        <v/>
      </c>
      <c r="AA602" s="1249">
        <f>IFERROR(AA591/AA601,"n/a")</f>
        <v/>
      </c>
      <c r="AB602" s="672">
        <f>IFERROR(AB591/AB601,"n/a")</f>
        <v/>
      </c>
      <c r="AC602" s="672">
        <f>IFERROR(AC591/AC601,"n/a")</f>
        <v/>
      </c>
      <c r="AD602" s="672">
        <f>IFERROR(AD591/AD601,"n/a")</f>
        <v/>
      </c>
      <c r="AE602" s="672">
        <f>IFERROR(AE591/AE601,"n/a")</f>
        <v/>
      </c>
      <c r="AF602" s="1249">
        <f>IFERROR(AF591/AF601,"n/a")</f>
        <v/>
      </c>
      <c r="AG602" s="672">
        <f>IFERROR(AG591/AG601,"n/a")</f>
        <v/>
      </c>
      <c r="AH602" s="672">
        <f>IFERROR(AH591/AH601,"n/a")</f>
        <v/>
      </c>
      <c r="AI602" s="672">
        <f>IFERROR(AI591/AI601,"n/a")</f>
        <v/>
      </c>
      <c r="AJ602" s="672">
        <f>IFERROR(AJ591/AJ601,"n/a")</f>
        <v/>
      </c>
      <c r="AK602" s="1249">
        <f>IFERROR(AK591/AK601,"n/a")</f>
        <v/>
      </c>
      <c r="AL602" s="672">
        <f>IFERROR(AL591/AL601,"n/a")</f>
        <v/>
      </c>
      <c r="AM602" s="672">
        <f>IFERROR(AM591/AM601,"n/a")</f>
        <v/>
      </c>
      <c r="AN602" s="672">
        <f>IFERROR(AN591/AN601,"n/a")</f>
        <v/>
      </c>
      <c r="AO602" s="672">
        <f>IFERROR(AO591/AO601,"n/a")</f>
        <v/>
      </c>
      <c r="AP602" s="1249">
        <f>IFERROR(AP591/AP601,"n/a")</f>
        <v/>
      </c>
      <c r="AQ602" s="672">
        <f>IFERROR(AQ591/AQ601,"n/a")</f>
        <v/>
      </c>
      <c r="AR602" s="672">
        <f>IFERROR(AR591/AR601,"n/a")</f>
        <v/>
      </c>
      <c r="AS602" s="672">
        <f>IFERROR(AS591/AS601,"n/a")</f>
        <v/>
      </c>
      <c r="AT602" s="672">
        <f>IFERROR(AT591/AT601,"n/a")</f>
        <v/>
      </c>
      <c r="AU602" s="1249">
        <f>IFERROR(AU591/AU601,"n/a")</f>
        <v/>
      </c>
      <c r="AV602" s="672">
        <f>IFERROR(AV591/AV601,"n/a")</f>
        <v/>
      </c>
      <c r="AW602" s="672">
        <f>IFERROR(AW591/AW601,"n/a")</f>
        <v/>
      </c>
      <c r="AX602" s="672">
        <f>IFERROR(AX591/AX601,"n/a")</f>
        <v/>
      </c>
      <c r="AY602" s="672">
        <f>IFERROR(AY591/AY601,"n/a")</f>
        <v/>
      </c>
      <c r="AZ602" s="1249">
        <f>IFERROR(AZ591/AZ601,"n/a")</f>
        <v/>
      </c>
      <c r="BA602" s="672">
        <f>IFERROR(BA591/BA601,"n/a")</f>
        <v/>
      </c>
      <c r="BB602" s="672">
        <f>IFERROR(BB591/BB601,"n/a")</f>
        <v/>
      </c>
      <c r="BC602" s="672">
        <f>IFERROR(BC591/BC601,"n/a")</f>
        <v/>
      </c>
      <c r="BD602" s="672">
        <f>IFERROR(BD591/BD601,"n/a")</f>
        <v/>
      </c>
      <c r="BE602" s="1249">
        <f>IFERROR(BE591/BE601,"n/a")</f>
        <v/>
      </c>
      <c r="BF602" s="672">
        <f>IFERROR(BF591/BF601,"n/a")</f>
        <v/>
      </c>
      <c r="BG602" s="672">
        <f>IFERROR(BG591/BG601,"n/a")</f>
        <v/>
      </c>
      <c r="BH602" s="672">
        <f>IFERROR(BH591/BH601,"n/a")</f>
        <v/>
      </c>
      <c r="BI602" s="672">
        <f>IFERROR(BI591/BI601,"n/a")</f>
        <v/>
      </c>
      <c r="BJ602" s="1249">
        <f>IFERROR(BJ591/BJ601,"n/a")</f>
        <v/>
      </c>
      <c r="BK602" s="672">
        <f>IFERROR(BK591/BK601,"n/a")</f>
        <v/>
      </c>
      <c r="BL602" s="672">
        <f>IFERROR(BL591/BL601,"n/a")</f>
        <v/>
      </c>
      <c r="BM602" s="672">
        <f>IFERROR(BM591/BM601,"n/a")</f>
        <v/>
      </c>
      <c r="BN602" s="672">
        <f>IFERROR(BN591/BN601,"n/a")</f>
        <v/>
      </c>
      <c r="BO602" s="1248">
        <f>IFERROR(BO591/BO601,"n/a")</f>
        <v/>
      </c>
      <c r="BP602" s="1121" t="n">
        <v>0.02</v>
      </c>
      <c r="BQ602" s="1121" t="n">
        <v>0.02</v>
      </c>
      <c r="BR602" s="1121" t="n">
        <v>0.02</v>
      </c>
      <c r="BS602" s="1121" t="n">
        <v>0.02</v>
      </c>
      <c r="BT602" s="1249">
        <f>AVERAGE(BP602,BQ602,BR602,BS602)</f>
        <v/>
      </c>
      <c r="BU602" s="1121" t="n">
        <v>0.02</v>
      </c>
      <c r="BV602" s="1121" t="n">
        <v>0.02</v>
      </c>
      <c r="BW602" s="1121" t="n">
        <v>0.02</v>
      </c>
      <c r="BX602" s="1121" t="n">
        <v>0.02</v>
      </c>
      <c r="BY602" s="1249">
        <f>AVERAGE(BU602,BV602,BW602,BX602)</f>
        <v/>
      </c>
      <c r="BZ602" s="1251" t="n">
        <v>0.02</v>
      </c>
      <c r="CA602" s="1251" t="n">
        <v>0.02</v>
      </c>
      <c r="CB602" s="1251" t="n">
        <v>0.02</v>
      </c>
      <c r="CC602" s="1634" t="n"/>
    </row>
    <row r="603" ht="15" customFormat="1" customHeight="1" s="1628">
      <c r="A603" s="1622" t="n"/>
      <c r="B603" s="1705" t="n"/>
      <c r="C603" s="1624" t="n"/>
      <c r="D603" s="1624" t="n"/>
      <c r="E603" s="1624" t="n"/>
      <c r="F603" s="1624" t="n"/>
      <c r="G603" s="1624" t="n"/>
      <c r="H603" s="1626" t="n"/>
      <c r="I603" s="1626" t="n"/>
      <c r="J603" s="1626" t="n"/>
      <c r="K603" s="1626" t="n"/>
      <c r="L603" s="1624" t="n"/>
      <c r="M603" s="1626" t="n"/>
      <c r="N603" s="1626" t="n"/>
      <c r="O603" s="1626" t="n"/>
      <c r="P603" s="1626" t="n"/>
      <c r="Q603" s="1624" t="n"/>
      <c r="R603" s="1626" t="n"/>
      <c r="S603" s="1626" t="n"/>
      <c r="T603" s="1626" t="n"/>
      <c r="U603" s="1626" t="n"/>
      <c r="V603" s="1624" t="n"/>
      <c r="W603" s="1626" t="n"/>
      <c r="X603" s="1626" t="n"/>
      <c r="Y603" s="1626" t="n"/>
      <c r="Z603" s="1626" t="n"/>
      <c r="AA603" s="1624" t="n"/>
      <c r="AB603" s="1626" t="n"/>
      <c r="AC603" s="1626" t="n"/>
      <c r="AD603" s="1626" t="n"/>
      <c r="AE603" s="1626" t="n"/>
      <c r="AF603" s="1624" t="n"/>
      <c r="AG603" s="1626" t="n"/>
      <c r="AH603" s="1626" t="n"/>
      <c r="AI603" s="1626" t="n"/>
      <c r="AJ603" s="1626" t="n"/>
      <c r="AK603" s="1624" t="n"/>
      <c r="AL603" s="1626" t="n"/>
      <c r="AM603" s="1626" t="n"/>
      <c r="AN603" s="1626" t="n"/>
      <c r="AO603" s="1626" t="n"/>
      <c r="AP603" s="1624" t="n"/>
      <c r="AQ603" s="1626" t="n"/>
      <c r="AR603" s="1626" t="n"/>
      <c r="AS603" s="1626" t="n"/>
      <c r="AT603" s="1626" t="n"/>
      <c r="AU603" s="1624" t="n"/>
      <c r="AV603" s="1626" t="n"/>
      <c r="AW603" s="1626" t="n"/>
      <c r="AX603" s="1626" t="n"/>
      <c r="AY603" s="1626" t="n"/>
      <c r="AZ603" s="1624" t="n"/>
      <c r="BA603" s="1626" t="n"/>
      <c r="BB603" s="1626" t="n"/>
      <c r="BC603" s="1626" t="n"/>
      <c r="BD603" s="1626" t="n"/>
      <c r="BE603" s="1624" t="n"/>
      <c r="BF603" s="1626" t="n"/>
      <c r="BG603" s="1626" t="n"/>
      <c r="BH603" s="1626" t="n"/>
      <c r="BI603" s="1626" t="n"/>
      <c r="BJ603" s="1624" t="n"/>
      <c r="BK603" s="1626" t="n"/>
      <c r="BL603" s="1626" t="n"/>
      <c r="BM603" s="1626" t="n"/>
      <c r="BN603" s="1626" t="n"/>
      <c r="BO603" s="1627" t="n"/>
      <c r="BP603" s="1626" t="n"/>
      <c r="BQ603" s="1626" t="n"/>
      <c r="BR603" s="1626" t="n"/>
      <c r="BS603" s="1626" t="n"/>
      <c r="BT603" s="1624" t="n"/>
      <c r="BU603" s="1626" t="n"/>
      <c r="BV603" s="1626" t="n"/>
      <c r="BW603" s="1626" t="n"/>
      <c r="BX603" s="1626" t="n"/>
      <c r="BY603" s="1624" t="n"/>
      <c r="BZ603" s="1624" t="n"/>
      <c r="CA603" s="1624" t="n"/>
      <c r="CB603" s="1624" t="n"/>
      <c r="CC603" s="1634" t="n"/>
    </row>
    <row r="604" ht="15" customFormat="1" customHeight="1" s="1628">
      <c r="A604" s="1989" t="inlineStr">
        <is>
          <t>Working Capital Forecasting</t>
        </is>
      </c>
      <c r="B604" s="1990" t="n"/>
      <c r="C604" s="1786" t="n"/>
      <c r="D604" s="1786" t="n"/>
      <c r="E604" s="1786" t="n"/>
      <c r="F604" s="1786" t="n"/>
      <c r="G604" s="1786" t="n"/>
      <c r="H604" s="1786" t="n"/>
      <c r="I604" s="1786" t="n"/>
      <c r="J604" s="1786" t="n"/>
      <c r="K604" s="1786" t="n"/>
      <c r="L604" s="1786" t="n"/>
      <c r="M604" s="1786" t="n"/>
      <c r="N604" s="1786" t="n"/>
      <c r="O604" s="1786" t="n"/>
      <c r="P604" s="1786" t="n"/>
      <c r="Q604" s="1786" t="n"/>
      <c r="R604" s="1786" t="n"/>
      <c r="S604" s="1786" t="n"/>
      <c r="T604" s="1786" t="n"/>
      <c r="U604" s="1786" t="n"/>
      <c r="V604" s="1786" t="n"/>
      <c r="W604" s="1786" t="n"/>
      <c r="X604" s="1786" t="n"/>
      <c r="Y604" s="1786" t="n"/>
      <c r="Z604" s="1786" t="n"/>
      <c r="AA604" s="1786" t="n"/>
      <c r="AB604" s="1786" t="n"/>
      <c r="AC604" s="1786" t="n"/>
      <c r="AD604" s="1786" t="n"/>
      <c r="AE604" s="1786" t="n"/>
      <c r="AF604" s="1786" t="n"/>
      <c r="AG604" s="1786" t="n"/>
      <c r="AH604" s="1786" t="n"/>
      <c r="AI604" s="1786" t="n"/>
      <c r="AJ604" s="1786" t="n"/>
      <c r="AK604" s="1786" t="n"/>
      <c r="AL604" s="1786" t="n"/>
      <c r="AM604" s="1786" t="n"/>
      <c r="AN604" s="1786" t="n"/>
      <c r="AO604" s="1786" t="n"/>
      <c r="AP604" s="1786" t="n"/>
      <c r="AQ604" s="1786" t="n"/>
      <c r="AR604" s="1786" t="n"/>
      <c r="AS604" s="1786" t="n"/>
      <c r="AT604" s="1786" t="n"/>
      <c r="AU604" s="1786" t="n"/>
      <c r="AV604" s="1786" t="n"/>
      <c r="AW604" s="1786" t="n"/>
      <c r="AX604" s="1786" t="n"/>
      <c r="AY604" s="1786" t="n"/>
      <c r="AZ604" s="1786" t="n"/>
      <c r="BA604" s="1786" t="n"/>
      <c r="BB604" s="1786" t="n"/>
      <c r="BC604" s="1786" t="n"/>
      <c r="BD604" s="1786" t="n"/>
      <c r="BE604" s="1786" t="n"/>
      <c r="BF604" s="1786" t="n"/>
      <c r="BG604" s="1786" t="n"/>
      <c r="BH604" s="1786" t="n"/>
      <c r="BI604" s="1786" t="n"/>
      <c r="BJ604" s="1786" t="n"/>
      <c r="BK604" s="1786" t="n"/>
      <c r="BL604" s="1786" t="n"/>
      <c r="BM604" s="1786" t="n"/>
      <c r="BN604" s="1786" t="n"/>
      <c r="BO604" s="1826" t="n"/>
      <c r="BP604" s="1786" t="n"/>
      <c r="BQ604" s="1786" t="n"/>
      <c r="BR604" s="1786" t="n"/>
      <c r="BS604" s="1786" t="n"/>
      <c r="BT604" s="1786" t="n"/>
      <c r="BU604" s="1786" t="n"/>
      <c r="BV604" s="1786" t="n"/>
      <c r="BW604" s="1786" t="n"/>
      <c r="BX604" s="1786" t="n"/>
      <c r="BY604" s="1786" t="n"/>
      <c r="BZ604" s="1786" t="n"/>
      <c r="CA604" s="1786" t="n"/>
      <c r="CB604" s="1786" t="n"/>
      <c r="CC604" s="1634" t="n"/>
    </row>
    <row r="605" ht="15" customFormat="1" customHeight="1" s="1628">
      <c r="A605" s="375" t="inlineStr">
        <is>
          <t>Accounts receivable, net, % of LTM Sales</t>
        </is>
      </c>
      <c r="B605" s="85" t="n"/>
      <c r="C605" s="1481">
        <f>C627/C$329</f>
        <v/>
      </c>
      <c r="D605" s="1481">
        <f>D627/D$329</f>
        <v/>
      </c>
      <c r="E605" s="1481">
        <f>E627/E$329</f>
        <v/>
      </c>
      <c r="F605" s="1481">
        <f>F627/F$329</f>
        <v/>
      </c>
      <c r="G605" s="1481">
        <f>G627/G$329</f>
        <v/>
      </c>
      <c r="H605" s="709" t="n"/>
      <c r="I605" s="709" t="n"/>
      <c r="J605" s="709" t="n"/>
      <c r="K605" s="709" t="n"/>
      <c r="L605" s="1481">
        <f>L627/L$329</f>
        <v/>
      </c>
      <c r="M605" s="750">
        <f>M627/(M$329+K$329+J$329+I$329)</f>
        <v/>
      </c>
      <c r="N605" s="750">
        <f>N627/(N$329+M$329+K$329+J$329)</f>
        <v/>
      </c>
      <c r="O605" s="750">
        <f>O627/(O$329+N$329+M$329+K$329)</f>
        <v/>
      </c>
      <c r="P605" s="750">
        <f>P627/(P$329+O$329+N$329+M$329)</f>
        <v/>
      </c>
      <c r="Q605" s="1481">
        <f>Q627/Q$329</f>
        <v/>
      </c>
      <c r="R605" s="750">
        <f>R627/(R$329+P$329+O$329+N$329)</f>
        <v/>
      </c>
      <c r="S605" s="750">
        <f>S627/(S$329+R$329+P$329+O$329)</f>
        <v/>
      </c>
      <c r="T605" s="750">
        <f>T627/(T$329+S$329+R$329+P$329)</f>
        <v/>
      </c>
      <c r="U605" s="750">
        <f>U627/(U$329+T$329+S$329+R$329)</f>
        <v/>
      </c>
      <c r="V605" s="1481">
        <f>V627/V$329</f>
        <v/>
      </c>
      <c r="W605" s="750">
        <f>W627/(W$329+U$329+T$329+S$329)</f>
        <v/>
      </c>
      <c r="X605" s="750">
        <f>X627/(X$329+W$329+U$329+T$329)</f>
        <v/>
      </c>
      <c r="Y605" s="750">
        <f>Y627/(Y$329+X$329+W$329+U$329)</f>
        <v/>
      </c>
      <c r="Z605" s="750">
        <f>Z627/(Z$329+Y$329+X$329+W$329)</f>
        <v/>
      </c>
      <c r="AA605" s="1481">
        <f>AA627/AA$329</f>
        <v/>
      </c>
      <c r="AB605" s="750">
        <f>AB627/(AB$329+Z$329+Y$329+X$329)</f>
        <v/>
      </c>
      <c r="AC605" s="750">
        <f>AC627/(AC$329+AB$329+Z$329+Y$329)</f>
        <v/>
      </c>
      <c r="AD605" s="750">
        <f>AD627/(AD$329+AC$329+AB$329+Z$329)</f>
        <v/>
      </c>
      <c r="AE605" s="750">
        <f>AE627/(AE$329+AD$329+AC$329+AB$329)</f>
        <v/>
      </c>
      <c r="AF605" s="1481">
        <f>AF627/AF$329</f>
        <v/>
      </c>
      <c r="AG605" s="750">
        <f>AG627/(AG$329+AE$329+AD$329+AC$329)</f>
        <v/>
      </c>
      <c r="AH605" s="750">
        <f>AH627/(AH$329+AG$329+AE$329+AD$329)</f>
        <v/>
      </c>
      <c r="AI605" s="750">
        <f>AI627/(AI$329+AH$329+AG$329+AE$329)</f>
        <v/>
      </c>
      <c r="AJ605" s="750">
        <f>AJ627/(AJ$329+AI$329+AH$329+AG$329)</f>
        <v/>
      </c>
      <c r="AK605" s="1481">
        <f>AK627/AK$329</f>
        <v/>
      </c>
      <c r="AL605" s="750">
        <f>AL627/(AL$329+AJ$329+AI$329+AH$329)</f>
        <v/>
      </c>
      <c r="AM605" s="750">
        <f>AM627/(AM$329+AL$329+AJ$329+AI$329)</f>
        <v/>
      </c>
      <c r="AN605" s="750">
        <f>AN627/(AN$329+AM$329+AL$329+AJ$329)</f>
        <v/>
      </c>
      <c r="AO605" s="750">
        <f>AO627/(AO$329+AN$329+AM$329+AL$329)</f>
        <v/>
      </c>
      <c r="AP605" s="1481">
        <f>AP627/AP$329</f>
        <v/>
      </c>
      <c r="AQ605" s="750">
        <f>AQ627/(AQ$329+AO$329+AN$329+AM$329)</f>
        <v/>
      </c>
      <c r="AR605" s="750">
        <f>AR627/(AR$329+AQ$329+AO$329+AN$329)</f>
        <v/>
      </c>
      <c r="AS605" s="750">
        <f>AS627/(AS$329+AR$329+AQ$329+AO$329)</f>
        <v/>
      </c>
      <c r="AT605" s="750">
        <f>AT627/(AT$329+AS$329+AR$329+AQ$329)</f>
        <v/>
      </c>
      <c r="AU605" s="1481">
        <f>AU627/AU$329</f>
        <v/>
      </c>
      <c r="AV605" s="750">
        <f>AV627/(AV$329+AT$329+AS$329+AR$329)</f>
        <v/>
      </c>
      <c r="AW605" s="750">
        <f>AW627/(AW$329+AV$329+AT$329+AS$329)</f>
        <v/>
      </c>
      <c r="AX605" s="750">
        <f>AX627/(AX$329+AW$329+AV$329+AT$329)</f>
        <v/>
      </c>
      <c r="AY605" s="750">
        <f>AY627/(AY$329+AX$329+AW$329+AV$329)</f>
        <v/>
      </c>
      <c r="AZ605" s="1481">
        <f>AZ627/AZ$329</f>
        <v/>
      </c>
      <c r="BA605" s="750">
        <f>BA627/(BA$329+AY$329+AX$329+AW$329)</f>
        <v/>
      </c>
      <c r="BB605" s="750">
        <f>BB627/(BB$329+BA$329+AY$329+AX$329)</f>
        <v/>
      </c>
      <c r="BC605" s="750">
        <f>BC627/(BC$329+BB$329+BA$329+AY$329)</f>
        <v/>
      </c>
      <c r="BD605" s="750">
        <f>BD627/(BD$329+BC$329+BB$329+BA$329)</f>
        <v/>
      </c>
      <c r="BE605" s="1481">
        <f>BE627/BE$329</f>
        <v/>
      </c>
      <c r="BF605" s="750">
        <f>BF627/(BF$329+BD$329+BC$329+BB$329)</f>
        <v/>
      </c>
      <c r="BG605" s="750">
        <f>BG627/(BG$329+BF$329+BD$329+BC$329)</f>
        <v/>
      </c>
      <c r="BH605" s="750">
        <f>BH627/(BH$329+BG$329+BF$329+BD$329)</f>
        <v/>
      </c>
      <c r="BI605" s="750">
        <f>BI627/(BI$329+BH$329+BG$329+BF$329)</f>
        <v/>
      </c>
      <c r="BJ605" s="1481">
        <f>BJ627/BJ$329</f>
        <v/>
      </c>
      <c r="BK605" s="750">
        <f>BK627/(BK$329+BI$329+BH$329+BG$329)</f>
        <v/>
      </c>
      <c r="BL605" s="750">
        <f>BL627/(BL$329+BK$329+BI$329+BH$329)</f>
        <v/>
      </c>
      <c r="BM605" s="750">
        <f>BM627/(BM$329+BL$329+BK$329+BI$329)</f>
        <v/>
      </c>
      <c r="BN605" s="750">
        <f>BN627/(BN$329+BM$329+BL$329+BK$329)</f>
        <v/>
      </c>
      <c r="BO605" s="1482">
        <f>BO627/BO$329</f>
        <v/>
      </c>
      <c r="BP605" s="709">
        <f>BK605+BP614</f>
        <v/>
      </c>
      <c r="BQ605" s="709">
        <f>BL605+BQ614</f>
        <v/>
      </c>
      <c r="BR605" s="709">
        <f>BM605+BR614</f>
        <v/>
      </c>
      <c r="BS605" s="709">
        <f>BN605+BS614</f>
        <v/>
      </c>
      <c r="BT605" s="1400">
        <f>BT627/BT$329</f>
        <v/>
      </c>
      <c r="BU605" s="709">
        <f>BP605+BU614</f>
        <v/>
      </c>
      <c r="BV605" s="709">
        <f>BQ605+BV614</f>
        <v/>
      </c>
      <c r="BW605" s="709">
        <f>BR605+BW614</f>
        <v/>
      </c>
      <c r="BX605" s="709">
        <f>BS605+BX614</f>
        <v/>
      </c>
      <c r="BY605" s="1400">
        <f>BY627/BY$329</f>
        <v/>
      </c>
      <c r="BZ605" s="1400">
        <f>BY605+BZ614</f>
        <v/>
      </c>
      <c r="CA605" s="1400">
        <f>BZ605+CA614</f>
        <v/>
      </c>
      <c r="CB605" s="1400">
        <f>CA605+CB614</f>
        <v/>
      </c>
      <c r="CC605" s="1634" t="n"/>
    </row>
    <row r="606" ht="15" customFormat="1" customHeight="1" s="1628">
      <c r="A606" s="375" t="inlineStr">
        <is>
          <t>Finance receivables, net, % of LTM Sales</t>
        </is>
      </c>
      <c r="B606" s="85" t="n"/>
      <c r="C606" s="1481">
        <f>C628/C$329</f>
        <v/>
      </c>
      <c r="D606" s="1481">
        <f>D628/D$329</f>
        <v/>
      </c>
      <c r="E606" s="1481">
        <f>E628/E$329</f>
        <v/>
      </c>
      <c r="F606" s="1481">
        <f>F628/F$329</f>
        <v/>
      </c>
      <c r="G606" s="1481">
        <f>G628/G$329</f>
        <v/>
      </c>
      <c r="H606" s="709" t="n"/>
      <c r="I606" s="709" t="n"/>
      <c r="J606" s="709" t="n"/>
      <c r="K606" s="709" t="n"/>
      <c r="L606" s="1481">
        <f>L628/L$329</f>
        <v/>
      </c>
      <c r="M606" s="750">
        <f>M628/(M$329+K$329+J$329+I$329)</f>
        <v/>
      </c>
      <c r="N606" s="750">
        <f>N628/(N$329+M$329+K$329+J$329)</f>
        <v/>
      </c>
      <c r="O606" s="750">
        <f>O628/(O$329+N$329+M$329+K$329)</f>
        <v/>
      </c>
      <c r="P606" s="750">
        <f>P628/(P$329+O$329+N$329+M$329)</f>
        <v/>
      </c>
      <c r="Q606" s="1481">
        <f>Q628/Q$329</f>
        <v/>
      </c>
      <c r="R606" s="750">
        <f>R628/(R$329+P$329+O$329+N$329)</f>
        <v/>
      </c>
      <c r="S606" s="750">
        <f>S628/(S$329+R$329+P$329+O$329)</f>
        <v/>
      </c>
      <c r="T606" s="750">
        <f>T628/(T$329+S$329+R$329+P$329)</f>
        <v/>
      </c>
      <c r="U606" s="750">
        <f>U628/(U$329+T$329+S$329+R$329)</f>
        <v/>
      </c>
      <c r="V606" s="1481">
        <f>V628/V$329</f>
        <v/>
      </c>
      <c r="W606" s="750">
        <f>W628/(W$329+U$329+T$329+S$329)</f>
        <v/>
      </c>
      <c r="X606" s="750">
        <f>X628/(X$329+W$329+U$329+T$329)</f>
        <v/>
      </c>
      <c r="Y606" s="750">
        <f>Y628/(Y$329+X$329+W$329+U$329)</f>
        <v/>
      </c>
      <c r="Z606" s="750">
        <f>Z628/(Z$329+Y$329+X$329+W$329)</f>
        <v/>
      </c>
      <c r="AA606" s="1481">
        <f>AA628/AA$329</f>
        <v/>
      </c>
      <c r="AB606" s="750">
        <f>AB628/(AB$329+Z$329+Y$329+X$329)</f>
        <v/>
      </c>
      <c r="AC606" s="750">
        <f>AC628/(AC$329+AB$329+Z$329+Y$329)</f>
        <v/>
      </c>
      <c r="AD606" s="750">
        <f>AD628/(AD$329+AC$329+AB$329+Z$329)</f>
        <v/>
      </c>
      <c r="AE606" s="750">
        <f>AE628/(AE$329+AD$329+AC$329+AB$329)</f>
        <v/>
      </c>
      <c r="AF606" s="1481">
        <f>AF628/AF$329</f>
        <v/>
      </c>
      <c r="AG606" s="750">
        <f>AG628/(AG$329+AE$329+AD$329+AC$329)</f>
        <v/>
      </c>
      <c r="AH606" s="750">
        <f>AH628/(AH$329+AG$329+AE$329+AD$329)</f>
        <v/>
      </c>
      <c r="AI606" s="750">
        <f>AI628/(AI$329+AH$329+AG$329+AE$329)</f>
        <v/>
      </c>
      <c r="AJ606" s="750">
        <f>AJ628/(AJ$329+AI$329+AH$329+AG$329)</f>
        <v/>
      </c>
      <c r="AK606" s="1481">
        <f>AK628/AK$329</f>
        <v/>
      </c>
      <c r="AL606" s="750">
        <f>AL628/(AL$329+AJ$329+AI$329+AH$329)</f>
        <v/>
      </c>
      <c r="AM606" s="750">
        <f>AM628/(AM$329+AL$329+AJ$329+AI$329)</f>
        <v/>
      </c>
      <c r="AN606" s="750">
        <f>AN628/(AN$329+AM$329+AL$329+AJ$329)</f>
        <v/>
      </c>
      <c r="AO606" s="750">
        <f>AO628/(AO$329+AN$329+AM$329+AL$329)</f>
        <v/>
      </c>
      <c r="AP606" s="1481">
        <f>AP628/AP$329</f>
        <v/>
      </c>
      <c r="AQ606" s="750">
        <f>AQ628/(AQ$329+AO$329+AN$329+AM$329)</f>
        <v/>
      </c>
      <c r="AR606" s="750">
        <f>AR628/(AR$329+AQ$329+AO$329+AN$329)</f>
        <v/>
      </c>
      <c r="AS606" s="750">
        <f>AS628/(AS$329+AR$329+AQ$329+AO$329)</f>
        <v/>
      </c>
      <c r="AT606" s="750">
        <f>AT628/(AT$329+AS$329+AR$329+AQ$329)</f>
        <v/>
      </c>
      <c r="AU606" s="1481">
        <f>AU628/AU$329</f>
        <v/>
      </c>
      <c r="AV606" s="750">
        <f>AV628/(AV$329+AT$329+AS$329+AR$329)</f>
        <v/>
      </c>
      <c r="AW606" s="750">
        <f>AW628/(AW$329+AV$329+AT$329+AS$329)</f>
        <v/>
      </c>
      <c r="AX606" s="750">
        <f>AX628/(AX$329+AW$329+AV$329+AT$329)</f>
        <v/>
      </c>
      <c r="AY606" s="750">
        <f>AY628/(AY$329+AX$329+AW$329+AV$329)</f>
        <v/>
      </c>
      <c r="AZ606" s="1481">
        <f>AZ628/AZ$329</f>
        <v/>
      </c>
      <c r="BA606" s="750">
        <f>BA628/(BA$329+AY$329+AX$329+AW$329)</f>
        <v/>
      </c>
      <c r="BB606" s="750">
        <f>BB628/(BB$329+BA$329+AY$329+AX$329)</f>
        <v/>
      </c>
      <c r="BC606" s="750">
        <f>BC628/(BC$329+BB$329+BA$329+AY$329)</f>
        <v/>
      </c>
      <c r="BD606" s="750">
        <f>BD628/(BD$329+BC$329+BB$329+BA$329)</f>
        <v/>
      </c>
      <c r="BE606" s="1481">
        <f>BE628/BE$329</f>
        <v/>
      </c>
      <c r="BF606" s="750">
        <f>BF628/(BF$329+BD$329+BC$329+BB$329)</f>
        <v/>
      </c>
      <c r="BG606" s="750">
        <f>BG628/(BG$329+BF$329+BD$329+BC$329)</f>
        <v/>
      </c>
      <c r="BH606" s="750">
        <f>BH628/(BH$329+BG$329+BF$329+BD$329)</f>
        <v/>
      </c>
      <c r="BI606" s="750">
        <f>BI628/(BI$329+BH$329+BG$329+BF$329)</f>
        <v/>
      </c>
      <c r="BJ606" s="1481">
        <f>BJ628/BJ$329</f>
        <v/>
      </c>
      <c r="BK606" s="750">
        <f>BK628/(BK$329+BI$329+BH$329+BG$329)</f>
        <v/>
      </c>
      <c r="BL606" s="750">
        <f>BL628/(BL$329+BK$329+BI$329+BH$329)</f>
        <v/>
      </c>
      <c r="BM606" s="750">
        <f>BM628/(BM$329+BL$329+BK$329+BI$329)</f>
        <v/>
      </c>
      <c r="BN606" s="750">
        <f>BN628/(BN$329+BM$329+BL$329+BK$329)</f>
        <v/>
      </c>
      <c r="BO606" s="1482">
        <f>BO628/BO$329</f>
        <v/>
      </c>
      <c r="BP606" s="709">
        <f>BK606+BP615</f>
        <v/>
      </c>
      <c r="BQ606" s="709">
        <f>BL606+BQ615</f>
        <v/>
      </c>
      <c r="BR606" s="709">
        <f>BM606+BR615</f>
        <v/>
      </c>
      <c r="BS606" s="709">
        <f>BN606+BS615</f>
        <v/>
      </c>
      <c r="BT606" s="1400">
        <f>BT628/BT$329</f>
        <v/>
      </c>
      <c r="BU606" s="709">
        <f>BP606+BU615</f>
        <v/>
      </c>
      <c r="BV606" s="709">
        <f>BQ606+BV615</f>
        <v/>
      </c>
      <c r="BW606" s="709">
        <f>BR606+BW615</f>
        <v/>
      </c>
      <c r="BX606" s="709">
        <f>BS606+BX615</f>
        <v/>
      </c>
      <c r="BY606" s="1400">
        <f>BY628/BY$329</f>
        <v/>
      </c>
      <c r="BZ606" s="1400">
        <f>BY606+BZ615</f>
        <v/>
      </c>
      <c r="CA606" s="1400">
        <f>BZ606+CA615</f>
        <v/>
      </c>
      <c r="CB606" s="1400">
        <f>CA606+CB615</f>
        <v/>
      </c>
      <c r="CC606" s="1634" t="n"/>
    </row>
    <row r="607" ht="15" customFormat="1" customHeight="1" s="1628">
      <c r="A607" s="375" t="inlineStr">
        <is>
          <t>Inventories, net, % of LTM Sales</t>
        </is>
      </c>
      <c r="B607" s="85" t="n"/>
      <c r="C607" s="1481">
        <f>C631/C$329</f>
        <v/>
      </c>
      <c r="D607" s="1481">
        <f>D631/D$329</f>
        <v/>
      </c>
      <c r="E607" s="1481">
        <f>E631/E$329</f>
        <v/>
      </c>
      <c r="F607" s="1481">
        <f>F631/F$329</f>
        <v/>
      </c>
      <c r="G607" s="1481">
        <f>G631/G$329</f>
        <v/>
      </c>
      <c r="H607" s="709" t="n"/>
      <c r="I607" s="709" t="n"/>
      <c r="J607" s="709" t="n"/>
      <c r="K607" s="709" t="n"/>
      <c r="L607" s="1481">
        <f>L631/L$329</f>
        <v/>
      </c>
      <c r="M607" s="750">
        <f>M631/(M$329+K$329+J$329+I$329)</f>
        <v/>
      </c>
      <c r="N607" s="750">
        <f>N631/(N$329+M$329+K$329+J$329)</f>
        <v/>
      </c>
      <c r="O607" s="750">
        <f>O631/(O$329+N$329+M$329+K$329)</f>
        <v/>
      </c>
      <c r="P607" s="750">
        <f>P631/(P$329+O$329+N$329+M$329)</f>
        <v/>
      </c>
      <c r="Q607" s="1481">
        <f>Q631/Q$329</f>
        <v/>
      </c>
      <c r="R607" s="750">
        <f>R631/(R$329+P$329+O$329+N$329)</f>
        <v/>
      </c>
      <c r="S607" s="750">
        <f>S631/(S$329+R$329+P$329+O$329)</f>
        <v/>
      </c>
      <c r="T607" s="750">
        <f>T631/(T$329+S$329+R$329+P$329)</f>
        <v/>
      </c>
      <c r="U607" s="750">
        <f>U631/(U$329+T$329+S$329+R$329)</f>
        <v/>
      </c>
      <c r="V607" s="1481">
        <f>V631/V$329</f>
        <v/>
      </c>
      <c r="W607" s="750">
        <f>W631/(W$329+U$329+T$329+S$329)</f>
        <v/>
      </c>
      <c r="X607" s="750">
        <f>X631/(X$329+W$329+U$329+T$329)</f>
        <v/>
      </c>
      <c r="Y607" s="750">
        <f>Y631/(Y$329+X$329+W$329+U$329)</f>
        <v/>
      </c>
      <c r="Z607" s="750">
        <f>Z631/(Z$329+Y$329+X$329+W$329)</f>
        <v/>
      </c>
      <c r="AA607" s="1481">
        <f>AA631/AA$329</f>
        <v/>
      </c>
      <c r="AB607" s="750">
        <f>AB631/(AB$329+Z$329+Y$329+X$329)</f>
        <v/>
      </c>
      <c r="AC607" s="750">
        <f>AC631/(AC$329+AB$329+Z$329+Y$329)</f>
        <v/>
      </c>
      <c r="AD607" s="750">
        <f>AD631/(AD$329+AC$329+AB$329+Z$329)</f>
        <v/>
      </c>
      <c r="AE607" s="750">
        <f>AE631/(AE$329+AD$329+AC$329+AB$329)</f>
        <v/>
      </c>
      <c r="AF607" s="1481">
        <f>AF631/AF$329</f>
        <v/>
      </c>
      <c r="AG607" s="750">
        <f>AG631/(AG$329+AE$329+AD$329+AC$329)</f>
        <v/>
      </c>
      <c r="AH607" s="750">
        <f>AH631/(AH$329+AG$329+AE$329+AD$329)</f>
        <v/>
      </c>
      <c r="AI607" s="750">
        <f>AI631/(AI$329+AH$329+AG$329+AE$329)</f>
        <v/>
      </c>
      <c r="AJ607" s="750">
        <f>AJ631/(AJ$329+AI$329+AH$329+AG$329)</f>
        <v/>
      </c>
      <c r="AK607" s="1481">
        <f>AK631/AK$329</f>
        <v/>
      </c>
      <c r="AL607" s="750">
        <f>AL631/(AL$329+AJ$329+AI$329+AH$329)</f>
        <v/>
      </c>
      <c r="AM607" s="750">
        <f>AM631/(AM$329+AL$329+AJ$329+AI$329)</f>
        <v/>
      </c>
      <c r="AN607" s="750">
        <f>AN631/(AN$329+AM$329+AL$329+AJ$329)</f>
        <v/>
      </c>
      <c r="AO607" s="750">
        <f>AO631/(AO$329+AN$329+AM$329+AL$329)</f>
        <v/>
      </c>
      <c r="AP607" s="1481">
        <f>AP631/AP$329</f>
        <v/>
      </c>
      <c r="AQ607" s="750">
        <f>AQ631/(AQ$329+AO$329+AN$329+AM$329)</f>
        <v/>
      </c>
      <c r="AR607" s="750">
        <f>AR631/(AR$329+AQ$329+AO$329+AN$329)</f>
        <v/>
      </c>
      <c r="AS607" s="750">
        <f>AS631/(AS$329+AR$329+AQ$329+AO$329)</f>
        <v/>
      </c>
      <c r="AT607" s="750">
        <f>AT631/(AT$329+AS$329+AR$329+AQ$329)</f>
        <v/>
      </c>
      <c r="AU607" s="1481">
        <f>AU631/AU$329</f>
        <v/>
      </c>
      <c r="AV607" s="750">
        <f>AV631/(AV$329+AT$329+AS$329+AR$329)</f>
        <v/>
      </c>
      <c r="AW607" s="750">
        <f>AW631/(AW$329+AV$329+AT$329+AS$329)</f>
        <v/>
      </c>
      <c r="AX607" s="750">
        <f>AX631/(AX$329+AW$329+AV$329+AT$329)</f>
        <v/>
      </c>
      <c r="AY607" s="750">
        <f>AY631/(AY$329+AX$329+AW$329+AV$329)</f>
        <v/>
      </c>
      <c r="AZ607" s="1481">
        <f>AZ631/AZ$329</f>
        <v/>
      </c>
      <c r="BA607" s="750">
        <f>BA631/(BA$329+AY$329+AX$329+AW$329)</f>
        <v/>
      </c>
      <c r="BB607" s="750">
        <f>BB631/(BB$329+BA$329+AY$329+AX$329)</f>
        <v/>
      </c>
      <c r="BC607" s="750">
        <f>BC631/(BC$329+BB$329+BA$329+AY$329)</f>
        <v/>
      </c>
      <c r="BD607" s="750">
        <f>BD631/(BD$329+BC$329+BB$329+BA$329)</f>
        <v/>
      </c>
      <c r="BE607" s="1481">
        <f>BE631/BE$329</f>
        <v/>
      </c>
      <c r="BF607" s="750">
        <f>BF631/(BF$329+BD$329+BC$329+BB$329)</f>
        <v/>
      </c>
      <c r="BG607" s="750">
        <f>BG631/(BG$329+BF$329+BD$329+BC$329)</f>
        <v/>
      </c>
      <c r="BH607" s="750">
        <f>BH631/(BH$329+BG$329+BF$329+BD$329)</f>
        <v/>
      </c>
      <c r="BI607" s="750">
        <f>BI631/(BI$329+BH$329+BG$329+BF$329)</f>
        <v/>
      </c>
      <c r="BJ607" s="1481">
        <f>BJ631/BJ$329</f>
        <v/>
      </c>
      <c r="BK607" s="750">
        <f>BK631/(BK$329+BI$329+BH$329+BG$329)</f>
        <v/>
      </c>
      <c r="BL607" s="750">
        <f>BL631/(BL$329+BK$329+BI$329+BH$329)</f>
        <v/>
      </c>
      <c r="BM607" s="750">
        <f>BM631/(BM$329+BL$329+BK$329+BI$329)</f>
        <v/>
      </c>
      <c r="BN607" s="750">
        <f>BN631/(BN$329+BM$329+BL$329+BK$329)</f>
        <v/>
      </c>
      <c r="BO607" s="1482">
        <f>BO631/BO$329</f>
        <v/>
      </c>
      <c r="BP607" s="709">
        <f>BK607+BP616</f>
        <v/>
      </c>
      <c r="BQ607" s="709">
        <f>BL607+BQ616</f>
        <v/>
      </c>
      <c r="BR607" s="709">
        <f>BM607+BR616</f>
        <v/>
      </c>
      <c r="BS607" s="709">
        <f>BN607+BS616</f>
        <v/>
      </c>
      <c r="BT607" s="1400">
        <f>BT631/BT$329</f>
        <v/>
      </c>
      <c r="BU607" s="709">
        <f>BP607+BU616</f>
        <v/>
      </c>
      <c r="BV607" s="709">
        <f>BQ607+BV616</f>
        <v/>
      </c>
      <c r="BW607" s="709">
        <f>BR607+BW616</f>
        <v/>
      </c>
      <c r="BX607" s="709">
        <f>BS607+BX616</f>
        <v/>
      </c>
      <c r="BY607" s="1400">
        <f>BY631/BY$329</f>
        <v/>
      </c>
      <c r="BZ607" s="1400">
        <f>BY607+BZ616</f>
        <v/>
      </c>
      <c r="CA607" s="1400">
        <f>BZ607+CA616</f>
        <v/>
      </c>
      <c r="CB607" s="1400">
        <f>CA607+CB616</f>
        <v/>
      </c>
      <c r="CC607" s="1634" t="n"/>
    </row>
    <row r="608" ht="15" customFormat="1" customHeight="1" s="1628">
      <c r="A608" s="375" t="inlineStr">
        <is>
          <t>Other assets, % of LTM Sales</t>
        </is>
      </c>
      <c r="B608" s="85" t="n"/>
      <c r="C608" s="1481">
        <f>C634/C$329</f>
        <v/>
      </c>
      <c r="D608" s="1481">
        <f>D634/D$329</f>
        <v/>
      </c>
      <c r="E608" s="1481">
        <f>E634/E$329</f>
        <v/>
      </c>
      <c r="F608" s="1481">
        <f>F634/F$329</f>
        <v/>
      </c>
      <c r="G608" s="1481">
        <f>G634/G$329</f>
        <v/>
      </c>
      <c r="H608" s="709" t="n"/>
      <c r="I608" s="709" t="n"/>
      <c r="J608" s="709" t="n"/>
      <c r="K608" s="709" t="n"/>
      <c r="L608" s="1481">
        <f>L634/L$329</f>
        <v/>
      </c>
      <c r="M608" s="750">
        <f>M634/(M$329+K$329+J$329+I$329)</f>
        <v/>
      </c>
      <c r="N608" s="750">
        <f>N634/(N$329+M$329+K$329+J$329)</f>
        <v/>
      </c>
      <c r="O608" s="750">
        <f>O634/(O$329+N$329+M$329+K$329)</f>
        <v/>
      </c>
      <c r="P608" s="750">
        <f>P634/(P$329+O$329+N$329+M$329)</f>
        <v/>
      </c>
      <c r="Q608" s="1481">
        <f>Q634/Q$329</f>
        <v/>
      </c>
      <c r="R608" s="750">
        <f>R634/(R$329+P$329+O$329+N$329)</f>
        <v/>
      </c>
      <c r="S608" s="750">
        <f>S634/(S$329+R$329+P$329+O$329)</f>
        <v/>
      </c>
      <c r="T608" s="750">
        <f>T634/(T$329+S$329+R$329+P$329)</f>
        <v/>
      </c>
      <c r="U608" s="750">
        <f>U634/(U$329+T$329+S$329+R$329)</f>
        <v/>
      </c>
      <c r="V608" s="1481">
        <f>V634/V$329</f>
        <v/>
      </c>
      <c r="W608" s="750">
        <f>W634/(W$329+U$329+T$329+S$329)</f>
        <v/>
      </c>
      <c r="X608" s="750">
        <f>X634/(X$329+W$329+U$329+T$329)</f>
        <v/>
      </c>
      <c r="Y608" s="750">
        <f>Y634/(Y$329+X$329+W$329+U$329)</f>
        <v/>
      </c>
      <c r="Z608" s="750">
        <f>Z634/(Z$329+Y$329+X$329+W$329)</f>
        <v/>
      </c>
      <c r="AA608" s="1481">
        <f>AA634/AA$329</f>
        <v/>
      </c>
      <c r="AB608" s="750">
        <f>AB634/(AB$329+Z$329+Y$329+X$329)</f>
        <v/>
      </c>
      <c r="AC608" s="750">
        <f>AC634/(AC$329+AB$329+Z$329+Y$329)</f>
        <v/>
      </c>
      <c r="AD608" s="750">
        <f>AD634/(AD$329+AC$329+AB$329+Z$329)</f>
        <v/>
      </c>
      <c r="AE608" s="750">
        <f>AE634/(AE$329+AD$329+AC$329+AB$329)</f>
        <v/>
      </c>
      <c r="AF608" s="1481">
        <f>AF634/AF$329</f>
        <v/>
      </c>
      <c r="AG608" s="750">
        <f>AG634/(AG$329+AE$329+AD$329+AC$329)</f>
        <v/>
      </c>
      <c r="AH608" s="750">
        <f>AH634/(AH$329+AG$329+AE$329+AD$329)</f>
        <v/>
      </c>
      <c r="AI608" s="750">
        <f>AI634/(AI$329+AH$329+AG$329+AE$329)</f>
        <v/>
      </c>
      <c r="AJ608" s="750">
        <f>AJ634/(AJ$329+AI$329+AH$329+AG$329)</f>
        <v/>
      </c>
      <c r="AK608" s="1481">
        <f>AK634/AK$329</f>
        <v/>
      </c>
      <c r="AL608" s="750">
        <f>AL634/(AL$329+AJ$329+AI$329+AH$329)</f>
        <v/>
      </c>
      <c r="AM608" s="750">
        <f>AM634/(AM$329+AL$329+AJ$329+AI$329)</f>
        <v/>
      </c>
      <c r="AN608" s="750">
        <f>AN634/(AN$329+AM$329+AL$329+AJ$329)</f>
        <v/>
      </c>
      <c r="AO608" s="750">
        <f>AO634/(AO$329+AN$329+AM$329+AL$329)</f>
        <v/>
      </c>
      <c r="AP608" s="1481">
        <f>AP634/AP$329</f>
        <v/>
      </c>
      <c r="AQ608" s="750">
        <f>AQ634/(AQ$329+AO$329+AN$329+AM$329)</f>
        <v/>
      </c>
      <c r="AR608" s="750">
        <f>AR634/(AR$329+AQ$329+AO$329+AN$329)</f>
        <v/>
      </c>
      <c r="AS608" s="750">
        <f>AS634/(AS$329+AR$329+AQ$329+AO$329)</f>
        <v/>
      </c>
      <c r="AT608" s="750">
        <f>AT634/(AT$329+AS$329+AR$329+AQ$329)</f>
        <v/>
      </c>
      <c r="AU608" s="1481">
        <f>AU634/AU$329</f>
        <v/>
      </c>
      <c r="AV608" s="750">
        <f>AV634/(AV$329+AT$329+AS$329+AR$329)</f>
        <v/>
      </c>
      <c r="AW608" s="750">
        <f>AW634/(AW$329+AV$329+AT$329+AS$329)</f>
        <v/>
      </c>
      <c r="AX608" s="750">
        <f>AX634/(AX$329+AW$329+AV$329+AT$329)</f>
        <v/>
      </c>
      <c r="AY608" s="750">
        <f>AY634/(AY$329+AX$329+AW$329+AV$329)</f>
        <v/>
      </c>
      <c r="AZ608" s="1481">
        <f>AZ634/AZ$329</f>
        <v/>
      </c>
      <c r="BA608" s="750">
        <f>BA634/(BA$329+AY$329+AX$329+AW$329)</f>
        <v/>
      </c>
      <c r="BB608" s="750">
        <f>BB634/(BB$329+BA$329+AY$329+AX$329)</f>
        <v/>
      </c>
      <c r="BC608" s="750">
        <f>BC634/(BC$329+BB$329+BA$329+AY$329)</f>
        <v/>
      </c>
      <c r="BD608" s="750">
        <f>BD634/(BD$329+BC$329+BB$329+BA$329)</f>
        <v/>
      </c>
      <c r="BE608" s="1481">
        <f>BE634/BE$329</f>
        <v/>
      </c>
      <c r="BF608" s="750">
        <f>BF634/(BF$329+BD$329+BC$329+BB$329)</f>
        <v/>
      </c>
      <c r="BG608" s="750">
        <f>BG634/(BG$329+BF$329+BD$329+BC$329)</f>
        <v/>
      </c>
      <c r="BH608" s="750">
        <f>BH634/(BH$329+BG$329+BF$329+BD$329)</f>
        <v/>
      </c>
      <c r="BI608" s="750">
        <f>BI634/(BI$329+BH$329+BG$329+BF$329)</f>
        <v/>
      </c>
      <c r="BJ608" s="1481">
        <f>BJ634/BJ$329</f>
        <v/>
      </c>
      <c r="BK608" s="750">
        <f>BK634/(BK$329+BI$329+BH$329+BG$329)</f>
        <v/>
      </c>
      <c r="BL608" s="750">
        <f>BL634/(BL$329+BK$329+BI$329+BH$329)</f>
        <v/>
      </c>
      <c r="BM608" s="750">
        <f>BM634/(BM$329+BL$329+BK$329+BI$329)</f>
        <v/>
      </c>
      <c r="BN608" s="750">
        <f>BN634/(BN$329+BM$329+BL$329+BK$329)</f>
        <v/>
      </c>
      <c r="BO608" s="1482">
        <f>BO634/BO$329</f>
        <v/>
      </c>
      <c r="BP608" s="709">
        <f>BK608+BP617</f>
        <v/>
      </c>
      <c r="BQ608" s="709">
        <f>BL608+BQ617</f>
        <v/>
      </c>
      <c r="BR608" s="709">
        <f>BM608+BR617</f>
        <v/>
      </c>
      <c r="BS608" s="709">
        <f>BN608+BS617</f>
        <v/>
      </c>
      <c r="BT608" s="1400">
        <f>BT634/BT$329</f>
        <v/>
      </c>
      <c r="BU608" s="709">
        <f>BP608+BU617</f>
        <v/>
      </c>
      <c r="BV608" s="709">
        <f>BQ608+BV617</f>
        <v/>
      </c>
      <c r="BW608" s="709">
        <f>BR608+BW617</f>
        <v/>
      </c>
      <c r="BX608" s="709">
        <f>BS608+BX617</f>
        <v/>
      </c>
      <c r="BY608" s="1400">
        <f>BY634/BY$329</f>
        <v/>
      </c>
      <c r="BZ608" s="1400">
        <f>BY608+BZ617</f>
        <v/>
      </c>
      <c r="CA608" s="1400">
        <f>BZ608+CA617</f>
        <v/>
      </c>
      <c r="CB608" s="1400">
        <f>CA608+CB617</f>
        <v/>
      </c>
      <c r="CC608" s="1634" t="n"/>
    </row>
    <row r="609" ht="15" customFormat="1" customHeight="1" s="1628">
      <c r="A609" s="1703" t="inlineStr">
        <is>
          <t>Accrued and other liabilities, % of LTM Sales</t>
        </is>
      </c>
      <c r="B609" s="1717" t="n"/>
      <c r="C609" s="1400">
        <f>C657/C329</f>
        <v/>
      </c>
      <c r="D609" s="1400">
        <f>D657/D329</f>
        <v/>
      </c>
      <c r="E609" s="1400">
        <f>E657/E329</f>
        <v/>
      </c>
      <c r="F609" s="1400">
        <f>F657/F329</f>
        <v/>
      </c>
      <c r="G609" s="1400">
        <f>G657/G329</f>
        <v/>
      </c>
      <c r="H609" s="709" t="n"/>
      <c r="I609" s="709" t="n"/>
      <c r="J609" s="709" t="n"/>
      <c r="K609" s="709" t="n"/>
      <c r="L609" s="1400">
        <f>L657/L329</f>
        <v/>
      </c>
      <c r="M609" s="709" t="n"/>
      <c r="N609" s="709" t="n"/>
      <c r="O609" s="709" t="n"/>
      <c r="P609" s="709" t="n"/>
      <c r="Q609" s="1400">
        <f>Q657/Q329</f>
        <v/>
      </c>
      <c r="R609" s="709" t="n"/>
      <c r="S609" s="709" t="n"/>
      <c r="T609" s="709" t="n"/>
      <c r="U609" s="709" t="n"/>
      <c r="V609" s="1400">
        <f>V657/V329</f>
        <v/>
      </c>
      <c r="W609" s="709" t="n"/>
      <c r="X609" s="709" t="n"/>
      <c r="Y609" s="709" t="n"/>
      <c r="Z609" s="709" t="n"/>
      <c r="AA609" s="1400">
        <f>AA657/AA329</f>
        <v/>
      </c>
      <c r="AB609" s="709" t="n"/>
      <c r="AC609" s="709" t="n"/>
      <c r="AD609" s="709" t="n"/>
      <c r="AE609" s="709" t="n"/>
      <c r="AF609" s="1400">
        <f>AF657/AF329</f>
        <v/>
      </c>
      <c r="AG609" s="709" t="n"/>
      <c r="AH609" s="709" t="n"/>
      <c r="AI609" s="709" t="n"/>
      <c r="AJ609" s="709" t="n"/>
      <c r="AK609" s="1400">
        <f>AK657/AK329</f>
        <v/>
      </c>
      <c r="AL609" s="709" t="n"/>
      <c r="AM609" s="709" t="n"/>
      <c r="AN609" s="709" t="n"/>
      <c r="AO609" s="709" t="n"/>
      <c r="AP609" s="1400">
        <f>AP657/AP329</f>
        <v/>
      </c>
      <c r="AQ609" s="709" t="n"/>
      <c r="AR609" s="709" t="n"/>
      <c r="AS609" s="709" t="n"/>
      <c r="AT609" s="709" t="n"/>
      <c r="AU609" s="1400">
        <f>AU657/AU329</f>
        <v/>
      </c>
      <c r="AV609" s="709" t="n"/>
      <c r="AW609" s="709" t="n"/>
      <c r="AX609" s="709" t="n"/>
      <c r="AY609" s="709" t="n"/>
      <c r="AZ609" s="1400">
        <f>AZ657/AZ329</f>
        <v/>
      </c>
      <c r="BA609" s="709" t="n"/>
      <c r="BB609" s="709" t="n"/>
      <c r="BC609" s="709" t="n"/>
      <c r="BD609" s="709" t="n"/>
      <c r="BE609" s="1400">
        <f>BE657/BE329</f>
        <v/>
      </c>
      <c r="BF609" s="709" t="n"/>
      <c r="BG609" s="709" t="n"/>
      <c r="BH609" s="709" t="n"/>
      <c r="BI609" s="709">
        <f>BJ609</f>
        <v/>
      </c>
      <c r="BJ609" s="1481">
        <f>BJ657/BJ329</f>
        <v/>
      </c>
      <c r="BK609" s="709" t="n"/>
      <c r="BL609" s="709" t="n"/>
      <c r="BM609" s="709" t="n"/>
      <c r="BN609" s="709">
        <f>BO609</f>
        <v/>
      </c>
      <c r="BO609" s="1483" t="n">
        <v>0.095</v>
      </c>
      <c r="BP609" s="1161" t="n">
        <v>0.089</v>
      </c>
      <c r="BQ609" s="1161" t="n">
        <v>0.089</v>
      </c>
      <c r="BR609" s="1161" t="n">
        <v>0.089</v>
      </c>
      <c r="BS609" s="709">
        <f>BN609+BS618</f>
        <v/>
      </c>
      <c r="BT609" s="1400">
        <f>BT657/BT$329</f>
        <v/>
      </c>
      <c r="BU609" s="1161" t="n">
        <v>0.089</v>
      </c>
      <c r="BV609" s="1161" t="n">
        <v>0.089</v>
      </c>
      <c r="BW609" s="1161" t="n">
        <v>0.089</v>
      </c>
      <c r="BX609" s="709">
        <f>BS609+BX618</f>
        <v/>
      </c>
      <c r="BY609" s="1400">
        <f>BY657/BY$329</f>
        <v/>
      </c>
      <c r="BZ609" s="1400">
        <f>BY609+BZ618</f>
        <v/>
      </c>
      <c r="CA609" s="1400">
        <f>BZ609+CA618</f>
        <v/>
      </c>
      <c r="CB609" s="1400">
        <f>CA609+CB618</f>
        <v/>
      </c>
      <c r="CC609" s="1634" t="n"/>
    </row>
    <row r="610" ht="15" customFormat="1" customHeight="1" s="1628">
      <c r="A610" s="1703" t="inlineStr">
        <is>
          <t>Accounts payable, % of LTM Sales</t>
        </is>
      </c>
      <c r="B610" s="1717" t="n"/>
      <c r="C610" s="1400">
        <f>C656/C329</f>
        <v/>
      </c>
      <c r="D610" s="1400">
        <f>D656/D329</f>
        <v/>
      </c>
      <c r="E610" s="1400">
        <f>E656/E329</f>
        <v/>
      </c>
      <c r="F610" s="1400">
        <f>F656/F329</f>
        <v/>
      </c>
      <c r="G610" s="1400">
        <f>G656/G329</f>
        <v/>
      </c>
      <c r="H610" s="709" t="n"/>
      <c r="I610" s="709" t="n"/>
      <c r="J610" s="709" t="n"/>
      <c r="K610" s="709" t="n"/>
      <c r="L610" s="1400">
        <f>L656/L329</f>
        <v/>
      </c>
      <c r="M610" s="709" t="n"/>
      <c r="N610" s="709" t="n"/>
      <c r="O610" s="709" t="n"/>
      <c r="P610" s="709" t="n"/>
      <c r="Q610" s="1400">
        <f>Q656/Q329</f>
        <v/>
      </c>
      <c r="R610" s="709" t="n"/>
      <c r="S610" s="709" t="n"/>
      <c r="T610" s="709" t="n"/>
      <c r="U610" s="709" t="n"/>
      <c r="V610" s="1400">
        <f>V656/V329</f>
        <v/>
      </c>
      <c r="W610" s="709" t="n"/>
      <c r="X610" s="709" t="n"/>
      <c r="Y610" s="709" t="n"/>
      <c r="Z610" s="709" t="n"/>
      <c r="AA610" s="1400">
        <f>AA656/AA329</f>
        <v/>
      </c>
      <c r="AB610" s="709" t="n"/>
      <c r="AC610" s="709" t="n"/>
      <c r="AD610" s="709" t="n"/>
      <c r="AE610" s="709" t="n"/>
      <c r="AF610" s="1400">
        <f>AF656/AF329</f>
        <v/>
      </c>
      <c r="AG610" s="709" t="n"/>
      <c r="AH610" s="709" t="n"/>
      <c r="AI610" s="709" t="n"/>
      <c r="AJ610" s="709" t="n"/>
      <c r="AK610" s="1400">
        <f>AK656/AK329</f>
        <v/>
      </c>
      <c r="AL610" s="709" t="n"/>
      <c r="AM610" s="709" t="n"/>
      <c r="AN610" s="709" t="n"/>
      <c r="AO610" s="709" t="n"/>
      <c r="AP610" s="1400">
        <f>AP656/AP329</f>
        <v/>
      </c>
      <c r="AQ610" s="709" t="n"/>
      <c r="AR610" s="709" t="n"/>
      <c r="AS610" s="709" t="n"/>
      <c r="AT610" s="709" t="n"/>
      <c r="AU610" s="1400">
        <f>AU656/AU329</f>
        <v/>
      </c>
      <c r="AV610" s="709" t="n"/>
      <c r="AW610" s="709" t="n"/>
      <c r="AX610" s="709" t="n"/>
      <c r="AY610" s="709" t="n"/>
      <c r="AZ610" s="1400">
        <f>AZ656/AZ329</f>
        <v/>
      </c>
      <c r="BA610" s="709" t="n"/>
      <c r="BB610" s="709" t="n"/>
      <c r="BC610" s="709" t="n"/>
      <c r="BD610" s="709" t="n"/>
      <c r="BE610" s="1400">
        <f>BE656/BE329</f>
        <v/>
      </c>
      <c r="BF610" s="709" t="n"/>
      <c r="BG610" s="709" t="n"/>
      <c r="BH610" s="709" t="n"/>
      <c r="BI610" s="709">
        <f>BJ610</f>
        <v/>
      </c>
      <c r="BJ610" s="1481">
        <f>BJ656/BJ329</f>
        <v/>
      </c>
      <c r="BK610" s="709" t="n"/>
      <c r="BL610" s="709" t="n"/>
      <c r="BM610" s="709" t="n"/>
      <c r="BN610" s="709">
        <f>BO610</f>
        <v/>
      </c>
      <c r="BO610" s="1483" t="n">
        <v>0.125</v>
      </c>
      <c r="BP610" s="1161" t="n">
        <v>0.121</v>
      </c>
      <c r="BQ610" s="1161" t="n">
        <v>0.121</v>
      </c>
      <c r="BR610" s="1161" t="n">
        <v>0.121</v>
      </c>
      <c r="BS610" s="709">
        <f>BN610+BS619</f>
        <v/>
      </c>
      <c r="BT610" s="1400">
        <f>BT656/BT329</f>
        <v/>
      </c>
      <c r="BU610" s="1161" t="n">
        <v>0.121</v>
      </c>
      <c r="BV610" s="1161" t="n">
        <v>0.121</v>
      </c>
      <c r="BW610" s="1161" t="n">
        <v>0.121</v>
      </c>
      <c r="BX610" s="709">
        <f>BS610+BX619</f>
        <v/>
      </c>
      <c r="BY610" s="1400">
        <f>BY656/BY329</f>
        <v/>
      </c>
      <c r="BZ610" s="1400">
        <f>BY610+BZ619</f>
        <v/>
      </c>
      <c r="CA610" s="1400">
        <f>BZ610+CA619</f>
        <v/>
      </c>
      <c r="CB610" s="1400">
        <f>CA610+CB619</f>
        <v/>
      </c>
      <c r="CC610" s="1634" t="n"/>
    </row>
    <row r="611" ht="15" customFormat="1" customHeight="1" s="1628">
      <c r="A611" s="1703" t="inlineStr">
        <is>
          <t>Contract liabilities, current, % of LTM Sales</t>
        </is>
      </c>
      <c r="B611" s="1717" t="n"/>
      <c r="C611" s="1400" t="n"/>
      <c r="D611" s="1400" t="n"/>
      <c r="E611" s="1400" t="n"/>
      <c r="F611" s="1400" t="n"/>
      <c r="G611" s="1400" t="n"/>
      <c r="H611" s="709" t="n"/>
      <c r="I611" s="709" t="n"/>
      <c r="J611" s="709" t="n"/>
      <c r="K611" s="709" t="n"/>
      <c r="L611" s="1400" t="n"/>
      <c r="M611" s="709" t="n"/>
      <c r="N611" s="709" t="n"/>
      <c r="O611" s="709" t="n"/>
      <c r="P611" s="709" t="n"/>
      <c r="Q611" s="1400" t="n"/>
      <c r="R611" s="709" t="n"/>
      <c r="S611" s="709" t="n"/>
      <c r="T611" s="709" t="n"/>
      <c r="U611" s="709" t="n"/>
      <c r="V611" s="1400" t="n"/>
      <c r="W611" s="709" t="n"/>
      <c r="X611" s="709" t="n"/>
      <c r="Y611" s="709" t="n"/>
      <c r="Z611" s="709" t="n"/>
      <c r="AA611" s="1400" t="n"/>
      <c r="AB611" s="709" t="n"/>
      <c r="AC611" s="709" t="n"/>
      <c r="AD611" s="709" t="n"/>
      <c r="AE611" s="709" t="n"/>
      <c r="AF611" s="1400">
        <f>AF660/AF329</f>
        <v/>
      </c>
      <c r="AG611" s="709" t="n"/>
      <c r="AH611" s="709" t="n"/>
      <c r="AI611" s="709" t="n"/>
      <c r="AJ611" s="709" t="n"/>
      <c r="AK611" s="1400">
        <f>AK660/AK329</f>
        <v/>
      </c>
      <c r="AL611" s="709" t="n"/>
      <c r="AM611" s="709" t="n"/>
      <c r="AN611" s="709" t="n"/>
      <c r="AO611" s="709" t="n"/>
      <c r="AP611" s="1400">
        <f>AP660/AP329</f>
        <v/>
      </c>
      <c r="AQ611" s="709" t="n"/>
      <c r="AR611" s="709" t="n"/>
      <c r="AS611" s="709" t="n"/>
      <c r="AT611" s="709" t="n"/>
      <c r="AU611" s="1400">
        <f>AU660/AU329</f>
        <v/>
      </c>
      <c r="AV611" s="709" t="n"/>
      <c r="AW611" s="709" t="n"/>
      <c r="AX611" s="709" t="n"/>
      <c r="AY611" s="709" t="n"/>
      <c r="AZ611" s="1400">
        <f>AZ660/AZ329</f>
        <v/>
      </c>
      <c r="BA611" s="709" t="n"/>
      <c r="BB611" s="709" t="n"/>
      <c r="BC611" s="709" t="n"/>
      <c r="BD611" s="709" t="n"/>
      <c r="BE611" s="1400">
        <f>BE660/BE329</f>
        <v/>
      </c>
      <c r="BF611" s="709" t="n"/>
      <c r="BG611" s="709" t="n"/>
      <c r="BH611" s="709" t="n"/>
      <c r="BI611" s="709">
        <f>BJ611</f>
        <v/>
      </c>
      <c r="BJ611" s="1481">
        <f>BJ660/BJ329</f>
        <v/>
      </c>
      <c r="BK611" s="709" t="n"/>
      <c r="BL611" s="709" t="n"/>
      <c r="BM611" s="709" t="n"/>
      <c r="BN611" s="709">
        <f>BO611</f>
        <v/>
      </c>
      <c r="BO611" s="1483" t="n">
        <v>0.45</v>
      </c>
      <c r="BP611" s="1161" t="n">
        <v>0.589</v>
      </c>
      <c r="BQ611" s="1161" t="n">
        <v>0.589</v>
      </c>
      <c r="BR611" s="1161" t="n">
        <v>0.589</v>
      </c>
      <c r="BS611" s="709">
        <f>BN611+BS620</f>
        <v/>
      </c>
      <c r="BT611" s="1400">
        <f>BT660/BT329</f>
        <v/>
      </c>
      <c r="BU611" s="1161" t="n">
        <v>0.589</v>
      </c>
      <c r="BV611" s="1161" t="n">
        <v>0.589</v>
      </c>
      <c r="BW611" s="1161" t="n">
        <v>0.589</v>
      </c>
      <c r="BX611" s="709">
        <f>BS611+BX620</f>
        <v/>
      </c>
      <c r="BY611" s="1400">
        <f>BY660/BY329</f>
        <v/>
      </c>
      <c r="BZ611" s="1400">
        <f>BY611+BZ620</f>
        <v/>
      </c>
      <c r="CA611" s="1400">
        <f>BZ611+CA620</f>
        <v/>
      </c>
      <c r="CB611" s="1400">
        <f>CA611+CB620</f>
        <v/>
      </c>
      <c r="CC611" s="1634" t="n"/>
    </row>
    <row r="612" ht="15" customFormat="1" customHeight="1" s="1628">
      <c r="A612" s="1703" t="inlineStr">
        <is>
          <t>Current tax liabilities, % of LTM Sales</t>
        </is>
      </c>
      <c r="B612" s="1717" t="n"/>
      <c r="C612" s="1400">
        <f>C658/C329</f>
        <v/>
      </c>
      <c r="D612" s="1400">
        <f>D658/D329</f>
        <v/>
      </c>
      <c r="E612" s="1400">
        <f>E658/E329</f>
        <v/>
      </c>
      <c r="F612" s="1400">
        <f>F658/F329</f>
        <v/>
      </c>
      <c r="G612" s="1400">
        <f>G658/G329</f>
        <v/>
      </c>
      <c r="H612" s="709" t="n"/>
      <c r="I612" s="709" t="n"/>
      <c r="J612" s="709" t="n"/>
      <c r="K612" s="709" t="n"/>
      <c r="L612" s="1400">
        <f>L658/L329</f>
        <v/>
      </c>
      <c r="M612" s="709" t="n"/>
      <c r="N612" s="709" t="n"/>
      <c r="O612" s="709" t="n"/>
      <c r="P612" s="709" t="n"/>
      <c r="Q612" s="1400">
        <f>Q658/Q329</f>
        <v/>
      </c>
      <c r="R612" s="709" t="n"/>
      <c r="S612" s="709" t="n"/>
      <c r="T612" s="709" t="n"/>
      <c r="U612" s="709" t="n"/>
      <c r="V612" s="1400">
        <f>V658/V329</f>
        <v/>
      </c>
      <c r="W612" s="709" t="n"/>
      <c r="X612" s="709" t="n"/>
      <c r="Y612" s="709" t="n"/>
      <c r="Z612" s="709" t="n"/>
      <c r="AA612" s="1400">
        <f>AA658/AA329</f>
        <v/>
      </c>
      <c r="AB612" s="709" t="n"/>
      <c r="AC612" s="709" t="n"/>
      <c r="AD612" s="709" t="n"/>
      <c r="AE612" s="709" t="n"/>
      <c r="AF612" s="1400">
        <f>AF658/AF329</f>
        <v/>
      </c>
      <c r="AG612" s="709" t="n"/>
      <c r="AH612" s="709" t="n"/>
      <c r="AI612" s="709" t="n"/>
      <c r="AJ612" s="709" t="n"/>
      <c r="AK612" s="1400">
        <f>AK658/AK329</f>
        <v/>
      </c>
      <c r="AL612" s="709" t="n"/>
      <c r="AM612" s="709" t="n"/>
      <c r="AN612" s="709" t="n"/>
      <c r="AO612" s="709" t="n"/>
      <c r="AP612" s="1400">
        <f>AP658/AP329</f>
        <v/>
      </c>
      <c r="AQ612" s="709" t="n"/>
      <c r="AR612" s="709" t="n"/>
      <c r="AS612" s="709" t="n"/>
      <c r="AT612" s="709" t="n"/>
      <c r="AU612" s="1400">
        <f>AU658/AU329</f>
        <v/>
      </c>
      <c r="AV612" s="709" t="n"/>
      <c r="AW612" s="709" t="n"/>
      <c r="AX612" s="709" t="n"/>
      <c r="AY612" s="709" t="n"/>
      <c r="AZ612" s="1400">
        <f>AZ658/AZ329</f>
        <v/>
      </c>
      <c r="BA612" s="709" t="n"/>
      <c r="BB612" s="709" t="n"/>
      <c r="BC612" s="709" t="n"/>
      <c r="BD612" s="709" t="n"/>
      <c r="BE612" s="1400">
        <f>BE658/BE329</f>
        <v/>
      </c>
      <c r="BF612" s="709" t="n"/>
      <c r="BG612" s="709" t="n"/>
      <c r="BH612" s="709" t="n"/>
      <c r="BI612" s="709">
        <f>BJ612</f>
        <v/>
      </c>
      <c r="BJ612" s="1481">
        <f>BJ658/BJ329</f>
        <v/>
      </c>
      <c r="BK612" s="709" t="n"/>
      <c r="BL612" s="709" t="n"/>
      <c r="BM612" s="709" t="n"/>
      <c r="BN612" s="709">
        <f>BO612</f>
        <v/>
      </c>
      <c r="BO612" s="1483" t="n">
        <v>0.01</v>
      </c>
      <c r="BP612" s="1161" t="n">
        <v>0.015</v>
      </c>
      <c r="BQ612" s="1161" t="n">
        <v>0.015</v>
      </c>
      <c r="BR612" s="1161" t="n">
        <v>0.015</v>
      </c>
      <c r="BS612" s="709">
        <f>BN612+BS621</f>
        <v/>
      </c>
      <c r="BT612" s="1400">
        <f>BT658/BT329</f>
        <v/>
      </c>
      <c r="BU612" s="1161" t="n">
        <v>0.015</v>
      </c>
      <c r="BV612" s="1161" t="n">
        <v>0.015</v>
      </c>
      <c r="BW612" s="1161" t="n">
        <v>0.015</v>
      </c>
      <c r="BX612" s="709">
        <f>BS612+BX621</f>
        <v/>
      </c>
      <c r="BY612" s="1400">
        <f>BY658/BY329</f>
        <v/>
      </c>
      <c r="BZ612" s="1400">
        <f>BY612+BZ621</f>
        <v/>
      </c>
      <c r="CA612" s="1400">
        <f>BZ612+CA621</f>
        <v/>
      </c>
      <c r="CB612" s="1400">
        <f>CA612+CB621</f>
        <v/>
      </c>
      <c r="CC612" s="1634" t="n"/>
    </row>
    <row r="613" ht="15" customFormat="1" customHeight="1" s="1628">
      <c r="A613" s="1703" t="n"/>
      <c r="B613" s="1717" t="n"/>
      <c r="C613" s="1486" t="n"/>
      <c r="D613" s="1486" t="n"/>
      <c r="E613" s="1486" t="n"/>
      <c r="F613" s="1486" t="n"/>
      <c r="G613" s="1486" t="n"/>
      <c r="H613" s="752" t="n"/>
      <c r="I613" s="752" t="n"/>
      <c r="J613" s="752" t="n"/>
      <c r="K613" s="752" t="n"/>
      <c r="L613" s="1486" t="n"/>
      <c r="M613" s="752" t="n"/>
      <c r="N613" s="752" t="n"/>
      <c r="O613" s="752" t="n"/>
      <c r="P613" s="752" t="n"/>
      <c r="Q613" s="1486" t="n"/>
      <c r="R613" s="752" t="n"/>
      <c r="S613" s="752" t="n"/>
      <c r="T613" s="752" t="n"/>
      <c r="U613" s="752" t="n"/>
      <c r="V613" s="1486" t="n"/>
      <c r="W613" s="752" t="n"/>
      <c r="X613" s="752" t="n"/>
      <c r="Y613" s="752" t="n"/>
      <c r="Z613" s="752" t="n"/>
      <c r="AA613" s="1486" t="n"/>
      <c r="AB613" s="752" t="n"/>
      <c r="AC613" s="752" t="n"/>
      <c r="AD613" s="752" t="n"/>
      <c r="AE613" s="752" t="n"/>
      <c r="AF613" s="1486" t="n"/>
      <c r="AG613" s="752" t="n"/>
      <c r="AH613" s="752" t="n"/>
      <c r="AI613" s="752" t="n"/>
      <c r="AJ613" s="752" t="n"/>
      <c r="AK613" s="1486" t="n"/>
      <c r="AL613" s="752" t="n"/>
      <c r="AM613" s="752" t="n"/>
      <c r="AN613" s="752" t="n"/>
      <c r="AO613" s="752" t="n"/>
      <c r="AP613" s="1486" t="n"/>
      <c r="AQ613" s="752" t="n"/>
      <c r="AR613" s="752" t="n"/>
      <c r="AS613" s="752" t="n"/>
      <c r="AT613" s="752" t="n"/>
      <c r="AU613" s="1486" t="n"/>
      <c r="AV613" s="752" t="n"/>
      <c r="AW613" s="752" t="n"/>
      <c r="AX613" s="752" t="n"/>
      <c r="AY613" s="752" t="n"/>
      <c r="AZ613" s="1486" t="n"/>
      <c r="BA613" s="752" t="n"/>
      <c r="BB613" s="752" t="n"/>
      <c r="BC613" s="752" t="n"/>
      <c r="BD613" s="752" t="n"/>
      <c r="BE613" s="1486" t="n"/>
      <c r="BF613" s="752" t="n"/>
      <c r="BG613" s="752" t="n"/>
      <c r="BH613" s="752" t="n"/>
      <c r="BI613" s="752" t="n"/>
      <c r="BJ613" s="1486" t="n"/>
      <c r="BK613" s="752" t="n"/>
      <c r="BL613" s="752" t="n"/>
      <c r="BM613" s="752" t="n"/>
      <c r="BN613" s="752" t="n"/>
      <c r="BO613" s="1485" t="n"/>
      <c r="BP613" s="752" t="n"/>
      <c r="BQ613" s="752" t="n"/>
      <c r="BR613" s="752" t="n"/>
      <c r="BS613" s="752" t="n"/>
      <c r="BT613" s="1486" t="n"/>
      <c r="BU613" s="752" t="n"/>
      <c r="BV613" s="752" t="n"/>
      <c r="BW613" s="752" t="n"/>
      <c r="BX613" s="752" t="n"/>
      <c r="BY613" s="1486" t="n"/>
      <c r="BZ613" s="1486" t="n"/>
      <c r="CA613" s="1486" t="n"/>
      <c r="CB613" s="1486" t="n"/>
      <c r="CC613" s="1634" t="n"/>
    </row>
    <row r="614" ht="15" customFormat="1" customHeight="1" s="1628">
      <c r="A614" s="405" t="inlineStr">
        <is>
          <t>Accounts receivable, net, Y/Y Change, %</t>
        </is>
      </c>
      <c r="B614" s="322" t="n"/>
      <c r="C614" s="1272" t="n"/>
      <c r="D614" s="1487">
        <f>D605-C605</f>
        <v/>
      </c>
      <c r="E614" s="1487">
        <f>E605-D605</f>
        <v/>
      </c>
      <c r="F614" s="1487">
        <f>F605-E605</f>
        <v/>
      </c>
      <c r="G614" s="1487">
        <f>G605-F605</f>
        <v/>
      </c>
      <c r="H614" s="678" t="n"/>
      <c r="I614" s="678" t="n"/>
      <c r="J614" s="678" t="n"/>
      <c r="K614" s="678" t="n"/>
      <c r="L614" s="1487">
        <f>L605-G605</f>
        <v/>
      </c>
      <c r="M614" s="678" t="n"/>
      <c r="N614" s="678" t="n"/>
      <c r="O614" s="678" t="n"/>
      <c r="P614" s="678" t="n"/>
      <c r="Q614" s="1487">
        <f>Q605-L605</f>
        <v/>
      </c>
      <c r="R614" s="754">
        <f>R605-M605</f>
        <v/>
      </c>
      <c r="S614" s="754">
        <f>S605-N605</f>
        <v/>
      </c>
      <c r="T614" s="754">
        <f>T605-O605</f>
        <v/>
      </c>
      <c r="U614" s="754">
        <f>U605-P605</f>
        <v/>
      </c>
      <c r="V614" s="1487">
        <f>V605-Q605</f>
        <v/>
      </c>
      <c r="W614" s="754">
        <f>W605-R605</f>
        <v/>
      </c>
      <c r="X614" s="754">
        <f>X605-S605</f>
        <v/>
      </c>
      <c r="Y614" s="754">
        <f>Y605-T605</f>
        <v/>
      </c>
      <c r="Z614" s="754">
        <f>Z605-U605</f>
        <v/>
      </c>
      <c r="AA614" s="1487">
        <f>AA605-V605</f>
        <v/>
      </c>
      <c r="AB614" s="754">
        <f>AB605-W605</f>
        <v/>
      </c>
      <c r="AC614" s="754">
        <f>AC605-X605</f>
        <v/>
      </c>
      <c r="AD614" s="754">
        <f>AD605-Y605</f>
        <v/>
      </c>
      <c r="AE614" s="754">
        <f>AE605-Z605</f>
        <v/>
      </c>
      <c r="AF614" s="1487">
        <f>AF605-AA605</f>
        <v/>
      </c>
      <c r="AG614" s="754">
        <f>AG605-AB605</f>
        <v/>
      </c>
      <c r="AH614" s="754">
        <f>AH605-AC605</f>
        <v/>
      </c>
      <c r="AI614" s="754">
        <f>AI605-AD605</f>
        <v/>
      </c>
      <c r="AJ614" s="754">
        <f>AJ605-AE605</f>
        <v/>
      </c>
      <c r="AK614" s="1487">
        <f>AK605-AF605</f>
        <v/>
      </c>
      <c r="AL614" s="754">
        <f>AL605-AG605</f>
        <v/>
      </c>
      <c r="AM614" s="754">
        <f>AM605-AH605</f>
        <v/>
      </c>
      <c r="AN614" s="754">
        <f>AN605-AI605</f>
        <v/>
      </c>
      <c r="AO614" s="754">
        <f>AO605-AJ605</f>
        <v/>
      </c>
      <c r="AP614" s="1487">
        <f>AP605-AK605</f>
        <v/>
      </c>
      <c r="AQ614" s="754">
        <f>AQ605-AL605</f>
        <v/>
      </c>
      <c r="AR614" s="754">
        <f>AR605-AM605</f>
        <v/>
      </c>
      <c r="AS614" s="754">
        <f>AS605-AN605</f>
        <v/>
      </c>
      <c r="AT614" s="754">
        <f>AT605-AO605</f>
        <v/>
      </c>
      <c r="AU614" s="1487">
        <f>AU605-AP605</f>
        <v/>
      </c>
      <c r="AV614" s="754">
        <f>AV605-AQ605</f>
        <v/>
      </c>
      <c r="AW614" s="754">
        <f>AW605-AR605</f>
        <v/>
      </c>
      <c r="AX614" s="754">
        <f>AX605-AS605</f>
        <v/>
      </c>
      <c r="AY614" s="754">
        <f>AY605-AT605</f>
        <v/>
      </c>
      <c r="AZ614" s="1487">
        <f>AZ605-AU605</f>
        <v/>
      </c>
      <c r="BA614" s="754">
        <f>BA605-AV605</f>
        <v/>
      </c>
      <c r="BB614" s="754">
        <f>BB605-AW605</f>
        <v/>
      </c>
      <c r="BC614" s="754">
        <f>BC605-AX605</f>
        <v/>
      </c>
      <c r="BD614" s="754">
        <f>BD605-AY605</f>
        <v/>
      </c>
      <c r="BE614" s="1487">
        <f>BE605-AZ605</f>
        <v/>
      </c>
      <c r="BF614" s="754">
        <f>BF605-BA605</f>
        <v/>
      </c>
      <c r="BG614" s="754">
        <f>BG605-BB605</f>
        <v/>
      </c>
      <c r="BH614" s="754">
        <f>BH605-BC605</f>
        <v/>
      </c>
      <c r="BI614" s="754">
        <f>BI605-BD605</f>
        <v/>
      </c>
      <c r="BJ614" s="1487">
        <f>BJ605-BE605</f>
        <v/>
      </c>
      <c r="BK614" s="754">
        <f>BK605-BF605</f>
        <v/>
      </c>
      <c r="BL614" s="754">
        <f>BL605-BG605</f>
        <v/>
      </c>
      <c r="BM614" s="754">
        <f>BM605-BH605</f>
        <v/>
      </c>
      <c r="BN614" s="754">
        <f>BN605-BI605</f>
        <v/>
      </c>
      <c r="BO614" s="1488">
        <f>BO605-BJ605</f>
        <v/>
      </c>
      <c r="BP614" s="1197" t="n">
        <v>0</v>
      </c>
      <c r="BQ614" s="1197" t="n">
        <v>0</v>
      </c>
      <c r="BR614" s="1197" t="n">
        <v>0</v>
      </c>
      <c r="BS614" s="1197" t="n">
        <v>0</v>
      </c>
      <c r="BT614" s="1272">
        <f>BT605-BO605</f>
        <v/>
      </c>
      <c r="BU614" s="1197" t="n">
        <v>0</v>
      </c>
      <c r="BV614" s="1197" t="n">
        <v>0</v>
      </c>
      <c r="BW614" s="1197" t="n">
        <v>0</v>
      </c>
      <c r="BX614" s="1197" t="n">
        <v>0</v>
      </c>
      <c r="BY614" s="1272">
        <f>BY605-BT605</f>
        <v/>
      </c>
      <c r="BZ614" s="1490" t="n">
        <v>0</v>
      </c>
      <c r="CA614" s="1490" t="n">
        <v>0</v>
      </c>
      <c r="CB614" s="1490" t="n">
        <v>0</v>
      </c>
      <c r="CC614" s="1634" t="n"/>
    </row>
    <row r="615" ht="15" customFormat="1" customHeight="1" s="1628">
      <c r="A615" s="405" t="inlineStr">
        <is>
          <t>Finance receivables, net, Y/Y Change, %</t>
        </is>
      </c>
      <c r="B615" s="322" t="n"/>
      <c r="C615" s="1272" t="n"/>
      <c r="D615" s="1487">
        <f>D606-C606</f>
        <v/>
      </c>
      <c r="E615" s="1487">
        <f>E606-D606</f>
        <v/>
      </c>
      <c r="F615" s="1487">
        <f>F606-E606</f>
        <v/>
      </c>
      <c r="G615" s="1487">
        <f>G606-F606</f>
        <v/>
      </c>
      <c r="H615" s="678" t="n"/>
      <c r="I615" s="678" t="n"/>
      <c r="J615" s="678" t="n"/>
      <c r="K615" s="678" t="n"/>
      <c r="L615" s="1487">
        <f>L606-G606</f>
        <v/>
      </c>
      <c r="M615" s="678" t="n"/>
      <c r="N615" s="678" t="n"/>
      <c r="O615" s="678" t="n"/>
      <c r="P615" s="678" t="n"/>
      <c r="Q615" s="1487">
        <f>Q606-L606</f>
        <v/>
      </c>
      <c r="R615" s="754">
        <f>R606-M606</f>
        <v/>
      </c>
      <c r="S615" s="754">
        <f>S606-N606</f>
        <v/>
      </c>
      <c r="T615" s="754">
        <f>T606-O606</f>
        <v/>
      </c>
      <c r="U615" s="754">
        <f>U606-P606</f>
        <v/>
      </c>
      <c r="V615" s="1487">
        <f>V606-Q606</f>
        <v/>
      </c>
      <c r="W615" s="754">
        <f>W606-R606</f>
        <v/>
      </c>
      <c r="X615" s="754">
        <f>X606-S606</f>
        <v/>
      </c>
      <c r="Y615" s="754">
        <f>Y606-T606</f>
        <v/>
      </c>
      <c r="Z615" s="754">
        <f>Z606-U606</f>
        <v/>
      </c>
      <c r="AA615" s="1487">
        <f>AA606-V606</f>
        <v/>
      </c>
      <c r="AB615" s="754">
        <f>AB606-W606</f>
        <v/>
      </c>
      <c r="AC615" s="754">
        <f>AC606-X606</f>
        <v/>
      </c>
      <c r="AD615" s="754">
        <f>AD606-Y606</f>
        <v/>
      </c>
      <c r="AE615" s="754">
        <f>AE606-Z606</f>
        <v/>
      </c>
      <c r="AF615" s="1487">
        <f>AF606-AA606</f>
        <v/>
      </c>
      <c r="AG615" s="754">
        <f>AG606-AB606</f>
        <v/>
      </c>
      <c r="AH615" s="754">
        <f>AH606-AC606</f>
        <v/>
      </c>
      <c r="AI615" s="754">
        <f>AI606-AD606</f>
        <v/>
      </c>
      <c r="AJ615" s="754">
        <f>AJ606-AE606</f>
        <v/>
      </c>
      <c r="AK615" s="1487">
        <f>AK606-AF606</f>
        <v/>
      </c>
      <c r="AL615" s="754">
        <f>AL606-AG606</f>
        <v/>
      </c>
      <c r="AM615" s="754">
        <f>AM606-AH606</f>
        <v/>
      </c>
      <c r="AN615" s="754">
        <f>AN606-AI606</f>
        <v/>
      </c>
      <c r="AO615" s="754">
        <f>AO606-AJ606</f>
        <v/>
      </c>
      <c r="AP615" s="1487">
        <f>AP606-AK606</f>
        <v/>
      </c>
      <c r="AQ615" s="754">
        <f>AQ606-AL606</f>
        <v/>
      </c>
      <c r="AR615" s="754">
        <f>AR606-AM606</f>
        <v/>
      </c>
      <c r="AS615" s="754">
        <f>AS606-AN606</f>
        <v/>
      </c>
      <c r="AT615" s="754">
        <f>AT606-AO606</f>
        <v/>
      </c>
      <c r="AU615" s="1487">
        <f>AU606-AP606</f>
        <v/>
      </c>
      <c r="AV615" s="754">
        <f>AV606-AQ606</f>
        <v/>
      </c>
      <c r="AW615" s="754">
        <f>AW606-AR606</f>
        <v/>
      </c>
      <c r="AX615" s="754">
        <f>AX606-AS606</f>
        <v/>
      </c>
      <c r="AY615" s="754">
        <f>AY606-AT606</f>
        <v/>
      </c>
      <c r="AZ615" s="1487">
        <f>AZ606-AU606</f>
        <v/>
      </c>
      <c r="BA615" s="754">
        <f>BA606-AV606</f>
        <v/>
      </c>
      <c r="BB615" s="754">
        <f>BB606-AW606</f>
        <v/>
      </c>
      <c r="BC615" s="754">
        <f>BC606-AX606</f>
        <v/>
      </c>
      <c r="BD615" s="754">
        <f>BD606-AY606</f>
        <v/>
      </c>
      <c r="BE615" s="1487">
        <f>BE606-AZ606</f>
        <v/>
      </c>
      <c r="BF615" s="754">
        <f>BF606-BA606</f>
        <v/>
      </c>
      <c r="BG615" s="754">
        <f>BG606-BB606</f>
        <v/>
      </c>
      <c r="BH615" s="754">
        <f>BH606-BC606</f>
        <v/>
      </c>
      <c r="BI615" s="754">
        <f>BI606-BD606</f>
        <v/>
      </c>
      <c r="BJ615" s="1487">
        <f>BJ606-BE606</f>
        <v/>
      </c>
      <c r="BK615" s="754">
        <f>BK606-BF606</f>
        <v/>
      </c>
      <c r="BL615" s="754">
        <f>BL606-BG606</f>
        <v/>
      </c>
      <c r="BM615" s="754">
        <f>BM606-BH606</f>
        <v/>
      </c>
      <c r="BN615" s="754">
        <f>BN606-BI606</f>
        <v/>
      </c>
      <c r="BO615" s="1488">
        <f>BO606-BJ606</f>
        <v/>
      </c>
      <c r="BP615" s="1197" t="n">
        <v>0</v>
      </c>
      <c r="BQ615" s="1197" t="n">
        <v>0</v>
      </c>
      <c r="BR615" s="1197" t="n">
        <v>0</v>
      </c>
      <c r="BS615" s="1197" t="n">
        <v>0</v>
      </c>
      <c r="BT615" s="1272">
        <f>BT606-BO606</f>
        <v/>
      </c>
      <c r="BU615" s="1197" t="n">
        <v>0</v>
      </c>
      <c r="BV615" s="1197" t="n">
        <v>0</v>
      </c>
      <c r="BW615" s="1197" t="n">
        <v>0</v>
      </c>
      <c r="BX615" s="1197" t="n">
        <v>0</v>
      </c>
      <c r="BY615" s="1272">
        <f>BY606-BT606</f>
        <v/>
      </c>
      <c r="BZ615" s="1490" t="n">
        <v>0</v>
      </c>
      <c r="CA615" s="1490" t="n">
        <v>0</v>
      </c>
      <c r="CB615" s="1490" t="n">
        <v>0</v>
      </c>
      <c r="CC615" s="1634" t="n"/>
    </row>
    <row r="616" ht="15" customFormat="1" customHeight="1" s="1628">
      <c r="A616" s="405" t="inlineStr">
        <is>
          <t>Inventories, net, Y/Y Change, %</t>
        </is>
      </c>
      <c r="B616" s="322" t="n"/>
      <c r="C616" s="1272" t="n"/>
      <c r="D616" s="1487">
        <f>D607-C607</f>
        <v/>
      </c>
      <c r="E616" s="1487">
        <f>E607-D607</f>
        <v/>
      </c>
      <c r="F616" s="1487">
        <f>F607-E607</f>
        <v/>
      </c>
      <c r="G616" s="1487">
        <f>G607-F607</f>
        <v/>
      </c>
      <c r="H616" s="678" t="n"/>
      <c r="I616" s="678" t="n"/>
      <c r="J616" s="678" t="n"/>
      <c r="K616" s="678" t="n"/>
      <c r="L616" s="1487">
        <f>L607-G607</f>
        <v/>
      </c>
      <c r="M616" s="678" t="n"/>
      <c r="N616" s="678" t="n"/>
      <c r="O616" s="678" t="n"/>
      <c r="P616" s="678" t="n"/>
      <c r="Q616" s="1487">
        <f>Q607-L607</f>
        <v/>
      </c>
      <c r="R616" s="754">
        <f>R607-M607</f>
        <v/>
      </c>
      <c r="S616" s="754">
        <f>S607-N607</f>
        <v/>
      </c>
      <c r="T616" s="754">
        <f>T607-O607</f>
        <v/>
      </c>
      <c r="U616" s="754">
        <f>U607-P607</f>
        <v/>
      </c>
      <c r="V616" s="1487">
        <f>V607-Q607</f>
        <v/>
      </c>
      <c r="W616" s="754">
        <f>W607-R607</f>
        <v/>
      </c>
      <c r="X616" s="754">
        <f>X607-S607</f>
        <v/>
      </c>
      <c r="Y616" s="754">
        <f>Y607-T607</f>
        <v/>
      </c>
      <c r="Z616" s="754">
        <f>Z607-U607</f>
        <v/>
      </c>
      <c r="AA616" s="1487">
        <f>AA607-V607</f>
        <v/>
      </c>
      <c r="AB616" s="754">
        <f>AB607-W607</f>
        <v/>
      </c>
      <c r="AC616" s="754">
        <f>AC607-X607</f>
        <v/>
      </c>
      <c r="AD616" s="754">
        <f>AD607-Y607</f>
        <v/>
      </c>
      <c r="AE616" s="754">
        <f>AE607-Z607</f>
        <v/>
      </c>
      <c r="AF616" s="1487">
        <f>AF607-AA607</f>
        <v/>
      </c>
      <c r="AG616" s="754">
        <f>AG607-AB607</f>
        <v/>
      </c>
      <c r="AH616" s="754">
        <f>AH607-AC607</f>
        <v/>
      </c>
      <c r="AI616" s="754">
        <f>AI607-AD607</f>
        <v/>
      </c>
      <c r="AJ616" s="754">
        <f>AJ607-AE607</f>
        <v/>
      </c>
      <c r="AK616" s="1487">
        <f>AK607-AF607</f>
        <v/>
      </c>
      <c r="AL616" s="754">
        <f>AL607-AG607</f>
        <v/>
      </c>
      <c r="AM616" s="754">
        <f>AM607-AH607</f>
        <v/>
      </c>
      <c r="AN616" s="754">
        <f>AN607-AI607</f>
        <v/>
      </c>
      <c r="AO616" s="754">
        <f>AO607-AJ607</f>
        <v/>
      </c>
      <c r="AP616" s="1487">
        <f>AP607-AK607</f>
        <v/>
      </c>
      <c r="AQ616" s="754">
        <f>AQ607-AL607</f>
        <v/>
      </c>
      <c r="AR616" s="754">
        <f>AR607-AM607</f>
        <v/>
      </c>
      <c r="AS616" s="754">
        <f>AS607-AN607</f>
        <v/>
      </c>
      <c r="AT616" s="754">
        <f>AT607-AO607</f>
        <v/>
      </c>
      <c r="AU616" s="1487">
        <f>AU607-AP607</f>
        <v/>
      </c>
      <c r="AV616" s="754">
        <f>AV607-AQ607</f>
        <v/>
      </c>
      <c r="AW616" s="754">
        <f>AW607-AR607</f>
        <v/>
      </c>
      <c r="AX616" s="754">
        <f>AX607-AS607</f>
        <v/>
      </c>
      <c r="AY616" s="754">
        <f>AY607-AT607</f>
        <v/>
      </c>
      <c r="AZ616" s="1487">
        <f>AZ607-AU607</f>
        <v/>
      </c>
      <c r="BA616" s="754">
        <f>BA607-AV607</f>
        <v/>
      </c>
      <c r="BB616" s="754">
        <f>BB607-AW607</f>
        <v/>
      </c>
      <c r="BC616" s="754">
        <f>BC607-AX607</f>
        <v/>
      </c>
      <c r="BD616" s="754">
        <f>BD607-AY607</f>
        <v/>
      </c>
      <c r="BE616" s="1487">
        <f>BE607-AZ607</f>
        <v/>
      </c>
      <c r="BF616" s="754">
        <f>BF607-BA607</f>
        <v/>
      </c>
      <c r="BG616" s="754">
        <f>BG607-BB607</f>
        <v/>
      </c>
      <c r="BH616" s="754">
        <f>BH607-BC607</f>
        <v/>
      </c>
      <c r="BI616" s="754">
        <f>BI607-BD607</f>
        <v/>
      </c>
      <c r="BJ616" s="1487">
        <f>BJ607-BE607</f>
        <v/>
      </c>
      <c r="BK616" s="754">
        <f>BK607-BF607</f>
        <v/>
      </c>
      <c r="BL616" s="754">
        <f>BL607-BG607</f>
        <v/>
      </c>
      <c r="BM616" s="754">
        <f>BM607-BH607</f>
        <v/>
      </c>
      <c r="BN616" s="754">
        <f>BN607-BI607</f>
        <v/>
      </c>
      <c r="BO616" s="1488">
        <f>BO607-BJ607</f>
        <v/>
      </c>
      <c r="BP616" s="1197" t="n">
        <v>0</v>
      </c>
      <c r="BQ616" s="1197" t="n">
        <v>0</v>
      </c>
      <c r="BR616" s="1197" t="n">
        <v>0</v>
      </c>
      <c r="BS616" s="1197" t="n">
        <v>0</v>
      </c>
      <c r="BT616" s="1272">
        <f>BT607-BO607</f>
        <v/>
      </c>
      <c r="BU616" s="1197" t="n">
        <v>0</v>
      </c>
      <c r="BV616" s="1197" t="n">
        <v>0</v>
      </c>
      <c r="BW616" s="1197" t="n">
        <v>0</v>
      </c>
      <c r="BX616" s="1197" t="n">
        <v>0</v>
      </c>
      <c r="BY616" s="1272">
        <f>BY607-BT607</f>
        <v/>
      </c>
      <c r="BZ616" s="1490" t="n">
        <v>0</v>
      </c>
      <c r="CA616" s="1490" t="n">
        <v>0</v>
      </c>
      <c r="CB616" s="1490" t="n">
        <v>0</v>
      </c>
      <c r="CC616" s="1634" t="n"/>
    </row>
    <row r="617" ht="15" customFormat="1" customHeight="1" s="1628">
      <c r="A617" s="405" t="inlineStr">
        <is>
          <t>Other assets, Y/Y Change, %</t>
        </is>
      </c>
      <c r="B617" s="322" t="n"/>
      <c r="C617" s="1272" t="n"/>
      <c r="D617" s="1487">
        <f>D608-C608</f>
        <v/>
      </c>
      <c r="E617" s="1487">
        <f>E608-D608</f>
        <v/>
      </c>
      <c r="F617" s="1487">
        <f>F608-E608</f>
        <v/>
      </c>
      <c r="G617" s="1487">
        <f>G608-F608</f>
        <v/>
      </c>
      <c r="H617" s="678" t="n"/>
      <c r="I617" s="678" t="n"/>
      <c r="J617" s="678" t="n"/>
      <c r="K617" s="678" t="n"/>
      <c r="L617" s="1487">
        <f>L608-G608</f>
        <v/>
      </c>
      <c r="M617" s="678" t="n"/>
      <c r="N617" s="678" t="n"/>
      <c r="O617" s="678" t="n"/>
      <c r="P617" s="678" t="n"/>
      <c r="Q617" s="1487">
        <f>Q608-L608</f>
        <v/>
      </c>
      <c r="R617" s="754">
        <f>R608-M608</f>
        <v/>
      </c>
      <c r="S617" s="754">
        <f>S608-N608</f>
        <v/>
      </c>
      <c r="T617" s="754">
        <f>T608-O608</f>
        <v/>
      </c>
      <c r="U617" s="754">
        <f>U608-P608</f>
        <v/>
      </c>
      <c r="V617" s="1487">
        <f>V608-Q608</f>
        <v/>
      </c>
      <c r="W617" s="754">
        <f>W608-R608</f>
        <v/>
      </c>
      <c r="X617" s="754">
        <f>X608-S608</f>
        <v/>
      </c>
      <c r="Y617" s="754">
        <f>Y608-T608</f>
        <v/>
      </c>
      <c r="Z617" s="754">
        <f>Z608-U608</f>
        <v/>
      </c>
      <c r="AA617" s="1487">
        <f>AA608-V608</f>
        <v/>
      </c>
      <c r="AB617" s="754">
        <f>AB608-W608</f>
        <v/>
      </c>
      <c r="AC617" s="754">
        <f>AC608-X608</f>
        <v/>
      </c>
      <c r="AD617" s="754">
        <f>AD608-Y608</f>
        <v/>
      </c>
      <c r="AE617" s="754">
        <f>AE608-Z608</f>
        <v/>
      </c>
      <c r="AF617" s="1487">
        <f>AF608-AA608</f>
        <v/>
      </c>
      <c r="AG617" s="754">
        <f>AG608-AB608</f>
        <v/>
      </c>
      <c r="AH617" s="754">
        <f>AH608-AC608</f>
        <v/>
      </c>
      <c r="AI617" s="754">
        <f>AI608-AD608</f>
        <v/>
      </c>
      <c r="AJ617" s="754">
        <f>AJ608-AE608</f>
        <v/>
      </c>
      <c r="AK617" s="1487">
        <f>AK608-AF608</f>
        <v/>
      </c>
      <c r="AL617" s="754">
        <f>AL608-AG608</f>
        <v/>
      </c>
      <c r="AM617" s="754">
        <f>AM608-AH608</f>
        <v/>
      </c>
      <c r="AN617" s="754">
        <f>AN608-AI608</f>
        <v/>
      </c>
      <c r="AO617" s="754">
        <f>AO608-AJ608</f>
        <v/>
      </c>
      <c r="AP617" s="1487">
        <f>AP608-AK608</f>
        <v/>
      </c>
      <c r="AQ617" s="754">
        <f>AQ608-AL608</f>
        <v/>
      </c>
      <c r="AR617" s="754">
        <f>AR608-AM608</f>
        <v/>
      </c>
      <c r="AS617" s="754">
        <f>AS608-AN608</f>
        <v/>
      </c>
      <c r="AT617" s="754">
        <f>AT608-AO608</f>
        <v/>
      </c>
      <c r="AU617" s="1487">
        <f>AU608-AP608</f>
        <v/>
      </c>
      <c r="AV617" s="754">
        <f>AV608-AQ608</f>
        <v/>
      </c>
      <c r="AW617" s="754">
        <f>AW608-AR608</f>
        <v/>
      </c>
      <c r="AX617" s="754">
        <f>AX608-AS608</f>
        <v/>
      </c>
      <c r="AY617" s="754">
        <f>AY608-AT608</f>
        <v/>
      </c>
      <c r="AZ617" s="1487">
        <f>AZ608-AU608</f>
        <v/>
      </c>
      <c r="BA617" s="754">
        <f>BA608-AV608</f>
        <v/>
      </c>
      <c r="BB617" s="754">
        <f>BB608-AW608</f>
        <v/>
      </c>
      <c r="BC617" s="754">
        <f>BC608-AX608</f>
        <v/>
      </c>
      <c r="BD617" s="754">
        <f>BD608-AY608</f>
        <v/>
      </c>
      <c r="BE617" s="1487">
        <f>BE608-AZ608</f>
        <v/>
      </c>
      <c r="BF617" s="754">
        <f>BF608-BA608</f>
        <v/>
      </c>
      <c r="BG617" s="754">
        <f>BG608-BB608</f>
        <v/>
      </c>
      <c r="BH617" s="754">
        <f>BH608-BC608</f>
        <v/>
      </c>
      <c r="BI617" s="754">
        <f>BI608-BD608</f>
        <v/>
      </c>
      <c r="BJ617" s="1487">
        <f>BJ608-BE608</f>
        <v/>
      </c>
      <c r="BK617" s="754">
        <f>BK608-BF608</f>
        <v/>
      </c>
      <c r="BL617" s="754">
        <f>BL608-BG608</f>
        <v/>
      </c>
      <c r="BM617" s="754">
        <f>BM608-BH608</f>
        <v/>
      </c>
      <c r="BN617" s="754">
        <f>BN608-BI608</f>
        <v/>
      </c>
      <c r="BO617" s="1488">
        <f>BO608-BJ608</f>
        <v/>
      </c>
      <c r="BP617" s="1197" t="n">
        <v>0</v>
      </c>
      <c r="BQ617" s="1197" t="n">
        <v>0</v>
      </c>
      <c r="BR617" s="1197" t="n">
        <v>0</v>
      </c>
      <c r="BS617" s="1197" t="n">
        <v>0</v>
      </c>
      <c r="BT617" s="1272">
        <f>BT608-BO608</f>
        <v/>
      </c>
      <c r="BU617" s="1197" t="n">
        <v>0</v>
      </c>
      <c r="BV617" s="1197" t="n">
        <v>0</v>
      </c>
      <c r="BW617" s="1197" t="n">
        <v>0</v>
      </c>
      <c r="BX617" s="1197" t="n">
        <v>0</v>
      </c>
      <c r="BY617" s="1272">
        <f>BY608-BT608</f>
        <v/>
      </c>
      <c r="BZ617" s="1490" t="n">
        <v>0</v>
      </c>
      <c r="CA617" s="1490" t="n">
        <v>0</v>
      </c>
      <c r="CB617" s="1490" t="n">
        <v>0</v>
      </c>
      <c r="CC617" s="1634" t="n"/>
    </row>
    <row r="618" ht="15" customFormat="1" customHeight="1" s="1628">
      <c r="A618" s="498" t="inlineStr">
        <is>
          <t>Accrued and other liabilities, Y/Y Change, %</t>
        </is>
      </c>
      <c r="B618" s="322" t="n"/>
      <c r="C618" s="1272" t="n"/>
      <c r="D618" s="1272">
        <f>D609-C609</f>
        <v/>
      </c>
      <c r="E618" s="1272">
        <f>E609-D609</f>
        <v/>
      </c>
      <c r="F618" s="1272">
        <f>F609-E609</f>
        <v/>
      </c>
      <c r="G618" s="1272">
        <f>G609-F609</f>
        <v/>
      </c>
      <c r="H618" s="678" t="n"/>
      <c r="I618" s="678" t="n"/>
      <c r="J618" s="678" t="n"/>
      <c r="K618" s="678" t="n"/>
      <c r="L618" s="1272">
        <f>L609-G609</f>
        <v/>
      </c>
      <c r="M618" s="678" t="n"/>
      <c r="N618" s="678" t="n"/>
      <c r="O618" s="678" t="n"/>
      <c r="P618" s="678" t="n"/>
      <c r="Q618" s="1272">
        <f>Q609-L609</f>
        <v/>
      </c>
      <c r="R618" s="678" t="n"/>
      <c r="S618" s="678" t="n"/>
      <c r="T618" s="678" t="n"/>
      <c r="U618" s="678" t="n"/>
      <c r="V618" s="1272">
        <f>V609-Q609</f>
        <v/>
      </c>
      <c r="W618" s="678" t="n"/>
      <c r="X618" s="678" t="n"/>
      <c r="Y618" s="678" t="n"/>
      <c r="Z618" s="678" t="n"/>
      <c r="AA618" s="1272">
        <f>AA609-V609</f>
        <v/>
      </c>
      <c r="AB618" s="678" t="n"/>
      <c r="AC618" s="678" t="n"/>
      <c r="AD618" s="678" t="n"/>
      <c r="AE618" s="678" t="n"/>
      <c r="AF618" s="1272">
        <f>AF609-AA609</f>
        <v/>
      </c>
      <c r="AG618" s="678" t="n"/>
      <c r="AH618" s="678" t="n"/>
      <c r="AI618" s="678" t="n"/>
      <c r="AJ618" s="678" t="n"/>
      <c r="AK618" s="1272">
        <f>AK609-AF609</f>
        <v/>
      </c>
      <c r="AL618" s="678" t="n"/>
      <c r="AM618" s="678" t="n"/>
      <c r="AN618" s="678" t="n"/>
      <c r="AO618" s="678" t="n"/>
      <c r="AP618" s="1272">
        <f>AP609-AK609</f>
        <v/>
      </c>
      <c r="AQ618" s="678" t="n"/>
      <c r="AR618" s="678" t="n"/>
      <c r="AS618" s="678" t="n"/>
      <c r="AT618" s="678" t="n"/>
      <c r="AU618" s="1272">
        <f>AU609-AP609</f>
        <v/>
      </c>
      <c r="AV618" s="678" t="n"/>
      <c r="AW618" s="678" t="n"/>
      <c r="AX618" s="678" t="n"/>
      <c r="AY618" s="678" t="n"/>
      <c r="AZ618" s="1272">
        <f>AZ609-AU609</f>
        <v/>
      </c>
      <c r="BA618" s="678" t="n"/>
      <c r="BB618" s="678" t="n"/>
      <c r="BC618" s="678" t="n"/>
      <c r="BD618" s="678" t="n"/>
      <c r="BE618" s="1272">
        <f>BE609-AZ609</f>
        <v/>
      </c>
      <c r="BF618" s="678" t="n"/>
      <c r="BG618" s="678" t="n"/>
      <c r="BH618" s="678" t="n"/>
      <c r="BI618" s="678" t="n"/>
      <c r="BJ618" s="1487">
        <f>BJ609-BE609</f>
        <v/>
      </c>
      <c r="BK618" s="678" t="n"/>
      <c r="BL618" s="678" t="n"/>
      <c r="BM618" s="678" t="n"/>
      <c r="BN618" s="678" t="n"/>
      <c r="BO618" s="1488">
        <f>BO609-BJ609</f>
        <v/>
      </c>
      <c r="BP618" s="678" t="n"/>
      <c r="BQ618" s="678" t="n"/>
      <c r="BR618" s="678" t="n"/>
      <c r="BS618" s="1197" t="n">
        <v>0</v>
      </c>
      <c r="BT618" s="1272">
        <f>BT609-BO609</f>
        <v/>
      </c>
      <c r="BU618" s="678" t="n"/>
      <c r="BV618" s="678" t="n"/>
      <c r="BW618" s="678" t="n"/>
      <c r="BX618" s="1197" t="n">
        <v>0</v>
      </c>
      <c r="BY618" s="1272">
        <f>BY609-BT609</f>
        <v/>
      </c>
      <c r="BZ618" s="1490" t="n">
        <v>0</v>
      </c>
      <c r="CA618" s="1490" t="n">
        <v>0</v>
      </c>
      <c r="CB618" s="1490" t="n">
        <v>0</v>
      </c>
      <c r="CC618" s="1634" t="n"/>
    </row>
    <row r="619" ht="15" customFormat="1" customHeight="1" s="1628">
      <c r="A619" s="498" t="inlineStr">
        <is>
          <t>Accounts payable, Y/Y Change, %</t>
        </is>
      </c>
      <c r="B619" s="322" t="n"/>
      <c r="C619" s="1272" t="n"/>
      <c r="D619" s="1272">
        <f>D610-C610</f>
        <v/>
      </c>
      <c r="E619" s="1272">
        <f>E610-D610</f>
        <v/>
      </c>
      <c r="F619" s="1272">
        <f>F610-E610</f>
        <v/>
      </c>
      <c r="G619" s="1272">
        <f>G610-F610</f>
        <v/>
      </c>
      <c r="H619" s="678" t="n"/>
      <c r="I619" s="678" t="n"/>
      <c r="J619" s="678" t="n"/>
      <c r="K619" s="678" t="n"/>
      <c r="L619" s="1272">
        <f>L610-G610</f>
        <v/>
      </c>
      <c r="M619" s="678" t="n"/>
      <c r="N619" s="678" t="n"/>
      <c r="O619" s="678" t="n"/>
      <c r="P619" s="678" t="n"/>
      <c r="Q619" s="1272">
        <f>Q610-L610</f>
        <v/>
      </c>
      <c r="R619" s="678" t="n"/>
      <c r="S619" s="678" t="n"/>
      <c r="T619" s="678" t="n"/>
      <c r="U619" s="678" t="n"/>
      <c r="V619" s="1272">
        <f>V610-Q610</f>
        <v/>
      </c>
      <c r="W619" s="678" t="n"/>
      <c r="X619" s="678" t="n"/>
      <c r="Y619" s="678" t="n"/>
      <c r="Z619" s="678" t="n"/>
      <c r="AA619" s="1272">
        <f>AA610-V610</f>
        <v/>
      </c>
      <c r="AB619" s="678" t="n"/>
      <c r="AC619" s="678" t="n"/>
      <c r="AD619" s="678" t="n"/>
      <c r="AE619" s="678" t="n"/>
      <c r="AF619" s="1272">
        <f>AF610-AA610</f>
        <v/>
      </c>
      <c r="AG619" s="678" t="n"/>
      <c r="AH619" s="678" t="n"/>
      <c r="AI619" s="678" t="n"/>
      <c r="AJ619" s="678" t="n"/>
      <c r="AK619" s="1272">
        <f>AK610-AF610</f>
        <v/>
      </c>
      <c r="AL619" s="678" t="n"/>
      <c r="AM619" s="678" t="n"/>
      <c r="AN619" s="678" t="n"/>
      <c r="AO619" s="678" t="n"/>
      <c r="AP619" s="1272">
        <f>AP610-AK610</f>
        <v/>
      </c>
      <c r="AQ619" s="678" t="n"/>
      <c r="AR619" s="678" t="n"/>
      <c r="AS619" s="678" t="n"/>
      <c r="AT619" s="678" t="n"/>
      <c r="AU619" s="1272">
        <f>AU610-AP610</f>
        <v/>
      </c>
      <c r="AV619" s="678" t="n"/>
      <c r="AW619" s="678" t="n"/>
      <c r="AX619" s="678" t="n"/>
      <c r="AY619" s="678" t="n"/>
      <c r="AZ619" s="1272">
        <f>AZ610-AU610</f>
        <v/>
      </c>
      <c r="BA619" s="678" t="n"/>
      <c r="BB619" s="678" t="n"/>
      <c r="BC619" s="678" t="n"/>
      <c r="BD619" s="678" t="n"/>
      <c r="BE619" s="1272">
        <f>BE610-AZ610</f>
        <v/>
      </c>
      <c r="BF619" s="678" t="n"/>
      <c r="BG619" s="678" t="n"/>
      <c r="BH619" s="678" t="n"/>
      <c r="BI619" s="678" t="n"/>
      <c r="BJ619" s="1487">
        <f>BJ610-BE610</f>
        <v/>
      </c>
      <c r="BK619" s="678" t="n"/>
      <c r="BL619" s="678" t="n"/>
      <c r="BM619" s="678" t="n"/>
      <c r="BN619" s="678" t="n"/>
      <c r="BO619" s="1488">
        <f>BO610-BJ610</f>
        <v/>
      </c>
      <c r="BP619" s="678" t="n"/>
      <c r="BQ619" s="678" t="n"/>
      <c r="BR619" s="678" t="n"/>
      <c r="BS619" s="1197" t="n">
        <v>0</v>
      </c>
      <c r="BT619" s="1272">
        <f>BT610-BO610</f>
        <v/>
      </c>
      <c r="BU619" s="678" t="n"/>
      <c r="BV619" s="678" t="n"/>
      <c r="BW619" s="678" t="n"/>
      <c r="BX619" s="1197" t="n">
        <v>0</v>
      </c>
      <c r="BY619" s="1272">
        <f>BY610-BT610</f>
        <v/>
      </c>
      <c r="BZ619" s="1490" t="n">
        <v>0</v>
      </c>
      <c r="CA619" s="1490" t="n">
        <v>0</v>
      </c>
      <c r="CB619" s="1490" t="n">
        <v>0</v>
      </c>
      <c r="CC619" s="1634" t="n"/>
    </row>
    <row r="620" ht="15" customFormat="1" customHeight="1" s="1628">
      <c r="A620" s="498" t="inlineStr">
        <is>
          <t>Contract liabilities, current, Y/Y Change, %</t>
        </is>
      </c>
      <c r="B620" s="322" t="n"/>
      <c r="C620" s="1272" t="n"/>
      <c r="D620" s="1272" t="n"/>
      <c r="E620" s="1272" t="n"/>
      <c r="F620" s="1272" t="n"/>
      <c r="G620" s="1272" t="n"/>
      <c r="H620" s="678" t="n"/>
      <c r="I620" s="678" t="n"/>
      <c r="J620" s="678" t="n"/>
      <c r="K620" s="678" t="n"/>
      <c r="L620" s="1272" t="n"/>
      <c r="M620" s="678" t="n"/>
      <c r="N620" s="678" t="n"/>
      <c r="O620" s="678" t="n"/>
      <c r="P620" s="678" t="n"/>
      <c r="Q620" s="1272" t="n"/>
      <c r="R620" s="678" t="n"/>
      <c r="S620" s="678" t="n"/>
      <c r="T620" s="678" t="n"/>
      <c r="U620" s="678" t="n"/>
      <c r="V620" s="1272" t="n"/>
      <c r="W620" s="678" t="n"/>
      <c r="X620" s="678" t="n"/>
      <c r="Y620" s="678" t="n"/>
      <c r="Z620" s="678" t="n"/>
      <c r="AA620" s="1272" t="n"/>
      <c r="AB620" s="678" t="n"/>
      <c r="AC620" s="678" t="n"/>
      <c r="AD620" s="678" t="n"/>
      <c r="AE620" s="678" t="n"/>
      <c r="AF620" s="1272" t="n"/>
      <c r="AG620" s="678" t="n"/>
      <c r="AH620" s="678" t="n"/>
      <c r="AI620" s="678" t="n"/>
      <c r="AJ620" s="678" t="n"/>
      <c r="AK620" s="1272">
        <f>AK611-AF611</f>
        <v/>
      </c>
      <c r="AL620" s="678" t="n"/>
      <c r="AM620" s="678" t="n"/>
      <c r="AN620" s="678" t="n"/>
      <c r="AO620" s="678" t="n"/>
      <c r="AP620" s="1272">
        <f>AP611-AK611</f>
        <v/>
      </c>
      <c r="AQ620" s="678" t="n"/>
      <c r="AR620" s="678" t="n"/>
      <c r="AS620" s="678" t="n"/>
      <c r="AT620" s="678" t="n"/>
      <c r="AU620" s="1272">
        <f>AU611-AP611</f>
        <v/>
      </c>
      <c r="AV620" s="678" t="n"/>
      <c r="AW620" s="678" t="n"/>
      <c r="AX620" s="678" t="n"/>
      <c r="AY620" s="678" t="n"/>
      <c r="AZ620" s="1272">
        <f>AZ611-AU611</f>
        <v/>
      </c>
      <c r="BA620" s="678" t="n"/>
      <c r="BB620" s="678" t="n"/>
      <c r="BC620" s="678" t="n"/>
      <c r="BD620" s="678" t="n"/>
      <c r="BE620" s="1272">
        <f>BE611-AZ611</f>
        <v/>
      </c>
      <c r="BF620" s="678" t="n"/>
      <c r="BG620" s="678" t="n"/>
      <c r="BH620" s="678" t="n"/>
      <c r="BI620" s="678" t="n"/>
      <c r="BJ620" s="1487">
        <f>BJ611-BE611</f>
        <v/>
      </c>
      <c r="BK620" s="678" t="n"/>
      <c r="BL620" s="678" t="n"/>
      <c r="BM620" s="678" t="n"/>
      <c r="BN620" s="678" t="n"/>
      <c r="BO620" s="1488">
        <f>BO611-BJ611</f>
        <v/>
      </c>
      <c r="BP620" s="678" t="n"/>
      <c r="BQ620" s="678" t="n"/>
      <c r="BR620" s="678" t="n"/>
      <c r="BS620" s="1197" t="n">
        <v>0</v>
      </c>
      <c r="BT620" s="1272">
        <f>BT611-BO611</f>
        <v/>
      </c>
      <c r="BU620" s="678" t="n"/>
      <c r="BV620" s="678" t="n"/>
      <c r="BW620" s="678" t="n"/>
      <c r="BX620" s="1197" t="n">
        <v>0</v>
      </c>
      <c r="BY620" s="1272">
        <f>BY611-BT611</f>
        <v/>
      </c>
      <c r="BZ620" s="1490" t="n">
        <v>0</v>
      </c>
      <c r="CA620" s="1490" t="n">
        <v>0</v>
      </c>
      <c r="CB620" s="1490" t="n">
        <v>0</v>
      </c>
      <c r="CC620" s="1634" t="n"/>
    </row>
    <row r="621" ht="15" customFormat="1" customHeight="1" s="1628">
      <c r="A621" s="498" t="inlineStr">
        <is>
          <t>Current tax liabilities, Y/Y Change, %</t>
        </is>
      </c>
      <c r="B621" s="322" t="n"/>
      <c r="C621" s="1272" t="n"/>
      <c r="D621" s="1272">
        <f>D612-C612</f>
        <v/>
      </c>
      <c r="E621" s="1272">
        <f>E612-D612</f>
        <v/>
      </c>
      <c r="F621" s="1272">
        <f>F612-E612</f>
        <v/>
      </c>
      <c r="G621" s="1272">
        <f>G612-F612</f>
        <v/>
      </c>
      <c r="H621" s="678" t="n"/>
      <c r="I621" s="678" t="n"/>
      <c r="J621" s="678" t="n"/>
      <c r="K621" s="678" t="n"/>
      <c r="L621" s="1272">
        <f>L612-G612</f>
        <v/>
      </c>
      <c r="M621" s="678" t="n"/>
      <c r="N621" s="678" t="n"/>
      <c r="O621" s="678" t="n"/>
      <c r="P621" s="678" t="n"/>
      <c r="Q621" s="1272">
        <f>Q612-L612</f>
        <v/>
      </c>
      <c r="R621" s="678" t="n"/>
      <c r="S621" s="678" t="n"/>
      <c r="T621" s="678" t="n"/>
      <c r="U621" s="678" t="n"/>
      <c r="V621" s="1272">
        <f>V612-Q612</f>
        <v/>
      </c>
      <c r="W621" s="678" t="n"/>
      <c r="X621" s="678" t="n"/>
      <c r="Y621" s="678" t="n"/>
      <c r="Z621" s="678" t="n"/>
      <c r="AA621" s="1272">
        <f>AA612-V612</f>
        <v/>
      </c>
      <c r="AB621" s="678" t="n"/>
      <c r="AC621" s="678" t="n"/>
      <c r="AD621" s="678" t="n"/>
      <c r="AE621" s="678" t="n"/>
      <c r="AF621" s="1272">
        <f>AF612-AA612</f>
        <v/>
      </c>
      <c r="AG621" s="678" t="n"/>
      <c r="AH621" s="678" t="n"/>
      <c r="AI621" s="678" t="n"/>
      <c r="AJ621" s="678" t="n"/>
      <c r="AK621" s="1272">
        <f>AK612-AF612</f>
        <v/>
      </c>
      <c r="AL621" s="678" t="n"/>
      <c r="AM621" s="678" t="n"/>
      <c r="AN621" s="678" t="n"/>
      <c r="AO621" s="678" t="n"/>
      <c r="AP621" s="1272">
        <f>AP612-AK612</f>
        <v/>
      </c>
      <c r="AQ621" s="678" t="n"/>
      <c r="AR621" s="678" t="n"/>
      <c r="AS621" s="678" t="n"/>
      <c r="AT621" s="678" t="n"/>
      <c r="AU621" s="1272">
        <f>AU612-AP612</f>
        <v/>
      </c>
      <c r="AV621" s="678" t="n"/>
      <c r="AW621" s="678" t="n"/>
      <c r="AX621" s="678" t="n"/>
      <c r="AY621" s="678" t="n"/>
      <c r="AZ621" s="1272">
        <f>AZ612-AU612</f>
        <v/>
      </c>
      <c r="BA621" s="678" t="n"/>
      <c r="BB621" s="678" t="n"/>
      <c r="BC621" s="678" t="n"/>
      <c r="BD621" s="678" t="n"/>
      <c r="BE621" s="1272">
        <f>BE612-AZ612</f>
        <v/>
      </c>
      <c r="BF621" s="678" t="n"/>
      <c r="BG621" s="678" t="n"/>
      <c r="BH621" s="678" t="n"/>
      <c r="BI621" s="678" t="n"/>
      <c r="BJ621" s="1487">
        <f>BJ612-BE612</f>
        <v/>
      </c>
      <c r="BK621" s="678" t="n"/>
      <c r="BL621" s="678" t="n"/>
      <c r="BM621" s="678" t="n"/>
      <c r="BN621" s="678" t="n"/>
      <c r="BO621" s="1488">
        <f>BO612-BJ612</f>
        <v/>
      </c>
      <c r="BP621" s="678" t="n"/>
      <c r="BQ621" s="678" t="n"/>
      <c r="BR621" s="678" t="n"/>
      <c r="BS621" s="1197" t="n">
        <v>0</v>
      </c>
      <c r="BT621" s="1272">
        <f>BT612-BO612</f>
        <v/>
      </c>
      <c r="BU621" s="678" t="n"/>
      <c r="BV621" s="678" t="n"/>
      <c r="BW621" s="678" t="n"/>
      <c r="BX621" s="1197" t="n">
        <v>0</v>
      </c>
      <c r="BY621" s="1272">
        <f>BY612-BT612</f>
        <v/>
      </c>
      <c r="BZ621" s="1490" t="n">
        <v>0</v>
      </c>
      <c r="CA621" s="1490" t="n">
        <v>0</v>
      </c>
      <c r="CB621" s="1490" t="n">
        <v>0</v>
      </c>
      <c r="CC621" s="1634" t="n"/>
    </row>
    <row r="622" ht="15" customFormat="1" customHeight="1" s="1628">
      <c r="A622" s="1622" t="n"/>
      <c r="B622" s="1705" t="n"/>
      <c r="C622" s="1624" t="n"/>
      <c r="D622" s="1624" t="n"/>
      <c r="E622" s="1624" t="n"/>
      <c r="F622" s="1624" t="n"/>
      <c r="G622" s="1624" t="n"/>
      <c r="H622" s="1626" t="n"/>
      <c r="I622" s="1626" t="n"/>
      <c r="J622" s="1626" t="n"/>
      <c r="K622" s="1626" t="n"/>
      <c r="L622" s="1624" t="n"/>
      <c r="M622" s="1626" t="n"/>
      <c r="N622" s="1626" t="n"/>
      <c r="O622" s="1626" t="n"/>
      <c r="P622" s="1626" t="n"/>
      <c r="Q622" s="1624" t="n"/>
      <c r="R622" s="1626" t="n"/>
      <c r="S622" s="1626" t="n"/>
      <c r="T622" s="1626" t="n"/>
      <c r="U622" s="1626" t="n"/>
      <c r="V622" s="1624" t="n"/>
      <c r="W622" s="1626" t="n"/>
      <c r="X622" s="1626" t="n"/>
      <c r="Y622" s="1626" t="n"/>
      <c r="Z622" s="1626" t="n"/>
      <c r="AA622" s="1624" t="n"/>
      <c r="AB622" s="1626" t="n"/>
      <c r="AC622" s="1626" t="n"/>
      <c r="AD622" s="1626" t="n"/>
      <c r="AE622" s="1626" t="n"/>
      <c r="AF622" s="1624" t="n"/>
      <c r="AG622" s="1626" t="n"/>
      <c r="AH622" s="1626" t="n"/>
      <c r="AI622" s="1626" t="n"/>
      <c r="AJ622" s="1626" t="n"/>
      <c r="AK622" s="1624" t="n"/>
      <c r="AL622" s="1626" t="n"/>
      <c r="AM622" s="1626" t="n"/>
      <c r="AN622" s="1626" t="n"/>
      <c r="AO622" s="1626" t="n"/>
      <c r="AP622" s="1624" t="n"/>
      <c r="AQ622" s="1626" t="n"/>
      <c r="AR622" s="1626" t="n"/>
      <c r="AS622" s="1626" t="n"/>
      <c r="AT622" s="1626" t="n"/>
      <c r="AU622" s="1624" t="n"/>
      <c r="AV622" s="1626" t="n"/>
      <c r="AW622" s="1626" t="n"/>
      <c r="AX622" s="1626" t="n"/>
      <c r="AY622" s="1626" t="n"/>
      <c r="AZ622" s="1624" t="n"/>
      <c r="BA622" s="1626" t="n"/>
      <c r="BB622" s="1626" t="n"/>
      <c r="BC622" s="1626" t="n"/>
      <c r="BD622" s="1626" t="n"/>
      <c r="BE622" s="1624" t="n"/>
      <c r="BF622" s="1626" t="n"/>
      <c r="BG622" s="1626" t="n"/>
      <c r="BH622" s="1626" t="n"/>
      <c r="BI622" s="1626" t="n"/>
      <c r="BJ622" s="1624" t="n"/>
      <c r="BK622" s="1626" t="n"/>
      <c r="BL622" s="1626" t="n"/>
      <c r="BM622" s="1626" t="n"/>
      <c r="BN622" s="1626" t="n"/>
      <c r="BO622" s="1627" t="n"/>
      <c r="BP622" s="1626" t="n"/>
      <c r="BQ622" s="1626" t="n"/>
      <c r="BR622" s="1626" t="n"/>
      <c r="BS622" s="1626" t="n"/>
      <c r="BT622" s="1624" t="n"/>
      <c r="BU622" s="1626" t="n"/>
      <c r="BV622" s="1626" t="n"/>
      <c r="BW622" s="1626" t="n"/>
      <c r="BX622" s="1626" t="n"/>
      <c r="BY622" s="1624" t="n"/>
      <c r="BZ622" s="1624" t="n"/>
      <c r="CA622" s="1624" t="n"/>
      <c r="CB622" s="1624" t="n"/>
      <c r="CC622" s="1634" t="n"/>
    </row>
    <row r="623" ht="15" customFormat="1" customHeight="1" s="1628">
      <c r="A623" s="1786" t="inlineStr">
        <is>
          <t>Balance Sheet</t>
        </is>
      </c>
      <c r="B623" s="1786" t="n"/>
      <c r="C623" s="1786" t="n"/>
      <c r="D623" s="1786" t="n"/>
      <c r="E623" s="1786" t="n"/>
      <c r="F623" s="1786" t="n"/>
      <c r="G623" s="1786" t="n"/>
      <c r="H623" s="1786" t="n"/>
      <c r="I623" s="1786" t="n"/>
      <c r="J623" s="1786" t="n"/>
      <c r="K623" s="1786" t="n"/>
      <c r="L623" s="1786" t="n"/>
      <c r="M623" s="1786" t="n"/>
      <c r="N623" s="1786" t="n"/>
      <c r="O623" s="1786" t="n"/>
      <c r="P623" s="1786" t="n"/>
      <c r="Q623" s="1786" t="n"/>
      <c r="R623" s="1786" t="n"/>
      <c r="S623" s="1786" t="n"/>
      <c r="T623" s="1786" t="n"/>
      <c r="U623" s="1786" t="n"/>
      <c r="V623" s="1786" t="n"/>
      <c r="W623" s="1786" t="n"/>
      <c r="X623" s="1786" t="n"/>
      <c r="Y623" s="1786" t="n"/>
      <c r="Z623" s="1786" t="n"/>
      <c r="AA623" s="1786" t="n"/>
      <c r="AB623" s="1786" t="n"/>
      <c r="AC623" s="1786" t="n"/>
      <c r="AD623" s="1786" t="n"/>
      <c r="AE623" s="1786" t="n"/>
      <c r="AF623" s="1786" t="n"/>
      <c r="AG623" s="1786" t="n"/>
      <c r="AH623" s="1786" t="n"/>
      <c r="AI623" s="1786" t="n"/>
      <c r="AJ623" s="1786" t="n"/>
      <c r="AK623" s="1786" t="n"/>
      <c r="AL623" s="1786" t="n"/>
      <c r="AM623" s="1786" t="n"/>
      <c r="AN623" s="1786" t="n"/>
      <c r="AO623" s="1786" t="n"/>
      <c r="AP623" s="1786" t="n"/>
      <c r="AQ623" s="1786" t="n"/>
      <c r="AR623" s="1786" t="n"/>
      <c r="AS623" s="1786" t="n"/>
      <c r="AT623" s="1786" t="n"/>
      <c r="AU623" s="1786" t="n"/>
      <c r="AV623" s="1786" t="n"/>
      <c r="AW623" s="1786" t="n"/>
      <c r="AX623" s="1786" t="n"/>
      <c r="AY623" s="1786" t="n"/>
      <c r="AZ623" s="1786" t="n"/>
      <c r="BA623" s="1786" t="n"/>
      <c r="BB623" s="1786" t="n"/>
      <c r="BC623" s="1786" t="n"/>
      <c r="BD623" s="1786" t="n"/>
      <c r="BE623" s="1786" t="n"/>
      <c r="BF623" s="1786" t="n"/>
      <c r="BG623" s="1786" t="n"/>
      <c r="BH623" s="1786" t="n"/>
      <c r="BI623" s="1786" t="n"/>
      <c r="BJ623" s="1786" t="n"/>
      <c r="BK623" s="1786" t="n"/>
      <c r="BL623" s="1786" t="n"/>
      <c r="BM623" s="1786" t="n"/>
      <c r="BN623" s="1786" t="n"/>
      <c r="BO623" s="1826" t="n"/>
      <c r="BP623" s="1786" t="n"/>
      <c r="BQ623" s="1786" t="n"/>
      <c r="BR623" s="1786" t="n"/>
      <c r="BS623" s="1786" t="n"/>
      <c r="BT623" s="1786" t="n"/>
      <c r="BU623" s="1786" t="n"/>
      <c r="BV623" s="1786" t="n"/>
      <c r="BW623" s="1786" t="n"/>
      <c r="BX623" s="1786" t="n"/>
      <c r="BY623" s="1786" t="n"/>
      <c r="BZ623" s="1786" t="n"/>
      <c r="CA623" s="1786" t="n"/>
      <c r="CB623" s="1786" t="n"/>
      <c r="CC623" s="1634" t="n"/>
    </row>
    <row r="624" ht="15" customFormat="1" customHeight="1" s="1561">
      <c r="A624" s="1681" t="inlineStr">
        <is>
          <t>Current Assets</t>
        </is>
      </c>
      <c r="B624" s="1705" t="n"/>
      <c r="C624" s="1637" t="n"/>
      <c r="D624" s="1637" t="n"/>
      <c r="E624" s="1637" t="n"/>
      <c r="F624" s="1637" t="n"/>
      <c r="G624" s="1637" t="n"/>
      <c r="H624" s="1562" t="n"/>
      <c r="I624" s="1562" t="n"/>
      <c r="J624" s="1562" t="n"/>
      <c r="K624" s="1562" t="n"/>
      <c r="L624" s="1637" t="n"/>
      <c r="M624" s="1562" t="n"/>
      <c r="N624" s="1562" t="n"/>
      <c r="O624" s="1562" t="n"/>
      <c r="P624" s="1562" t="n"/>
      <c r="Q624" s="1637" t="n"/>
      <c r="R624" s="1562" t="n"/>
      <c r="S624" s="1562" t="n"/>
      <c r="T624" s="1562" t="n"/>
      <c r="U624" s="1562" t="n"/>
      <c r="V624" s="1637" t="n"/>
      <c r="W624" s="1562" t="n"/>
      <c r="X624" s="1562" t="n"/>
      <c r="Y624" s="1562" t="n"/>
      <c r="Z624" s="1562" t="n"/>
      <c r="AA624" s="1637" t="n"/>
      <c r="AB624" s="1562" t="n"/>
      <c r="AC624" s="1562" t="n"/>
      <c r="AD624" s="1562" t="n"/>
      <c r="AE624" s="1562" t="n"/>
      <c r="AF624" s="1637" t="n"/>
      <c r="AG624" s="1562" t="n"/>
      <c r="AH624" s="1562" t="n"/>
      <c r="AI624" s="1562" t="n"/>
      <c r="AJ624" s="1562" t="n"/>
      <c r="AK624" s="1637" t="n"/>
      <c r="AL624" s="1562" t="n"/>
      <c r="AM624" s="1562" t="n"/>
      <c r="AN624" s="1562" t="n"/>
      <c r="AO624" s="1562" t="n"/>
      <c r="AP624" s="1637" t="n"/>
      <c r="AQ624" s="1562" t="n"/>
      <c r="AR624" s="1562" t="n"/>
      <c r="AS624" s="1562" t="n"/>
      <c r="AT624" s="1562" t="n"/>
      <c r="AU624" s="1637" t="n"/>
      <c r="AV624" s="1562" t="n"/>
      <c r="AW624" s="1562" t="n"/>
      <c r="AX624" s="1562" t="n"/>
      <c r="AY624" s="1562" t="n"/>
      <c r="AZ624" s="1637" t="n"/>
      <c r="BA624" s="1562" t="n"/>
      <c r="BB624" s="1562" t="n"/>
      <c r="BC624" s="1562" t="n"/>
      <c r="BD624" s="1562" t="n"/>
      <c r="BE624" s="1637" t="n"/>
      <c r="BF624" s="1562" t="n"/>
      <c r="BG624" s="1562" t="n"/>
      <c r="BH624" s="1562" t="n"/>
      <c r="BI624" s="1562" t="n"/>
      <c r="BJ624" s="1637" t="n"/>
      <c r="BK624" s="1562" t="n"/>
      <c r="BL624" s="1562" t="n"/>
      <c r="BM624" s="1562" t="n"/>
      <c r="BN624" s="1562" t="n"/>
      <c r="BO624" s="1638" t="n"/>
      <c r="BP624" s="1562" t="n"/>
      <c r="BQ624" s="1562" t="n"/>
      <c r="BR624" s="1562" t="n"/>
      <c r="BS624" s="1562" t="n"/>
      <c r="BT624" s="1637" t="n"/>
      <c r="BU624" s="1562" t="n"/>
      <c r="BV624" s="1562" t="n"/>
      <c r="BW624" s="1562" t="n"/>
      <c r="BX624" s="1562" t="n"/>
      <c r="BY624" s="1637" t="n"/>
      <c r="BZ624" s="1637" t="n"/>
      <c r="CA624" s="1637" t="n"/>
      <c r="CB624" s="1637" t="n"/>
      <c r="CC624" s="1564" t="n"/>
    </row>
    <row r="625" ht="15" customFormat="1" customHeight="1" s="1561">
      <c r="A625" s="1721" t="inlineStr">
        <is>
          <t>Cash and cash equivalents</t>
        </is>
      </c>
      <c r="B625" s="1705" t="n"/>
      <c r="C625" s="1787" t="n">
        <v>1037.074</v>
      </c>
      <c r="D625" s="1787" t="n">
        <v>1949.834</v>
      </c>
      <c r="E625" s="1787" t="n">
        <v>2731.782</v>
      </c>
      <c r="F625" s="1787" t="n">
        <v>1767.596</v>
      </c>
      <c r="G625" s="1706" t="n">
        <v>2330.694</v>
      </c>
      <c r="H625" s="1714" t="n">
        <v>2398.1</v>
      </c>
      <c r="I625" s="1714" t="n">
        <v>2111</v>
      </c>
      <c r="J625" s="1714" t="n">
        <v>2144.8</v>
      </c>
      <c r="K625" s="1564">
        <f>L625</f>
        <v/>
      </c>
      <c r="L625" s="1706" t="n">
        <v>2419.487</v>
      </c>
      <c r="M625" s="1714" t="n">
        <v>2778.5</v>
      </c>
      <c r="N625" s="1714" t="n">
        <v>2495</v>
      </c>
      <c r="O625" s="1714" t="n">
        <v>2680.9</v>
      </c>
      <c r="P625" s="1564">
        <f>Q625</f>
        <v/>
      </c>
      <c r="Q625" s="1706" t="n">
        <v>2458.717</v>
      </c>
      <c r="R625" s="1714" t="n">
        <v>2063.4</v>
      </c>
      <c r="S625" s="1714" t="n">
        <v>1926.1</v>
      </c>
      <c r="T625" s="1714" t="n">
        <v>2913</v>
      </c>
      <c r="U625" s="1564">
        <f>V625</f>
        <v/>
      </c>
      <c r="V625" s="1706" t="n">
        <v>2906.9</v>
      </c>
      <c r="W625" s="1714" t="n">
        <v>2910.6</v>
      </c>
      <c r="X625" s="1714" t="n">
        <v>1914.2</v>
      </c>
      <c r="Y625" s="1714" t="n">
        <v>2077.6</v>
      </c>
      <c r="Z625" s="1564">
        <f>AA625</f>
        <v/>
      </c>
      <c r="AA625" s="1706" t="n">
        <v>2259</v>
      </c>
      <c r="AB625" s="1714" t="n">
        <v>2464.8</v>
      </c>
      <c r="AC625" s="1714" t="n">
        <v>2325.7</v>
      </c>
      <c r="AD625" s="1714" t="n">
        <v>2203.2</v>
      </c>
      <c r="AE625" s="1564">
        <f>AF625</f>
        <v/>
      </c>
      <c r="AF625" s="1706" t="n">
        <v>3121.1</v>
      </c>
      <c r="AG625" s="1714" t="n">
        <v>2253</v>
      </c>
      <c r="AH625" s="1714" t="n">
        <v>1661.1</v>
      </c>
      <c r="AI625" s="1714" t="n">
        <v>1586.1</v>
      </c>
      <c r="AJ625" s="1564">
        <f>AK625</f>
        <v/>
      </c>
      <c r="AK625" s="1706" t="n">
        <v>3532.3</v>
      </c>
      <c r="AL625" s="1714" t="n">
        <v>2723.7</v>
      </c>
      <c r="AM625" s="1714" t="n">
        <v>3499.1</v>
      </c>
      <c r="AN625" s="1714" t="n">
        <v>3531.5</v>
      </c>
      <c r="AO625" s="1564">
        <f>AP625</f>
        <v/>
      </c>
      <c r="AP625" s="1706" t="n">
        <v>6049.4</v>
      </c>
      <c r="AQ625" s="1714" t="n">
        <v>3243.8</v>
      </c>
      <c r="AR625" s="1714" t="n">
        <v>5186.6</v>
      </c>
      <c r="AS625" s="1714" t="n">
        <v>4318.7</v>
      </c>
      <c r="AT625" s="1564">
        <f>AU625</f>
        <v/>
      </c>
      <c r="AU625" s="1706" t="n">
        <v>6951.8</v>
      </c>
      <c r="AV625" s="1714" t="n">
        <v>4324.1</v>
      </c>
      <c r="AW625" s="1714" t="n">
        <v>4096.5</v>
      </c>
      <c r="AX625" s="1714" t="n">
        <v>3152.8</v>
      </c>
      <c r="AY625" s="1564">
        <f>AZ625</f>
        <v/>
      </c>
      <c r="AZ625" s="1706" t="n">
        <v>7268.3</v>
      </c>
      <c r="BA625" s="1714" t="n">
        <v>6647.7</v>
      </c>
      <c r="BB625" s="1714" t="n">
        <v>6341.3</v>
      </c>
      <c r="BC625" s="1714" t="n">
        <v>4975.5</v>
      </c>
      <c r="BD625" s="1564">
        <f>BE625</f>
        <v/>
      </c>
      <c r="BE625" s="1706" t="n">
        <v>7004.7</v>
      </c>
      <c r="BF625" s="1714" t="n">
        <v>5100.8</v>
      </c>
      <c r="BG625" s="1714" t="n">
        <v>4813.6</v>
      </c>
      <c r="BH625" s="1714" t="n">
        <v>4979.3</v>
      </c>
      <c r="BI625" s="1564">
        <f>BJ625</f>
        <v/>
      </c>
      <c r="BJ625" s="1706" t="n">
        <v>12735.9</v>
      </c>
      <c r="BK625" s="1714" t="n">
        <v>9098.4</v>
      </c>
      <c r="BL625" s="1714" t="n">
        <v>7243.5</v>
      </c>
      <c r="BM625" s="1714" t="n">
        <v>5126.5</v>
      </c>
      <c r="BN625" s="1564">
        <f>BO625</f>
        <v/>
      </c>
      <c r="BO625" s="1788" t="n">
        <v>12916</v>
      </c>
      <c r="BP625" s="1562">
        <f>BP578</f>
        <v/>
      </c>
      <c r="BQ625" s="1562">
        <f>BQ578</f>
        <v/>
      </c>
      <c r="BR625" s="1562">
        <f>BR578</f>
        <v/>
      </c>
      <c r="BS625" s="1562">
        <f>BS578</f>
        <v/>
      </c>
      <c r="BT625" s="1637">
        <f>BS625</f>
        <v/>
      </c>
      <c r="BU625" s="1562">
        <f>BU578</f>
        <v/>
      </c>
      <c r="BV625" s="1562">
        <f>BV578</f>
        <v/>
      </c>
      <c r="BW625" s="1562">
        <f>BW578</f>
        <v/>
      </c>
      <c r="BX625" s="1562">
        <f>BX578</f>
        <v/>
      </c>
      <c r="BY625" s="1637">
        <f>BX625</f>
        <v/>
      </c>
      <c r="BZ625" s="1637">
        <f>BZ578</f>
        <v/>
      </c>
      <c r="CA625" s="1637">
        <f>CA578</f>
        <v/>
      </c>
      <c r="CB625" s="1637">
        <f>CB578</f>
        <v/>
      </c>
      <c r="CC625" s="1564" t="n"/>
    </row>
    <row r="626" ht="15" customFormat="1" customHeight="1" s="1561">
      <c r="A626" s="1721" t="inlineStr">
        <is>
          <t>Short-term investments</t>
        </is>
      </c>
      <c r="B626" s="1705" t="n"/>
      <c r="C626" s="1804" t="n"/>
      <c r="D626" s="1804" t="n"/>
      <c r="E626" s="1804" t="n"/>
      <c r="F626" s="1787" t="n">
        <v>930.005</v>
      </c>
      <c r="G626" s="1706" t="n">
        <v>679.884</v>
      </c>
      <c r="H626" s="1714" t="n">
        <v>599.7</v>
      </c>
      <c r="I626" s="1714" t="n">
        <v>599.7</v>
      </c>
      <c r="J626" s="1714" t="n">
        <v>539.8</v>
      </c>
      <c r="K626" s="1564">
        <f>L626</f>
        <v/>
      </c>
      <c r="L626" s="1706" t="n">
        <v>334.864</v>
      </c>
      <c r="M626" s="1714" t="n">
        <v>60</v>
      </c>
      <c r="N626" s="1714" t="n">
        <v>25</v>
      </c>
      <c r="O626" s="1562" t="n"/>
      <c r="P626" s="1564">
        <f>Q626</f>
        <v/>
      </c>
      <c r="Q626" s="1706" t="n">
        <v>950</v>
      </c>
      <c r="R626" s="1714" t="n">
        <v>1075</v>
      </c>
      <c r="S626" s="1714" t="n">
        <v>1000</v>
      </c>
      <c r="T626" s="1714" t="n">
        <v>1400</v>
      </c>
      <c r="U626" s="1564">
        <f>V626</f>
        <v/>
      </c>
      <c r="V626" s="1706" t="n">
        <v>1150</v>
      </c>
      <c r="W626" s="1714" t="n">
        <v>925</v>
      </c>
      <c r="X626" s="1714" t="n">
        <v>600</v>
      </c>
      <c r="Y626" s="1714" t="n">
        <v>600</v>
      </c>
      <c r="Z626" s="1564">
        <f>AA626</f>
        <v/>
      </c>
      <c r="AA626" s="1706" t="n">
        <v>1029.3</v>
      </c>
      <c r="AB626" s="1714" t="n">
        <v>729.3</v>
      </c>
      <c r="AC626" s="1714" t="n">
        <v>654.3</v>
      </c>
      <c r="AD626" s="1714" t="n">
        <v>744.3</v>
      </c>
      <c r="AE626" s="1564">
        <f>AF626</f>
        <v/>
      </c>
      <c r="AF626" s="1706" t="n">
        <v>913.3</v>
      </c>
      <c r="AG626" s="1714" t="n">
        <v>1022.1</v>
      </c>
      <c r="AH626" s="1714" t="n">
        <v>673.5</v>
      </c>
      <c r="AI626" s="1714" t="n">
        <v>483.8</v>
      </c>
      <c r="AJ626" s="1564">
        <f>AK626</f>
        <v/>
      </c>
      <c r="AK626" s="1706" t="n">
        <v>1185.8</v>
      </c>
      <c r="AL626" s="1714" t="n">
        <v>1388.1</v>
      </c>
      <c r="AM626" s="1714" t="n">
        <v>941.2</v>
      </c>
      <c r="AN626" s="1714" t="n">
        <v>876.3</v>
      </c>
      <c r="AO626" s="1564">
        <f>AP626</f>
        <v/>
      </c>
      <c r="AP626" s="1706" t="n">
        <v>1302.2</v>
      </c>
      <c r="AQ626" s="1714" t="n">
        <v>1411.6</v>
      </c>
      <c r="AR626" s="1714" t="n">
        <v>186.7</v>
      </c>
      <c r="AS626" s="1714" t="n">
        <v>137</v>
      </c>
      <c r="AT626" s="1564">
        <f>AU626</f>
        <v/>
      </c>
      <c r="AU626" s="1706" t="n">
        <v>638.5</v>
      </c>
      <c r="AV626" s="1714" t="n">
        <v>398.5</v>
      </c>
      <c r="AW626" s="1714" t="n">
        <v>305.4</v>
      </c>
      <c r="AX626" s="1714" t="n">
        <v>210</v>
      </c>
      <c r="AY626" s="1564">
        <f>AZ626</f>
        <v/>
      </c>
      <c r="AZ626" s="1706" t="n">
        <v>107.7</v>
      </c>
      <c r="BA626" s="1714" t="n">
        <v>4.8</v>
      </c>
      <c r="BB626" s="1714" t="n">
        <v>5.1</v>
      </c>
      <c r="BC626" s="1714" t="n">
        <v>5.4</v>
      </c>
      <c r="BD626" s="1564">
        <f>BE626</f>
        <v/>
      </c>
      <c r="BE626" s="1706" t="n">
        <v>5.4</v>
      </c>
      <c r="BF626" s="1714" t="n">
        <v>305.3</v>
      </c>
      <c r="BG626" s="1714" t="n">
        <v>205.3</v>
      </c>
      <c r="BH626" s="1714" t="n">
        <v>5.2</v>
      </c>
      <c r="BI626" s="1564">
        <f>BJ626</f>
        <v/>
      </c>
      <c r="BJ626" s="1706" t="n">
        <v>5.4</v>
      </c>
      <c r="BK626" s="1714" t="n">
        <v>5.2</v>
      </c>
      <c r="BL626" s="1714" t="n">
        <v>5.4</v>
      </c>
      <c r="BM626" s="1714" t="n">
        <v>1.7</v>
      </c>
      <c r="BN626" s="1564">
        <f>BO626</f>
        <v/>
      </c>
      <c r="BO626" s="1788" t="n">
        <v>405.9</v>
      </c>
      <c r="BP626" s="1562">
        <f>BO626</f>
        <v/>
      </c>
      <c r="BQ626" s="1562">
        <f>BP626</f>
        <v/>
      </c>
      <c r="BR626" s="1562">
        <f>BQ626</f>
        <v/>
      </c>
      <c r="BS626" s="1562">
        <f>BR626</f>
        <v/>
      </c>
      <c r="BT626" s="1637">
        <f>BS626</f>
        <v/>
      </c>
      <c r="BU626" s="1562">
        <f>BT626</f>
        <v/>
      </c>
      <c r="BV626" s="1562">
        <f>BU626</f>
        <v/>
      </c>
      <c r="BW626" s="1562">
        <f>BV626</f>
        <v/>
      </c>
      <c r="BX626" s="1562">
        <f>BW626</f>
        <v/>
      </c>
      <c r="BY626" s="1637">
        <f>BX626</f>
        <v/>
      </c>
      <c r="BZ626" s="1637">
        <f>BY626</f>
        <v/>
      </c>
      <c r="CA626" s="1637">
        <f>BZ626</f>
        <v/>
      </c>
      <c r="CB626" s="1637">
        <f>CA626</f>
        <v/>
      </c>
      <c r="CC626" s="1564" t="n"/>
    </row>
    <row r="627" ht="15" customFormat="1" customHeight="1" s="1561">
      <c r="A627" s="1998" t="inlineStr">
        <is>
          <t>Accounts receivable, net</t>
        </is>
      </c>
      <c r="B627" s="1705" t="n"/>
      <c r="C627" s="1787" t="n">
        <v>377.439</v>
      </c>
      <c r="D627" s="1787" t="n">
        <v>1123.534</v>
      </c>
      <c r="E627" s="1787" t="n">
        <v>880.627</v>
      </c>
      <c r="F627" s="1787" t="n">
        <v>605.288</v>
      </c>
      <c r="G627" s="1706" t="n">
        <v>878.321</v>
      </c>
      <c r="H627" s="1714" t="n">
        <v>832.2</v>
      </c>
      <c r="I627" s="1714" t="n">
        <v>1085.6</v>
      </c>
      <c r="J627" s="1714" t="n">
        <v>961.2</v>
      </c>
      <c r="K627" s="1564">
        <f>L627</f>
        <v/>
      </c>
      <c r="L627" s="1706" t="n">
        <v>1052.504</v>
      </c>
      <c r="M627" s="1714" t="n">
        <v>1270.6</v>
      </c>
      <c r="N627" s="1714" t="n">
        <v>1282.3</v>
      </c>
      <c r="O627" s="1714" t="n">
        <v>1089.4</v>
      </c>
      <c r="P627" s="1564">
        <f>Q627</f>
        <v/>
      </c>
      <c r="Q627" s="1706" t="n">
        <v>803.696</v>
      </c>
      <c r="R627" s="1714" t="n">
        <v>753.2</v>
      </c>
      <c r="S627" s="1714" t="n">
        <v>732.4</v>
      </c>
      <c r="T627" s="1714" t="n">
        <v>858.4</v>
      </c>
      <c r="U627" s="1564">
        <f>V627</f>
        <v/>
      </c>
      <c r="V627" s="1706" t="n">
        <v>700.2</v>
      </c>
      <c r="W627" s="1714" t="n">
        <v>864.8</v>
      </c>
      <c r="X627" s="1714" t="n">
        <v>1224.6</v>
      </c>
      <c r="Y627" s="1714" t="n">
        <v>1664.2</v>
      </c>
      <c r="Z627" s="1564">
        <f>AA627</f>
        <v/>
      </c>
      <c r="AA627" s="1706" t="n">
        <v>1772.3</v>
      </c>
      <c r="AB627" s="1714" t="n">
        <v>1603.4</v>
      </c>
      <c r="AC627" s="1714" t="n">
        <v>1138.9</v>
      </c>
      <c r="AD627" s="1714" t="n">
        <v>1679.1</v>
      </c>
      <c r="AE627" s="1564">
        <f>AF627</f>
        <v/>
      </c>
      <c r="AF627" s="1706" t="n">
        <v>1498.2</v>
      </c>
      <c r="AG627" s="1714" t="n">
        <v>1589.3</v>
      </c>
      <c r="AH627" s="1714" t="n">
        <v>1637.7</v>
      </c>
      <c r="AI627" s="1714" t="n">
        <v>2100.7</v>
      </c>
      <c r="AJ627" s="1564">
        <f>AK627</f>
        <v/>
      </c>
      <c r="AK627" s="1706" t="n">
        <v>1786.8</v>
      </c>
      <c r="AL627" s="1714" t="n">
        <v>1767.4</v>
      </c>
      <c r="AM627" s="1714" t="n">
        <v>1770</v>
      </c>
      <c r="AN627" s="1714" t="n">
        <v>2458.8</v>
      </c>
      <c r="AO627" s="1564">
        <f>AP627</f>
        <v/>
      </c>
      <c r="AP627" s="1706" t="n">
        <v>1310.3</v>
      </c>
      <c r="AQ627" s="1714" t="n">
        <v>2239.2</v>
      </c>
      <c r="AR627" s="1714" t="n">
        <v>2782</v>
      </c>
      <c r="AS627" s="1714" t="n">
        <v>3383.3</v>
      </c>
      <c r="AT627" s="1564">
        <f>AU627</f>
        <v/>
      </c>
      <c r="AU627" s="1706" t="n">
        <v>3028</v>
      </c>
      <c r="AV627" s="1714" t="n">
        <v>3494.6</v>
      </c>
      <c r="AW627" s="1714" t="n">
        <v>5376.7</v>
      </c>
      <c r="AX627" s="1714" t="n">
        <v>5840.2</v>
      </c>
      <c r="AY627" s="1564">
        <f>AZ627</f>
        <v/>
      </c>
      <c r="AZ627" s="1706" t="n">
        <v>5323.8</v>
      </c>
      <c r="BA627" s="1714" t="n">
        <v>3454.7</v>
      </c>
      <c r="BB627" s="1714" t="n">
        <v>3963.6</v>
      </c>
      <c r="BC627" s="1714" t="n">
        <v>3910.5</v>
      </c>
      <c r="BD627" s="1564">
        <f>BE627</f>
        <v/>
      </c>
      <c r="BE627" s="1706" t="n">
        <v>4334.1</v>
      </c>
      <c r="BF627" s="1714" t="n">
        <v>3585.5</v>
      </c>
      <c r="BG627" s="1714" t="n">
        <v>4475.8</v>
      </c>
      <c r="BH627" s="1714" t="n">
        <v>5160.6</v>
      </c>
      <c r="BI627" s="1564">
        <f>BJ627</f>
        <v/>
      </c>
      <c r="BJ627" s="1706" t="n">
        <v>4477.5</v>
      </c>
      <c r="BK627" s="1714" t="n">
        <v>4597.5</v>
      </c>
      <c r="BL627" s="1714" t="n">
        <v>4996.9</v>
      </c>
      <c r="BM627" s="1714" t="n">
        <v>5364.3</v>
      </c>
      <c r="BN627" s="1564">
        <f>BO627</f>
        <v/>
      </c>
      <c r="BO627" s="1788" t="n">
        <v>3023</v>
      </c>
      <c r="BP627" s="1562">
        <f>(BP$329+BN$329+BM$329+BL$329)*BP605</f>
        <v/>
      </c>
      <c r="BQ627" s="1562">
        <f>(BQ$329+BP$329+BN$329+BM$329)*BQ605</f>
        <v/>
      </c>
      <c r="BR627" s="1562">
        <f>(BR$329+BQ$329+BP$329+BN$329)*BR605</f>
        <v/>
      </c>
      <c r="BS627" s="1562">
        <f>(BS$329+BR$329+BQ$329+BP$329)*BS605</f>
        <v/>
      </c>
      <c r="BT627" s="1637">
        <f>BS627</f>
        <v/>
      </c>
      <c r="BU627" s="1562">
        <f>(BU$329+BS$329+BR$329+BQ$329)*BU605</f>
        <v/>
      </c>
      <c r="BV627" s="1562">
        <f>(BV$329+BU$329+BS$329+BR$329)*BV605</f>
        <v/>
      </c>
      <c r="BW627" s="1562">
        <f>(BW$329+BV$329+BU$329+BS$329)*BW605</f>
        <v/>
      </c>
      <c r="BX627" s="1562">
        <f>(BX$329+BW$329+BV$329+BU$329)*BX605</f>
        <v/>
      </c>
      <c r="BY627" s="1637">
        <f>BX627</f>
        <v/>
      </c>
      <c r="BZ627" s="1637">
        <f>BZ329*BZ605</f>
        <v/>
      </c>
      <c r="CA627" s="1637">
        <f>CA329*CA605</f>
        <v/>
      </c>
      <c r="CB627" s="1637">
        <f>CB329*CB605</f>
        <v/>
      </c>
      <c r="CC627" s="1564" t="n"/>
    </row>
    <row r="628" ht="15" customFormat="1" customHeight="1" s="1561">
      <c r="A628" s="1998" t="inlineStr">
        <is>
          <t>Finance receivables, net</t>
        </is>
      </c>
      <c r="B628" s="1705" t="n"/>
      <c r="C628" s="1787" t="n">
        <v>21.553</v>
      </c>
      <c r="D628" s="1787" t="n">
        <v>12.648</v>
      </c>
      <c r="E628" s="1787" t="n">
        <v>78.85299999999999</v>
      </c>
      <c r="F628" s="1787" t="n">
        <v>265.167</v>
      </c>
      <c r="G628" s="1706" t="n">
        <v>250.472</v>
      </c>
      <c r="H628" s="1714" t="n">
        <v>298.6</v>
      </c>
      <c r="I628" s="1714" t="n">
        <v>297.3</v>
      </c>
      <c r="J628" s="1714" t="n">
        <v>255.9</v>
      </c>
      <c r="K628" s="1564">
        <f>L628</f>
        <v/>
      </c>
      <c r="L628" s="1706" t="n">
        <v>196.087</v>
      </c>
      <c r="M628" s="1714" t="n">
        <v>184</v>
      </c>
      <c r="N628" s="1714" t="n">
        <v>251.2</v>
      </c>
      <c r="O628" s="1714" t="n">
        <v>453.7</v>
      </c>
      <c r="P628" s="1564">
        <f>Q628</f>
        <v/>
      </c>
      <c r="Q628" s="1706" t="n">
        <v>280.523</v>
      </c>
      <c r="R628" s="1714" t="n">
        <v>446.5</v>
      </c>
      <c r="S628" s="1714" t="n">
        <v>524</v>
      </c>
      <c r="T628" s="1714" t="n">
        <v>663.5</v>
      </c>
      <c r="U628" s="1564">
        <f>V628</f>
        <v/>
      </c>
      <c r="V628" s="1706" t="n">
        <v>447.4</v>
      </c>
      <c r="W628" s="1714" t="n">
        <v>346.9</v>
      </c>
      <c r="X628" s="1714" t="n">
        <v>413.6</v>
      </c>
      <c r="Y628" s="1714" t="n">
        <v>138.2</v>
      </c>
      <c r="Z628" s="1564">
        <f>AA628</f>
        <v/>
      </c>
      <c r="AA628" s="1706" t="n">
        <v>59.1</v>
      </c>
      <c r="AB628" s="1714" t="n">
        <v>228.7</v>
      </c>
      <c r="AC628" s="1714" t="n">
        <v>599.7</v>
      </c>
      <c r="AD628" s="1714" t="n">
        <v>921.1</v>
      </c>
      <c r="AE628" s="1564">
        <f>AF628</f>
        <v/>
      </c>
      <c r="AF628" s="1706" t="n">
        <v>611.1</v>
      </c>
      <c r="AG628" s="1714" t="n">
        <v>534.6</v>
      </c>
      <c r="AH628" s="1714" t="n">
        <v>620.1</v>
      </c>
      <c r="AI628" s="1714" t="n">
        <v>584.9</v>
      </c>
      <c r="AJ628" s="1564">
        <f>AK628</f>
        <v/>
      </c>
      <c r="AK628" s="1706" t="n">
        <v>564.5</v>
      </c>
      <c r="AL628" s="1714" t="n">
        <v>748.7</v>
      </c>
      <c r="AM628" s="1714" t="n">
        <v>1071.5</v>
      </c>
      <c r="AN628" s="1714" t="n">
        <v>1855.4</v>
      </c>
      <c r="AO628" s="1564">
        <f>AP628</f>
        <v/>
      </c>
      <c r="AP628" s="1706" t="n">
        <v>1710.5</v>
      </c>
      <c r="AQ628" s="1714" t="n">
        <v>2218.6</v>
      </c>
      <c r="AR628" s="1714" t="n">
        <v>1637.4</v>
      </c>
      <c r="AS628" s="1714" t="n">
        <v>1185.9</v>
      </c>
      <c r="AT628" s="1564">
        <f>AU628</f>
        <v/>
      </c>
      <c r="AU628" s="1706" t="n">
        <v>1185.6</v>
      </c>
      <c r="AV628" s="1714" t="n">
        <v>1267.6</v>
      </c>
      <c r="AW628" s="1714" t="n">
        <v>1233.1</v>
      </c>
      <c r="AX628" s="1714" t="n">
        <v>1399.4</v>
      </c>
      <c r="AY628" s="1564">
        <f>AZ628</f>
        <v/>
      </c>
      <c r="AZ628" s="1706" t="n">
        <v>1356.7</v>
      </c>
      <c r="BA628" s="1714" t="n">
        <v>1349.2</v>
      </c>
      <c r="BB628" s="1714" t="n">
        <v>1650.8</v>
      </c>
      <c r="BC628" s="1714" t="n">
        <v>1348.2</v>
      </c>
      <c r="BD628" s="1564">
        <f>BE628</f>
        <v/>
      </c>
      <c r="BE628" s="1706" t="n">
        <v>1379.2</v>
      </c>
      <c r="BF628" s="1714" t="n">
        <v>1441.2</v>
      </c>
      <c r="BG628" s="1714" t="n">
        <v>977</v>
      </c>
      <c r="BH628" s="1714" t="n">
        <v>640.7</v>
      </c>
      <c r="BI628" s="1564">
        <f>BJ628</f>
        <v/>
      </c>
      <c r="BJ628" s="1706" t="n">
        <v>82.59999999999999</v>
      </c>
      <c r="BK628" s="1714" t="n">
        <v>381.7</v>
      </c>
      <c r="BL628" s="1714" t="n">
        <v>531.1</v>
      </c>
      <c r="BM628" s="1714" t="n">
        <v>666.2</v>
      </c>
      <c r="BN628" s="1564">
        <f>BO628</f>
        <v/>
      </c>
      <c r="BO628" s="1788" t="n">
        <v>613.5</v>
      </c>
      <c r="BP628" s="1562">
        <f>(BP$329+BN$329+BM$329+BL$329)*BP606</f>
        <v/>
      </c>
      <c r="BQ628" s="1562">
        <f>(BQ$329+BP$329+BN$329+BM$329)*BQ606</f>
        <v/>
      </c>
      <c r="BR628" s="1562">
        <f>(BR$329+BQ$329+BP$329+BN$329)*BR606</f>
        <v/>
      </c>
      <c r="BS628" s="1562">
        <f>(BS$329+BR$329+BQ$329+BP$329)*BS606</f>
        <v/>
      </c>
      <c r="BT628" s="1637">
        <f>BS628</f>
        <v/>
      </c>
      <c r="BU628" s="1562">
        <f>(BU$329+BS$329+BR$329+BQ$329)*BU606</f>
        <v/>
      </c>
      <c r="BV628" s="1562">
        <f>(BV$329+BU$329+BS$329+BR$329)*BV606</f>
        <v/>
      </c>
      <c r="BW628" s="1562">
        <f>(BW$329+BV$329+BU$329+BS$329)*BW606</f>
        <v/>
      </c>
      <c r="BX628" s="1562">
        <f>(BX$329+BW$329+BV$329+BU$329)*BX606</f>
        <v/>
      </c>
      <c r="BY628" s="1637">
        <f>BX628</f>
        <v/>
      </c>
      <c r="BZ628" s="1637">
        <f>BZ329*BZ606</f>
        <v/>
      </c>
      <c r="CA628" s="1637">
        <f>CA329*CA606</f>
        <v/>
      </c>
      <c r="CB628" s="1637">
        <f>CB329*CB606</f>
        <v/>
      </c>
      <c r="CC628" s="1564" t="n"/>
    </row>
    <row r="629" ht="15" customFormat="1" customHeight="1" s="1561">
      <c r="A629" s="1841" t="inlineStr">
        <is>
          <t>Total Accounts Receivable</t>
        </is>
      </c>
      <c r="B629" s="1842" t="n"/>
      <c r="C629" s="1999">
        <f>C627+C628</f>
        <v/>
      </c>
      <c r="D629" s="1999">
        <f>D627+D628</f>
        <v/>
      </c>
      <c r="E629" s="1999">
        <f>E627+E628</f>
        <v/>
      </c>
      <c r="F629" s="1999">
        <f>F627+F628</f>
        <v/>
      </c>
      <c r="G629" s="2000">
        <f>G627+G628</f>
        <v/>
      </c>
      <c r="H629" s="2001">
        <f>H627+H628</f>
        <v/>
      </c>
      <c r="I629" s="2001">
        <f>I627+I628</f>
        <v/>
      </c>
      <c r="J629" s="2001">
        <f>J627+J628</f>
        <v/>
      </c>
      <c r="K629" s="2001">
        <f>K627+K628</f>
        <v/>
      </c>
      <c r="L629" s="2000">
        <f>L627+L628</f>
        <v/>
      </c>
      <c r="M629" s="2001">
        <f>M627+M628</f>
        <v/>
      </c>
      <c r="N629" s="2001">
        <f>N627+N628</f>
        <v/>
      </c>
      <c r="O629" s="2001">
        <f>O627+O628</f>
        <v/>
      </c>
      <c r="P629" s="2001">
        <f>P627+P628</f>
        <v/>
      </c>
      <c r="Q629" s="2000">
        <f>Q627+Q628</f>
        <v/>
      </c>
      <c r="R629" s="2001">
        <f>R627+R628</f>
        <v/>
      </c>
      <c r="S629" s="2001">
        <f>S627+S628</f>
        <v/>
      </c>
      <c r="T629" s="2001">
        <f>T627+T628</f>
        <v/>
      </c>
      <c r="U629" s="2001">
        <f>U627+U628</f>
        <v/>
      </c>
      <c r="V629" s="2000">
        <f>V627+V628</f>
        <v/>
      </c>
      <c r="W629" s="2001">
        <f>W627+W628</f>
        <v/>
      </c>
      <c r="X629" s="2001">
        <f>X627+X628</f>
        <v/>
      </c>
      <c r="Y629" s="2001">
        <f>Y627+Y628</f>
        <v/>
      </c>
      <c r="Z629" s="2001">
        <f>Z627+Z628</f>
        <v/>
      </c>
      <c r="AA629" s="2000">
        <f>AA627+AA628</f>
        <v/>
      </c>
      <c r="AB629" s="2001">
        <f>AB627+AB628</f>
        <v/>
      </c>
      <c r="AC629" s="2001">
        <f>AC627+AC628</f>
        <v/>
      </c>
      <c r="AD629" s="2001">
        <f>AD627+AD628</f>
        <v/>
      </c>
      <c r="AE629" s="2001">
        <f>AE627+AE628</f>
        <v/>
      </c>
      <c r="AF629" s="2000">
        <f>AF627+AF628</f>
        <v/>
      </c>
      <c r="AG629" s="2001">
        <f>AG627+AG628</f>
        <v/>
      </c>
      <c r="AH629" s="2001">
        <f>AH627+AH628</f>
        <v/>
      </c>
      <c r="AI629" s="2001">
        <f>AI627+AI628</f>
        <v/>
      </c>
      <c r="AJ629" s="2001">
        <f>AJ627+AJ628</f>
        <v/>
      </c>
      <c r="AK629" s="2000">
        <f>AK627+AK628</f>
        <v/>
      </c>
      <c r="AL629" s="2001">
        <f>AL627+AL628</f>
        <v/>
      </c>
      <c r="AM629" s="2001">
        <f>AM627+AM628</f>
        <v/>
      </c>
      <c r="AN629" s="2001">
        <f>AN627+AN628</f>
        <v/>
      </c>
      <c r="AO629" s="2001">
        <f>AO627+AO628</f>
        <v/>
      </c>
      <c r="AP629" s="2000">
        <f>AP627+AP628</f>
        <v/>
      </c>
      <c r="AQ629" s="2001">
        <f>AQ627+AQ628</f>
        <v/>
      </c>
      <c r="AR629" s="2001">
        <f>AR627+AR628</f>
        <v/>
      </c>
      <c r="AS629" s="2001">
        <f>AS627+AS628</f>
        <v/>
      </c>
      <c r="AT629" s="2001">
        <f>AT627+AT628</f>
        <v/>
      </c>
      <c r="AU629" s="2000">
        <f>AU627+AU628</f>
        <v/>
      </c>
      <c r="AV629" s="2001">
        <f>AV627+AV628</f>
        <v/>
      </c>
      <c r="AW629" s="2001">
        <f>AW627+AW628</f>
        <v/>
      </c>
      <c r="AX629" s="2001">
        <f>AX627+AX628</f>
        <v/>
      </c>
      <c r="AY629" s="2001">
        <f>AY627+AY628</f>
        <v/>
      </c>
      <c r="AZ629" s="2000">
        <f>AZ627+AZ628</f>
        <v/>
      </c>
      <c r="BA629" s="2001">
        <f>BA627+BA628</f>
        <v/>
      </c>
      <c r="BB629" s="2001">
        <f>BB627+BB628</f>
        <v/>
      </c>
      <c r="BC629" s="2001">
        <f>BC627+BC628</f>
        <v/>
      </c>
      <c r="BD629" s="2001">
        <f>BD627+BD628</f>
        <v/>
      </c>
      <c r="BE629" s="2000">
        <f>BE627+BE628</f>
        <v/>
      </c>
      <c r="BF629" s="2001">
        <f>BF627+BF628</f>
        <v/>
      </c>
      <c r="BG629" s="2001">
        <f>BG627+BG628</f>
        <v/>
      </c>
      <c r="BH629" s="2001">
        <f>BH627+BH628</f>
        <v/>
      </c>
      <c r="BI629" s="2001">
        <f>BI627+BI628</f>
        <v/>
      </c>
      <c r="BJ629" s="2000">
        <f>BJ627+BJ628</f>
        <v/>
      </c>
      <c r="BK629" s="2001">
        <f>BK627+BK628</f>
        <v/>
      </c>
      <c r="BL629" s="2001">
        <f>BL627+BL628</f>
        <v/>
      </c>
      <c r="BM629" s="2001">
        <f>BM627+BM628</f>
        <v/>
      </c>
      <c r="BN629" s="2001">
        <f>BN627+BN628</f>
        <v/>
      </c>
      <c r="BO629" s="2002">
        <f>BO627+BO628</f>
        <v/>
      </c>
      <c r="BP629" s="1821">
        <f>BP627+BP628</f>
        <v/>
      </c>
      <c r="BQ629" s="1821">
        <f>BQ627+BQ628</f>
        <v/>
      </c>
      <c r="BR629" s="1821">
        <f>BR627+BR628</f>
        <v/>
      </c>
      <c r="BS629" s="1821">
        <f>BS627+BS628</f>
        <v/>
      </c>
      <c r="BT629" s="1820">
        <f>BT627+BT628</f>
        <v/>
      </c>
      <c r="BU629" s="1821">
        <f>BU627+BU628</f>
        <v/>
      </c>
      <c r="BV629" s="1821">
        <f>BV627+BV628</f>
        <v/>
      </c>
      <c r="BW629" s="1821">
        <f>BW627+BW628</f>
        <v/>
      </c>
      <c r="BX629" s="1821">
        <f>BX627+BX628</f>
        <v/>
      </c>
      <c r="BY629" s="1820">
        <f>BY627+BY628</f>
        <v/>
      </c>
      <c r="BZ629" s="1820">
        <f>BZ627+BZ628</f>
        <v/>
      </c>
      <c r="CA629" s="1820">
        <f>CA627+CA628</f>
        <v/>
      </c>
      <c r="CB629" s="1820">
        <f>CB627+CB628</f>
        <v/>
      </c>
      <c r="CC629" s="1564" t="n"/>
    </row>
    <row r="630" ht="15" customFormat="1" customHeight="1" s="1561">
      <c r="A630" s="1721" t="inlineStr">
        <is>
          <t>Current tax assets</t>
        </is>
      </c>
      <c r="B630" s="1705" t="n"/>
      <c r="C630" s="1787" t="n">
        <v>11.286</v>
      </c>
      <c r="D630" s="1787" t="n">
        <v>12.678</v>
      </c>
      <c r="E630" s="1787" t="n">
        <v>32.105</v>
      </c>
      <c r="F630" s="1787" t="n">
        <v>57.116</v>
      </c>
      <c r="G630" s="1706" t="n">
        <v>32.333</v>
      </c>
      <c r="H630" s="1714" t="n">
        <v>92.09999999999999</v>
      </c>
      <c r="I630" s="1714" t="n">
        <v>94</v>
      </c>
      <c r="J630" s="1714" t="n">
        <v>76.7</v>
      </c>
      <c r="K630" s="1564">
        <f>L630</f>
        <v/>
      </c>
      <c r="L630" s="1706" t="n">
        <v>43.876</v>
      </c>
      <c r="M630" s="1714" t="n">
        <v>94.3</v>
      </c>
      <c r="N630" s="1714" t="n">
        <v>52.3</v>
      </c>
      <c r="O630" s="1714" t="n">
        <v>42.8</v>
      </c>
      <c r="P630" s="1564">
        <f>Q630</f>
        <v/>
      </c>
      <c r="Q630" s="1706" t="n">
        <v>19.08</v>
      </c>
      <c r="R630" s="1714" t="n">
        <v>96</v>
      </c>
      <c r="S630" s="1714" t="n">
        <v>178</v>
      </c>
      <c r="T630" s="1714" t="n">
        <v>143.5</v>
      </c>
      <c r="U630" s="1564">
        <f>V630</f>
        <v/>
      </c>
      <c r="V630" s="1706" t="n">
        <v>11.6</v>
      </c>
      <c r="W630" s="1714" t="n">
        <v>137</v>
      </c>
      <c r="X630" s="1714" t="n">
        <v>32.6</v>
      </c>
      <c r="Y630" s="1714" t="n">
        <v>73.59999999999999</v>
      </c>
      <c r="Z630" s="1564">
        <f>AA630</f>
        <v/>
      </c>
      <c r="AA630" s="1706" t="n">
        <v>61.6</v>
      </c>
      <c r="AB630" s="1714" t="n">
        <v>312.5</v>
      </c>
      <c r="AC630" s="1714" t="n">
        <v>292.8</v>
      </c>
      <c r="AD630" s="1714" t="n">
        <v>193.4</v>
      </c>
      <c r="AE630" s="1564">
        <f>AF630</f>
        <v/>
      </c>
      <c r="AF630" s="1706" t="n">
        <v>79.7</v>
      </c>
      <c r="AG630" s="1714" t="n">
        <v>373.3</v>
      </c>
      <c r="AH630" s="1714" t="n">
        <v>320.9</v>
      </c>
      <c r="AI630" s="1714" t="n">
        <v>339.6</v>
      </c>
      <c r="AJ630" s="1564">
        <f>AK630</f>
        <v/>
      </c>
      <c r="AK630" s="1706" t="n">
        <v>178.7</v>
      </c>
      <c r="AL630" s="1714" t="n">
        <v>529</v>
      </c>
      <c r="AM630" s="1714" t="n">
        <v>360.8</v>
      </c>
      <c r="AN630" s="1714" t="n">
        <v>265.6</v>
      </c>
      <c r="AO630" s="1564">
        <f>AP630</f>
        <v/>
      </c>
      <c r="AP630" s="1706" t="n">
        <v>67.3</v>
      </c>
      <c r="AQ630" s="1714" t="n">
        <v>809.7</v>
      </c>
      <c r="AR630" s="1714" t="n">
        <v>608.2</v>
      </c>
      <c r="AS630" s="1714" t="n">
        <v>289.5</v>
      </c>
      <c r="AT630" s="1564">
        <f>AU630</f>
        <v/>
      </c>
      <c r="AU630" s="1706" t="n">
        <v>42</v>
      </c>
      <c r="AV630" s="1714" t="n">
        <v>811</v>
      </c>
      <c r="AW630" s="1714" t="n">
        <v>658</v>
      </c>
      <c r="AX630" s="1714" t="n">
        <v>305.6</v>
      </c>
      <c r="AY630" s="1564">
        <f>AZ630</f>
        <v/>
      </c>
      <c r="AZ630" s="1706" t="n">
        <v>33.4</v>
      </c>
      <c r="BA630" s="1714" t="n">
        <v>253.6</v>
      </c>
      <c r="BB630" s="1714" t="n">
        <v>595.8</v>
      </c>
      <c r="BC630" s="1714" t="n">
        <v>854.3</v>
      </c>
      <c r="BD630" s="1564">
        <f>BE630</f>
        <v/>
      </c>
      <c r="BE630" s="1706" t="n">
        <v>1001.2</v>
      </c>
      <c r="BF630" s="1714" t="n">
        <v>649.3</v>
      </c>
      <c r="BG630" s="1714" t="n">
        <v>684.8</v>
      </c>
      <c r="BH630" s="1714" t="n">
        <v>324.4</v>
      </c>
      <c r="BI630" s="1564">
        <f>BJ630</f>
        <v/>
      </c>
      <c r="BJ630" s="1706" t="n">
        <v>283.6</v>
      </c>
      <c r="BK630" s="1714" t="n">
        <v>143.2</v>
      </c>
      <c r="BL630" s="1714" t="n">
        <v>98.5</v>
      </c>
      <c r="BM630" s="1714" t="n">
        <v>93</v>
      </c>
      <c r="BN630" s="1564">
        <f>BO630</f>
        <v/>
      </c>
      <c r="BO630" s="1788" t="n">
        <v>88.90000000000001</v>
      </c>
      <c r="BP630" s="1562">
        <f>BO630</f>
        <v/>
      </c>
      <c r="BQ630" s="1562">
        <f>BP630</f>
        <v/>
      </c>
      <c r="BR630" s="1562">
        <f>BQ630</f>
        <v/>
      </c>
      <c r="BS630" s="1562">
        <f>BR630</f>
        <v/>
      </c>
      <c r="BT630" s="1637">
        <f>BS630</f>
        <v/>
      </c>
      <c r="BU630" s="1562">
        <f>BT630</f>
        <v/>
      </c>
      <c r="BV630" s="1562">
        <f>BU630</f>
        <v/>
      </c>
      <c r="BW630" s="1562">
        <f>BV630</f>
        <v/>
      </c>
      <c r="BX630" s="1562">
        <f>BW630</f>
        <v/>
      </c>
      <c r="BY630" s="1637">
        <f>BX630</f>
        <v/>
      </c>
      <c r="BZ630" s="1637">
        <f>BY630</f>
        <v/>
      </c>
      <c r="CA630" s="1637">
        <f>BZ630</f>
        <v/>
      </c>
      <c r="CB630" s="1637">
        <f>CA630</f>
        <v/>
      </c>
      <c r="CC630" s="1564" t="n"/>
    </row>
    <row r="631" ht="15" customFormat="1" customHeight="1" s="1561">
      <c r="A631" s="1721" t="inlineStr">
        <is>
          <t>Inventories, net</t>
        </is>
      </c>
      <c r="B631" s="1705" t="n"/>
      <c r="C631" s="1787" t="n">
        <v>963.3819999999999</v>
      </c>
      <c r="D631" s="1787" t="n">
        <v>1497.18</v>
      </c>
      <c r="E631" s="1787" t="n">
        <v>1624.627</v>
      </c>
      <c r="F631" s="1787" t="n">
        <v>1856.97</v>
      </c>
      <c r="G631" s="1706" t="n">
        <v>2393.022</v>
      </c>
      <c r="H631" s="1714" t="n">
        <v>2547.7</v>
      </c>
      <c r="I631" s="1714" t="n">
        <v>2615.5</v>
      </c>
      <c r="J631" s="1714" t="n">
        <v>2676.8</v>
      </c>
      <c r="K631" s="1564">
        <f>L631</f>
        <v/>
      </c>
      <c r="L631" s="1706" t="n">
        <v>2549.837</v>
      </c>
      <c r="M631" s="1714" t="n">
        <v>2607.5</v>
      </c>
      <c r="N631" s="1714" t="n">
        <v>2592.1</v>
      </c>
      <c r="O631" s="1714" t="n">
        <v>2537</v>
      </c>
      <c r="P631" s="1564">
        <f>Q631</f>
        <v/>
      </c>
      <c r="Q631" s="1706" t="n">
        <v>2573.73</v>
      </c>
      <c r="R631" s="1714" t="n">
        <v>2750</v>
      </c>
      <c r="S631" s="1714" t="n">
        <v>2715.3</v>
      </c>
      <c r="T631" s="1714" t="n">
        <v>2696.9</v>
      </c>
      <c r="U631" s="1564">
        <f>V631</f>
        <v/>
      </c>
      <c r="V631" s="1706" t="n">
        <v>2780.9</v>
      </c>
      <c r="W631" s="1714" t="n">
        <v>2995.7</v>
      </c>
      <c r="X631" s="1714" t="n">
        <v>3136.9</v>
      </c>
      <c r="Y631" s="1714" t="n">
        <v>2998.5</v>
      </c>
      <c r="Z631" s="1564">
        <f>AA631</f>
        <v/>
      </c>
      <c r="AA631" s="1706" t="n">
        <v>2958.4</v>
      </c>
      <c r="AB631" s="1714" t="n">
        <v>3231.5</v>
      </c>
      <c r="AC631" s="1714" t="n">
        <v>3217.5</v>
      </c>
      <c r="AD631" s="1714" t="n">
        <v>3402.7</v>
      </c>
      <c r="AE631" s="1564">
        <f>AF631</f>
        <v/>
      </c>
      <c r="AF631" s="1706" t="n">
        <v>3439.5</v>
      </c>
      <c r="AG631" s="1714" t="n">
        <v>3764.8</v>
      </c>
      <c r="AH631" s="1714" t="n">
        <v>3914.1</v>
      </c>
      <c r="AI631" s="1714" t="n">
        <v>3895</v>
      </c>
      <c r="AJ631" s="1564">
        <f>AK631</f>
        <v/>
      </c>
      <c r="AK631" s="1706" t="n">
        <v>3809.2</v>
      </c>
      <c r="AL631" s="1714" t="n">
        <v>4345.3</v>
      </c>
      <c r="AM631" s="1714" t="n">
        <v>4685.6</v>
      </c>
      <c r="AN631" s="1714" t="n">
        <v>4613.7</v>
      </c>
      <c r="AO631" s="1564">
        <f>AP631</f>
        <v/>
      </c>
      <c r="AP631" s="1706" t="n">
        <v>4569.4</v>
      </c>
      <c r="AQ631" s="1714" t="n">
        <v>4748.1</v>
      </c>
      <c r="AR631" s="1714" t="n">
        <v>5086.3</v>
      </c>
      <c r="AS631" s="1714" t="n">
        <v>4944.2</v>
      </c>
      <c r="AT631" s="1564">
        <f>AU631</f>
        <v/>
      </c>
      <c r="AU631" s="1706" t="n">
        <v>5179.2</v>
      </c>
      <c r="AV631" s="1714" t="n">
        <v>6073.5</v>
      </c>
      <c r="AW631" s="1714" t="n">
        <v>6367.1</v>
      </c>
      <c r="AX631" s="1714" t="n">
        <v>6884</v>
      </c>
      <c r="AY631" s="1564">
        <f>AZ631</f>
        <v/>
      </c>
      <c r="AZ631" s="1706" t="n">
        <v>7199.7</v>
      </c>
      <c r="BA631" s="1714" t="n">
        <v>7392</v>
      </c>
      <c r="BB631" s="1714" t="n">
        <v>7734.4</v>
      </c>
      <c r="BC631" s="1714" t="n">
        <v>8378.5</v>
      </c>
      <c r="BD631" s="1564">
        <f>BE631</f>
        <v/>
      </c>
      <c r="BE631" s="1706" t="n">
        <v>8850.700000000001</v>
      </c>
      <c r="BF631" s="1714" t="n">
        <v>9864.5</v>
      </c>
      <c r="BG631" s="1714" t="n">
        <v>10972.3</v>
      </c>
      <c r="BH631" s="1714" t="n">
        <v>11414.5</v>
      </c>
      <c r="BI631" s="1564">
        <f>BJ631</f>
        <v/>
      </c>
      <c r="BJ631" s="1706" t="n">
        <v>10891.5</v>
      </c>
      <c r="BK631" s="1714" t="n">
        <v>11024.7</v>
      </c>
      <c r="BL631" s="1714" t="n">
        <v>11575.8</v>
      </c>
      <c r="BM631" s="1714" t="n">
        <v>11762.8</v>
      </c>
      <c r="BN631" s="1564">
        <f>BO631</f>
        <v/>
      </c>
      <c r="BO631" s="1788" t="n">
        <v>11429.3</v>
      </c>
      <c r="BP631" s="1562">
        <f>(BP$329+BN$329+BM$329+BL$329)*BP607</f>
        <v/>
      </c>
      <c r="BQ631" s="1562">
        <f>(BQ$329+BP$329+BN$329+BM$329)*BQ607</f>
        <v/>
      </c>
      <c r="BR631" s="1562">
        <f>(BR$329+BQ$329+BP$329+BN$329)*BR607</f>
        <v/>
      </c>
      <c r="BS631" s="1562">
        <f>(BS$329+BR$329+BQ$329+BP$329)*BS607</f>
        <v/>
      </c>
      <c r="BT631" s="1637">
        <f>BS631</f>
        <v/>
      </c>
      <c r="BU631" s="1562">
        <f>(BU$329+BS$329+BR$329+BQ$329)*BU607</f>
        <v/>
      </c>
      <c r="BV631" s="1562">
        <f>(BV$329+BU$329+BS$329+BR$329)*BV607</f>
        <v/>
      </c>
      <c r="BW631" s="1562">
        <f>(BW$329+BV$329+BU$329+BS$329)*BW607</f>
        <v/>
      </c>
      <c r="BX631" s="1562">
        <f>(BX$329+BW$329+BV$329+BU$329)*BX607</f>
        <v/>
      </c>
      <c r="BY631" s="1637">
        <f>BX631</f>
        <v/>
      </c>
      <c r="BZ631" s="1637">
        <f>BZ329*BZ607</f>
        <v/>
      </c>
      <c r="CA631" s="1637">
        <f>CA329*CA607</f>
        <v/>
      </c>
      <c r="CB631" s="1637">
        <f>CB329*CB607</f>
        <v/>
      </c>
      <c r="CC631" s="1564" t="n"/>
    </row>
    <row r="632" ht="15" customFormat="1" customHeight="1" s="1561">
      <c r="A632" s="1721" t="inlineStr">
        <is>
          <t>Deferred tax assets</t>
        </is>
      </c>
      <c r="B632" s="1705" t="n"/>
      <c r="C632" s="1787" t="n">
        <v>119.404</v>
      </c>
      <c r="D632" s="1787" t="n">
        <v>134.429</v>
      </c>
      <c r="E632" s="1787" t="n">
        <v>120.72</v>
      </c>
      <c r="F632" s="1787" t="n">
        <v>103.695</v>
      </c>
      <c r="G632" s="1706" t="n">
        <v>124.431</v>
      </c>
      <c r="H632" s="1714" t="n">
        <v>118.5</v>
      </c>
      <c r="I632" s="1714" t="n">
        <v>108.6</v>
      </c>
      <c r="J632" s="1714" t="n">
        <v>144.2</v>
      </c>
      <c r="K632" s="1564">
        <f>L632</f>
        <v/>
      </c>
      <c r="L632" s="1706" t="n">
        <v>159.46</v>
      </c>
      <c r="M632" s="1714" t="n">
        <v>173.8</v>
      </c>
      <c r="N632" s="1714" t="n">
        <v>178.1</v>
      </c>
      <c r="O632" s="1714" t="n">
        <v>127.6</v>
      </c>
      <c r="P632" s="1564">
        <f>Q632</f>
        <v/>
      </c>
      <c r="Q632" s="1706" t="n">
        <v>133.131</v>
      </c>
      <c r="R632" s="1562" t="n"/>
      <c r="S632" s="1562" t="n"/>
      <c r="T632" s="1562" t="n"/>
      <c r="U632" s="1562" t="n"/>
      <c r="V632" s="1637" t="n"/>
      <c r="W632" s="1562" t="n"/>
      <c r="X632" s="1562" t="n"/>
      <c r="Y632" s="1562" t="n"/>
      <c r="Z632" s="1562" t="n"/>
      <c r="AA632" s="1637" t="n"/>
      <c r="AB632" s="1562" t="n"/>
      <c r="AC632" s="1562" t="n"/>
      <c r="AD632" s="1562" t="n"/>
      <c r="AE632" s="1564">
        <f>AF632</f>
        <v/>
      </c>
      <c r="AF632" s="1637" t="n"/>
      <c r="AG632" s="1562" t="n"/>
      <c r="AH632" s="1562" t="n"/>
      <c r="AI632" s="1562" t="n"/>
      <c r="AJ632" s="1564">
        <f>AK632</f>
        <v/>
      </c>
      <c r="AK632" s="1637" t="n"/>
      <c r="AL632" s="1562" t="n"/>
      <c r="AM632" s="1562" t="n"/>
      <c r="AN632" s="1562" t="n"/>
      <c r="AO632" s="1564">
        <f>AP632</f>
        <v/>
      </c>
      <c r="AP632" s="1637" t="n"/>
      <c r="AQ632" s="1562" t="n"/>
      <c r="AR632" s="1562" t="n"/>
      <c r="AS632" s="1562" t="n"/>
      <c r="AT632" s="1564">
        <f>AU632</f>
        <v/>
      </c>
      <c r="AU632" s="1637" t="n"/>
      <c r="AV632" s="1562" t="n"/>
      <c r="AW632" s="1562" t="n"/>
      <c r="AX632" s="1562" t="n"/>
      <c r="AY632" s="1564">
        <f>AZ632</f>
        <v/>
      </c>
      <c r="AZ632" s="1637" t="n"/>
      <c r="BA632" s="1562" t="n"/>
      <c r="BB632" s="1562" t="n"/>
      <c r="BC632" s="1562" t="n"/>
      <c r="BD632" s="1564">
        <f>BE632</f>
        <v/>
      </c>
      <c r="BE632" s="1637" t="n"/>
      <c r="BF632" s="1562" t="n"/>
      <c r="BG632" s="1562" t="n"/>
      <c r="BH632" s="1562" t="n"/>
      <c r="BI632" s="1564">
        <f>BJ632</f>
        <v/>
      </c>
      <c r="BJ632" s="1637" t="n"/>
      <c r="BK632" s="1562" t="n"/>
      <c r="BL632" s="1562" t="n"/>
      <c r="BM632" s="1562" t="n"/>
      <c r="BN632" s="1564">
        <f>BO632</f>
        <v/>
      </c>
      <c r="BO632" s="1638" t="n"/>
      <c r="BP632" s="1562">
        <f>BO632</f>
        <v/>
      </c>
      <c r="BQ632" s="1562">
        <f>BP632</f>
        <v/>
      </c>
      <c r="BR632" s="1562">
        <f>BQ632</f>
        <v/>
      </c>
      <c r="BS632" s="1562">
        <f>BR632</f>
        <v/>
      </c>
      <c r="BT632" s="1637">
        <f>BS632</f>
        <v/>
      </c>
      <c r="BU632" s="1562">
        <f>BT632</f>
        <v/>
      </c>
      <c r="BV632" s="1562">
        <f>BU632</f>
        <v/>
      </c>
      <c r="BW632" s="1562">
        <f>BV632</f>
        <v/>
      </c>
      <c r="BX632" s="1562">
        <f>BW632</f>
        <v/>
      </c>
      <c r="BY632" s="1637">
        <f>BX632</f>
        <v/>
      </c>
      <c r="BZ632" s="1637">
        <f>BY632</f>
        <v/>
      </c>
      <c r="CA632" s="1637">
        <f>BZ632</f>
        <v/>
      </c>
      <c r="CB632" s="1637">
        <f>CA632</f>
        <v/>
      </c>
      <c r="CC632" s="1564" t="n"/>
    </row>
    <row r="633" ht="15" customFormat="1" customHeight="1" s="1561">
      <c r="A633" s="1721" t="inlineStr">
        <is>
          <t>Contract assets</t>
        </is>
      </c>
      <c r="B633" s="1705" t="n"/>
      <c r="C633" s="1804" t="n"/>
      <c r="D633" s="1804" t="n"/>
      <c r="E633" s="1804" t="n"/>
      <c r="F633" s="1804" t="n"/>
      <c r="G633" s="1637" t="n"/>
      <c r="H633" s="1562" t="n"/>
      <c r="I633" s="1562" t="n"/>
      <c r="J633" s="1562" t="n"/>
      <c r="K633" s="1562" t="n"/>
      <c r="L633" s="1637" t="n"/>
      <c r="M633" s="1562" t="n"/>
      <c r="N633" s="1562" t="n"/>
      <c r="O633" s="1562" t="n"/>
      <c r="P633" s="1562" t="n"/>
      <c r="Q633" s="1637" t="n"/>
      <c r="R633" s="1562" t="n"/>
      <c r="S633" s="1562" t="n"/>
      <c r="T633" s="1562" t="n"/>
      <c r="U633" s="1562" t="n"/>
      <c r="V633" s="1637" t="n"/>
      <c r="W633" s="1562" t="n"/>
      <c r="X633" s="1562" t="n"/>
      <c r="Y633" s="1562" t="n"/>
      <c r="Z633" s="1562" t="n"/>
      <c r="AA633" s="1637" t="n"/>
      <c r="AB633" s="1714" t="n">
        <v>11.5</v>
      </c>
      <c r="AC633" s="1714" t="n">
        <v>284.7</v>
      </c>
      <c r="AD633" s="1714" t="n">
        <v>116.7</v>
      </c>
      <c r="AE633" s="1564">
        <f>AF633</f>
        <v/>
      </c>
      <c r="AF633" s="1706" t="n">
        <v>95.90000000000001</v>
      </c>
      <c r="AG633" s="1714" t="n">
        <v>103.5</v>
      </c>
      <c r="AH633" s="1714" t="n">
        <v>190.4</v>
      </c>
      <c r="AI633" s="1714" t="n">
        <v>287.8</v>
      </c>
      <c r="AJ633" s="1564">
        <f>AK633</f>
        <v/>
      </c>
      <c r="AK633" s="1706" t="n">
        <v>231</v>
      </c>
      <c r="AL633" s="1714" t="n">
        <v>292.1</v>
      </c>
      <c r="AM633" s="1714" t="n">
        <v>260.9</v>
      </c>
      <c r="AN633" s="1714" t="n">
        <v>176.8</v>
      </c>
      <c r="AO633" s="1564">
        <f>AP633</f>
        <v/>
      </c>
      <c r="AP633" s="1706" t="n">
        <v>119.2</v>
      </c>
      <c r="AQ633" s="1714" t="n">
        <v>107.4</v>
      </c>
      <c r="AR633" s="1714" t="n">
        <v>178.9</v>
      </c>
      <c r="AS633" s="1714" t="n">
        <v>272</v>
      </c>
      <c r="AT633" s="1564">
        <f>AU633</f>
        <v/>
      </c>
      <c r="AU633" s="1706" t="n">
        <v>164.6</v>
      </c>
      <c r="AV633" s="1714" t="n">
        <v>371.3</v>
      </c>
      <c r="AW633" s="1714" t="n">
        <v>270.4</v>
      </c>
      <c r="AX633" s="1714" t="n">
        <v>276.9</v>
      </c>
      <c r="AY633" s="1564">
        <f>AZ633</f>
        <v/>
      </c>
      <c r="AZ633" s="1706" t="n">
        <v>131.9</v>
      </c>
      <c r="BA633" s="1714" t="n">
        <v>236.4</v>
      </c>
      <c r="BB633" s="1714" t="n">
        <v>191.9</v>
      </c>
      <c r="BC633" s="1714" t="n">
        <v>266.5</v>
      </c>
      <c r="BD633" s="1564">
        <f>BE633</f>
        <v/>
      </c>
      <c r="BE633" s="1706" t="n">
        <v>240.1</v>
      </c>
      <c r="BF633" s="1714" t="n">
        <v>302.6</v>
      </c>
      <c r="BG633" s="1714" t="n">
        <v>435</v>
      </c>
      <c r="BH633" s="1714" t="n">
        <v>553.6</v>
      </c>
      <c r="BI633" s="1564">
        <f>BJ633</f>
        <v/>
      </c>
      <c r="BJ633" s="1706" t="n">
        <v>320.6</v>
      </c>
      <c r="BK633" s="1714" t="n">
        <v>407.3</v>
      </c>
      <c r="BL633" s="1714" t="n">
        <v>275.3</v>
      </c>
      <c r="BM633" s="1714" t="n">
        <v>366.7</v>
      </c>
      <c r="BN633" s="1564">
        <f>BO633</f>
        <v/>
      </c>
      <c r="BO633" s="1788" t="n">
        <v>440.6</v>
      </c>
      <c r="BP633" s="1562">
        <f>BO633</f>
        <v/>
      </c>
      <c r="BQ633" s="1562">
        <f>BP633</f>
        <v/>
      </c>
      <c r="BR633" s="1562">
        <f>BQ633</f>
        <v/>
      </c>
      <c r="BS633" s="1562">
        <f>BR633</f>
        <v/>
      </c>
      <c r="BT633" s="1637">
        <f>BS633</f>
        <v/>
      </c>
      <c r="BU633" s="1562">
        <f>BT633</f>
        <v/>
      </c>
      <c r="BV633" s="1562">
        <f>BU633</f>
        <v/>
      </c>
      <c r="BW633" s="1562">
        <f>BV633</f>
        <v/>
      </c>
      <c r="BX633" s="1562">
        <f>BW633</f>
        <v/>
      </c>
      <c r="BY633" s="1637">
        <f>BX633</f>
        <v/>
      </c>
      <c r="BZ633" s="1637">
        <f>BY633</f>
        <v/>
      </c>
      <c r="CA633" s="1637">
        <f>BZ633</f>
        <v/>
      </c>
      <c r="CB633" s="1637">
        <f>CA633</f>
        <v/>
      </c>
      <c r="CC633" s="1564" t="n"/>
    </row>
    <row r="634" ht="15" customFormat="1" customHeight="1" s="1561">
      <c r="A634" s="1721" t="inlineStr">
        <is>
          <t>Other assets</t>
        </is>
      </c>
      <c r="B634" s="1705" t="n"/>
      <c r="C634" s="1787" t="n">
        <v>218.746</v>
      </c>
      <c r="D634" s="1787" t="n">
        <v>214.162</v>
      </c>
      <c r="E634" s="1787" t="n">
        <v>238.095</v>
      </c>
      <c r="F634" s="1787" t="n">
        <v>246.005</v>
      </c>
      <c r="G634" s="1706" t="n">
        <v>336.421</v>
      </c>
      <c r="H634" s="1714" t="n">
        <v>353.9</v>
      </c>
      <c r="I634" s="1714" t="n">
        <v>378.6</v>
      </c>
      <c r="J634" s="1714" t="n">
        <v>362.2</v>
      </c>
      <c r="K634" s="1564">
        <f>L634</f>
        <v/>
      </c>
      <c r="L634" s="1706" t="n">
        <v>390.091</v>
      </c>
      <c r="M634" s="1714" t="n">
        <v>456.4</v>
      </c>
      <c r="N634" s="1714" t="n">
        <v>435.8</v>
      </c>
      <c r="O634" s="1714" t="n">
        <v>416.1</v>
      </c>
      <c r="P634" s="1564">
        <f>Q634</f>
        <v/>
      </c>
      <c r="Q634" s="1706" t="n">
        <v>488.824</v>
      </c>
      <c r="R634" s="1714" t="n">
        <v>502.1</v>
      </c>
      <c r="S634" s="1714" t="n">
        <v>504.7</v>
      </c>
      <c r="T634" s="1714" t="n">
        <v>540.4</v>
      </c>
      <c r="U634" s="1564">
        <f>V634</f>
        <v/>
      </c>
      <c r="V634" s="1706" t="n">
        <v>560.4</v>
      </c>
      <c r="W634" s="1714" t="n">
        <v>589.6</v>
      </c>
      <c r="X634" s="1714" t="n">
        <v>719.6</v>
      </c>
      <c r="Y634" s="1714" t="n">
        <v>741.8</v>
      </c>
      <c r="Z634" s="1564">
        <f>AA634</f>
        <v/>
      </c>
      <c r="AA634" s="1706" t="n">
        <v>867.3</v>
      </c>
      <c r="AB634" s="1714" t="n">
        <v>631</v>
      </c>
      <c r="AC634" s="1714" t="n">
        <v>700.6</v>
      </c>
      <c r="AD634" s="1714" t="n">
        <v>652.6</v>
      </c>
      <c r="AE634" s="1564">
        <f>AF634</f>
        <v/>
      </c>
      <c r="AF634" s="1706" t="n">
        <v>772.6</v>
      </c>
      <c r="AG634" s="1714" t="n">
        <v>755.7</v>
      </c>
      <c r="AH634" s="1714" t="n">
        <v>877.5</v>
      </c>
      <c r="AI634" s="1714" t="n">
        <v>816.2</v>
      </c>
      <c r="AJ634" s="1564">
        <f>AK634</f>
        <v/>
      </c>
      <c r="AK634" s="1706" t="n">
        <v>842.8</v>
      </c>
      <c r="AL634" s="1714" t="n">
        <v>905.8</v>
      </c>
      <c r="AM634" s="1714" t="n">
        <v>903.5</v>
      </c>
      <c r="AN634" s="1714" t="n">
        <v>772.7</v>
      </c>
      <c r="AO634" s="1564">
        <f>AP634</f>
        <v/>
      </c>
      <c r="AP634" s="1706" t="n">
        <v>801.7</v>
      </c>
      <c r="AQ634" s="1714" t="n">
        <v>915.7</v>
      </c>
      <c r="AR634" s="1714" t="n">
        <v>922.9</v>
      </c>
      <c r="AS634" s="1714" t="n">
        <v>995</v>
      </c>
      <c r="AT634" s="1564">
        <f>AU634</f>
        <v/>
      </c>
      <c r="AU634" s="1706" t="n">
        <v>1000.5</v>
      </c>
      <c r="AV634" s="1714" t="n">
        <v>1468.2</v>
      </c>
      <c r="AW634" s="1714" t="n">
        <v>1528.1</v>
      </c>
      <c r="AX634" s="1714" t="n">
        <v>1657.5</v>
      </c>
      <c r="AY634" s="1564">
        <f>AZ634</f>
        <v/>
      </c>
      <c r="AZ634" s="1706" t="n">
        <v>1643.4</v>
      </c>
      <c r="BA634" s="1714" t="n">
        <v>1722.4</v>
      </c>
      <c r="BB634" s="1714" t="n">
        <v>1915.3</v>
      </c>
      <c r="BC634" s="1714" t="n">
        <v>1916.8</v>
      </c>
      <c r="BD634" s="1564">
        <f>BE634</f>
        <v/>
      </c>
      <c r="BE634" s="1706" t="n">
        <v>1578.5</v>
      </c>
      <c r="BF634" s="1714" t="n">
        <v>1890.5</v>
      </c>
      <c r="BG634" s="1714" t="n">
        <v>1889.4</v>
      </c>
      <c r="BH634" s="1714" t="n">
        <v>1785.7</v>
      </c>
      <c r="BI634" s="1564">
        <f>BJ634</f>
        <v/>
      </c>
      <c r="BJ634" s="1706" t="n">
        <v>1940.3</v>
      </c>
      <c r="BK634" s="1714" t="n">
        <v>1848.6</v>
      </c>
      <c r="BL634" s="1714" t="n">
        <v>1966.2</v>
      </c>
      <c r="BM634" s="1714" t="n">
        <v>1575.1</v>
      </c>
      <c r="BN634" s="1564">
        <f>BO634</f>
        <v/>
      </c>
      <c r="BO634" s="1788" t="n">
        <v>1432.8</v>
      </c>
      <c r="BP634" s="1562">
        <f>(BP$329+BN$329+BM$329+BL$329)*BP608</f>
        <v/>
      </c>
      <c r="BQ634" s="1562">
        <f>(BQ$329+BP$329+BN$329+BM$329)*BQ608</f>
        <v/>
      </c>
      <c r="BR634" s="1562">
        <f>(BR$329+BQ$329+BP$329+BN$329)*BR608</f>
        <v/>
      </c>
      <c r="BS634" s="1562">
        <f>(BS$329+BR$329+BQ$329+BP$329)*BS608</f>
        <v/>
      </c>
      <c r="BT634" s="1637">
        <f>BS634</f>
        <v/>
      </c>
      <c r="BU634" s="1562">
        <f>(BU$329+BS$329+BR$329+BQ$329)*BU608</f>
        <v/>
      </c>
      <c r="BV634" s="1562">
        <f>(BV$329+BU$329+BS$329+BR$329)*BV608</f>
        <v/>
      </c>
      <c r="BW634" s="1562">
        <f>(BW$329+BV$329+BU$329+BS$329)*BW608</f>
        <v/>
      </c>
      <c r="BX634" s="1562">
        <f>(BX$329+BW$329+BV$329+BU$329)*BX608</f>
        <v/>
      </c>
      <c r="BY634" s="1637">
        <f>BX634</f>
        <v/>
      </c>
      <c r="BZ634" s="1637">
        <f>BZ329*BZ608</f>
        <v/>
      </c>
      <c r="CA634" s="1637">
        <f>CA329*CA608</f>
        <v/>
      </c>
      <c r="CB634" s="1637">
        <f>CB329*CB608</f>
        <v/>
      </c>
      <c r="CC634" s="1564" t="n"/>
    </row>
    <row r="635" ht="15" customFormat="1" customHeight="1" s="1561">
      <c r="A635" s="1721" t="inlineStr">
        <is>
          <t>Loans receivable</t>
        </is>
      </c>
      <c r="B635" s="1705" t="n"/>
      <c r="C635" s="1804" t="n"/>
      <c r="D635" s="1804" t="n"/>
      <c r="E635" s="1804" t="n"/>
      <c r="F635" s="1804" t="n"/>
      <c r="G635" s="1637" t="n"/>
      <c r="H635" s="1562" t="n"/>
      <c r="I635" s="1562" t="n"/>
      <c r="J635" s="1562" t="n"/>
      <c r="K635" s="1562" t="n"/>
      <c r="L635" s="1637" t="n"/>
      <c r="M635" s="1562" t="n"/>
      <c r="N635" s="1562" t="n"/>
      <c r="O635" s="1562" t="n"/>
      <c r="P635" s="1562" t="n"/>
      <c r="Q635" s="1637" t="n"/>
      <c r="R635" s="1562" t="n"/>
      <c r="S635" s="1562" t="n"/>
      <c r="T635" s="1562" t="n"/>
      <c r="U635" s="1562" t="n"/>
      <c r="V635" s="1637" t="n"/>
      <c r="W635" s="1562" t="n"/>
      <c r="X635" s="1562" t="n"/>
      <c r="Y635" s="1562" t="n"/>
      <c r="Z635" s="1562" t="n"/>
      <c r="AA635" s="1637" t="n"/>
      <c r="AB635" s="1562" t="n"/>
      <c r="AC635" s="1562" t="n"/>
      <c r="AD635" s="1562" t="n"/>
      <c r="AE635" s="1562" t="n"/>
      <c r="AF635" s="1637" t="n"/>
      <c r="AG635" s="1562" t="n"/>
      <c r="AH635" s="1562" t="n"/>
      <c r="AI635" s="1562" t="n"/>
      <c r="AJ635" s="1562" t="n"/>
      <c r="AK635" s="1637" t="n"/>
      <c r="AL635" s="1562" t="n"/>
      <c r="AM635" s="1562" t="n"/>
      <c r="AN635" s="1562" t="n"/>
      <c r="AO635" s="1562" t="n"/>
      <c r="AP635" s="1637" t="n"/>
      <c r="AQ635" s="1562" t="n"/>
      <c r="AR635" s="1562" t="n"/>
      <c r="AS635" s="1562" t="n"/>
      <c r="AT635" s="1562" t="n"/>
      <c r="AU635" s="1637" t="n"/>
      <c r="AV635" s="1562" t="n"/>
      <c r="AW635" s="1562" t="n"/>
      <c r="AX635" s="1562" t="n"/>
      <c r="AY635" s="1562" t="n"/>
      <c r="AZ635" s="1637" t="n"/>
      <c r="BA635" s="1562" t="n"/>
      <c r="BB635" s="1562" t="n"/>
      <c r="BC635" s="1562" t="n"/>
      <c r="BD635" s="1562" t="n"/>
      <c r="BE635" s="1637" t="n"/>
      <c r="BF635" s="1562" t="n"/>
      <c r="BG635" s="1562" t="n"/>
      <c r="BH635" s="1562" t="n"/>
      <c r="BI635" s="1562" t="n"/>
      <c r="BJ635" s="1637" t="n"/>
      <c r="BK635" s="1714" t="n">
        <v>17.8</v>
      </c>
      <c r="BL635" s="1714" t="n">
        <v>17.8</v>
      </c>
      <c r="BM635" s="1714" t="n">
        <v>190</v>
      </c>
      <c r="BN635" s="1562">
        <f>BO635</f>
        <v/>
      </c>
      <c r="BO635" s="1788" t="n">
        <v>266.1</v>
      </c>
      <c r="BP635" s="1562">
        <f>BO635</f>
        <v/>
      </c>
      <c r="BQ635" s="1562">
        <f>BP635</f>
        <v/>
      </c>
      <c r="BR635" s="1562">
        <f>BQ635</f>
        <v/>
      </c>
      <c r="BS635" s="1562">
        <f>BR635</f>
        <v/>
      </c>
      <c r="BT635" s="1637">
        <f>BS635</f>
        <v/>
      </c>
      <c r="BU635" s="1562">
        <f>BT635</f>
        <v/>
      </c>
      <c r="BV635" s="1562">
        <f>BU635</f>
        <v/>
      </c>
      <c r="BW635" s="1562">
        <f>BV635</f>
        <v/>
      </c>
      <c r="BX635" s="1562">
        <f>BW635</f>
        <v/>
      </c>
      <c r="BY635" s="1637">
        <f>BX635</f>
        <v/>
      </c>
      <c r="BZ635" s="1637">
        <f>BY635</f>
        <v/>
      </c>
      <c r="CA635" s="1637">
        <f>BZ635</f>
        <v/>
      </c>
      <c r="CB635" s="1637">
        <f>CA635</f>
        <v/>
      </c>
      <c r="CC635" s="1564" t="n"/>
    </row>
    <row r="636" ht="15" customFormat="1" customHeight="1" s="1561">
      <c r="A636" s="1721" t="inlineStr">
        <is>
          <t>Held for sale assets</t>
        </is>
      </c>
      <c r="B636" s="1705" t="n"/>
      <c r="C636" s="1804" t="n"/>
      <c r="D636" s="1804" t="n"/>
      <c r="E636" s="1804" t="n"/>
      <c r="F636" s="1804" t="n"/>
      <c r="G636" s="1637" t="n"/>
      <c r="H636" s="1562" t="n"/>
      <c r="I636" s="1562" t="n"/>
      <c r="J636" s="1562" t="n"/>
      <c r="K636" s="1562" t="n"/>
      <c r="L636" s="1637" t="n"/>
      <c r="M636" s="1562" t="n"/>
      <c r="N636" s="1562" t="n"/>
      <c r="O636" s="1562" t="n"/>
      <c r="P636" s="1562" t="n"/>
      <c r="Q636" s="1637" t="n"/>
      <c r="R636" s="1562" t="n"/>
      <c r="S636" s="1562" t="n"/>
      <c r="T636" s="1562" t="n"/>
      <c r="U636" s="1562" t="n"/>
      <c r="V636" s="1637" t="n"/>
      <c r="W636" s="1562" t="n"/>
      <c r="X636" s="1562" t="n"/>
      <c r="Y636" s="1562" t="n"/>
      <c r="Z636" s="1562" t="n"/>
      <c r="AA636" s="1637" t="n"/>
      <c r="AB636" s="1562" t="n"/>
      <c r="AC636" s="1562" t="n"/>
      <c r="AD636" s="1562" t="n"/>
      <c r="AE636" s="1562" t="n"/>
      <c r="AF636" s="1637" t="n"/>
      <c r="AG636" s="1562" t="n"/>
      <c r="AH636" s="1562" t="n"/>
      <c r="AI636" s="1562" t="n"/>
      <c r="AJ636" s="1562" t="n"/>
      <c r="AK636" s="1637" t="n"/>
      <c r="AL636" s="1562" t="n"/>
      <c r="AM636" s="1562" t="n"/>
      <c r="AN636" s="1562" t="n"/>
      <c r="AO636" s="1562" t="n"/>
      <c r="AP636" s="1637" t="n"/>
      <c r="AQ636" s="1714" t="n">
        <v>165.5</v>
      </c>
      <c r="AR636" s="1714" t="n">
        <v>150.2</v>
      </c>
      <c r="AS636" s="1714" t="n">
        <v>152.7</v>
      </c>
      <c r="AT636" s="1562">
        <f>AU636</f>
        <v/>
      </c>
      <c r="AU636" s="1637" t="n"/>
      <c r="AV636" s="1562" t="n"/>
      <c r="AW636" s="1562" t="n"/>
      <c r="AX636" s="1562" t="n"/>
      <c r="AY636" s="1562">
        <f>AZ636</f>
        <v/>
      </c>
      <c r="AZ636" s="1637" t="n"/>
      <c r="BA636" s="1562" t="n"/>
      <c r="BB636" s="1562" t="n"/>
      <c r="BC636" s="1562" t="n"/>
      <c r="BD636" s="1562">
        <f>BE636</f>
        <v/>
      </c>
      <c r="BE636" s="1637" t="n"/>
      <c r="BF636" s="1562" t="n"/>
      <c r="BG636" s="1562" t="n"/>
      <c r="BH636" s="1562" t="n"/>
      <c r="BI636" s="1562">
        <f>BJ636</f>
        <v/>
      </c>
      <c r="BJ636" s="1637" t="n"/>
      <c r="BK636" s="1562" t="n"/>
      <c r="BL636" s="1562" t="n"/>
      <c r="BM636" s="1562" t="n"/>
      <c r="BN636" s="1562">
        <f>BO636</f>
        <v/>
      </c>
      <c r="BO636" s="1638" t="n"/>
      <c r="BP636" s="1562">
        <f>BO636</f>
        <v/>
      </c>
      <c r="BQ636" s="1562">
        <f>BP636</f>
        <v/>
      </c>
      <c r="BR636" s="1562">
        <f>BQ636</f>
        <v/>
      </c>
      <c r="BS636" s="1562">
        <f>BR636</f>
        <v/>
      </c>
      <c r="BT636" s="1637">
        <f>BS636</f>
        <v/>
      </c>
      <c r="BU636" s="1562">
        <f>BT636</f>
        <v/>
      </c>
      <c r="BV636" s="1562">
        <f>BU636</f>
        <v/>
      </c>
      <c r="BW636" s="1562">
        <f>BV636</f>
        <v/>
      </c>
      <c r="BX636" s="1562">
        <f>BW636</f>
        <v/>
      </c>
      <c r="BY636" s="1637">
        <f>BX636</f>
        <v/>
      </c>
      <c r="BZ636" s="1637">
        <f>BY636</f>
        <v/>
      </c>
      <c r="CA636" s="1637">
        <f>BZ636</f>
        <v/>
      </c>
      <c r="CB636" s="1637">
        <f>CA636</f>
        <v/>
      </c>
      <c r="CC636" s="1564" t="n"/>
    </row>
    <row r="637" ht="15" customFormat="1" customHeight="1" s="1628">
      <c r="A637" s="1695" t="inlineStr">
        <is>
          <t>Total Current Assets</t>
        </is>
      </c>
      <c r="B637" s="1793" t="n"/>
      <c r="C637" s="1779">
        <f>SUM(C625:C626,C629:C636)</f>
        <v/>
      </c>
      <c r="D637" s="1779">
        <f>SUM(D625:D626,D629:D636)</f>
        <v/>
      </c>
      <c r="E637" s="1779">
        <f>SUM(E625:E626,E629:E636)</f>
        <v/>
      </c>
      <c r="F637" s="1779">
        <f>SUM(F625:F626,F629:F636)</f>
        <v/>
      </c>
      <c r="G637" s="1779">
        <f>SUM(G625:G626,G629:G636)</f>
        <v/>
      </c>
      <c r="H637" s="1795">
        <f>SUM(H625:H626,H629:H636)</f>
        <v/>
      </c>
      <c r="I637" s="1795">
        <f>SUM(I625:I626,I629:I636)</f>
        <v/>
      </c>
      <c r="J637" s="1795">
        <f>SUM(J625:J626,J629:J636)</f>
        <v/>
      </c>
      <c r="K637" s="1795">
        <f>SUM(K625:K626,K629:K636)</f>
        <v/>
      </c>
      <c r="L637" s="1779">
        <f>SUM(L625:L626,L629:L636)</f>
        <v/>
      </c>
      <c r="M637" s="1795">
        <f>SUM(M625:M626,M629:M636)</f>
        <v/>
      </c>
      <c r="N637" s="1795">
        <f>SUM(N625:N626,N629:N636)</f>
        <v/>
      </c>
      <c r="O637" s="1795">
        <f>SUM(O625:O626,O629:O636)</f>
        <v/>
      </c>
      <c r="P637" s="1795">
        <f>SUM(P625:P626,P629:P636)</f>
        <v/>
      </c>
      <c r="Q637" s="1779">
        <f>SUM(Q625:Q626,Q629:Q636)</f>
        <v/>
      </c>
      <c r="R637" s="1795">
        <f>SUM(R625:R626,R629:R636)</f>
        <v/>
      </c>
      <c r="S637" s="1795">
        <f>SUM(S625:S626,S629:S636)</f>
        <v/>
      </c>
      <c r="T637" s="1795">
        <f>SUM(T625:T626,T629:T636)</f>
        <v/>
      </c>
      <c r="U637" s="1795">
        <f>SUM(U625:U626,U629:U636)</f>
        <v/>
      </c>
      <c r="V637" s="1779">
        <f>SUM(V625:V626,V629:V636)</f>
        <v/>
      </c>
      <c r="W637" s="1795">
        <f>SUM(W625:W626,W629:W636)</f>
        <v/>
      </c>
      <c r="X637" s="1795">
        <f>SUM(X625:X626,X629:X636)</f>
        <v/>
      </c>
      <c r="Y637" s="1795">
        <f>SUM(Y625:Y626,Y629:Y636)</f>
        <v/>
      </c>
      <c r="Z637" s="1795">
        <f>SUM(Z625:Z626,Z629:Z636)</f>
        <v/>
      </c>
      <c r="AA637" s="1779">
        <f>SUM(AA625:AA626,AA629:AA636)</f>
        <v/>
      </c>
      <c r="AB637" s="1795">
        <f>SUM(AB625:AB626,AB629:AB636)</f>
        <v/>
      </c>
      <c r="AC637" s="1795">
        <f>SUM(AC625:AC626,AC629:AC636)</f>
        <v/>
      </c>
      <c r="AD637" s="1795">
        <f>SUM(AD625:AD626,AD629:AD636)</f>
        <v/>
      </c>
      <c r="AE637" s="1795">
        <f>SUM(AE625:AE626,AE629:AE636)</f>
        <v/>
      </c>
      <c r="AF637" s="1779">
        <f>SUM(AF625:AF626,AF629:AF636)</f>
        <v/>
      </c>
      <c r="AG637" s="1795">
        <f>SUM(AG625:AG626,AG629:AG636)</f>
        <v/>
      </c>
      <c r="AH637" s="1795">
        <f>SUM(AH625:AH626,AH629:AH636)</f>
        <v/>
      </c>
      <c r="AI637" s="1795">
        <f>SUM(AI625:AI626,AI629:AI636)</f>
        <v/>
      </c>
      <c r="AJ637" s="1795">
        <f>SUM(AJ625:AJ626,AJ629:AJ636)</f>
        <v/>
      </c>
      <c r="AK637" s="1779">
        <f>SUM(AK625:AK626,AK629:AK636)</f>
        <v/>
      </c>
      <c r="AL637" s="1795">
        <f>SUM(AL625:AL626,AL629:AL636)</f>
        <v/>
      </c>
      <c r="AM637" s="1795">
        <f>SUM(AM625:AM626,AM629:AM636)</f>
        <v/>
      </c>
      <c r="AN637" s="1795">
        <f>SUM(AN625:AN626,AN629:AN636)</f>
        <v/>
      </c>
      <c r="AO637" s="1795">
        <f>SUM(AO625:AO626,AO629:AO636)</f>
        <v/>
      </c>
      <c r="AP637" s="1779">
        <f>SUM(AP625:AP626,AP629:AP636)</f>
        <v/>
      </c>
      <c r="AQ637" s="1795">
        <f>SUM(AQ625:AQ626,AQ629:AQ636)</f>
        <v/>
      </c>
      <c r="AR637" s="1795">
        <f>SUM(AR625:AR626,AR629:AR636)</f>
        <v/>
      </c>
      <c r="AS637" s="1795">
        <f>SUM(AS625:AS626,AS629:AS636)</f>
        <v/>
      </c>
      <c r="AT637" s="1795">
        <f>SUM(AT625:AT626,AT629:AT636)</f>
        <v/>
      </c>
      <c r="AU637" s="1779">
        <f>SUM(AU625:AU626,AU629:AU636)</f>
        <v/>
      </c>
      <c r="AV637" s="1795">
        <f>SUM(AV625:AV626,AV629:AV636)</f>
        <v/>
      </c>
      <c r="AW637" s="1795">
        <f>SUM(AW625:AW626,AW629:AW636)</f>
        <v/>
      </c>
      <c r="AX637" s="1795">
        <f>SUM(AX625:AX626,AX629:AX636)</f>
        <v/>
      </c>
      <c r="AY637" s="1795">
        <f>SUM(AY625:AY626,AY629:AY636)</f>
        <v/>
      </c>
      <c r="AZ637" s="1779">
        <f>SUM(AZ625:AZ626,AZ629:AZ636)</f>
        <v/>
      </c>
      <c r="BA637" s="1795">
        <f>SUM(BA625:BA626,BA629:BA636)</f>
        <v/>
      </c>
      <c r="BB637" s="1795">
        <f>SUM(BB625:BB626,BB629:BB636)</f>
        <v/>
      </c>
      <c r="BC637" s="1795">
        <f>SUM(BC625:BC626,BC629:BC636)</f>
        <v/>
      </c>
      <c r="BD637" s="1795">
        <f>SUM(BD625:BD626,BD629:BD636)</f>
        <v/>
      </c>
      <c r="BE637" s="1779">
        <f>SUM(BE625:BE626,BE629:BE636)</f>
        <v/>
      </c>
      <c r="BF637" s="1795">
        <f>SUM(BF625:BF626,BF629:BF636)</f>
        <v/>
      </c>
      <c r="BG637" s="1795">
        <f>SUM(BG625:BG626,BG629:BG636)</f>
        <v/>
      </c>
      <c r="BH637" s="1795">
        <f>SUM(BH625:BH626,BH629:BH636)</f>
        <v/>
      </c>
      <c r="BI637" s="1795">
        <f>SUM(BI625:BI626,BI629:BI636)</f>
        <v/>
      </c>
      <c r="BJ637" s="1779">
        <f>SUM(BJ625:BJ626,BJ629:BJ636)</f>
        <v/>
      </c>
      <c r="BK637" s="1795">
        <f>SUM(BK625:BK626,BK629:BK636)</f>
        <v/>
      </c>
      <c r="BL637" s="1795">
        <f>SUM(BL625:BL626,BL629:BL636)</f>
        <v/>
      </c>
      <c r="BM637" s="1795">
        <f>SUM(BM625:BM626,BM629:BM636)</f>
        <v/>
      </c>
      <c r="BN637" s="1795">
        <f>SUM(BN625:BN626,BN629:BN636)</f>
        <v/>
      </c>
      <c r="BO637" s="1796">
        <f>SUM(BO625:BO626,BO629:BO636)</f>
        <v/>
      </c>
      <c r="BP637" s="1642">
        <f>SUM(BP625:BP626,BP629:BP636)</f>
        <v/>
      </c>
      <c r="BQ637" s="1642">
        <f>SUM(BQ625:BQ626,BQ629:BQ636)</f>
        <v/>
      </c>
      <c r="BR637" s="1642">
        <f>SUM(BR625:BR626,BR629:BR636)</f>
        <v/>
      </c>
      <c r="BS637" s="1642">
        <f>SUM(BS625:BS626,BS629:BS636)</f>
        <v/>
      </c>
      <c r="BT637" s="1641">
        <f>SUM(BT625:BT626,BT629:BT636)</f>
        <v/>
      </c>
      <c r="BU637" s="1642">
        <f>SUM(BU625:BU626,BU629:BU636)</f>
        <v/>
      </c>
      <c r="BV637" s="1642">
        <f>SUM(BV625:BV626,BV629:BV636)</f>
        <v/>
      </c>
      <c r="BW637" s="1642">
        <f>SUM(BW625:BW626,BW629:BW636)</f>
        <v/>
      </c>
      <c r="BX637" s="1642">
        <f>SUM(BX625:BX626,BX629:BX636)</f>
        <v/>
      </c>
      <c r="BY637" s="1641">
        <f>SUM(BY625:BY626,BY629:BY636)</f>
        <v/>
      </c>
      <c r="BZ637" s="1641">
        <f>SUM(BZ625:BZ626,BZ629:BZ636)</f>
        <v/>
      </c>
      <c r="CA637" s="1641">
        <f>SUM(CA625:CA626,CA629:CA636)</f>
        <v/>
      </c>
      <c r="CB637" s="1641">
        <f>SUM(CB625:CB626,CB629:CB636)</f>
        <v/>
      </c>
      <c r="CC637" s="1634" t="n"/>
    </row>
    <row r="638" ht="15" customFormat="1" customHeight="1" s="1628">
      <c r="A638" s="1703" t="n"/>
      <c r="B638" s="1717" t="n"/>
      <c r="C638" s="1718" t="n"/>
      <c r="D638" s="1718" t="n"/>
      <c r="E638" s="1718" t="n"/>
      <c r="F638" s="1718" t="n"/>
      <c r="G638" s="1718" t="n"/>
      <c r="H638" s="1719" t="n"/>
      <c r="I638" s="1719" t="n"/>
      <c r="J638" s="1719" t="n"/>
      <c r="K638" s="1719" t="n"/>
      <c r="L638" s="1718" t="n"/>
      <c r="M638" s="1719" t="n"/>
      <c r="N638" s="1719" t="n"/>
      <c r="O638" s="1719" t="n"/>
      <c r="P638" s="1719" t="n"/>
      <c r="Q638" s="1718" t="n"/>
      <c r="R638" s="1719" t="n"/>
      <c r="S638" s="1719" t="n"/>
      <c r="T638" s="1719" t="n"/>
      <c r="U638" s="1719" t="n"/>
      <c r="V638" s="1718" t="n"/>
      <c r="W638" s="1719" t="n"/>
      <c r="X638" s="1719" t="n"/>
      <c r="Y638" s="1719" t="n"/>
      <c r="Z638" s="1719" t="n"/>
      <c r="AA638" s="1718" t="n"/>
      <c r="AB638" s="1719" t="n"/>
      <c r="AC638" s="1719" t="n"/>
      <c r="AD638" s="1719" t="n"/>
      <c r="AE638" s="1719" t="n"/>
      <c r="AF638" s="1718" t="n"/>
      <c r="AG638" s="1719" t="n"/>
      <c r="AH638" s="1719" t="n"/>
      <c r="AI638" s="1719" t="n"/>
      <c r="AJ638" s="1719" t="n"/>
      <c r="AK638" s="1718" t="n"/>
      <c r="AL638" s="1719" t="n"/>
      <c r="AM638" s="1719" t="n"/>
      <c r="AN638" s="1719" t="n"/>
      <c r="AO638" s="1719" t="n"/>
      <c r="AP638" s="1718" t="n"/>
      <c r="AQ638" s="1719" t="n"/>
      <c r="AR638" s="1719" t="n"/>
      <c r="AS638" s="1719" t="n"/>
      <c r="AT638" s="1719" t="n"/>
      <c r="AU638" s="1718" t="n"/>
      <c r="AV638" s="1719" t="n"/>
      <c r="AW638" s="1719" t="n"/>
      <c r="AX638" s="1719" t="n"/>
      <c r="AY638" s="1719" t="n"/>
      <c r="AZ638" s="1718" t="n"/>
      <c r="BA638" s="1719" t="n"/>
      <c r="BB638" s="1719" t="n"/>
      <c r="BC638" s="1719" t="n"/>
      <c r="BD638" s="1719" t="n"/>
      <c r="BE638" s="1718" t="n"/>
      <c r="BF638" s="1719" t="n"/>
      <c r="BG638" s="1719" t="n"/>
      <c r="BH638" s="1719" t="n"/>
      <c r="BI638" s="1719" t="n"/>
      <c r="BJ638" s="1718" t="n"/>
      <c r="BK638" s="1719" t="n"/>
      <c r="BL638" s="1719" t="n"/>
      <c r="BM638" s="1719" t="n"/>
      <c r="BN638" s="1719" t="n"/>
      <c r="BO638" s="1720" t="n"/>
      <c r="BP638" s="1719" t="n"/>
      <c r="BQ638" s="1719" t="n"/>
      <c r="BR638" s="1719" t="n"/>
      <c r="BS638" s="1719" t="n"/>
      <c r="BT638" s="1718" t="n"/>
      <c r="BU638" s="1719" t="n"/>
      <c r="BV638" s="1719" t="n"/>
      <c r="BW638" s="1719" t="n"/>
      <c r="BX638" s="1719" t="n"/>
      <c r="BY638" s="1718" t="n"/>
      <c r="BZ638" s="1718" t="n"/>
      <c r="CA638" s="1718" t="n"/>
      <c r="CB638" s="1718" t="n"/>
      <c r="CC638" s="1634" t="n"/>
    </row>
    <row r="639" ht="15" customFormat="1" customHeight="1" s="1628">
      <c r="A639" s="2003" t="inlineStr">
        <is>
          <t>Non-Current Assets</t>
        </is>
      </c>
      <c r="B639" s="1717" t="n"/>
      <c r="C639" s="1718" t="n"/>
      <c r="D639" s="1718" t="n"/>
      <c r="E639" s="1718" t="n"/>
      <c r="F639" s="1718" t="n"/>
      <c r="G639" s="1718" t="n"/>
      <c r="H639" s="1719" t="n"/>
      <c r="I639" s="1719" t="n"/>
      <c r="J639" s="1719" t="n"/>
      <c r="K639" s="1719" t="n"/>
      <c r="L639" s="1718" t="n"/>
      <c r="M639" s="1719" t="n"/>
      <c r="N639" s="1719" t="n"/>
      <c r="O639" s="1719" t="n"/>
      <c r="P639" s="1719" t="n"/>
      <c r="Q639" s="1718" t="n"/>
      <c r="R639" s="1719" t="n"/>
      <c r="S639" s="1719" t="n"/>
      <c r="T639" s="1719" t="n"/>
      <c r="U639" s="1719" t="n"/>
      <c r="V639" s="1718" t="n"/>
      <c r="W639" s="1719" t="n"/>
      <c r="X639" s="1719" t="n"/>
      <c r="Y639" s="1719" t="n"/>
      <c r="Z639" s="1719" t="n"/>
      <c r="AA639" s="1718" t="n"/>
      <c r="AB639" s="1719" t="n"/>
      <c r="AC639" s="1719" t="n"/>
      <c r="AD639" s="1719" t="n"/>
      <c r="AE639" s="1719" t="n"/>
      <c r="AF639" s="1718" t="n"/>
      <c r="AG639" s="1719" t="n"/>
      <c r="AH639" s="1719" t="n"/>
      <c r="AI639" s="1719" t="n"/>
      <c r="AJ639" s="1719" t="n"/>
      <c r="AK639" s="1718" t="n"/>
      <c r="AL639" s="1719" t="n"/>
      <c r="AM639" s="1719" t="n"/>
      <c r="AN639" s="1719" t="n"/>
      <c r="AO639" s="1719" t="n"/>
      <c r="AP639" s="1718" t="n"/>
      <c r="AQ639" s="1719" t="n"/>
      <c r="AR639" s="1719" t="n"/>
      <c r="AS639" s="1719" t="n"/>
      <c r="AT639" s="1719" t="n"/>
      <c r="AU639" s="1718" t="n"/>
      <c r="AV639" s="1719" t="n"/>
      <c r="AW639" s="1719" t="n"/>
      <c r="AX639" s="1719" t="n"/>
      <c r="AY639" s="1719" t="n"/>
      <c r="AZ639" s="1718" t="n"/>
      <c r="BA639" s="1719" t="n"/>
      <c r="BB639" s="1719" t="n"/>
      <c r="BC639" s="1719" t="n"/>
      <c r="BD639" s="1719" t="n"/>
      <c r="BE639" s="1718" t="n"/>
      <c r="BF639" s="1719" t="n"/>
      <c r="BG639" s="1719" t="n"/>
      <c r="BH639" s="1719" t="n"/>
      <c r="BI639" s="1719" t="n"/>
      <c r="BJ639" s="1718" t="n"/>
      <c r="BK639" s="1719" t="n"/>
      <c r="BL639" s="1719" t="n"/>
      <c r="BM639" s="1719" t="n"/>
      <c r="BN639" s="1719" t="n"/>
      <c r="BO639" s="1720" t="n"/>
      <c r="BP639" s="1719" t="n"/>
      <c r="BQ639" s="1719" t="n"/>
      <c r="BR639" s="1719" t="n"/>
      <c r="BS639" s="1719" t="n"/>
      <c r="BT639" s="1718" t="n"/>
      <c r="BU639" s="1719" t="n"/>
      <c r="BV639" s="1719" t="n"/>
      <c r="BW639" s="1719" t="n"/>
      <c r="BX639" s="1719" t="n"/>
      <c r="BY639" s="1718" t="n"/>
      <c r="BZ639" s="1718" t="n"/>
      <c r="CA639" s="1718" t="n"/>
      <c r="CB639" s="1718" t="n"/>
      <c r="CC639" s="1634" t="n"/>
    </row>
    <row r="640" ht="15" customFormat="1" customHeight="1" s="1561">
      <c r="A640" s="1721" t="inlineStr">
        <is>
          <t>Finance receivables, net</t>
        </is>
      </c>
      <c r="B640" s="1705" t="n"/>
      <c r="C640" s="1637" t="n"/>
      <c r="D640" s="1706" t="n">
        <v>28.905</v>
      </c>
      <c r="E640" s="1637" t="n"/>
      <c r="F640" s="1706" t="n">
        <v>38.621</v>
      </c>
      <c r="G640" s="1706" t="n">
        <v>46.017</v>
      </c>
      <c r="H640" s="1714" t="n">
        <v>46.2</v>
      </c>
      <c r="I640" s="1714" t="n">
        <v>46.4</v>
      </c>
      <c r="J640" s="1714" t="n">
        <v>119.3</v>
      </c>
      <c r="K640" s="1564">
        <f>L640</f>
        <v/>
      </c>
      <c r="L640" s="1706" t="n">
        <v>55.261</v>
      </c>
      <c r="M640" s="1714" t="n">
        <v>55.3</v>
      </c>
      <c r="N640" s="1714" t="n">
        <v>55.7</v>
      </c>
      <c r="O640" s="1714" t="n">
        <v>49.8</v>
      </c>
      <c r="P640" s="1564">
        <f>Q640</f>
        <v/>
      </c>
      <c r="Q640" s="1706" t="n">
        <v>124.036</v>
      </c>
      <c r="R640" s="1714" t="n">
        <v>102.2</v>
      </c>
      <c r="S640" s="1714" t="n">
        <v>105.7</v>
      </c>
      <c r="T640" s="1714" t="n">
        <v>71.8</v>
      </c>
      <c r="U640" s="1564">
        <f>V640</f>
        <v/>
      </c>
      <c r="V640" s="1706" t="n">
        <v>117.2</v>
      </c>
      <c r="W640" s="1714" t="n">
        <v>213.6</v>
      </c>
      <c r="X640" s="1714" t="n">
        <v>120.2</v>
      </c>
      <c r="Y640" s="1714" t="n">
        <v>263.9</v>
      </c>
      <c r="Z640" s="1564">
        <f>AA640</f>
        <v/>
      </c>
      <c r="AA640" s="1706" t="n">
        <v>264.9</v>
      </c>
      <c r="AB640" s="1714" t="n">
        <v>193.2</v>
      </c>
      <c r="AC640" s="1714" t="n">
        <v>193</v>
      </c>
      <c r="AD640" s="1714" t="n">
        <v>193.5</v>
      </c>
      <c r="AE640" s="1564">
        <f>AF640</f>
        <v/>
      </c>
      <c r="AF640" s="1706" t="n">
        <v>275.1</v>
      </c>
      <c r="AG640" s="1714" t="n">
        <v>399.4</v>
      </c>
      <c r="AH640" s="1714" t="n">
        <v>406.3</v>
      </c>
      <c r="AI640" s="1714" t="n">
        <v>588.2</v>
      </c>
      <c r="AJ640" s="1564">
        <f>AK640</f>
        <v/>
      </c>
      <c r="AK640" s="1706" t="n">
        <v>421.1</v>
      </c>
      <c r="AL640" s="1714" t="n">
        <v>340.8</v>
      </c>
      <c r="AM640" s="1714" t="n">
        <v>444</v>
      </c>
      <c r="AN640" s="1714" t="n">
        <v>349.6</v>
      </c>
      <c r="AO640" s="1564">
        <f>AP640</f>
        <v/>
      </c>
      <c r="AP640" s="1706" t="n">
        <v>400.5</v>
      </c>
      <c r="AQ640" s="1714" t="n">
        <v>66.59999999999999</v>
      </c>
      <c r="AR640" s="1714" t="n">
        <v>6.2</v>
      </c>
      <c r="AS640" s="1714" t="n">
        <v>139</v>
      </c>
      <c r="AT640" s="1564">
        <f>AU640</f>
        <v/>
      </c>
      <c r="AU640" s="1706" t="n">
        <v>383</v>
      </c>
      <c r="AV640" s="1714" t="n">
        <v>191.5</v>
      </c>
      <c r="AW640" s="1714" t="n">
        <v>0</v>
      </c>
      <c r="AX640" s="1714" t="n">
        <v>174.9</v>
      </c>
      <c r="AY640" s="1564">
        <f>AZ640</f>
        <v/>
      </c>
      <c r="AZ640" s="1637" t="n"/>
      <c r="BA640" s="1714" t="n">
        <v>58.3</v>
      </c>
      <c r="BB640" s="1714" t="n">
        <v>71.7</v>
      </c>
      <c r="BC640" s="1714" t="n">
        <v>423.4</v>
      </c>
      <c r="BD640" s="1564">
        <f>BE640</f>
        <v/>
      </c>
      <c r="BE640" s="1706" t="n">
        <v>60.6</v>
      </c>
      <c r="BF640" s="1714" t="n">
        <v>13.8</v>
      </c>
      <c r="BG640" s="1714" t="n">
        <v>64</v>
      </c>
      <c r="BH640" s="1714" t="n">
        <v>370.5</v>
      </c>
      <c r="BI640" s="1564">
        <f>BJ640</f>
        <v/>
      </c>
      <c r="BJ640" s="1706" t="n">
        <v>317.2</v>
      </c>
      <c r="BK640" s="1714" t="n">
        <v>153.4</v>
      </c>
      <c r="BL640" s="1714" t="n">
        <v>175.1</v>
      </c>
      <c r="BM640" s="1562" t="n"/>
      <c r="BN640" s="1564">
        <f>BO640</f>
        <v/>
      </c>
      <c r="BO640" s="1788" t="n">
        <v>13.3</v>
      </c>
      <c r="BP640" s="1562">
        <f>BO640</f>
        <v/>
      </c>
      <c r="BQ640" s="1562">
        <f>BP640</f>
        <v/>
      </c>
      <c r="BR640" s="1562">
        <f>BQ640</f>
        <v/>
      </c>
      <c r="BS640" s="1562">
        <f>BR640</f>
        <v/>
      </c>
      <c r="BT640" s="1637">
        <f>BS640</f>
        <v/>
      </c>
      <c r="BU640" s="1562">
        <f>BT640</f>
        <v/>
      </c>
      <c r="BV640" s="1562">
        <f>BU640</f>
        <v/>
      </c>
      <c r="BW640" s="1562">
        <f>BV640</f>
        <v/>
      </c>
      <c r="BX640" s="1562">
        <f>BW640</f>
        <v/>
      </c>
      <c r="BY640" s="1637">
        <f>BX640</f>
        <v/>
      </c>
      <c r="BZ640" s="1637">
        <f>BY640</f>
        <v/>
      </c>
      <c r="CA640" s="1637">
        <f>BZ640</f>
        <v/>
      </c>
      <c r="CB640" s="1637">
        <f>CA640</f>
        <v/>
      </c>
      <c r="CC640" s="1564" t="n"/>
    </row>
    <row r="641" ht="15" customFormat="1" customHeight="1" s="1561">
      <c r="A641" s="1721" t="inlineStr">
        <is>
          <t>Deferred tax assets</t>
        </is>
      </c>
      <c r="B641" s="1705" t="n"/>
      <c r="C641" s="1706" t="n">
        <v>133.263</v>
      </c>
      <c r="D641" s="1706" t="n">
        <v>71.008</v>
      </c>
      <c r="E641" s="1706" t="n">
        <v>38.735</v>
      </c>
      <c r="F641" s="1706" t="n">
        <v>39.443</v>
      </c>
      <c r="G641" s="1706" t="n">
        <v>139.513</v>
      </c>
      <c r="H641" s="1714" t="n">
        <v>129.1</v>
      </c>
      <c r="I641" s="1714" t="n">
        <v>126.2</v>
      </c>
      <c r="J641" s="1714" t="n">
        <v>115.8</v>
      </c>
      <c r="K641" s="1564">
        <f>L641</f>
        <v/>
      </c>
      <c r="L641" s="1706" t="n">
        <v>28.76</v>
      </c>
      <c r="M641" s="1714" t="n">
        <v>30.5</v>
      </c>
      <c r="N641" s="1714" t="n">
        <v>33.3</v>
      </c>
      <c r="O641" s="1714" t="n">
        <v>32.8</v>
      </c>
      <c r="P641" s="1564">
        <f>Q641</f>
        <v/>
      </c>
      <c r="Q641" s="1706" t="n">
        <v>29.012</v>
      </c>
      <c r="R641" s="1714" t="n">
        <v>47.4</v>
      </c>
      <c r="S641" s="1714" t="n">
        <v>50</v>
      </c>
      <c r="T641" s="1714" t="n">
        <v>39.1</v>
      </c>
      <c r="U641" s="1564">
        <f>V641</f>
        <v/>
      </c>
      <c r="V641" s="1706" t="n">
        <v>34.9</v>
      </c>
      <c r="W641" s="1714" t="n">
        <v>34.5</v>
      </c>
      <c r="X641" s="1714" t="n">
        <v>30.1</v>
      </c>
      <c r="Y641" s="1714" t="n">
        <v>25.5</v>
      </c>
      <c r="Z641" s="1564">
        <f>AA641</f>
        <v/>
      </c>
      <c r="AA641" s="1706" t="n">
        <v>31.7</v>
      </c>
      <c r="AB641" s="1714" t="n">
        <v>90.7</v>
      </c>
      <c r="AC641" s="1714" t="n">
        <v>97.5</v>
      </c>
      <c r="AD641" s="1714" t="n">
        <v>109.5</v>
      </c>
      <c r="AE641" s="1564">
        <f>AF641</f>
        <v/>
      </c>
      <c r="AF641" s="1706" t="n">
        <v>236.3</v>
      </c>
      <c r="AG641" s="1714" t="n">
        <v>280.7</v>
      </c>
      <c r="AH641" s="1714" t="n">
        <v>326.6</v>
      </c>
      <c r="AI641" s="1714" t="n">
        <v>309.2</v>
      </c>
      <c r="AJ641" s="1564">
        <f>AK641</f>
        <v/>
      </c>
      <c r="AK641" s="1706" t="n">
        <v>445.3</v>
      </c>
      <c r="AL641" s="1714" t="n">
        <v>482.3</v>
      </c>
      <c r="AM641" s="1714" t="n">
        <v>485.3</v>
      </c>
      <c r="AN641" s="1714" t="n">
        <v>610.7</v>
      </c>
      <c r="AO641" s="1564">
        <f>AP641</f>
        <v/>
      </c>
      <c r="AP641" s="1706" t="n">
        <v>671.5</v>
      </c>
      <c r="AQ641" s="1714" t="n">
        <v>700.8</v>
      </c>
      <c r="AR641" s="1714" t="n">
        <v>710.5</v>
      </c>
      <c r="AS641" s="1714" t="n">
        <v>986</v>
      </c>
      <c r="AT641" s="1564">
        <f>AU641</f>
        <v/>
      </c>
      <c r="AU641" s="1706" t="n">
        <v>1098.7</v>
      </c>
      <c r="AV641" s="1714" t="n">
        <v>1141.9</v>
      </c>
      <c r="AW641" s="1714" t="n">
        <v>1240.8</v>
      </c>
      <c r="AX641" s="1714" t="n">
        <v>1599.6</v>
      </c>
      <c r="AY641" s="1564">
        <f>AZ641</f>
        <v/>
      </c>
      <c r="AZ641" s="1706" t="n">
        <v>1672.8</v>
      </c>
      <c r="BA641" s="1714" t="n">
        <v>1667.4</v>
      </c>
      <c r="BB641" s="1714" t="n">
        <v>1679.1</v>
      </c>
      <c r="BC641" s="1714" t="n">
        <v>1827.4</v>
      </c>
      <c r="BD641" s="1564">
        <f>BE641</f>
        <v/>
      </c>
      <c r="BE641" s="1706" t="n">
        <v>1872.3</v>
      </c>
      <c r="BF641" s="1714" t="n">
        <v>1875.2</v>
      </c>
      <c r="BG641" s="1714" t="n">
        <v>1872.4</v>
      </c>
      <c r="BH641" s="1714" t="n">
        <v>1939</v>
      </c>
      <c r="BI641" s="1564">
        <f>BJ641</f>
        <v/>
      </c>
      <c r="BJ641" s="1706" t="n">
        <v>1940.7</v>
      </c>
      <c r="BK641" s="1714" t="n">
        <v>1861</v>
      </c>
      <c r="BL641" s="1714" t="n">
        <v>1830.4</v>
      </c>
      <c r="BM641" s="1714" t="n">
        <v>1838.6</v>
      </c>
      <c r="BN641" s="1564">
        <f>BO641</f>
        <v/>
      </c>
      <c r="BO641" s="1788" t="n">
        <v>1719.4</v>
      </c>
      <c r="BP641" s="1562">
        <f>BO641</f>
        <v/>
      </c>
      <c r="BQ641" s="1562">
        <f>BP641</f>
        <v/>
      </c>
      <c r="BR641" s="1562">
        <f>BQ641</f>
        <v/>
      </c>
      <c r="BS641" s="1562">
        <f>BR641</f>
        <v/>
      </c>
      <c r="BT641" s="1637">
        <f>BS641</f>
        <v/>
      </c>
      <c r="BU641" s="1562">
        <f>BT641</f>
        <v/>
      </c>
      <c r="BV641" s="1562">
        <f>BU641</f>
        <v/>
      </c>
      <c r="BW641" s="1562">
        <f>BV641</f>
        <v/>
      </c>
      <c r="BX641" s="1562">
        <f>BW641</f>
        <v/>
      </c>
      <c r="BY641" s="1637">
        <f>BX641</f>
        <v/>
      </c>
      <c r="BZ641" s="1637">
        <f>BY641</f>
        <v/>
      </c>
      <c r="CA641" s="1637">
        <f>BZ641</f>
        <v/>
      </c>
      <c r="CB641" s="1637">
        <f>CA641</f>
        <v/>
      </c>
      <c r="CC641" s="1564" t="n"/>
    </row>
    <row r="642" ht="15" customFormat="1" customHeight="1" s="1561">
      <c r="A642" s="1721" t="inlineStr">
        <is>
          <t>Loan receivable</t>
        </is>
      </c>
      <c r="B642" s="1705" t="n"/>
      <c r="C642" s="1637" t="n"/>
      <c r="D642" s="1637" t="n"/>
      <c r="E642" s="1637" t="n"/>
      <c r="F642" s="1637" t="n"/>
      <c r="G642" s="1637" t="n"/>
      <c r="H642" s="1562" t="n"/>
      <c r="I642" s="1562" t="n"/>
      <c r="J642" s="1562" t="n"/>
      <c r="K642" s="1562" t="n"/>
      <c r="L642" s="1637" t="n"/>
      <c r="M642" s="1562" t="n"/>
      <c r="N642" s="1562" t="n"/>
      <c r="O642" s="1562" t="n"/>
      <c r="P642" s="1562" t="n"/>
      <c r="Q642" s="1637" t="n"/>
      <c r="R642" s="1562" t="n"/>
      <c r="S642" s="1562" t="n"/>
      <c r="T642" s="1562" t="n"/>
      <c r="U642" s="1562" t="n"/>
      <c r="V642" s="1637" t="n"/>
      <c r="W642" s="1562" t="n"/>
      <c r="X642" s="1562" t="n"/>
      <c r="Y642" s="1562" t="n"/>
      <c r="Z642" s="1562" t="n"/>
      <c r="AA642" s="1637" t="n"/>
      <c r="AB642" s="1562" t="n"/>
      <c r="AC642" s="1562" t="n"/>
      <c r="AD642" s="1562" t="n"/>
      <c r="AE642" s="1562" t="n"/>
      <c r="AF642" s="1637" t="n"/>
      <c r="AG642" s="1562" t="n"/>
      <c r="AH642" s="1562" t="n"/>
      <c r="AI642" s="1562" t="n"/>
      <c r="AJ642" s="1562" t="n"/>
      <c r="AK642" s="1637" t="n"/>
      <c r="AL642" s="1562" t="n"/>
      <c r="AM642" s="1562" t="n"/>
      <c r="AN642" s="1562" t="n"/>
      <c r="AO642" s="1562" t="n"/>
      <c r="AP642" s="1637" t="n"/>
      <c r="AQ642" s="1562" t="n"/>
      <c r="AR642" s="1562" t="n"/>
      <c r="AS642" s="1562" t="n"/>
      <c r="AT642" s="1562" t="n"/>
      <c r="AU642" s="1637" t="n"/>
      <c r="AV642" s="1562" t="n"/>
      <c r="AW642" s="1562" t="n"/>
      <c r="AX642" s="1714" t="n">
        <v>364.4</v>
      </c>
      <c r="AY642" s="1564">
        <f>AZ642</f>
        <v/>
      </c>
      <c r="AZ642" s="1706" t="n">
        <v>364.4</v>
      </c>
      <c r="BA642" s="1714" t="n">
        <v>364.4</v>
      </c>
      <c r="BB642" s="1714" t="n">
        <v>364.4</v>
      </c>
      <c r="BC642" s="1714" t="n">
        <v>920.7</v>
      </c>
      <c r="BD642" s="1564">
        <f>BE642</f>
        <v/>
      </c>
      <c r="BE642" s="1706" t="n">
        <v>929.2</v>
      </c>
      <c r="BF642" s="1714" t="n">
        <v>929.5</v>
      </c>
      <c r="BG642" s="1714" t="n">
        <v>929.3</v>
      </c>
      <c r="BH642" s="1714" t="n">
        <v>928.6</v>
      </c>
      <c r="BI642" s="1564">
        <f>BJ642</f>
        <v/>
      </c>
      <c r="BJ642" s="1706" t="n">
        <v>1456.6</v>
      </c>
      <c r="BK642" s="1714" t="n">
        <v>1443.4</v>
      </c>
      <c r="BL642" s="1714" t="n">
        <v>1444.9</v>
      </c>
      <c r="BM642" s="1714" t="n">
        <v>1686</v>
      </c>
      <c r="BN642" s="1564">
        <f>BO642</f>
        <v/>
      </c>
      <c r="BO642" s="1788" t="n">
        <v>1653.9</v>
      </c>
      <c r="BP642" s="1562">
        <f>BO642</f>
        <v/>
      </c>
      <c r="BQ642" s="1562">
        <f>BP642</f>
        <v/>
      </c>
      <c r="BR642" s="1562">
        <f>BQ642</f>
        <v/>
      </c>
      <c r="BS642" s="1562">
        <f>BR642</f>
        <v/>
      </c>
      <c r="BT642" s="1637">
        <f>BS642</f>
        <v/>
      </c>
      <c r="BU642" s="1562">
        <f>BT642</f>
        <v/>
      </c>
      <c r="BV642" s="1562">
        <f>BU642</f>
        <v/>
      </c>
      <c r="BW642" s="1562">
        <f>BV642</f>
        <v/>
      </c>
      <c r="BX642" s="1562">
        <f>BW642</f>
        <v/>
      </c>
      <c r="BY642" s="1637">
        <f>BX642</f>
        <v/>
      </c>
      <c r="BZ642" s="1637">
        <f>BY642</f>
        <v/>
      </c>
      <c r="CA642" s="1637">
        <f>BZ642</f>
        <v/>
      </c>
      <c r="CB642" s="1637">
        <f>CA642</f>
        <v/>
      </c>
      <c r="CC642" s="1564" t="n"/>
    </row>
    <row r="643" ht="15" customFormat="1" customHeight="1" s="1561">
      <c r="A643" s="1721" t="inlineStr">
        <is>
          <t>Other assets</t>
        </is>
      </c>
      <c r="B643" s="1705" t="n"/>
      <c r="C643" s="1706" t="n">
        <v>77.054</v>
      </c>
      <c r="D643" s="1706" t="n">
        <v>235.712</v>
      </c>
      <c r="E643" s="1706" t="n">
        <v>307.251</v>
      </c>
      <c r="F643" s="1706" t="n">
        <v>311.538</v>
      </c>
      <c r="G643" s="1706" t="n">
        <v>298.559</v>
      </c>
      <c r="H643" s="1714" t="n">
        <v>330.2</v>
      </c>
      <c r="I643" s="1714" t="n">
        <v>347.9</v>
      </c>
      <c r="J643" s="1714" t="n">
        <v>349.9</v>
      </c>
      <c r="K643" s="1564">
        <f>L643</f>
        <v/>
      </c>
      <c r="L643" s="1706" t="n">
        <v>444.82</v>
      </c>
      <c r="M643" s="1714" t="n">
        <v>472.2</v>
      </c>
      <c r="N643" s="1714" t="n">
        <v>435</v>
      </c>
      <c r="O643" s="1714" t="n">
        <v>429.4</v>
      </c>
      <c r="P643" s="1564">
        <f>Q643</f>
        <v/>
      </c>
      <c r="Q643" s="1706" t="n">
        <v>450.882</v>
      </c>
      <c r="R643" s="1714" t="n">
        <v>483.8</v>
      </c>
      <c r="S643" s="1714" t="n">
        <v>641.2</v>
      </c>
      <c r="T643" s="1714" t="n">
        <v>623.2</v>
      </c>
      <c r="U643" s="1564">
        <f>V643</f>
        <v/>
      </c>
      <c r="V643" s="1706" t="n">
        <v>612.3</v>
      </c>
      <c r="W643" s="1714" t="n">
        <v>621.1</v>
      </c>
      <c r="X643" s="1714" t="n">
        <v>634.6</v>
      </c>
      <c r="Y643" s="1714" t="n">
        <v>597.4</v>
      </c>
      <c r="Z643" s="1564">
        <f>AA643</f>
        <v/>
      </c>
      <c r="AA643" s="1706" t="n">
        <v>602.7</v>
      </c>
      <c r="AB643" s="1714" t="n">
        <v>805.9</v>
      </c>
      <c r="AC643" s="1714" t="n">
        <v>871.2</v>
      </c>
      <c r="AD643" s="1714" t="n">
        <v>904.5</v>
      </c>
      <c r="AE643" s="1564">
        <f>AF643</f>
        <v/>
      </c>
      <c r="AF643" s="1706" t="n">
        <v>806.1</v>
      </c>
      <c r="AG643" s="1714" t="n">
        <v>881.1</v>
      </c>
      <c r="AH643" s="1714" t="n">
        <v>893.3</v>
      </c>
      <c r="AI643" s="1714" t="n">
        <v>951.2</v>
      </c>
      <c r="AJ643" s="1564">
        <f>AK643</f>
        <v/>
      </c>
      <c r="AK643" s="1706" t="n">
        <v>830.4</v>
      </c>
      <c r="AL643" s="1714" t="n">
        <v>902.3</v>
      </c>
      <c r="AM643" s="1714" t="n">
        <v>929.7</v>
      </c>
      <c r="AN643" s="1714" t="n">
        <v>961.5</v>
      </c>
      <c r="AO643" s="1564">
        <f>AP643</f>
        <v/>
      </c>
      <c r="AP643" s="1706" t="n">
        <v>951.4</v>
      </c>
      <c r="AQ643" s="1714" t="n">
        <v>1313.4</v>
      </c>
      <c r="AR643" s="1714" t="n">
        <v>1016.4</v>
      </c>
      <c r="AS643" s="1714" t="n">
        <v>1120.9</v>
      </c>
      <c r="AT643" s="1564">
        <f>AU643</f>
        <v/>
      </c>
      <c r="AU643" s="1706" t="n">
        <v>1011.4</v>
      </c>
      <c r="AV643" s="1714" t="n">
        <v>934.2</v>
      </c>
      <c r="AW643" s="1714" t="n">
        <v>877.3</v>
      </c>
      <c r="AX643" s="1714" t="n">
        <v>745.2</v>
      </c>
      <c r="AY643" s="1564">
        <f>AZ643</f>
        <v/>
      </c>
      <c r="AZ643" s="1706" t="n">
        <v>739.8</v>
      </c>
      <c r="BA643" s="1714" t="n">
        <v>1012.8</v>
      </c>
      <c r="BB643" s="1714" t="n">
        <v>996.3</v>
      </c>
      <c r="BC643" s="1714" t="n">
        <v>859.2</v>
      </c>
      <c r="BD643" s="1564">
        <f>BE643</f>
        <v/>
      </c>
      <c r="BE643" s="1706" t="n">
        <v>651.8</v>
      </c>
      <c r="BF643" s="1714" t="n">
        <v>648.5</v>
      </c>
      <c r="BG643" s="1714" t="n">
        <v>702.8</v>
      </c>
      <c r="BH643" s="1714" t="n">
        <v>733.5</v>
      </c>
      <c r="BI643" s="1564">
        <f>BJ643</f>
        <v/>
      </c>
      <c r="BJ643" s="1706" t="n">
        <v>790.8</v>
      </c>
      <c r="BK643" s="1714" t="n">
        <v>859.2</v>
      </c>
      <c r="BL643" s="1714" t="n">
        <v>843.7</v>
      </c>
      <c r="BM643" s="1714" t="n">
        <v>918.5</v>
      </c>
      <c r="BN643" s="1564">
        <f>BO643</f>
        <v/>
      </c>
      <c r="BO643" s="1788" t="n">
        <v>1057.1</v>
      </c>
      <c r="BP643" s="1562">
        <f>BO643</f>
        <v/>
      </c>
      <c r="BQ643" s="1562">
        <f>BP643</f>
        <v/>
      </c>
      <c r="BR643" s="1562">
        <f>BQ643</f>
        <v/>
      </c>
      <c r="BS643" s="1562">
        <f>BR643</f>
        <v/>
      </c>
      <c r="BT643" s="1637">
        <f>BS643</f>
        <v/>
      </c>
      <c r="BU643" s="1562">
        <f>BT643</f>
        <v/>
      </c>
      <c r="BV643" s="1562">
        <f>BU643</f>
        <v/>
      </c>
      <c r="BW643" s="1562">
        <f>BV643</f>
        <v/>
      </c>
      <c r="BX643" s="1562">
        <f>BW643</f>
        <v/>
      </c>
      <c r="BY643" s="1637">
        <f>BX643</f>
        <v/>
      </c>
      <c r="BZ643" s="1637">
        <f>BY643</f>
        <v/>
      </c>
      <c r="CA643" s="1637">
        <f>BZ643</f>
        <v/>
      </c>
      <c r="CB643" s="1637">
        <f>CA643</f>
        <v/>
      </c>
      <c r="CC643" s="1564" t="n"/>
    </row>
    <row r="644" ht="15" customFormat="1" customHeight="1" s="1561">
      <c r="A644" s="1721" t="inlineStr">
        <is>
          <t>Equity method investments</t>
        </is>
      </c>
      <c r="B644" s="1705" t="n"/>
      <c r="C644" s="1637" t="n"/>
      <c r="D644" s="1637" t="n"/>
      <c r="E644" s="1637" t="n"/>
      <c r="F644" s="1637" t="n"/>
      <c r="G644" s="1637" t="n"/>
      <c r="H644" s="1562" t="n"/>
      <c r="I644" s="1562" t="n"/>
      <c r="J644" s="1562" t="n"/>
      <c r="K644" s="1564">
        <f>L644</f>
        <v/>
      </c>
      <c r="L644" s="1637" t="n"/>
      <c r="M644" s="1562" t="n"/>
      <c r="N644" s="1562" t="n"/>
      <c r="O644" s="1562" t="n"/>
      <c r="P644" s="1564">
        <f>Q644</f>
        <v/>
      </c>
      <c r="Q644" s="1637" t="n"/>
      <c r="R644" s="1562" t="n"/>
      <c r="S644" s="1562" t="n"/>
      <c r="T644" s="1562" t="n"/>
      <c r="U644" s="1564">
        <f>V644</f>
        <v/>
      </c>
      <c r="V644" s="1637" t="n"/>
      <c r="W644" s="1562" t="n"/>
      <c r="X644" s="1714" t="n">
        <v>1002.1</v>
      </c>
      <c r="Y644" s="1714" t="n">
        <v>1007.9</v>
      </c>
      <c r="Z644" s="1564">
        <f>AA644</f>
        <v/>
      </c>
      <c r="AA644" s="1706" t="n">
        <v>982.2</v>
      </c>
      <c r="AB644" s="1714" t="n">
        <v>970.5</v>
      </c>
      <c r="AC644" s="1714" t="n">
        <v>979.5</v>
      </c>
      <c r="AD644" s="1714" t="n">
        <v>985.2</v>
      </c>
      <c r="AE644" s="1564">
        <f>AF644</f>
        <v/>
      </c>
      <c r="AF644" s="1706" t="n">
        <v>915.8</v>
      </c>
      <c r="AG644" s="1714" t="n">
        <v>933.6</v>
      </c>
      <c r="AH644" s="1714" t="n">
        <v>949.9</v>
      </c>
      <c r="AI644" s="1714" t="n">
        <v>969</v>
      </c>
      <c r="AJ644" s="1564">
        <f>AK644</f>
        <v/>
      </c>
      <c r="AK644" s="1706" t="n">
        <v>833</v>
      </c>
      <c r="AL644" s="1714" t="n">
        <v>865.1</v>
      </c>
      <c r="AM644" s="1714" t="n">
        <v>891.6</v>
      </c>
      <c r="AN644" s="1714" t="n">
        <v>918</v>
      </c>
      <c r="AO644" s="1564">
        <f>AP644</f>
        <v/>
      </c>
      <c r="AP644" s="1706" t="n">
        <v>820.7</v>
      </c>
      <c r="AQ644" s="1714" t="n">
        <v>842.5</v>
      </c>
      <c r="AR644" s="1714" t="n">
        <v>864.9</v>
      </c>
      <c r="AS644" s="1714" t="n">
        <v>963.2</v>
      </c>
      <c r="AT644" s="1564">
        <f>AU644</f>
        <v/>
      </c>
      <c r="AU644" s="1706" t="n">
        <v>892.5</v>
      </c>
      <c r="AV644" s="1714" t="n">
        <v>940</v>
      </c>
      <c r="AW644" s="1714" t="n">
        <v>961.4</v>
      </c>
      <c r="AX644" s="1714" t="n">
        <v>998.7</v>
      </c>
      <c r="AY644" s="1564">
        <f>AZ644</f>
        <v/>
      </c>
      <c r="AZ644" s="1706" t="n">
        <v>923.6</v>
      </c>
      <c r="BA644" s="1714" t="n">
        <v>969.6</v>
      </c>
      <c r="BB644" s="1714" t="n">
        <v>1040.4</v>
      </c>
      <c r="BC644" s="1714" t="n">
        <v>1094.3</v>
      </c>
      <c r="BD644" s="1564">
        <f>BE644</f>
        <v/>
      </c>
      <c r="BE644" s="1706" t="n">
        <v>919.6</v>
      </c>
      <c r="BF644" s="1714" t="n">
        <v>951.5</v>
      </c>
      <c r="BG644" s="1714" t="n">
        <v>1002.3</v>
      </c>
      <c r="BH644" s="1714" t="n">
        <v>1083.4</v>
      </c>
      <c r="BI644" s="1564">
        <f>BJ644</f>
        <v/>
      </c>
      <c r="BJ644" s="1706" t="n">
        <v>903</v>
      </c>
      <c r="BK644" s="1714" t="n">
        <v>938.9</v>
      </c>
      <c r="BL644" s="1714" t="n">
        <v>1029.2</v>
      </c>
      <c r="BM644" s="1714" t="n">
        <v>1109.3</v>
      </c>
      <c r="BN644" s="1564">
        <f>BO644</f>
        <v/>
      </c>
      <c r="BO644" s="1788" t="n">
        <v>822.6</v>
      </c>
      <c r="BP644" s="1562">
        <f>BO644</f>
        <v/>
      </c>
      <c r="BQ644" s="1562">
        <f>BP644</f>
        <v/>
      </c>
      <c r="BR644" s="1562">
        <f>BQ644</f>
        <v/>
      </c>
      <c r="BS644" s="1562">
        <f>BR644</f>
        <v/>
      </c>
      <c r="BT644" s="1637">
        <f>BS644</f>
        <v/>
      </c>
      <c r="BU644" s="1562">
        <f>BT644</f>
        <v/>
      </c>
      <c r="BV644" s="1562">
        <f>BU644</f>
        <v/>
      </c>
      <c r="BW644" s="1562">
        <f>BV644</f>
        <v/>
      </c>
      <c r="BX644" s="1562">
        <f>BW644</f>
        <v/>
      </c>
      <c r="BY644" s="1637">
        <f>BX644</f>
        <v/>
      </c>
      <c r="BZ644" s="1637">
        <f>BY644</f>
        <v/>
      </c>
      <c r="CA644" s="1637">
        <f>BZ644</f>
        <v/>
      </c>
      <c r="CB644" s="1637">
        <f>CA644</f>
        <v/>
      </c>
      <c r="CC644" s="1564" t="n"/>
    </row>
    <row r="645" ht="15" customFormat="1" customHeight="1" s="1561">
      <c r="A645" s="1721" t="inlineStr">
        <is>
          <t>Equity investments</t>
        </is>
      </c>
      <c r="B645" s="1705" t="n"/>
      <c r="C645" s="1637" t="n"/>
      <c r="D645" s="1637" t="n"/>
      <c r="E645" s="1637" t="n"/>
      <c r="F645" s="1637" t="n"/>
      <c r="G645" s="1637" t="n"/>
      <c r="H645" s="1562" t="n"/>
      <c r="I645" s="1562" t="n"/>
      <c r="J645" s="1562" t="n"/>
      <c r="K645" s="1562" t="n"/>
      <c r="L645" s="1637" t="n"/>
      <c r="M645" s="1562" t="n"/>
      <c r="N645" s="1562" t="n"/>
      <c r="O645" s="1562" t="n"/>
      <c r="P645" s="1562" t="n"/>
      <c r="Q645" s="1637" t="n"/>
      <c r="R645" s="1562" t="n"/>
      <c r="S645" s="1562" t="n"/>
      <c r="T645" s="1562" t="n"/>
      <c r="U645" s="1562" t="n"/>
      <c r="V645" s="1637" t="n"/>
      <c r="W645" s="1562" t="n"/>
      <c r="X645" s="1562" t="n"/>
      <c r="Y645" s="1562" t="n"/>
      <c r="Z645" s="1562" t="n"/>
      <c r="AA645" s="1637" t="n"/>
      <c r="AB645" s="1562" t="n"/>
      <c r="AC645" s="1562" t="n"/>
      <c r="AD645" s="1562" t="n"/>
      <c r="AE645" s="1562" t="n"/>
      <c r="AF645" s="1637" t="n"/>
      <c r="AG645" s="1562" t="n"/>
      <c r="AH645" s="1562" t="n"/>
      <c r="AI645" s="1562" t="n"/>
      <c r="AJ645" s="1562" t="n"/>
      <c r="AK645" s="1637" t="n"/>
      <c r="AL645" s="1562" t="n"/>
      <c r="AM645" s="1562" t="n"/>
      <c r="AN645" s="1562" t="n"/>
      <c r="AO645" s="1562" t="n"/>
      <c r="AP645" s="1637" t="n"/>
      <c r="AQ645" s="1562" t="n"/>
      <c r="AR645" s="1562" t="n"/>
      <c r="AS645" s="1562" t="n"/>
      <c r="AT645" s="1562" t="n"/>
      <c r="AU645" s="1637" t="n"/>
      <c r="AV645" s="1562" t="n"/>
      <c r="AW645" s="1562" t="n"/>
      <c r="AX645" s="1562" t="n"/>
      <c r="AY645" s="1562" t="n"/>
      <c r="AZ645" s="1637" t="n"/>
      <c r="BA645" s="1562" t="n"/>
      <c r="BB645" s="1562" t="n"/>
      <c r="BC645" s="1562" t="n"/>
      <c r="BD645" s="1562" t="n"/>
      <c r="BE645" s="1637" t="n"/>
      <c r="BF645" s="1562" t="n"/>
      <c r="BG645" s="1562" t="n"/>
      <c r="BH645" s="1562" t="n"/>
      <c r="BI645" s="1562" t="n"/>
      <c r="BJ645" s="1637" t="n"/>
      <c r="BK645" s="1562" t="n"/>
      <c r="BL645" s="1562" t="n"/>
      <c r="BM645" s="1714" t="n">
        <v>1226.9</v>
      </c>
      <c r="BN645" s="1562">
        <f>BO645</f>
        <v/>
      </c>
      <c r="BO645" s="1788" t="n">
        <v>1320.7</v>
      </c>
      <c r="BP645" s="1562">
        <f>BO645</f>
        <v/>
      </c>
      <c r="BQ645" s="1562">
        <f>BP645</f>
        <v/>
      </c>
      <c r="BR645" s="1562">
        <f>BQ645</f>
        <v/>
      </c>
      <c r="BS645" s="1562">
        <f>BR645</f>
        <v/>
      </c>
      <c r="BT645" s="1637">
        <f>BS645</f>
        <v/>
      </c>
      <c r="BU645" s="1562">
        <f>BT645</f>
        <v/>
      </c>
      <c r="BV645" s="1562">
        <f>BU645</f>
        <v/>
      </c>
      <c r="BW645" s="1562">
        <f>BV645</f>
        <v/>
      </c>
      <c r="BX645" s="1562">
        <f>BW645</f>
        <v/>
      </c>
      <c r="BY645" s="1637">
        <f>BX645</f>
        <v/>
      </c>
      <c r="BZ645" s="1637">
        <f>BY645</f>
        <v/>
      </c>
      <c r="CA645" s="1637">
        <f>BZ645</f>
        <v/>
      </c>
      <c r="CB645" s="1637">
        <f>CA645</f>
        <v/>
      </c>
      <c r="CC645" s="1564" t="n"/>
    </row>
    <row r="646" ht="15" customFormat="1" customHeight="1" s="1561">
      <c r="A646" s="1721" t="inlineStr">
        <is>
          <t>Goodwill</t>
        </is>
      </c>
      <c r="B646" s="1705" t="n"/>
      <c r="C646" s="1706" t="n">
        <v>131.462</v>
      </c>
      <c r="D646" s="1706" t="n">
        <v>141.286</v>
      </c>
      <c r="E646" s="1706" t="n">
        <v>146.044</v>
      </c>
      <c r="F646" s="1706" t="n">
        <v>149.168</v>
      </c>
      <c r="G646" s="1706" t="n">
        <v>2088.589</v>
      </c>
      <c r="H646" s="1714" t="n">
        <v>2092.7</v>
      </c>
      <c r="I646" s="1714" t="n">
        <v>2116.1</v>
      </c>
      <c r="J646" s="1714" t="n">
        <v>2264.9</v>
      </c>
      <c r="K646" s="1564">
        <f>L646</f>
        <v/>
      </c>
      <c r="L646" s="1706" t="n">
        <v>2357.536</v>
      </c>
      <c r="M646" s="1714" t="n">
        <v>2610.8</v>
      </c>
      <c r="N646" s="1714" t="n">
        <v>2569.4</v>
      </c>
      <c r="O646" s="1714" t="n">
        <v>2574</v>
      </c>
      <c r="P646" s="1564">
        <f>Q646</f>
        <v/>
      </c>
      <c r="Q646" s="1706" t="n">
        <v>2624.552</v>
      </c>
      <c r="R646" s="1714" t="n">
        <v>2537.7</v>
      </c>
      <c r="S646" s="1714" t="n">
        <v>2603.7</v>
      </c>
      <c r="T646" s="1714" t="n">
        <v>2571</v>
      </c>
      <c r="U646" s="1564">
        <f>V646</f>
        <v/>
      </c>
      <c r="V646" s="1706" t="n">
        <v>4873.9</v>
      </c>
      <c r="W646" s="1714" t="n">
        <v>4784.1</v>
      </c>
      <c r="X646" s="1714" t="n">
        <v>4645.9</v>
      </c>
      <c r="Y646" s="1714" t="n">
        <v>4564.7</v>
      </c>
      <c r="Z646" s="1564">
        <f>AA646</f>
        <v/>
      </c>
      <c r="AA646" s="1706" t="n">
        <v>4541.1</v>
      </c>
      <c r="AB646" s="1714" t="n">
        <v>4541.2</v>
      </c>
      <c r="AC646" s="1714" t="n">
        <v>4541.2</v>
      </c>
      <c r="AD646" s="1714" t="n">
        <v>4541.2</v>
      </c>
      <c r="AE646" s="1564">
        <f>AF646</f>
        <v/>
      </c>
      <c r="AF646" s="1706" t="n">
        <v>4541.1</v>
      </c>
      <c r="AG646" s="1714" t="n">
        <v>4541.1</v>
      </c>
      <c r="AH646" s="1714" t="n">
        <v>4541.1</v>
      </c>
      <c r="AI646" s="1714" t="n">
        <v>4541.1</v>
      </c>
      <c r="AJ646" s="1564">
        <f>AK646</f>
        <v/>
      </c>
      <c r="AK646" s="1706" t="n">
        <v>4541.1</v>
      </c>
      <c r="AL646" s="1714" t="n">
        <v>4541.1</v>
      </c>
      <c r="AM646" s="1714" t="n">
        <v>4541.1</v>
      </c>
      <c r="AN646" s="1714" t="n">
        <v>4541.1</v>
      </c>
      <c r="AO646" s="1564">
        <f>AP646</f>
        <v/>
      </c>
      <c r="AP646" s="1706" t="n">
        <v>4629.1</v>
      </c>
      <c r="AQ646" s="1714" t="n">
        <v>4555.5</v>
      </c>
      <c r="AR646" s="1714" t="n">
        <v>4555.5</v>
      </c>
      <c r="AS646" s="1714" t="n">
        <v>4555.6</v>
      </c>
      <c r="AT646" s="1564">
        <f>AU646</f>
        <v/>
      </c>
      <c r="AU646" s="1706" t="n">
        <v>4555.6</v>
      </c>
      <c r="AV646" s="1714" t="n">
        <v>4555.6</v>
      </c>
      <c r="AW646" s="1714" t="n">
        <v>4555.6</v>
      </c>
      <c r="AX646" s="1714" t="n">
        <v>4555.6</v>
      </c>
      <c r="AY646" s="1564">
        <f>AZ646</f>
        <v/>
      </c>
      <c r="AZ646" s="1706" t="n">
        <v>4555.6</v>
      </c>
      <c r="BA646" s="1714" t="n">
        <v>4555.6</v>
      </c>
      <c r="BB646" s="1714" t="n">
        <v>4555.6</v>
      </c>
      <c r="BC646" s="1714" t="n">
        <v>4582.6</v>
      </c>
      <c r="BD646" s="1564">
        <f>BE646</f>
        <v/>
      </c>
      <c r="BE646" s="1706" t="n">
        <v>4588.6</v>
      </c>
      <c r="BF646" s="1714" t="n">
        <v>4588.6</v>
      </c>
      <c r="BG646" s="1714" t="n">
        <v>4588.6</v>
      </c>
      <c r="BH646" s="1714" t="n">
        <v>4588.6</v>
      </c>
      <c r="BI646" s="1564">
        <f>BJ646</f>
        <v/>
      </c>
      <c r="BJ646" s="1706" t="n">
        <v>4588.6</v>
      </c>
      <c r="BK646" s="1714" t="n">
        <v>4588.6</v>
      </c>
      <c r="BL646" s="1714" t="n">
        <v>4588.6</v>
      </c>
      <c r="BM646" s="1714" t="n">
        <v>4588.6</v>
      </c>
      <c r="BN646" s="1564">
        <f>BO646</f>
        <v/>
      </c>
      <c r="BO646" s="1788" t="n">
        <v>4588.6</v>
      </c>
      <c r="BP646" s="1562">
        <f>BO646</f>
        <v/>
      </c>
      <c r="BQ646" s="1562">
        <f>BP646</f>
        <v/>
      </c>
      <c r="BR646" s="1562">
        <f>BQ646</f>
        <v/>
      </c>
      <c r="BS646" s="1562">
        <f>BR646</f>
        <v/>
      </c>
      <c r="BT646" s="1637">
        <f>BS646</f>
        <v/>
      </c>
      <c r="BU646" s="1562">
        <f>BT646</f>
        <v/>
      </c>
      <c r="BV646" s="1562">
        <f>BU646</f>
        <v/>
      </c>
      <c r="BW646" s="1562">
        <f>BV646</f>
        <v/>
      </c>
      <c r="BX646" s="1562">
        <f>BW646</f>
        <v/>
      </c>
      <c r="BY646" s="1637">
        <f>BX646</f>
        <v/>
      </c>
      <c r="BZ646" s="1637">
        <f>BY646</f>
        <v/>
      </c>
      <c r="CA646" s="1637">
        <f>BZ646</f>
        <v/>
      </c>
      <c r="CB646" s="1637">
        <f>CA646</f>
        <v/>
      </c>
      <c r="CC646" s="1564" t="n"/>
    </row>
    <row r="647" ht="15" customFormat="1" customHeight="1" s="1561">
      <c r="A647" s="1721" t="inlineStr">
        <is>
          <t>Other intangible assets, net</t>
        </is>
      </c>
      <c r="B647" s="1705" t="n"/>
      <c r="C647" s="1706" t="n">
        <v>18.128</v>
      </c>
      <c r="D647" s="1706" t="n">
        <v>13.651</v>
      </c>
      <c r="E647" s="1706" t="n">
        <v>8.366</v>
      </c>
      <c r="F647" s="1706" t="n">
        <v>9.943</v>
      </c>
      <c r="G647" s="1706" t="n">
        <v>697.634</v>
      </c>
      <c r="H647" s="1714" t="n">
        <v>688.1</v>
      </c>
      <c r="I647" s="1714" t="n">
        <v>686.5</v>
      </c>
      <c r="J647" s="1714" t="n">
        <v>712.7</v>
      </c>
      <c r="K647" s="1564">
        <f>L647</f>
        <v/>
      </c>
      <c r="L647" s="1706" t="n">
        <v>723.8390000000001</v>
      </c>
      <c r="M647" s="1714" t="n">
        <v>773.8</v>
      </c>
      <c r="N647" s="1714" t="n">
        <v>751.2</v>
      </c>
      <c r="O647" s="1714" t="n">
        <v>739.5</v>
      </c>
      <c r="P647" s="1564">
        <f>Q647</f>
        <v/>
      </c>
      <c r="Q647" s="1706" t="n">
        <v>738.17</v>
      </c>
      <c r="R647" s="1714" t="n">
        <v>706</v>
      </c>
      <c r="S647" s="1714" t="n">
        <v>713.5</v>
      </c>
      <c r="T647" s="1714" t="n">
        <v>694</v>
      </c>
      <c r="U647" s="1564">
        <f>V647</f>
        <v/>
      </c>
      <c r="V647" s="1706" t="n">
        <v>1323</v>
      </c>
      <c r="W647" s="1714" t="n">
        <v>1279.5</v>
      </c>
      <c r="X647" s="1714" t="n">
        <v>1230.4</v>
      </c>
      <c r="Y647" s="1714" t="n">
        <v>1191.1</v>
      </c>
      <c r="Z647" s="1564">
        <f>AA647</f>
        <v/>
      </c>
      <c r="AA647" s="1706" t="n">
        <v>1166</v>
      </c>
      <c r="AB647" s="1714" t="n">
        <v>1146.5</v>
      </c>
      <c r="AC647" s="1714" t="n">
        <v>1130.2</v>
      </c>
      <c r="AD647" s="1714" t="n">
        <v>1108.7</v>
      </c>
      <c r="AE647" s="1564">
        <f>AF647</f>
        <v/>
      </c>
      <c r="AF647" s="1706" t="n">
        <v>1104</v>
      </c>
      <c r="AG647" s="1714" t="n">
        <v>1158.5</v>
      </c>
      <c r="AH647" s="1714" t="n">
        <v>1140.8</v>
      </c>
      <c r="AI647" s="1714" t="n">
        <v>1122.8</v>
      </c>
      <c r="AJ647" s="1564">
        <f>AK647</f>
        <v/>
      </c>
      <c r="AK647" s="1706" t="n">
        <v>1104.4</v>
      </c>
      <c r="AL647" s="1714" t="n">
        <v>1082.5</v>
      </c>
      <c r="AM647" s="1714" t="n">
        <v>1058.3</v>
      </c>
      <c r="AN647" s="1714" t="n">
        <v>1035.4</v>
      </c>
      <c r="AO647" s="1564">
        <f>AP647</f>
        <v/>
      </c>
      <c r="AP647" s="1706" t="n">
        <v>1049</v>
      </c>
      <c r="AQ647" s="1714" t="n">
        <v>1014.2</v>
      </c>
      <c r="AR647" s="1714" t="n">
        <v>987.7</v>
      </c>
      <c r="AS647" s="1714" t="n">
        <v>963.8</v>
      </c>
      <c r="AT647" s="1564">
        <f>AU647</f>
        <v/>
      </c>
      <c r="AU647" s="1706" t="n">
        <v>952.1</v>
      </c>
      <c r="AV647" s="1714" t="n">
        <v>923.4</v>
      </c>
      <c r="AW647" s="1714" t="n">
        <v>896.1</v>
      </c>
      <c r="AX647" s="1714" t="n">
        <v>870.1</v>
      </c>
      <c r="AY647" s="1564">
        <f>AZ647</f>
        <v/>
      </c>
      <c r="AZ647" s="1706" t="n">
        <v>842.4</v>
      </c>
      <c r="BA647" s="1714" t="n">
        <v>813.7</v>
      </c>
      <c r="BB647" s="1714" t="n">
        <v>789.2</v>
      </c>
      <c r="BC647" s="1714" t="n">
        <v>756.6</v>
      </c>
      <c r="BD647" s="1564">
        <f>BE647</f>
        <v/>
      </c>
      <c r="BE647" s="1706" t="n">
        <v>741.7</v>
      </c>
      <c r="BF647" s="1714" t="n">
        <v>711.1</v>
      </c>
      <c r="BG647" s="1714" t="n">
        <v>686.4</v>
      </c>
      <c r="BH647" s="1714" t="n">
        <v>652.9</v>
      </c>
      <c r="BI647" s="1564">
        <f>BJ647</f>
        <v/>
      </c>
      <c r="BJ647" s="1706" t="n">
        <v>621.3</v>
      </c>
      <c r="BK647" s="1714" t="n">
        <v>591.6</v>
      </c>
      <c r="BL647" s="1714" t="n">
        <v>565.7</v>
      </c>
      <c r="BM647" s="1714" t="n">
        <v>555.7</v>
      </c>
      <c r="BN647" s="1564">
        <f>BO647</f>
        <v/>
      </c>
      <c r="BO647" s="1788" t="n">
        <v>540.1</v>
      </c>
      <c r="BP647" s="1562">
        <f>BO647+BP591+BP590</f>
        <v/>
      </c>
      <c r="BQ647" s="1562">
        <f>BP647+BQ591+BQ590</f>
        <v/>
      </c>
      <c r="BR647" s="1562">
        <f>BQ647+BR591+BR590</f>
        <v/>
      </c>
      <c r="BS647" s="1562">
        <f>BR647+BS591+BS590</f>
        <v/>
      </c>
      <c r="BT647" s="1637">
        <f>BS647</f>
        <v/>
      </c>
      <c r="BU647" s="1562">
        <f>BT647+BU591+BU590</f>
        <v/>
      </c>
      <c r="BV647" s="1562">
        <f>BU647+BV591+BV590</f>
        <v/>
      </c>
      <c r="BW647" s="1562">
        <f>BV647+BW591+BW590</f>
        <v/>
      </c>
      <c r="BX647" s="1562">
        <f>BW647+BX591+BX590</f>
        <v/>
      </c>
      <c r="BY647" s="1637">
        <f>BX647</f>
        <v/>
      </c>
      <c r="BZ647" s="1637">
        <f>BY647+BZ591+BZ590</f>
        <v/>
      </c>
      <c r="CA647" s="1637">
        <f>BZ647+CA591+CA590</f>
        <v/>
      </c>
      <c r="CB647" s="1637">
        <f>CA647+CB591+CB590</f>
        <v/>
      </c>
      <c r="CC647" s="1564" t="n"/>
    </row>
    <row r="648" ht="15" customFormat="1" customHeight="1" s="1561">
      <c r="A648" s="1721" t="inlineStr">
        <is>
          <t>Property, plant and equipment, net</t>
        </is>
      </c>
      <c r="B648" s="1705" t="n"/>
      <c r="C648" s="1706" t="n">
        <v>655.36</v>
      </c>
      <c r="D648" s="1706" t="n">
        <v>745.331</v>
      </c>
      <c r="E648" s="1706" t="n">
        <v>1053.61</v>
      </c>
      <c r="F648" s="1706" t="n">
        <v>1029.923</v>
      </c>
      <c r="G648" s="1706" t="n">
        <v>1217.84</v>
      </c>
      <c r="H648" s="1714" t="n">
        <v>1231.2</v>
      </c>
      <c r="I648" s="1714" t="n">
        <v>1275.1</v>
      </c>
      <c r="J648" s="1714" t="n">
        <v>1372.4</v>
      </c>
      <c r="K648" s="1564">
        <f>L648</f>
        <v/>
      </c>
      <c r="L648" s="1706" t="n">
        <v>1447.523</v>
      </c>
      <c r="M648" s="1714" t="n">
        <v>1523.4</v>
      </c>
      <c r="N648" s="1714" t="n">
        <v>1518.9</v>
      </c>
      <c r="O648" s="1714" t="n">
        <v>1532.6</v>
      </c>
      <c r="P648" s="1564">
        <f>Q648</f>
        <v/>
      </c>
      <c r="Q648" s="1706" t="n">
        <v>1620.678</v>
      </c>
      <c r="R648" s="1714" t="n">
        <v>1580.3</v>
      </c>
      <c r="S648" s="1714" t="n">
        <v>1608.9</v>
      </c>
      <c r="T648" s="1714" t="n">
        <v>1587.4</v>
      </c>
      <c r="U648" s="1564">
        <f>V648</f>
        <v/>
      </c>
      <c r="V648" s="1706" t="n">
        <v>1687.2</v>
      </c>
      <c r="W648" s="1714" t="n">
        <v>1622.4</v>
      </c>
      <c r="X648" s="1714" t="n">
        <v>1567.3</v>
      </c>
      <c r="Y648" s="1714" t="n">
        <v>1552</v>
      </c>
      <c r="Z648" s="1564">
        <f>AA648</f>
        <v/>
      </c>
      <c r="AA648" s="1706" t="n">
        <v>1600.8</v>
      </c>
      <c r="AB648" s="1714" t="n">
        <v>1559.5</v>
      </c>
      <c r="AC648" s="1714" t="n">
        <v>1584.6</v>
      </c>
      <c r="AD648" s="1714" t="n">
        <v>1572.4</v>
      </c>
      <c r="AE648" s="1564">
        <f>AF648</f>
        <v/>
      </c>
      <c r="AF648" s="1706" t="n">
        <v>1589.5</v>
      </c>
      <c r="AG648" s="1714" t="n">
        <v>1621.8</v>
      </c>
      <c r="AH648" s="1714" t="n">
        <v>1669.8</v>
      </c>
      <c r="AI648" s="1714" t="n">
        <v>1817.9</v>
      </c>
      <c r="AJ648" s="1564">
        <f>AK648</f>
        <v/>
      </c>
      <c r="AK648" s="1706" t="n">
        <v>1999.3</v>
      </c>
      <c r="AL648" s="1714" t="n">
        <v>2046.9</v>
      </c>
      <c r="AM648" s="1714" t="n">
        <v>2109.6</v>
      </c>
      <c r="AN648" s="1714" t="n">
        <v>2198.3</v>
      </c>
      <c r="AO648" s="1564">
        <f>AP648</f>
        <v/>
      </c>
      <c r="AP648" s="1706" t="n">
        <v>2470.3</v>
      </c>
      <c r="AQ648" s="1714" t="n">
        <v>2521.6</v>
      </c>
      <c r="AR648" s="1714" t="n">
        <v>2609.4</v>
      </c>
      <c r="AS648" s="1714" t="n">
        <v>2730.3</v>
      </c>
      <c r="AT648" s="1564">
        <f>AU648</f>
        <v/>
      </c>
      <c r="AU648" s="1706" t="n">
        <v>2982.7</v>
      </c>
      <c r="AV648" s="1714" t="n">
        <v>3159.4</v>
      </c>
      <c r="AW648" s="1714" t="n">
        <v>3357.7</v>
      </c>
      <c r="AX648" s="1714" t="n">
        <v>3561.7</v>
      </c>
      <c r="AY648" s="1564">
        <f>AZ648</f>
        <v/>
      </c>
      <c r="AZ648" s="1706" t="n">
        <v>3944.2</v>
      </c>
      <c r="BA648" s="1714" t="n">
        <v>4354.8</v>
      </c>
      <c r="BB648" s="1714" t="n">
        <v>4727.9</v>
      </c>
      <c r="BC648" s="1714" t="n">
        <v>5093.2</v>
      </c>
      <c r="BD648" s="1564">
        <f>BE648</f>
        <v/>
      </c>
      <c r="BE648" s="1706" t="n">
        <v>5493.2</v>
      </c>
      <c r="BF648" s="1714" t="n">
        <v>5841.4</v>
      </c>
      <c r="BG648" s="1714" t="n">
        <v>6084</v>
      </c>
      <c r="BH648" s="1714" t="n">
        <v>6211.9</v>
      </c>
      <c r="BI648" s="1564">
        <f>BJ648</f>
        <v/>
      </c>
      <c r="BJ648" s="1706" t="n">
        <v>6846.8</v>
      </c>
      <c r="BK648" s="1714" t="n">
        <v>7152.9</v>
      </c>
      <c r="BL648" s="1714" t="n">
        <v>7296</v>
      </c>
      <c r="BM648" s="1714" t="n">
        <v>7681.2</v>
      </c>
      <c r="BN648" s="1564">
        <f>BO648</f>
        <v/>
      </c>
      <c r="BO648" s="1788" t="n">
        <v>7893.8</v>
      </c>
      <c r="BP648" s="1562">
        <f>BO648-BP558-BP559+BP585+BP584-BP112</f>
        <v/>
      </c>
      <c r="BQ648" s="1562">
        <f>BP648-BQ558-BQ559+BQ585+BQ584-BQ112</f>
        <v/>
      </c>
      <c r="BR648" s="1562">
        <f>BQ648-BR558-BR559+BR585+BR584-BR112</f>
        <v/>
      </c>
      <c r="BS648" s="1562">
        <f>BR648-BS558-BS559+BS585+BS584-BS112</f>
        <v/>
      </c>
      <c r="BT648" s="1637">
        <f>BS648</f>
        <v/>
      </c>
      <c r="BU648" s="1562">
        <f>BT648-BU558-BU559+BU585+BU584-BU112</f>
        <v/>
      </c>
      <c r="BV648" s="1562">
        <f>BU648-BV558-BV559+BV585+BV584-BV112</f>
        <v/>
      </c>
      <c r="BW648" s="1562">
        <f>BV648-BW558-BW559+BW585+BW584-BW112</f>
        <v/>
      </c>
      <c r="BX648" s="1562">
        <f>BW648-BX558-BX559+BX585+BX584-BX112</f>
        <v/>
      </c>
      <c r="BY648" s="1637">
        <f>BX648</f>
        <v/>
      </c>
      <c r="BZ648" s="1637">
        <f>BY648-BZ558-BZ559+BZ585+BZ584-BZ112</f>
        <v/>
      </c>
      <c r="CA648" s="1637">
        <f>BZ648-CA558-CA559+CA585+CA584-CA112</f>
        <v/>
      </c>
      <c r="CB648" s="1637">
        <f>CA648-CB558-CB559+CB585+CB584-CB112</f>
        <v/>
      </c>
      <c r="CC648" s="1564" t="n"/>
    </row>
    <row r="649" hidden="1" outlineLevel="1" ht="15" customFormat="1" customHeight="1" s="1561">
      <c r="A649" s="1998" t="inlineStr">
        <is>
          <t>Right-of-use assets (Operating)</t>
        </is>
      </c>
      <c r="B649" s="1705" t="n"/>
      <c r="C649" s="1637" t="n"/>
      <c r="D649" s="1637" t="n"/>
      <c r="E649" s="1637" t="n"/>
      <c r="F649" s="1637" t="n"/>
      <c r="G649" s="1637" t="n"/>
      <c r="H649" s="1562" t="n"/>
      <c r="I649" s="1562" t="n"/>
      <c r="J649" s="1562" t="n"/>
      <c r="K649" s="1562" t="n"/>
      <c r="L649" s="1637" t="n"/>
      <c r="M649" s="1562" t="n"/>
      <c r="N649" s="1562" t="n"/>
      <c r="O649" s="1562" t="n"/>
      <c r="P649" s="1562" t="n"/>
      <c r="Q649" s="1637" t="n"/>
      <c r="R649" s="1562" t="n"/>
      <c r="S649" s="1562" t="n"/>
      <c r="T649" s="1562" t="n"/>
      <c r="U649" s="1562" t="n"/>
      <c r="V649" s="1637" t="n"/>
      <c r="W649" s="1562" t="n"/>
      <c r="X649" s="1562" t="n"/>
      <c r="Y649" s="1562" t="n"/>
      <c r="Z649" s="1562" t="n"/>
      <c r="AA649" s="1637" t="n"/>
      <c r="AB649" s="1714" t="n">
        <v>124</v>
      </c>
      <c r="AC649" s="1714" t="n">
        <v>127.4</v>
      </c>
      <c r="AD649" s="1714" t="n">
        <v>129.5</v>
      </c>
      <c r="AE649" s="1564">
        <f>AF649</f>
        <v/>
      </c>
      <c r="AF649" s="1706" t="n">
        <v>137.6</v>
      </c>
      <c r="AG649" s="1714" t="n">
        <v>148.1</v>
      </c>
      <c r="AH649" s="1714" t="n">
        <v>154.8</v>
      </c>
      <c r="AI649" s="1714" t="n">
        <v>227.2</v>
      </c>
      <c r="AJ649" s="1564">
        <f>AK649</f>
        <v/>
      </c>
      <c r="AK649" s="1706" t="n">
        <v>205.4</v>
      </c>
      <c r="AL649" s="1714" t="n">
        <v>197.1</v>
      </c>
      <c r="AM649" s="1714" t="n">
        <v>193</v>
      </c>
      <c r="AN649" s="1714" t="n">
        <v>180.1</v>
      </c>
      <c r="AO649" s="1564">
        <f>AP649</f>
        <v/>
      </c>
      <c r="AP649" s="1706" t="n">
        <v>180.1</v>
      </c>
      <c r="AQ649" s="1714" t="n">
        <v>179.7</v>
      </c>
      <c r="AR649" s="1714" t="n">
        <v>161.8</v>
      </c>
      <c r="AS649" s="1714" t="n">
        <v>155</v>
      </c>
      <c r="AT649" s="1564">
        <f>AU649</f>
        <v/>
      </c>
      <c r="AU649" s="1706" t="n">
        <v>159.5</v>
      </c>
      <c r="AV649" s="1714" t="n">
        <v>172.5</v>
      </c>
      <c r="AW649" s="1714" t="n">
        <v>184.6</v>
      </c>
      <c r="AX649" s="1714" t="n">
        <v>203.8</v>
      </c>
      <c r="AY649" s="1562" t="n"/>
      <c r="AZ649" s="1637" t="n"/>
      <c r="BA649" s="1562" t="n"/>
      <c r="BB649" s="1562" t="n"/>
      <c r="BC649" s="1562" t="n"/>
      <c r="BD649" s="1562" t="n"/>
      <c r="BE649" s="1637" t="n"/>
      <c r="BF649" s="1562" t="n"/>
      <c r="BG649" s="1562" t="n"/>
      <c r="BH649" s="1562" t="n"/>
      <c r="BI649" s="1562" t="n"/>
      <c r="BJ649" s="1637" t="n"/>
      <c r="BK649" s="1562" t="n"/>
      <c r="BL649" s="1562" t="n"/>
      <c r="BM649" s="1562" t="n"/>
      <c r="BN649" s="1562" t="n"/>
      <c r="BO649" s="1638" t="n"/>
      <c r="BP649" s="1562" t="n"/>
      <c r="BQ649" s="1562" t="n"/>
      <c r="BR649" s="1562" t="n"/>
      <c r="BS649" s="1562" t="n"/>
      <c r="BT649" s="1637" t="n"/>
      <c r="BU649" s="1562" t="n"/>
      <c r="BV649" s="1562" t="n"/>
      <c r="BW649" s="1562" t="n"/>
      <c r="BX649" s="1562" t="n"/>
      <c r="BY649" s="1637" t="n"/>
      <c r="BZ649" s="1637" t="n"/>
      <c r="CA649" s="1637" t="n"/>
      <c r="CB649" s="1637" t="n"/>
      <c r="CC649" s="1564" t="n"/>
    </row>
    <row r="650" hidden="1" outlineLevel="1" ht="15" customFormat="1" customHeight="1" s="1561">
      <c r="A650" s="2004" t="inlineStr">
        <is>
          <t>Right-of-use assets (Finance)</t>
        </is>
      </c>
      <c r="B650" s="1708" t="n"/>
      <c r="C650" s="1712" t="n"/>
      <c r="D650" s="1712" t="n"/>
      <c r="E650" s="1712" t="n"/>
      <c r="F650" s="1712" t="n"/>
      <c r="G650" s="1712" t="n"/>
      <c r="H650" s="1710" t="n"/>
      <c r="I650" s="1710" t="n"/>
      <c r="J650" s="1710" t="n"/>
      <c r="K650" s="1710" t="n"/>
      <c r="L650" s="1712" t="n"/>
      <c r="M650" s="1710" t="n"/>
      <c r="N650" s="1710" t="n"/>
      <c r="O650" s="1710" t="n"/>
      <c r="P650" s="1710" t="n"/>
      <c r="Q650" s="1712" t="n"/>
      <c r="R650" s="1710" t="n"/>
      <c r="S650" s="1710" t="n"/>
      <c r="T650" s="1710" t="n"/>
      <c r="U650" s="1710" t="n"/>
      <c r="V650" s="1712" t="n"/>
      <c r="W650" s="1710" t="n"/>
      <c r="X650" s="1710" t="n"/>
      <c r="Y650" s="1710" t="n"/>
      <c r="Z650" s="1710" t="n"/>
      <c r="AA650" s="1712" t="n"/>
      <c r="AB650" s="1710" t="n"/>
      <c r="AC650" s="1710" t="n"/>
      <c r="AD650" s="1710" t="n"/>
      <c r="AE650" s="1710" t="n"/>
      <c r="AF650" s="1712" t="n"/>
      <c r="AG650" s="1710" t="n"/>
      <c r="AH650" s="1716" t="n">
        <v>56</v>
      </c>
      <c r="AI650" s="1716" t="n">
        <v>78.5</v>
      </c>
      <c r="AJ650" s="1791">
        <f>AK650</f>
        <v/>
      </c>
      <c r="AK650" s="1709" t="n">
        <v>118.5</v>
      </c>
      <c r="AL650" s="1716" t="n">
        <v>119.4</v>
      </c>
      <c r="AM650" s="1716" t="n">
        <v>160.9</v>
      </c>
      <c r="AN650" s="1716" t="n">
        <v>117.9</v>
      </c>
      <c r="AO650" s="1791">
        <f>AP650</f>
        <v/>
      </c>
      <c r="AP650" s="1709" t="n">
        <v>164.8</v>
      </c>
      <c r="AQ650" s="1716" t="n">
        <v>164.8</v>
      </c>
      <c r="AR650" s="1716" t="n">
        <v>163.9</v>
      </c>
      <c r="AS650" s="1716" t="n">
        <v>5.9</v>
      </c>
      <c r="AT650" s="1791">
        <f>AU650</f>
        <v/>
      </c>
      <c r="AU650" s="1709" t="n">
        <v>5.3</v>
      </c>
      <c r="AV650" s="1716" t="n">
        <v>4.5</v>
      </c>
      <c r="AW650" s="1716" t="n">
        <v>3.8</v>
      </c>
      <c r="AX650" s="1716" t="n">
        <v>3.1</v>
      </c>
      <c r="AY650" s="1710" t="n"/>
      <c r="AZ650" s="1712" t="n"/>
      <c r="BA650" s="1710" t="n"/>
      <c r="BB650" s="1710" t="n"/>
      <c r="BC650" s="1710" t="n"/>
      <c r="BD650" s="1710" t="n"/>
      <c r="BE650" s="1712" t="n"/>
      <c r="BF650" s="1710" t="n"/>
      <c r="BG650" s="1710" t="n"/>
      <c r="BH650" s="1710" t="n"/>
      <c r="BI650" s="1710" t="n"/>
      <c r="BJ650" s="1712" t="n"/>
      <c r="BK650" s="1710" t="n"/>
      <c r="BL650" s="1710" t="n"/>
      <c r="BM650" s="1710" t="n"/>
      <c r="BN650" s="1710" t="n"/>
      <c r="BO650" s="1711" t="n"/>
      <c r="BP650" s="1710" t="n"/>
      <c r="BQ650" s="1710" t="n"/>
      <c r="BR650" s="1710" t="n"/>
      <c r="BS650" s="1710" t="n"/>
      <c r="BT650" s="1712" t="n"/>
      <c r="BU650" s="1710" t="n"/>
      <c r="BV650" s="1710" t="n"/>
      <c r="BW650" s="1710" t="n"/>
      <c r="BX650" s="1710" t="n"/>
      <c r="BY650" s="1712" t="n"/>
      <c r="BZ650" s="1712" t="n"/>
      <c r="CA650" s="1712" t="n"/>
      <c r="CB650" s="1712" t="n"/>
      <c r="CC650" s="1564" t="n"/>
    </row>
    <row r="651" collapsed="1" ht="15" customFormat="1" customHeight="1" s="1561">
      <c r="A651" s="1721" t="inlineStr">
        <is>
          <t>Total Right-of-use assets</t>
        </is>
      </c>
      <c r="B651" s="1705" t="n"/>
      <c r="C651" s="1637" t="n"/>
      <c r="D651" s="1637" t="n"/>
      <c r="E651" s="1637" t="n"/>
      <c r="F651" s="1637" t="n"/>
      <c r="G651" s="1637" t="n"/>
      <c r="H651" s="1562" t="n"/>
      <c r="I651" s="1562" t="n"/>
      <c r="J651" s="1562" t="n"/>
      <c r="K651" s="1562" t="n"/>
      <c r="L651" s="1637" t="n"/>
      <c r="M651" s="1562" t="n"/>
      <c r="N651" s="1562" t="n"/>
      <c r="O651" s="1562" t="n"/>
      <c r="P651" s="1562" t="n"/>
      <c r="Q651" s="1637" t="n"/>
      <c r="R651" s="1562" t="n"/>
      <c r="S651" s="1562" t="n"/>
      <c r="T651" s="1562" t="n"/>
      <c r="U651" s="1562" t="n"/>
      <c r="V651" s="1637" t="n"/>
      <c r="W651" s="1562" t="n"/>
      <c r="X651" s="1562" t="n"/>
      <c r="Y651" s="1562" t="n"/>
      <c r="Z651" s="1562" t="n"/>
      <c r="AA651" s="1637" t="n"/>
      <c r="AB651" s="1562">
        <f>SUM(AB649:AB650)</f>
        <v/>
      </c>
      <c r="AC651" s="1562">
        <f>SUM(AC649:AC650)</f>
        <v/>
      </c>
      <c r="AD651" s="1562">
        <f>SUM(AD649:AD650)</f>
        <v/>
      </c>
      <c r="AE651" s="1562">
        <f>SUM(AE649:AE650)</f>
        <v/>
      </c>
      <c r="AF651" s="1637">
        <f>SUM(AF649:AF650)</f>
        <v/>
      </c>
      <c r="AG651" s="1562">
        <f>SUM(AG649:AG650)</f>
        <v/>
      </c>
      <c r="AH651" s="1564">
        <f>SUM(AH649:AH650)</f>
        <v/>
      </c>
      <c r="AI651" s="1564">
        <f>SUM(AI649:AI650)</f>
        <v/>
      </c>
      <c r="AJ651" s="1564">
        <f>SUM(AJ649:AJ650)</f>
        <v/>
      </c>
      <c r="AK651" s="1713">
        <f>SUM(AK649:AK650)</f>
        <v/>
      </c>
      <c r="AL651" s="1564">
        <f>SUM(AL649:AL650)</f>
        <v/>
      </c>
      <c r="AM651" s="1564">
        <f>SUM(AM649:AM650)</f>
        <v/>
      </c>
      <c r="AN651" s="1564">
        <f>SUM(AN649:AN650)</f>
        <v/>
      </c>
      <c r="AO651" s="1564">
        <f>SUM(AO649:AO650)</f>
        <v/>
      </c>
      <c r="AP651" s="1713">
        <f>SUM(AP649:AP650)</f>
        <v/>
      </c>
      <c r="AQ651" s="1564">
        <f>SUM(AQ649:AQ650)</f>
        <v/>
      </c>
      <c r="AR651" s="1564">
        <f>SUM(AR649:AR650)</f>
        <v/>
      </c>
      <c r="AS651" s="1564">
        <f>SUM(AS649:AS650)</f>
        <v/>
      </c>
      <c r="AT651" s="1564">
        <f>SUM(AT649:AT650)</f>
        <v/>
      </c>
      <c r="AU651" s="1713">
        <f>SUM(AU649:AU650)</f>
        <v/>
      </c>
      <c r="AV651" s="1564">
        <f>SUM(AV649:AV650)</f>
        <v/>
      </c>
      <c r="AW651" s="1564">
        <f>SUM(AW649:AW650)</f>
        <v/>
      </c>
      <c r="AX651" s="1564">
        <f>SUM(AX649:AX650)</f>
        <v/>
      </c>
      <c r="AY651" s="1564">
        <f>AZ651</f>
        <v/>
      </c>
      <c r="AZ651" s="1706" t="n">
        <v>192.7</v>
      </c>
      <c r="BA651" s="1714" t="n">
        <v>290.2</v>
      </c>
      <c r="BB651" s="1714" t="n">
        <v>305.7</v>
      </c>
      <c r="BC651" s="1714" t="n">
        <v>300.4</v>
      </c>
      <c r="BD651" s="1564">
        <f>BE651</f>
        <v/>
      </c>
      <c r="BE651" s="1706" t="n">
        <v>306.6</v>
      </c>
      <c r="BF651" s="1714" t="n">
        <v>343.3</v>
      </c>
      <c r="BG651" s="1714" t="n">
        <v>358</v>
      </c>
      <c r="BH651" s="1714" t="n">
        <v>393.7</v>
      </c>
      <c r="BI651" s="1564">
        <f>BJ651</f>
        <v/>
      </c>
      <c r="BJ651" s="1706" t="n">
        <v>387.2</v>
      </c>
      <c r="BK651" s="1714" t="n">
        <v>365.4</v>
      </c>
      <c r="BL651" s="1714" t="n">
        <v>365</v>
      </c>
      <c r="BM651" s="1714" t="n">
        <v>346</v>
      </c>
      <c r="BN651" s="1564">
        <f>BO651</f>
        <v/>
      </c>
      <c r="BO651" s="1788" t="n">
        <v>341</v>
      </c>
      <c r="BP651" s="1562">
        <f>BO651</f>
        <v/>
      </c>
      <c r="BQ651" s="1562">
        <f>BP651</f>
        <v/>
      </c>
      <c r="BR651" s="1562">
        <f>BQ651</f>
        <v/>
      </c>
      <c r="BS651" s="1562">
        <f>BR651</f>
        <v/>
      </c>
      <c r="BT651" s="1637">
        <f>BS651</f>
        <v/>
      </c>
      <c r="BU651" s="1562">
        <f>BT651</f>
        <v/>
      </c>
      <c r="BV651" s="1562">
        <f>BU651</f>
        <v/>
      </c>
      <c r="BW651" s="1562">
        <f>BV651</f>
        <v/>
      </c>
      <c r="BX651" s="1562">
        <f>BW651</f>
        <v/>
      </c>
      <c r="BY651" s="1637">
        <f>BX651</f>
        <v/>
      </c>
      <c r="BZ651" s="1637">
        <f>BY651</f>
        <v/>
      </c>
      <c r="CA651" s="1637">
        <f>BZ651</f>
        <v/>
      </c>
      <c r="CB651" s="1637">
        <f>CA651</f>
        <v/>
      </c>
      <c r="CC651" s="1564" t="n"/>
    </row>
    <row r="652" ht="15" customFormat="1" customHeight="1" s="1628">
      <c r="A652" s="1695" t="inlineStr">
        <is>
          <t>Total Non-Current Assets</t>
        </is>
      </c>
      <c r="B652" s="1793" t="n"/>
      <c r="C652" s="1779">
        <f>SUM(C640:C651)-C649-C650</f>
        <v/>
      </c>
      <c r="D652" s="1779">
        <f>SUM(D640:D651)-D649-D650</f>
        <v/>
      </c>
      <c r="E652" s="1779">
        <f>SUM(E640:E651)-E649-E650</f>
        <v/>
      </c>
      <c r="F652" s="1779">
        <f>SUM(F640:F651)-F649-F650</f>
        <v/>
      </c>
      <c r="G652" s="1779">
        <f>SUM(G640:G651)-G649-G650</f>
        <v/>
      </c>
      <c r="H652" s="1795">
        <f>SUM(H640:H651)-H649-H650</f>
        <v/>
      </c>
      <c r="I652" s="1795">
        <f>SUM(I640:I651)-I649-I650</f>
        <v/>
      </c>
      <c r="J652" s="1795">
        <f>SUM(J640:J651)-J649-J650</f>
        <v/>
      </c>
      <c r="K652" s="1795">
        <f>SUM(K640:K651)-K649-K650</f>
        <v/>
      </c>
      <c r="L652" s="1779">
        <f>SUM(L640:L651)-L649-L650</f>
        <v/>
      </c>
      <c r="M652" s="1795">
        <f>SUM(M640:M651)-M649-M650</f>
        <v/>
      </c>
      <c r="N652" s="1795">
        <f>SUM(N640:N651)-N649-N650</f>
        <v/>
      </c>
      <c r="O652" s="1795">
        <f>SUM(O640:O651)-O649-O650</f>
        <v/>
      </c>
      <c r="P652" s="1795">
        <f>SUM(P640:P651)-P649-P650</f>
        <v/>
      </c>
      <c r="Q652" s="1779">
        <f>SUM(Q640:Q651)-Q649-Q650</f>
        <v/>
      </c>
      <c r="R652" s="1795">
        <f>SUM(R640:R651)-R649-R650</f>
        <v/>
      </c>
      <c r="S652" s="1795">
        <f>SUM(S640:S651)-S649-S650</f>
        <v/>
      </c>
      <c r="T652" s="1795">
        <f>SUM(T640:T651)-T649-T650</f>
        <v/>
      </c>
      <c r="U652" s="1795">
        <f>SUM(U640:U651)-U649-U650</f>
        <v/>
      </c>
      <c r="V652" s="1779">
        <f>SUM(V640:V651)-V649-V650</f>
        <v/>
      </c>
      <c r="W652" s="1795">
        <f>SUM(W640:W651)-W649-W650</f>
        <v/>
      </c>
      <c r="X652" s="1795">
        <f>SUM(X640:X651)-X649-X650</f>
        <v/>
      </c>
      <c r="Y652" s="1795">
        <f>SUM(Y640:Y651)-Y649-Y650</f>
        <v/>
      </c>
      <c r="Z652" s="1795">
        <f>SUM(Z640:Z651)-Z649-Z650</f>
        <v/>
      </c>
      <c r="AA652" s="1779">
        <f>SUM(AA640:AA651)-AA649-AA650</f>
        <v/>
      </c>
      <c r="AB652" s="1795">
        <f>SUM(AB640:AB651)-AB649-AB650</f>
        <v/>
      </c>
      <c r="AC652" s="1795">
        <f>SUM(AC640:AC651)-AC649-AC650</f>
        <v/>
      </c>
      <c r="AD652" s="1795">
        <f>SUM(AD640:AD651)-AD649-AD650</f>
        <v/>
      </c>
      <c r="AE652" s="1795">
        <f>SUM(AE640:AE651)-AE649-AE650</f>
        <v/>
      </c>
      <c r="AF652" s="1779">
        <f>SUM(AF640:AF651)-AF649-AF650</f>
        <v/>
      </c>
      <c r="AG652" s="1795">
        <f>SUM(AG640:AG651)-AG649-AG650</f>
        <v/>
      </c>
      <c r="AH652" s="1795">
        <f>SUM(AH640:AH651)-AH649-AH650</f>
        <v/>
      </c>
      <c r="AI652" s="1795">
        <f>SUM(AI640:AI651)-AI649-AI650</f>
        <v/>
      </c>
      <c r="AJ652" s="1795">
        <f>SUM(AJ640:AJ651)-AJ649-AJ650</f>
        <v/>
      </c>
      <c r="AK652" s="1779">
        <f>SUM(AK640:AK651)-AK649-AK650</f>
        <v/>
      </c>
      <c r="AL652" s="1795">
        <f>SUM(AL640:AL651)-AL649-AL650</f>
        <v/>
      </c>
      <c r="AM652" s="1795">
        <f>SUM(AM640:AM651)-AM649-AM650</f>
        <v/>
      </c>
      <c r="AN652" s="1795">
        <f>SUM(AN640:AN651)-AN649-AN650</f>
        <v/>
      </c>
      <c r="AO652" s="1795">
        <f>SUM(AO640:AO651)-AO649-AO650</f>
        <v/>
      </c>
      <c r="AP652" s="1779">
        <f>SUM(AP640:AP651)-AP649-AP650</f>
        <v/>
      </c>
      <c r="AQ652" s="1795">
        <f>SUM(AQ640:AQ651)-AQ649-AQ650</f>
        <v/>
      </c>
      <c r="AR652" s="1795">
        <f>SUM(AR640:AR651)-AR649-AR650</f>
        <v/>
      </c>
      <c r="AS652" s="1795">
        <f>SUM(AS640:AS651)-AS649-AS650</f>
        <v/>
      </c>
      <c r="AT652" s="1795">
        <f>SUM(AT640:AT651)-AT649-AT650</f>
        <v/>
      </c>
      <c r="AU652" s="1779">
        <f>SUM(AU640:AU651)-AU649-AU650</f>
        <v/>
      </c>
      <c r="AV652" s="1795">
        <f>SUM(AV640:AV651)-AV649-AV650</f>
        <v/>
      </c>
      <c r="AW652" s="1795">
        <f>SUM(AW640:AW651)-AW649-AW650</f>
        <v/>
      </c>
      <c r="AX652" s="1795">
        <f>SUM(AX640:AX651)-AX649-AX650</f>
        <v/>
      </c>
      <c r="AY652" s="1795">
        <f>SUM(AY640:AY651)-AY649-AY650</f>
        <v/>
      </c>
      <c r="AZ652" s="1779">
        <f>SUM(AZ640:AZ651)-AZ649-AZ650</f>
        <v/>
      </c>
      <c r="BA652" s="1795">
        <f>SUM(BA640:BA651)-BA649-BA650</f>
        <v/>
      </c>
      <c r="BB652" s="1795">
        <f>SUM(BB640:BB651)-BB649-BB650</f>
        <v/>
      </c>
      <c r="BC652" s="1795">
        <f>SUM(BC640:BC651)-BC649-BC650</f>
        <v/>
      </c>
      <c r="BD652" s="1795">
        <f>SUM(BD640:BD651)-BD649-BD650</f>
        <v/>
      </c>
      <c r="BE652" s="1779">
        <f>SUM(BE640:BE651)-BE649-BE650</f>
        <v/>
      </c>
      <c r="BF652" s="1795">
        <f>SUM(BF640:BF651)-BF649-BF650</f>
        <v/>
      </c>
      <c r="BG652" s="1795">
        <f>SUM(BG640:BG651)-BG649-BG650</f>
        <v/>
      </c>
      <c r="BH652" s="1795">
        <f>SUM(BH640:BH651)-BH649-BH650</f>
        <v/>
      </c>
      <c r="BI652" s="1795">
        <f>SUM(BI640:BI651)-BI649-BI650</f>
        <v/>
      </c>
      <c r="BJ652" s="1779">
        <f>SUM(BJ640:BJ651)-BJ649-BJ650</f>
        <v/>
      </c>
      <c r="BK652" s="1795">
        <f>SUM(BK640:BK651)-BK649-BK650</f>
        <v/>
      </c>
      <c r="BL652" s="1795">
        <f>SUM(BL640:BL651)-BL649-BL650</f>
        <v/>
      </c>
      <c r="BM652" s="1795">
        <f>SUM(BM640:BM651)-BM649-BM650</f>
        <v/>
      </c>
      <c r="BN652" s="1795">
        <f>SUM(BN640:BN651)-BN649-BN650</f>
        <v/>
      </c>
      <c r="BO652" s="1796">
        <f>SUM(BO640:BO651)-BO649-BO650</f>
        <v/>
      </c>
      <c r="BP652" s="1642">
        <f>SUM(BP640:BP651)-BP649-BP650</f>
        <v/>
      </c>
      <c r="BQ652" s="1642">
        <f>SUM(BQ640:BQ651)-BQ649-BQ650</f>
        <v/>
      </c>
      <c r="BR652" s="1642">
        <f>SUM(BR640:BR651)-BR649-BR650</f>
        <v/>
      </c>
      <c r="BS652" s="1642">
        <f>SUM(BS640:BS651)-BS649-BS650</f>
        <v/>
      </c>
      <c r="BT652" s="1641">
        <f>SUM(BT640:BT651)-BT649-BT650</f>
        <v/>
      </c>
      <c r="BU652" s="1642">
        <f>SUM(BU640:BU651)-BU649-BU650</f>
        <v/>
      </c>
      <c r="BV652" s="1642">
        <f>SUM(BV640:BV651)-BV649-BV650</f>
        <v/>
      </c>
      <c r="BW652" s="1642">
        <f>SUM(BW640:BW651)-BW649-BW650</f>
        <v/>
      </c>
      <c r="BX652" s="1642">
        <f>SUM(BX640:BX651)-BX649-BX650</f>
        <v/>
      </c>
      <c r="BY652" s="1641">
        <f>SUM(BY640:BY651)-BY649-BY650</f>
        <v/>
      </c>
      <c r="BZ652" s="1641">
        <f>SUM(BZ640:BZ651)-BZ649-BZ650</f>
        <v/>
      </c>
      <c r="CA652" s="1641">
        <f>SUM(CA640:CA651)-CA649-CA650</f>
        <v/>
      </c>
      <c r="CB652" s="1641">
        <f>SUM(CB640:CB651)-CB649-CB650</f>
        <v/>
      </c>
      <c r="CC652" s="1634" t="n"/>
    </row>
    <row r="653" ht="15" customFormat="1" customHeight="1" s="1628">
      <c r="A653" s="1681" t="inlineStr">
        <is>
          <t>Total Assets</t>
        </is>
      </c>
      <c r="B653" s="1717" t="n"/>
      <c r="C653" s="1802">
        <f>C637+C652</f>
        <v/>
      </c>
      <c r="D653" s="1802">
        <f>D637+D652</f>
        <v/>
      </c>
      <c r="E653" s="1802">
        <f>E637+E652</f>
        <v/>
      </c>
      <c r="F653" s="1802">
        <f>F637+F652</f>
        <v/>
      </c>
      <c r="G653" s="1802">
        <f>G637+G652</f>
        <v/>
      </c>
      <c r="H653" s="1634">
        <f>H637+H652</f>
        <v/>
      </c>
      <c r="I653" s="1634">
        <f>I637+I652</f>
        <v/>
      </c>
      <c r="J653" s="1634">
        <f>J637+J652</f>
        <v/>
      </c>
      <c r="K653" s="1634">
        <f>K637+K652</f>
        <v/>
      </c>
      <c r="L653" s="1802">
        <f>L637+L652</f>
        <v/>
      </c>
      <c r="M653" s="1634">
        <f>M637+M652</f>
        <v/>
      </c>
      <c r="N653" s="1634">
        <f>N637+N652</f>
        <v/>
      </c>
      <c r="O653" s="1634">
        <f>O637+O652</f>
        <v/>
      </c>
      <c r="P653" s="1634">
        <f>P637+P652</f>
        <v/>
      </c>
      <c r="Q653" s="1802">
        <f>Q637+Q652</f>
        <v/>
      </c>
      <c r="R653" s="1634">
        <f>R637+R652</f>
        <v/>
      </c>
      <c r="S653" s="1634">
        <f>S637+S652</f>
        <v/>
      </c>
      <c r="T653" s="1634">
        <f>T637+T652</f>
        <v/>
      </c>
      <c r="U653" s="1634">
        <f>U637+U652</f>
        <v/>
      </c>
      <c r="V653" s="1802">
        <f>V637+V652</f>
        <v/>
      </c>
      <c r="W653" s="1634">
        <f>W637+W652</f>
        <v/>
      </c>
      <c r="X653" s="1634">
        <f>X637+X652</f>
        <v/>
      </c>
      <c r="Y653" s="1634">
        <f>Y637+Y652</f>
        <v/>
      </c>
      <c r="Z653" s="1634">
        <f>Z637+Z652</f>
        <v/>
      </c>
      <c r="AA653" s="1802">
        <f>AA637+AA652</f>
        <v/>
      </c>
      <c r="AB653" s="1634">
        <f>AB637+AB652</f>
        <v/>
      </c>
      <c r="AC653" s="1634">
        <f>AC637+AC652</f>
        <v/>
      </c>
      <c r="AD653" s="1634">
        <f>AD637+AD652</f>
        <v/>
      </c>
      <c r="AE653" s="1634">
        <f>AE637+AE652</f>
        <v/>
      </c>
      <c r="AF653" s="1802">
        <f>AF637+AF652</f>
        <v/>
      </c>
      <c r="AG653" s="1634">
        <f>AG637+AG652</f>
        <v/>
      </c>
      <c r="AH653" s="1634">
        <f>AH637+AH652</f>
        <v/>
      </c>
      <c r="AI653" s="1634">
        <f>AI637+AI652</f>
        <v/>
      </c>
      <c r="AJ653" s="1634">
        <f>AJ637+AJ652</f>
        <v/>
      </c>
      <c r="AK653" s="1802">
        <f>AK637+AK652</f>
        <v/>
      </c>
      <c r="AL653" s="1634">
        <f>AL637+AL652</f>
        <v/>
      </c>
      <c r="AM653" s="1634">
        <f>AM637+AM652</f>
        <v/>
      </c>
      <c r="AN653" s="1634">
        <f>AN637+AN652</f>
        <v/>
      </c>
      <c r="AO653" s="1634">
        <f>AO637+AO652</f>
        <v/>
      </c>
      <c r="AP653" s="1802">
        <f>AP637+AP652</f>
        <v/>
      </c>
      <c r="AQ653" s="1634">
        <f>AQ637+AQ652</f>
        <v/>
      </c>
      <c r="AR653" s="1634">
        <f>AR637+AR652</f>
        <v/>
      </c>
      <c r="AS653" s="1634">
        <f>AS637+AS652</f>
        <v/>
      </c>
      <c r="AT653" s="1634">
        <f>AT637+AT652</f>
        <v/>
      </c>
      <c r="AU653" s="1802">
        <f>AU637+AU652</f>
        <v/>
      </c>
      <c r="AV653" s="1634">
        <f>AV637+AV652</f>
        <v/>
      </c>
      <c r="AW653" s="1634">
        <f>AW637+AW652</f>
        <v/>
      </c>
      <c r="AX653" s="1634">
        <f>AX637+AX652</f>
        <v/>
      </c>
      <c r="AY653" s="1634">
        <f>AY637+AY652</f>
        <v/>
      </c>
      <c r="AZ653" s="1802">
        <f>AZ637+AZ652</f>
        <v/>
      </c>
      <c r="BA653" s="1634">
        <f>BA637+BA652</f>
        <v/>
      </c>
      <c r="BB653" s="1634">
        <f>BB637+BB652</f>
        <v/>
      </c>
      <c r="BC653" s="1634">
        <f>BC637+BC652</f>
        <v/>
      </c>
      <c r="BD653" s="1634">
        <f>BD637+BD652</f>
        <v/>
      </c>
      <c r="BE653" s="1802">
        <f>BE637+BE652</f>
        <v/>
      </c>
      <c r="BF653" s="1634">
        <f>BF637+BF652</f>
        <v/>
      </c>
      <c r="BG653" s="1634">
        <f>BG637+BG652</f>
        <v/>
      </c>
      <c r="BH653" s="1634">
        <f>BH637+BH652</f>
        <v/>
      </c>
      <c r="BI653" s="1634">
        <f>BI637+BI652</f>
        <v/>
      </c>
      <c r="BJ653" s="1802">
        <f>BJ637+BJ652</f>
        <v/>
      </c>
      <c r="BK653" s="1634">
        <f>BK637+BK652</f>
        <v/>
      </c>
      <c r="BL653" s="1634">
        <f>BL637+BL652</f>
        <v/>
      </c>
      <c r="BM653" s="1634">
        <f>BM637+BM652</f>
        <v/>
      </c>
      <c r="BN653" s="1634">
        <f>BN637+BN652</f>
        <v/>
      </c>
      <c r="BO653" s="1803">
        <f>BO637+BO652</f>
        <v/>
      </c>
      <c r="BP653" s="1719">
        <f>BP637+BP652</f>
        <v/>
      </c>
      <c r="BQ653" s="1719">
        <f>BQ637+BQ652</f>
        <v/>
      </c>
      <c r="BR653" s="1719">
        <f>BR637+BR652</f>
        <v/>
      </c>
      <c r="BS653" s="1719">
        <f>BS637+BS652</f>
        <v/>
      </c>
      <c r="BT653" s="1718">
        <f>BT637+BT652</f>
        <v/>
      </c>
      <c r="BU653" s="1719">
        <f>BU637+BU652</f>
        <v/>
      </c>
      <c r="BV653" s="1719">
        <f>BV637+BV652</f>
        <v/>
      </c>
      <c r="BW653" s="1719">
        <f>BW637+BW652</f>
        <v/>
      </c>
      <c r="BX653" s="1719">
        <f>BX637+BX652</f>
        <v/>
      </c>
      <c r="BY653" s="1718">
        <f>BY637+BY652</f>
        <v/>
      </c>
      <c r="BZ653" s="1718">
        <f>BZ637+BZ652</f>
        <v/>
      </c>
      <c r="CA653" s="1718">
        <f>CA637+CA652</f>
        <v/>
      </c>
      <c r="CB653" s="1718">
        <f>CB637+CB652</f>
        <v/>
      </c>
      <c r="CC653" s="1634" t="n"/>
    </row>
    <row r="654" ht="15" customFormat="1" customHeight="1" s="1628">
      <c r="A654" s="1703" t="n"/>
      <c r="B654" s="1717" t="n"/>
      <c r="C654" s="1718" t="n"/>
      <c r="D654" s="1718" t="n"/>
      <c r="E654" s="1718" t="n"/>
      <c r="F654" s="1718" t="n"/>
      <c r="G654" s="1718" t="n"/>
      <c r="H654" s="1719" t="n"/>
      <c r="I654" s="1719" t="n"/>
      <c r="J654" s="1719" t="n"/>
      <c r="K654" s="1719" t="n"/>
      <c r="L654" s="1718" t="n"/>
      <c r="M654" s="1719" t="n"/>
      <c r="N654" s="1719" t="n"/>
      <c r="O654" s="1719" t="n"/>
      <c r="P654" s="1719" t="n"/>
      <c r="Q654" s="1718" t="n"/>
      <c r="R654" s="1719" t="n"/>
      <c r="S654" s="1719" t="n"/>
      <c r="T654" s="1719" t="n"/>
      <c r="U654" s="1719" t="n"/>
      <c r="V654" s="1718" t="n"/>
      <c r="W654" s="1719" t="n"/>
      <c r="X654" s="1719" t="n"/>
      <c r="Y654" s="1719" t="n"/>
      <c r="Z654" s="1719" t="n"/>
      <c r="AA654" s="1718" t="n"/>
      <c r="AB654" s="1719" t="n"/>
      <c r="AC654" s="1719" t="n"/>
      <c r="AD654" s="1719" t="n"/>
      <c r="AE654" s="1719" t="n"/>
      <c r="AF654" s="1718" t="n"/>
      <c r="AG654" s="1719" t="n"/>
      <c r="AH654" s="1719" t="n"/>
      <c r="AI654" s="1719" t="n"/>
      <c r="AJ654" s="1719" t="n"/>
      <c r="AK654" s="1718" t="n"/>
      <c r="AL654" s="1719" t="n"/>
      <c r="AM654" s="1719" t="n"/>
      <c r="AN654" s="1719" t="n"/>
      <c r="AO654" s="1719" t="n"/>
      <c r="AP654" s="1718" t="n"/>
      <c r="AQ654" s="1719" t="n"/>
      <c r="AR654" s="1719" t="n"/>
      <c r="AS654" s="1719" t="n"/>
      <c r="AT654" s="1719" t="n"/>
      <c r="AU654" s="1718" t="n"/>
      <c r="AV654" s="1719" t="n"/>
      <c r="AW654" s="1719" t="n"/>
      <c r="AX654" s="1719" t="n"/>
      <c r="AY654" s="1719" t="n"/>
      <c r="AZ654" s="1718" t="n"/>
      <c r="BA654" s="1719" t="n"/>
      <c r="BB654" s="1719" t="n"/>
      <c r="BC654" s="1719" t="n"/>
      <c r="BD654" s="1719" t="n"/>
      <c r="BE654" s="1718" t="n"/>
      <c r="BF654" s="1719" t="n"/>
      <c r="BG654" s="1719" t="n"/>
      <c r="BH654" s="1719" t="n"/>
      <c r="BI654" s="1719" t="n"/>
      <c r="BJ654" s="1718" t="n"/>
      <c r="BK654" s="1719" t="n"/>
      <c r="BL654" s="1719" t="n"/>
      <c r="BM654" s="1719" t="n"/>
      <c r="BN654" s="1719" t="n"/>
      <c r="BO654" s="1720" t="n"/>
      <c r="BP654" s="1719" t="n"/>
      <c r="BQ654" s="1719" t="n"/>
      <c r="BR654" s="1719" t="n"/>
      <c r="BS654" s="1719" t="n"/>
      <c r="BT654" s="1718" t="n"/>
      <c r="BU654" s="1719" t="n"/>
      <c r="BV654" s="1719" t="n"/>
      <c r="BW654" s="1719" t="n"/>
      <c r="BX654" s="1719" t="n"/>
      <c r="BY654" s="1718" t="n"/>
      <c r="BZ654" s="1718" t="n"/>
      <c r="CA654" s="1718" t="n"/>
      <c r="CB654" s="1718" t="n"/>
      <c r="CC654" s="1634" t="n"/>
    </row>
    <row r="655" ht="15" customFormat="1" customHeight="1" s="1561">
      <c r="A655" s="1681" t="inlineStr">
        <is>
          <t>Current Liabilities</t>
        </is>
      </c>
      <c r="B655" s="1705" t="n"/>
      <c r="C655" s="1637" t="n"/>
      <c r="D655" s="1637" t="n"/>
      <c r="E655" s="1637" t="n"/>
      <c r="F655" s="1637" t="n"/>
      <c r="G655" s="1637" t="n"/>
      <c r="H655" s="1562" t="n"/>
      <c r="I655" s="1562" t="n"/>
      <c r="J655" s="1562" t="n"/>
      <c r="K655" s="1562" t="n"/>
      <c r="L655" s="1637" t="n"/>
      <c r="M655" s="1562" t="n"/>
      <c r="N655" s="1562" t="n"/>
      <c r="O655" s="1562" t="n"/>
      <c r="P655" s="1562" t="n"/>
      <c r="Q655" s="1637" t="n"/>
      <c r="R655" s="1562" t="n"/>
      <c r="S655" s="1562" t="n"/>
      <c r="T655" s="1562" t="n"/>
      <c r="U655" s="1562" t="n"/>
      <c r="V655" s="1637" t="n"/>
      <c r="W655" s="1562" t="n"/>
      <c r="X655" s="1562" t="n"/>
      <c r="Y655" s="1562" t="n"/>
      <c r="Z655" s="1562" t="n"/>
      <c r="AA655" s="1637" t="n"/>
      <c r="AB655" s="1562" t="n"/>
      <c r="AC655" s="1562" t="n"/>
      <c r="AD655" s="1562" t="n"/>
      <c r="AE655" s="1562" t="n"/>
      <c r="AF655" s="1637" t="n"/>
      <c r="AG655" s="1562" t="n"/>
      <c r="AH655" s="1562" t="n"/>
      <c r="AI655" s="1562" t="n"/>
      <c r="AJ655" s="1562" t="n"/>
      <c r="AK655" s="1637" t="n"/>
      <c r="AL655" s="1562" t="n"/>
      <c r="AM655" s="1562" t="n"/>
      <c r="AN655" s="1562" t="n"/>
      <c r="AO655" s="1562" t="n"/>
      <c r="AP655" s="1637" t="n"/>
      <c r="AQ655" s="1562" t="n"/>
      <c r="AR655" s="1562" t="n"/>
      <c r="AS655" s="1562" t="n"/>
      <c r="AT655" s="1562" t="n"/>
      <c r="AU655" s="1637" t="n"/>
      <c r="AV655" s="1562" t="n"/>
      <c r="AW655" s="1562" t="n"/>
      <c r="AX655" s="1562" t="n"/>
      <c r="AY655" s="1562" t="n"/>
      <c r="AZ655" s="1637" t="n"/>
      <c r="BA655" s="1562" t="n"/>
      <c r="BB655" s="1562" t="n"/>
      <c r="BC655" s="1562" t="n"/>
      <c r="BD655" s="1562" t="n"/>
      <c r="BE655" s="1637" t="n"/>
      <c r="BF655" s="1562" t="n"/>
      <c r="BG655" s="1562" t="n"/>
      <c r="BH655" s="1562" t="n"/>
      <c r="BI655" s="1562" t="n"/>
      <c r="BJ655" s="1637" t="n"/>
      <c r="BK655" s="1562" t="n"/>
      <c r="BL655" s="1562" t="n"/>
      <c r="BM655" s="1562" t="n"/>
      <c r="BN655" s="1562" t="n"/>
      <c r="BO655" s="1638" t="n"/>
      <c r="BP655" s="1562" t="n"/>
      <c r="BQ655" s="1562" t="n"/>
      <c r="BR655" s="1562" t="n"/>
      <c r="BS655" s="1562" t="n"/>
      <c r="BT655" s="1637" t="n"/>
      <c r="BU655" s="1562" t="n"/>
      <c r="BV655" s="1562" t="n"/>
      <c r="BW655" s="1562" t="n"/>
      <c r="BX655" s="1562" t="n"/>
      <c r="BY655" s="1637" t="n"/>
      <c r="BZ655" s="1637" t="n"/>
      <c r="CA655" s="1637" t="n"/>
      <c r="CB655" s="1637" t="n"/>
      <c r="CC655" s="1564" t="n"/>
    </row>
    <row r="656" ht="15" customFormat="1" customHeight="1" s="1561">
      <c r="A656" s="1721" t="inlineStr">
        <is>
          <t>Accounts payable</t>
        </is>
      </c>
      <c r="B656" s="1705" t="n"/>
      <c r="C656" s="1706" t="n">
        <v>206.226</v>
      </c>
      <c r="D656" s="1706" t="n">
        <v>555.397</v>
      </c>
      <c r="E656" s="1706" t="n">
        <v>444.269</v>
      </c>
      <c r="F656" s="1706" t="n">
        <v>188.961</v>
      </c>
      <c r="G656" s="1787" t="n">
        <v>625.87</v>
      </c>
      <c r="H656" s="1970" t="n"/>
      <c r="I656" s="1970" t="n"/>
      <c r="J656" s="1970" t="n"/>
      <c r="K656" s="1970" t="n"/>
      <c r="L656" s="1787" t="n">
        <v>496.236</v>
      </c>
      <c r="M656" s="1970" t="n"/>
      <c r="N656" s="1970" t="n"/>
      <c r="O656" s="1970" t="n"/>
      <c r="P656" s="1970" t="n"/>
      <c r="Q656" s="1787" t="n">
        <v>527.894</v>
      </c>
      <c r="R656" s="1970" t="n"/>
      <c r="S656" s="1562" t="n"/>
      <c r="T656" s="1562" t="n"/>
      <c r="U656" s="1562" t="n"/>
      <c r="V656" s="1706" t="n">
        <v>593.2</v>
      </c>
      <c r="W656" s="1562" t="n"/>
      <c r="X656" s="1562" t="n"/>
      <c r="Y656" s="1562" t="n"/>
      <c r="Z656" s="1562" t="n"/>
      <c r="AA656" s="1706" t="n">
        <v>837.3</v>
      </c>
      <c r="AB656" s="1562" t="n"/>
      <c r="AC656" s="1562" t="n"/>
      <c r="AD656" s="1562" t="n"/>
      <c r="AE656" s="1562" t="n"/>
      <c r="AF656" s="1706" t="n">
        <v>964</v>
      </c>
      <c r="AG656" s="1562" t="n"/>
      <c r="AH656" s="1562" t="n"/>
      <c r="AI656" s="1562" t="n"/>
      <c r="AJ656" s="1562" t="n"/>
      <c r="AK656" s="1706" t="n">
        <v>1062.2</v>
      </c>
      <c r="AL656" s="1562" t="n"/>
      <c r="AM656" s="1562" t="n"/>
      <c r="AN656" s="1562" t="n"/>
      <c r="AO656" s="1562" t="n"/>
      <c r="AP656" s="1706" t="n">
        <v>1377.9</v>
      </c>
      <c r="AQ656" s="1562" t="n"/>
      <c r="AR656" s="1562" t="n"/>
      <c r="AS656" s="1562" t="n"/>
      <c r="AT656" s="1562" t="n"/>
      <c r="AU656" s="1706" t="n">
        <v>2116.3</v>
      </c>
      <c r="AV656" s="1562" t="n"/>
      <c r="AW656" s="1562" t="n"/>
      <c r="AX656" s="1562" t="n"/>
      <c r="AY656" s="1562" t="n"/>
      <c r="AZ656" s="1706" t="n">
        <v>2565.2</v>
      </c>
      <c r="BA656" s="1562" t="n"/>
      <c r="BB656" s="1562" t="n"/>
      <c r="BC656" s="1562" t="n"/>
      <c r="BD656" s="1562" t="n"/>
      <c r="BE656" s="1706" t="n">
        <v>2347.3</v>
      </c>
      <c r="BF656" s="1562" t="n"/>
      <c r="BG656" s="1562" t="n"/>
      <c r="BH656" s="1562" t="n"/>
      <c r="BI656" s="1562">
        <f>BJ656</f>
        <v/>
      </c>
      <c r="BJ656" s="1706" t="n">
        <v>3500.4</v>
      </c>
      <c r="BK656" s="1562" t="n"/>
      <c r="BL656" s="1562" t="n"/>
      <c r="BM656" s="1562" t="n"/>
      <c r="BN656" s="1562" t="n"/>
      <c r="BO656" s="1715">
        <f>SUM(BN329,BM329,BL329,BK329)*BO610</f>
        <v/>
      </c>
      <c r="BP656" s="1562">
        <f>SUM(BP329,BN329,BM329,BL329)*BP610</f>
        <v/>
      </c>
      <c r="BQ656" s="1562">
        <f>SUM(BQ329,BP329,BN329,BM329)*BQ610</f>
        <v/>
      </c>
      <c r="BR656" s="1562">
        <f>SUM(BR329,BQ329,BP329,BN329)*BR610</f>
        <v/>
      </c>
      <c r="BS656" s="1562">
        <f>SUM(BS329,BR329,BQ329,BP329)*BS610</f>
        <v/>
      </c>
      <c r="BT656" s="1637">
        <f>+BS656</f>
        <v/>
      </c>
      <c r="BU656" s="1562">
        <f>SUM(BU329,BS329,BR329,BQ329)*BU610</f>
        <v/>
      </c>
      <c r="BV656" s="1562">
        <f>SUM(BV329,BU329,BS329,BR329)*BV610</f>
        <v/>
      </c>
      <c r="BW656" s="1562">
        <f>SUM(BW329,BV329,BU329,BS329)*BW610</f>
        <v/>
      </c>
      <c r="BX656" s="1562">
        <f>SUM(BX329,BW329,BV329,BU329)*BX610</f>
        <v/>
      </c>
      <c r="BY656" s="1637">
        <f>+BX656</f>
        <v/>
      </c>
      <c r="BZ656" s="1637">
        <f>BZ329*BZ610</f>
        <v/>
      </c>
      <c r="CA656" s="1637">
        <f>CA329*CA610</f>
        <v/>
      </c>
      <c r="CB656" s="1637">
        <f>CB329*CB610</f>
        <v/>
      </c>
      <c r="CC656" s="1564" t="n"/>
    </row>
    <row r="657" ht="15" customFormat="1" customHeight="1" s="1561">
      <c r="A657" s="1721" t="inlineStr">
        <is>
          <t>Accrued and other liabilities</t>
        </is>
      </c>
      <c r="B657" s="1705" t="n"/>
      <c r="C657" s="1706" t="n">
        <v>817.361</v>
      </c>
      <c r="D657" s="1706" t="n">
        <v>1518.749</v>
      </c>
      <c r="E657" s="1706" t="n">
        <v>1768.647</v>
      </c>
      <c r="F657" s="1706" t="n">
        <v>1880.37</v>
      </c>
      <c r="G657" s="1787" t="n">
        <v>2216.882</v>
      </c>
      <c r="H657" s="1970" t="n"/>
      <c r="I657" s="1970" t="n"/>
      <c r="J657" s="1970" t="n"/>
      <c r="K657" s="1970" t="n"/>
      <c r="L657" s="1787" t="n">
        <v>2347.799</v>
      </c>
      <c r="M657" s="1970" t="n"/>
      <c r="N657" s="1970" t="n"/>
      <c r="O657" s="1970" t="n"/>
      <c r="P657" s="1970" t="n"/>
      <c r="Q657" s="1787" t="n">
        <v>2566.593</v>
      </c>
      <c r="R657" s="1970" t="n"/>
      <c r="S657" s="1562" t="n"/>
      <c r="T657" s="1562" t="n"/>
      <c r="U657" s="1562" t="n"/>
      <c r="V657" s="1706" t="n">
        <v>2236</v>
      </c>
      <c r="W657" s="1562" t="n"/>
      <c r="X657" s="1562" t="n"/>
      <c r="Y657" s="1562" t="n"/>
      <c r="Z657" s="1562" t="n"/>
      <c r="AA657" s="1706" t="n">
        <v>2327.4</v>
      </c>
      <c r="AB657" s="1562" t="n"/>
      <c r="AC657" s="1562" t="n"/>
      <c r="AD657" s="1562" t="n"/>
      <c r="AE657" s="1562" t="n"/>
      <c r="AF657" s="1706" t="n">
        <v>911.4</v>
      </c>
      <c r="AG657" s="1562" t="n"/>
      <c r="AH657" s="1562" t="n"/>
      <c r="AI657" s="1562" t="n"/>
      <c r="AJ657" s="1562" t="n"/>
      <c r="AK657" s="1706" t="n">
        <v>1039.9</v>
      </c>
      <c r="AL657" s="1562" t="n"/>
      <c r="AM657" s="1562" t="n"/>
      <c r="AN657" s="1562" t="n"/>
      <c r="AO657" s="1562" t="n"/>
      <c r="AP657" s="1706" t="n">
        <v>1146</v>
      </c>
      <c r="AQ657" s="1562" t="n"/>
      <c r="AR657" s="1562" t="n"/>
      <c r="AS657" s="1562" t="n"/>
      <c r="AT657" s="1562" t="n"/>
      <c r="AU657" s="1706" t="n">
        <v>1435.5</v>
      </c>
      <c r="AV657" s="1562" t="n"/>
      <c r="AW657" s="1562" t="n"/>
      <c r="AX657" s="1562" t="n"/>
      <c r="AY657" s="1562" t="n"/>
      <c r="AZ657" s="1706" t="n">
        <v>1875.9</v>
      </c>
      <c r="BA657" s="1562" t="n"/>
      <c r="BB657" s="1562" t="n"/>
      <c r="BC657" s="1562" t="n"/>
      <c r="BD657" s="1562" t="n"/>
      <c r="BE657" s="1706" t="n">
        <v>2177.4</v>
      </c>
      <c r="BF657" s="1562" t="n"/>
      <c r="BG657" s="1562" t="n"/>
      <c r="BH657" s="1562" t="n"/>
      <c r="BI657" s="1562">
        <f>BJ657</f>
        <v/>
      </c>
      <c r="BJ657" s="1706" t="n">
        <v>2686.6</v>
      </c>
      <c r="BK657" s="1562" t="n"/>
      <c r="BL657" s="1562" t="n"/>
      <c r="BM657" s="1562" t="n"/>
      <c r="BN657" s="1562" t="n"/>
      <c r="BO657" s="1715">
        <f>SUM(BN329,BM329,BL329,BK329)*BO609</f>
        <v/>
      </c>
      <c r="BP657" s="1562">
        <f>SUM(BP329,BN329,BM329,BL329)*BP609</f>
        <v/>
      </c>
      <c r="BQ657" s="1562">
        <f>SUM(BQ329,BP329,BN329,BM329)*BQ609</f>
        <v/>
      </c>
      <c r="BR657" s="1562">
        <f>SUM(BR329,BQ329,BP329,BN329)*BR609</f>
        <v/>
      </c>
      <c r="BS657" s="1562">
        <f>SUM(BS329,BR329,BQ329,BP329)*BS609</f>
        <v/>
      </c>
      <c r="BT657" s="1637">
        <f>+BS657</f>
        <v/>
      </c>
      <c r="BU657" s="1562">
        <f>SUM(BU329,BS329,BR329,BQ329)*BU609</f>
        <v/>
      </c>
      <c r="BV657" s="1562">
        <f>SUM(BV329,BU329,BS329,BR329)*BV609</f>
        <v/>
      </c>
      <c r="BW657" s="1562">
        <f>SUM(BW329,BV329,BU329,BS329)*BW609</f>
        <v/>
      </c>
      <c r="BX657" s="1562">
        <f>SUM(BX329,BW329,BV329,BU329)*BX609</f>
        <v/>
      </c>
      <c r="BY657" s="1637">
        <f>+BX657</f>
        <v/>
      </c>
      <c r="BZ657" s="1637">
        <f>BZ329*BZ609</f>
        <v/>
      </c>
      <c r="CA657" s="1637">
        <f>CA329*CA609</f>
        <v/>
      </c>
      <c r="CB657" s="1637">
        <f>CB329*CB609</f>
        <v/>
      </c>
      <c r="CC657" s="1564" t="n"/>
    </row>
    <row r="658" ht="15" customFormat="1" customHeight="1" s="1561">
      <c r="A658" s="1721" t="inlineStr">
        <is>
          <t>Current tax liabilities</t>
        </is>
      </c>
      <c r="B658" s="1705" t="n"/>
      <c r="C658" s="1706" t="n">
        <v>15.032</v>
      </c>
      <c r="D658" s="1706" t="n">
        <v>61.197</v>
      </c>
      <c r="E658" s="1706" t="n">
        <v>14.999</v>
      </c>
      <c r="F658" s="1706" t="n">
        <v>10.791</v>
      </c>
      <c r="G658" s="1787" t="n">
        <v>15.803</v>
      </c>
      <c r="H658" s="1970" t="n"/>
      <c r="I658" s="1970" t="n"/>
      <c r="J658" s="1970" t="n"/>
      <c r="K658" s="1970" t="n"/>
      <c r="L658" s="1787" t="n">
        <v>36.293</v>
      </c>
      <c r="M658" s="1970" t="n"/>
      <c r="N658" s="1970" t="n"/>
      <c r="O658" s="1970" t="n"/>
      <c r="P658" s="1970" t="n"/>
      <c r="Q658" s="1787" t="n">
        <v>3.654</v>
      </c>
      <c r="R658" s="1970" t="n"/>
      <c r="S658" s="1562" t="n"/>
      <c r="T658" s="1562" t="n"/>
      <c r="U658" s="1562" t="n"/>
      <c r="V658" s="1706" t="n">
        <v>201.9</v>
      </c>
      <c r="W658" s="1562" t="n"/>
      <c r="X658" s="1562" t="n"/>
      <c r="Y658" s="1562" t="n"/>
      <c r="Z658" s="1562" t="n"/>
      <c r="AA658" s="1706" t="n">
        <v>152</v>
      </c>
      <c r="AB658" s="1562" t="n"/>
      <c r="AC658" s="1562" t="n"/>
      <c r="AD658" s="1562" t="n"/>
      <c r="AE658" s="1562" t="n"/>
      <c r="AF658" s="1706" t="n">
        <v>187.9</v>
      </c>
      <c r="AG658" s="1562" t="n"/>
      <c r="AH658" s="1562" t="n"/>
      <c r="AI658" s="1562" t="n"/>
      <c r="AJ658" s="1562" t="n"/>
      <c r="AK658" s="1706" t="n">
        <v>65.59999999999999</v>
      </c>
      <c r="AL658" s="1562" t="n"/>
      <c r="AM658" s="1562" t="n"/>
      <c r="AN658" s="1562" t="n"/>
      <c r="AO658" s="1562" t="n"/>
      <c r="AP658" s="1706" t="n">
        <v>110</v>
      </c>
      <c r="AQ658" s="1562" t="n"/>
      <c r="AR658" s="1562" t="n"/>
      <c r="AS658" s="1562" t="n"/>
      <c r="AT658" s="1562" t="n"/>
      <c r="AU658" s="1706" t="n">
        <v>301.9</v>
      </c>
      <c r="AV658" s="1562" t="n"/>
      <c r="AW658" s="1562" t="n"/>
      <c r="AX658" s="1562" t="n"/>
      <c r="AY658" s="1562" t="n"/>
      <c r="AZ658" s="1706" t="n">
        <v>315.3</v>
      </c>
      <c r="BA658" s="1562" t="n"/>
      <c r="BB658" s="1562" t="n"/>
      <c r="BC658" s="1562" t="n"/>
      <c r="BD658" s="1562" t="n"/>
      <c r="BE658" s="1706" t="n">
        <v>308.9</v>
      </c>
      <c r="BF658" s="1562" t="n"/>
      <c r="BG658" s="1562" t="n"/>
      <c r="BH658" s="1562" t="n"/>
      <c r="BI658" s="1562">
        <f>BJ658</f>
        <v/>
      </c>
      <c r="BJ658" s="1706" t="n">
        <v>283.3</v>
      </c>
      <c r="BK658" s="1562" t="n"/>
      <c r="BL658" s="1562" t="n"/>
      <c r="BM658" s="1562" t="n"/>
      <c r="BN658" s="1562" t="n"/>
      <c r="BO658" s="1715">
        <f>SUM(BN329,BM329,BL329,BK329)*BO612</f>
        <v/>
      </c>
      <c r="BP658" s="1562">
        <f>SUM(BP329,BN329,BM329,BL329)*BP612</f>
        <v/>
      </c>
      <c r="BQ658" s="1562">
        <f>SUM(BQ329,BP329,BN329,BM329)*BQ612</f>
        <v/>
      </c>
      <c r="BR658" s="1562">
        <f>SUM(BR329,BQ329,BP329,BN329)*BR612</f>
        <v/>
      </c>
      <c r="BS658" s="1562">
        <f>SUM(BS329,BR329,BQ329,BP329)*BS612</f>
        <v/>
      </c>
      <c r="BT658" s="1637">
        <f>+BS658</f>
        <v/>
      </c>
      <c r="BU658" s="1562">
        <f>SUM(BU329,BS329,BR329,BQ329)*BU612</f>
        <v/>
      </c>
      <c r="BV658" s="1562">
        <f>SUM(BV329,BU329,BS329,BR329)*BV612</f>
        <v/>
      </c>
      <c r="BW658" s="1562">
        <f>SUM(BW329,BV329,BU329,BS329)*BW612</f>
        <v/>
      </c>
      <c r="BX658" s="1562">
        <f>SUM(BX329,BW329,BV329,BU329)*BX612</f>
        <v/>
      </c>
      <c r="BY658" s="1637">
        <f>+BX658</f>
        <v/>
      </c>
      <c r="BZ658" s="1637">
        <f>BZ329*BZ612</f>
        <v/>
      </c>
      <c r="CA658" s="1637">
        <f>CA329*CA612</f>
        <v/>
      </c>
      <c r="CB658" s="1637">
        <f>CB329*CB612</f>
        <v/>
      </c>
      <c r="CC658" s="1564" t="n"/>
    </row>
    <row r="659" ht="15" customFormat="1" customHeight="1" s="1561">
      <c r="A659" s="1721" t="inlineStr">
        <is>
          <t>Current portion of long-term debt</t>
        </is>
      </c>
      <c r="B659" s="1705" t="n"/>
      <c r="C659" s="1637" t="n"/>
      <c r="D659" s="1706" t="n">
        <v>1.429</v>
      </c>
      <c r="E659" s="1706" t="n">
        <v>2.587</v>
      </c>
      <c r="F659" s="1706" t="n">
        <v>3.61</v>
      </c>
      <c r="G659" s="1787" t="n">
        <v>4.385</v>
      </c>
      <c r="H659" s="1970">
        <f>G659</f>
        <v/>
      </c>
      <c r="I659" s="1970">
        <f>H659</f>
        <v/>
      </c>
      <c r="J659" s="1970">
        <f>I659</f>
        <v/>
      </c>
      <c r="K659" s="1970">
        <f>L659</f>
        <v/>
      </c>
      <c r="L659" s="1787" t="n">
        <v>4.261</v>
      </c>
      <c r="M659" s="1970">
        <f>L659</f>
        <v/>
      </c>
      <c r="N659" s="1970">
        <f>M659</f>
        <v/>
      </c>
      <c r="O659" s="1970">
        <f>N659</f>
        <v/>
      </c>
      <c r="P659" s="1970">
        <f>Q659</f>
        <v/>
      </c>
      <c r="Q659" s="1787" t="n">
        <v>4.211</v>
      </c>
      <c r="R659" s="1970">
        <f>Q659</f>
        <v/>
      </c>
      <c r="S659" s="1562">
        <f>R659</f>
        <v/>
      </c>
      <c r="T659" s="1562">
        <f>S659</f>
        <v/>
      </c>
      <c r="U659" s="1562">
        <f>V659</f>
        <v/>
      </c>
      <c r="V659" s="1706" t="n">
        <v>247.7</v>
      </c>
      <c r="W659" s="1562">
        <f>V659</f>
        <v/>
      </c>
      <c r="X659" s="1562">
        <f>W659</f>
        <v/>
      </c>
      <c r="Y659" s="1562">
        <f>X659</f>
        <v/>
      </c>
      <c r="Z659" s="1562">
        <f>AA659</f>
        <v/>
      </c>
      <c r="AA659" s="1706" t="n">
        <v>25.2</v>
      </c>
      <c r="AB659" s="1562">
        <f>AA659</f>
        <v/>
      </c>
      <c r="AC659" s="1562">
        <f>AB659</f>
        <v/>
      </c>
      <c r="AD659" s="1562">
        <f>AC659</f>
        <v/>
      </c>
      <c r="AE659" s="1562">
        <f>AF659</f>
        <v/>
      </c>
      <c r="AF659" s="1637" t="n"/>
      <c r="AG659" s="1562">
        <f>AF659</f>
        <v/>
      </c>
      <c r="AH659" s="1562">
        <f>AG659</f>
        <v/>
      </c>
      <c r="AI659" s="1562">
        <f>AH659</f>
        <v/>
      </c>
      <c r="AJ659" s="1562">
        <f>AK659</f>
        <v/>
      </c>
      <c r="AK659" s="1637" t="n"/>
      <c r="AL659" s="1562">
        <f>AK659</f>
        <v/>
      </c>
      <c r="AM659" s="1562">
        <f>AL659</f>
        <v/>
      </c>
      <c r="AN659" s="1562">
        <f>AM659</f>
        <v/>
      </c>
      <c r="AO659" s="1562">
        <f>AP659</f>
        <v/>
      </c>
      <c r="AP659" s="1706" t="n">
        <v>15.4</v>
      </c>
      <c r="AQ659" s="1562">
        <f>AP659</f>
        <v/>
      </c>
      <c r="AR659" s="1562">
        <f>AQ659</f>
        <v/>
      </c>
      <c r="AS659" s="1562">
        <f>AR659</f>
        <v/>
      </c>
      <c r="AT659" s="1562">
        <f>AU659</f>
        <v/>
      </c>
      <c r="AU659" s="1706" t="n">
        <v>509.1</v>
      </c>
      <c r="AV659" s="1562">
        <f>AU659</f>
        <v/>
      </c>
      <c r="AW659" s="1562">
        <f>AV659</f>
        <v/>
      </c>
      <c r="AX659" s="1562">
        <f>AW659</f>
        <v/>
      </c>
      <c r="AY659" s="1562">
        <f>AZ659</f>
        <v/>
      </c>
      <c r="AZ659" s="1706" t="n">
        <v>746.2</v>
      </c>
      <c r="BA659" s="1562">
        <f>AZ659</f>
        <v/>
      </c>
      <c r="BB659" s="1562">
        <f>BA659</f>
        <v/>
      </c>
      <c r="BC659" s="1562">
        <f>BB659</f>
        <v/>
      </c>
      <c r="BD659" s="1562">
        <f>BE659</f>
        <v/>
      </c>
      <c r="BE659" s="1706" t="n">
        <v>0.1</v>
      </c>
      <c r="BF659" s="1562">
        <f>BE659</f>
        <v/>
      </c>
      <c r="BG659" s="1562">
        <f>BF659</f>
        <v/>
      </c>
      <c r="BH659" s="1562">
        <f>BG659</f>
        <v/>
      </c>
      <c r="BI659" s="1562">
        <f>BJ659</f>
        <v/>
      </c>
      <c r="BJ659" s="1706" t="n">
        <v>1010.3</v>
      </c>
      <c r="BK659" s="1562">
        <f>BJ659</f>
        <v/>
      </c>
      <c r="BL659" s="1562">
        <f>BK659</f>
        <v/>
      </c>
      <c r="BM659" s="1562">
        <f>BL659</f>
        <v/>
      </c>
      <c r="BN659" s="1562">
        <f>BO659</f>
        <v/>
      </c>
      <c r="BO659" s="1715">
        <f>BO664-BO660-BO656-BO657-BO658</f>
        <v/>
      </c>
      <c r="BP659" s="1562">
        <f>BP428</f>
        <v/>
      </c>
      <c r="BQ659" s="1562">
        <f>BQ428</f>
        <v/>
      </c>
      <c r="BR659" s="1562">
        <f>BR428</f>
        <v/>
      </c>
      <c r="BS659" s="1562">
        <f>BS428</f>
        <v/>
      </c>
      <c r="BT659" s="1637">
        <f>+BS659</f>
        <v/>
      </c>
      <c r="BU659" s="1562">
        <f>BU428</f>
        <v/>
      </c>
      <c r="BV659" s="1562">
        <f>BV428</f>
        <v/>
      </c>
      <c r="BW659" s="1562">
        <f>BW428</f>
        <v/>
      </c>
      <c r="BX659" s="1562">
        <f>BX428</f>
        <v/>
      </c>
      <c r="BY659" s="1637">
        <f>+BX659</f>
        <v/>
      </c>
      <c r="BZ659" s="1637">
        <f>BZ428</f>
        <v/>
      </c>
      <c r="CA659" s="1637">
        <f>CA428</f>
        <v/>
      </c>
      <c r="CB659" s="1637">
        <f>CB428</f>
        <v/>
      </c>
      <c r="CC659" s="1564" t="n"/>
    </row>
    <row r="660" ht="15" customFormat="1" customHeight="1" s="1561">
      <c r="A660" s="1721" t="inlineStr">
        <is>
          <t>Contract liabilities, current</t>
        </is>
      </c>
      <c r="B660" s="1705" t="n"/>
      <c r="C660" s="1637" t="n"/>
      <c r="D660" s="1637" t="n"/>
      <c r="E660" s="1637" t="n"/>
      <c r="F660" s="1637" t="n"/>
      <c r="G660" s="1804" t="n"/>
      <c r="H660" s="1970" t="n"/>
      <c r="I660" s="1970" t="n"/>
      <c r="J660" s="1970" t="n"/>
      <c r="K660" s="1970" t="n"/>
      <c r="L660" s="1804" t="n"/>
      <c r="M660" s="1970" t="n"/>
      <c r="N660" s="1970" t="n"/>
      <c r="O660" s="1970" t="n"/>
      <c r="P660" s="1970" t="n"/>
      <c r="Q660" s="1804" t="n"/>
      <c r="R660" s="1970" t="n"/>
      <c r="S660" s="1562" t="n"/>
      <c r="T660" s="1562" t="n"/>
      <c r="U660" s="1562" t="n"/>
      <c r="V660" s="1637" t="n"/>
      <c r="W660" s="1562" t="n"/>
      <c r="X660" s="1562" t="n"/>
      <c r="Y660" s="1562" t="n"/>
      <c r="Z660" s="1562" t="n"/>
      <c r="AA660" s="1637" t="n"/>
      <c r="AB660" s="1562" t="n"/>
      <c r="AC660" s="1562" t="n"/>
      <c r="AD660" s="1562" t="n"/>
      <c r="AE660" s="1562" t="n"/>
      <c r="AF660" s="1706" t="n">
        <v>1728.6</v>
      </c>
      <c r="AG660" s="1562" t="n"/>
      <c r="AH660" s="1562" t="n"/>
      <c r="AI660" s="1562" t="n"/>
      <c r="AJ660" s="1562" t="n"/>
      <c r="AK660" s="1706" t="n">
        <v>2526.4</v>
      </c>
      <c r="AL660" s="1562" t="n"/>
      <c r="AM660" s="1562" t="n"/>
      <c r="AN660" s="1562" t="n"/>
      <c r="AO660" s="1562" t="n"/>
      <c r="AP660" s="1706" t="n">
        <v>3954.2</v>
      </c>
      <c r="AQ660" s="1562" t="n"/>
      <c r="AR660" s="1562" t="n"/>
      <c r="AS660" s="1562" t="n"/>
      <c r="AT660" s="1562" t="n"/>
      <c r="AU660" s="1706" t="n">
        <v>7935.2</v>
      </c>
      <c r="AV660" s="1562" t="n"/>
      <c r="AW660" s="1562" t="n"/>
      <c r="AX660" s="1562" t="n"/>
      <c r="AY660" s="1562" t="n"/>
      <c r="AZ660" s="1706" t="n">
        <v>12481</v>
      </c>
      <c r="BA660" s="1562" t="n"/>
      <c r="BB660" s="1562" t="n"/>
      <c r="BC660" s="1562" t="n"/>
      <c r="BD660" s="1562" t="n"/>
      <c r="BE660" s="1706" t="n">
        <v>11441</v>
      </c>
      <c r="BF660" s="1562">
        <f>BF664-BF659</f>
        <v/>
      </c>
      <c r="BG660" s="1562">
        <f>BG664-BG659</f>
        <v/>
      </c>
      <c r="BH660" s="1562">
        <f>BH664-BH659</f>
        <v/>
      </c>
      <c r="BI660" s="1562">
        <f>BJ660</f>
        <v/>
      </c>
      <c r="BJ660" s="1706" t="n">
        <v>12570.8</v>
      </c>
      <c r="BK660" s="1562">
        <f>BK664-BK659</f>
        <v/>
      </c>
      <c r="BL660" s="1562">
        <f>BL664-BL659</f>
        <v/>
      </c>
      <c r="BM660" s="1562">
        <f>BM664-BM659</f>
        <v/>
      </c>
      <c r="BN660" s="1562">
        <f>BO660</f>
        <v/>
      </c>
      <c r="BO660" s="1715">
        <f>SUM(BN329,BM329,BL329,BK329)*BO611</f>
        <v/>
      </c>
      <c r="BP660" s="1562">
        <f>SUM(BP329,BN329,BM329,BL329)*BP611</f>
        <v/>
      </c>
      <c r="BQ660" s="1562">
        <f>SUM(BQ329,BP329,BN329,BM329)*BQ611</f>
        <v/>
      </c>
      <c r="BR660" s="1562">
        <f>SUM(BR329,BQ329,BP329,BN329)*BR611</f>
        <v/>
      </c>
      <c r="BS660" s="1562">
        <f>SUM(BS329,BR329,BQ329,BP329)*BS611</f>
        <v/>
      </c>
      <c r="BT660" s="1637">
        <f>+BS660</f>
        <v/>
      </c>
      <c r="BU660" s="1562">
        <f>SUM(BU329,BS329,BR329,BQ329)*BU611</f>
        <v/>
      </c>
      <c r="BV660" s="1562">
        <f>SUM(BV329,BU329,BS329,BR329)*BV611</f>
        <v/>
      </c>
      <c r="BW660" s="1562">
        <f>SUM(BW329,BV329,BU329,BS329)*BW611</f>
        <v/>
      </c>
      <c r="BX660" s="1562">
        <f>SUM(BX329,BW329,BV329,BU329)*BX611</f>
        <v/>
      </c>
      <c r="BY660" s="1637">
        <f>+BX660</f>
        <v/>
      </c>
      <c r="BZ660" s="1637">
        <f>BZ329*BZ611</f>
        <v/>
      </c>
      <c r="CA660" s="1637">
        <f>CA329*CA611</f>
        <v/>
      </c>
      <c r="CB660" s="1637">
        <f>CB329*CB611</f>
        <v/>
      </c>
      <c r="CC660" s="1564" t="n"/>
    </row>
    <row r="661" ht="15" customFormat="1" customHeight="1" s="1561">
      <c r="A661" s="1721" t="inlineStr">
        <is>
          <t>Provisions</t>
        </is>
      </c>
      <c r="B661" s="1705" t="n"/>
      <c r="C661" s="1706" t="n">
        <v>2.504</v>
      </c>
      <c r="D661" s="1706" t="n">
        <v>2.25</v>
      </c>
      <c r="E661" s="1706" t="n">
        <v>2.326</v>
      </c>
      <c r="F661" s="1706" t="n">
        <v>2.28</v>
      </c>
      <c r="G661" s="1787" t="n">
        <v>2.227</v>
      </c>
      <c r="H661" s="1970" t="n"/>
      <c r="I661" s="1970" t="n"/>
      <c r="J661" s="1970" t="n"/>
      <c r="K661" s="1970" t="n"/>
      <c r="L661" s="1787" t="n">
        <v>2.354</v>
      </c>
      <c r="M661" s="1970" t="n"/>
      <c r="N661" s="1970" t="n"/>
      <c r="O661" s="1970" t="n"/>
      <c r="P661" s="1970" t="n"/>
      <c r="Q661" s="1787" t="n">
        <v>2.441</v>
      </c>
      <c r="R661" s="1970" t="n"/>
      <c r="S661" s="1562" t="n"/>
      <c r="T661" s="1562" t="n"/>
      <c r="U661" s="1562" t="n"/>
      <c r="V661" s="1706" t="n">
        <v>1.8</v>
      </c>
      <c r="W661" s="1562" t="n"/>
      <c r="X661" s="1562" t="n"/>
      <c r="Y661" s="1562" t="n"/>
      <c r="Z661" s="1562" t="n"/>
      <c r="AA661" s="1637" t="n"/>
      <c r="AB661" s="1562" t="n"/>
      <c r="AC661" s="1562" t="n"/>
      <c r="AD661" s="1562" t="n"/>
      <c r="AE661" s="1562" t="n"/>
      <c r="AF661" s="1637" t="n"/>
      <c r="AG661" s="1562" t="n"/>
      <c r="AH661" s="1562" t="n"/>
      <c r="AI661" s="1562" t="n"/>
      <c r="AJ661" s="1562" t="n"/>
      <c r="AK661" s="1637" t="n"/>
      <c r="AL661" s="1562" t="n"/>
      <c r="AM661" s="1562" t="n"/>
      <c r="AN661" s="1562" t="n"/>
      <c r="AO661" s="1562" t="n"/>
      <c r="AP661" s="1637" t="n"/>
      <c r="AQ661" s="1562" t="n"/>
      <c r="AR661" s="1562" t="n"/>
      <c r="AS661" s="1562" t="n"/>
      <c r="AT661" s="1562" t="n"/>
      <c r="AU661" s="1637" t="n"/>
      <c r="AV661" s="1562" t="n"/>
      <c r="AW661" s="1562" t="n"/>
      <c r="AX661" s="1562" t="n"/>
      <c r="AY661" s="1562" t="n"/>
      <c r="AZ661" s="1637" t="n"/>
      <c r="BA661" s="1562" t="n"/>
      <c r="BB661" s="1562" t="n"/>
      <c r="BC661" s="1562" t="n"/>
      <c r="BD661" s="1562" t="n"/>
      <c r="BE661" s="1637" t="n"/>
      <c r="BF661" s="1562" t="n"/>
      <c r="BG661" s="1562" t="n"/>
      <c r="BH661" s="1562" t="n"/>
      <c r="BI661" s="1562" t="n"/>
      <c r="BJ661" s="1637" t="n"/>
      <c r="BK661" s="1562" t="n"/>
      <c r="BL661" s="1562" t="n"/>
      <c r="BM661" s="1562" t="n"/>
      <c r="BN661" s="1562" t="n"/>
      <c r="BO661" s="1638" t="n"/>
      <c r="BP661" s="1562" t="n"/>
      <c r="BQ661" s="1562" t="n"/>
      <c r="BR661" s="1562" t="n"/>
      <c r="BS661" s="1562" t="n"/>
      <c r="BT661" s="1637">
        <f>+BS661</f>
        <v/>
      </c>
      <c r="BU661" s="1562" t="n"/>
      <c r="BV661" s="1562" t="n"/>
      <c r="BW661" s="1562" t="n"/>
      <c r="BX661" s="1562" t="n"/>
      <c r="BY661" s="1637">
        <f>+BX661</f>
        <v/>
      </c>
      <c r="BZ661" s="1637" t="n"/>
      <c r="CA661" s="1637" t="n"/>
      <c r="CB661" s="1637" t="n"/>
      <c r="CC661" s="1564" t="n"/>
    </row>
    <row r="662" ht="15" customFormat="1" customHeight="1" s="1561">
      <c r="A662" s="1721" t="inlineStr">
        <is>
          <t>Deferred tax liabilities</t>
        </is>
      </c>
      <c r="B662" s="1705" t="n"/>
      <c r="C662" s="1706" t="n">
        <v>3.047</v>
      </c>
      <c r="D662" s="1706" t="n">
        <v>18.223</v>
      </c>
      <c r="E662" s="1706" t="n">
        <v>0.214</v>
      </c>
      <c r="F662" s="1706" t="n">
        <v>0.271</v>
      </c>
      <c r="G662" s="1787" t="n">
        <v>3.494</v>
      </c>
      <c r="H662" s="1970" t="n"/>
      <c r="I662" s="1970" t="n"/>
      <c r="J662" s="1970" t="n"/>
      <c r="K662" s="1970" t="n"/>
      <c r="L662" s="1787" t="n">
        <v>1.928</v>
      </c>
      <c r="M662" s="1970" t="n"/>
      <c r="N662" s="1970" t="n"/>
      <c r="O662" s="1970" t="n"/>
      <c r="P662" s="1970" t="n"/>
      <c r="Q662" s="1787" t="n">
        <v>2.379</v>
      </c>
      <c r="R662" s="1970" t="n"/>
      <c r="S662" s="1562" t="n"/>
      <c r="T662" s="1562" t="n"/>
      <c r="U662" s="1562" t="n"/>
      <c r="V662" s="1637" t="n"/>
      <c r="W662" s="1562" t="n"/>
      <c r="X662" s="1562" t="n"/>
      <c r="Y662" s="1562" t="n"/>
      <c r="Z662" s="1562" t="n"/>
      <c r="AA662" s="1637" t="n"/>
      <c r="AB662" s="1562" t="n"/>
      <c r="AC662" s="1562" t="n"/>
      <c r="AD662" s="1562" t="n"/>
      <c r="AE662" s="1562" t="n"/>
      <c r="AF662" s="1637" t="n"/>
      <c r="AG662" s="1562" t="n"/>
      <c r="AH662" s="1562" t="n"/>
      <c r="AI662" s="1562" t="n"/>
      <c r="AJ662" s="1562" t="n"/>
      <c r="AK662" s="1637" t="n"/>
      <c r="AL662" s="1562" t="n"/>
      <c r="AM662" s="1562" t="n"/>
      <c r="AN662" s="1562" t="n"/>
      <c r="AO662" s="1562" t="n"/>
      <c r="AP662" s="1637" t="n"/>
      <c r="AQ662" s="1562" t="n"/>
      <c r="AR662" s="1562" t="n"/>
      <c r="AS662" s="1562" t="n"/>
      <c r="AT662" s="1562" t="n"/>
      <c r="AU662" s="1637" t="n"/>
      <c r="AV662" s="1562" t="n"/>
      <c r="AW662" s="1562" t="n"/>
      <c r="AX662" s="1562" t="n"/>
      <c r="AY662" s="1562" t="n"/>
      <c r="AZ662" s="1637" t="n"/>
      <c r="BA662" s="1562" t="n"/>
      <c r="BB662" s="1562" t="n"/>
      <c r="BC662" s="1562" t="n"/>
      <c r="BD662" s="1562" t="n"/>
      <c r="BE662" s="1637" t="n"/>
      <c r="BF662" s="1562" t="n"/>
      <c r="BG662" s="1562" t="n"/>
      <c r="BH662" s="1562" t="n"/>
      <c r="BI662" s="1562" t="n"/>
      <c r="BJ662" s="1637" t="n"/>
      <c r="BK662" s="1562" t="n"/>
      <c r="BL662" s="1562" t="n"/>
      <c r="BM662" s="1562" t="n"/>
      <c r="BN662" s="1562" t="n"/>
      <c r="BO662" s="1638" t="n"/>
      <c r="BP662" s="1562" t="n"/>
      <c r="BQ662" s="1562" t="n"/>
      <c r="BR662" s="1562" t="n"/>
      <c r="BS662" s="1562" t="n"/>
      <c r="BT662" s="1637">
        <f>+BS662</f>
        <v/>
      </c>
      <c r="BU662" s="1562" t="n"/>
      <c r="BV662" s="1562" t="n"/>
      <c r="BW662" s="1562" t="n"/>
      <c r="BX662" s="1562" t="n"/>
      <c r="BY662" s="1637">
        <f>+BX662</f>
        <v/>
      </c>
      <c r="BZ662" s="1637" t="n"/>
      <c r="CA662" s="1637" t="n"/>
      <c r="CB662" s="1637" t="n"/>
      <c r="CC662" s="1564" t="n"/>
    </row>
    <row r="663" ht="15" customFormat="1" customHeight="1" s="1561">
      <c r="A663" s="1721" t="inlineStr">
        <is>
          <t>Held for sale liabilities</t>
        </is>
      </c>
      <c r="B663" s="1705" t="n"/>
      <c r="C663" s="1637" t="n"/>
      <c r="D663" s="1637" t="n"/>
      <c r="E663" s="1637" t="n"/>
      <c r="F663" s="1637" t="n"/>
      <c r="G663" s="1804" t="n"/>
      <c r="H663" s="1970" t="n"/>
      <c r="I663" s="1970" t="n"/>
      <c r="J663" s="1970" t="n"/>
      <c r="K663" s="1970" t="n"/>
      <c r="L663" s="1804" t="n"/>
      <c r="M663" s="1970" t="n"/>
      <c r="N663" s="1970" t="n"/>
      <c r="O663" s="1970" t="n"/>
      <c r="P663" s="1970" t="n"/>
      <c r="Q663" s="1804" t="n"/>
      <c r="R663" s="1970" t="n"/>
      <c r="S663" s="1562" t="n"/>
      <c r="T663" s="1562" t="n"/>
      <c r="U663" s="1562" t="n"/>
      <c r="V663" s="1637" t="n"/>
      <c r="W663" s="1562" t="n"/>
      <c r="X663" s="1562" t="n"/>
      <c r="Y663" s="1562" t="n"/>
      <c r="Z663" s="1562" t="n"/>
      <c r="AA663" s="1637" t="n"/>
      <c r="AB663" s="1562" t="n"/>
      <c r="AC663" s="1562" t="n"/>
      <c r="AD663" s="1562" t="n"/>
      <c r="AE663" s="1562" t="n"/>
      <c r="AF663" s="1637" t="n"/>
      <c r="AG663" s="1562" t="n"/>
      <c r="AH663" s="1562" t="n"/>
      <c r="AI663" s="1562" t="n"/>
      <c r="AJ663" s="1562" t="n"/>
      <c r="AK663" s="1637" t="n"/>
      <c r="AL663" s="1562" t="n"/>
      <c r="AM663" s="1562" t="n"/>
      <c r="AN663" s="1562" t="n"/>
      <c r="AO663" s="1562" t="n"/>
      <c r="AP663" s="1637" t="n"/>
      <c r="AQ663" s="1562" t="n"/>
      <c r="AR663" s="1562" t="n"/>
      <c r="AS663" s="1562" t="n"/>
      <c r="AT663" s="1562" t="n"/>
      <c r="AU663" s="1637" t="n"/>
      <c r="AV663" s="1562" t="n"/>
      <c r="AW663" s="1562" t="n"/>
      <c r="AX663" s="1562" t="n"/>
      <c r="AY663" s="1562" t="n"/>
      <c r="AZ663" s="1637" t="n"/>
      <c r="BA663" s="1562" t="n"/>
      <c r="BB663" s="1562" t="n"/>
      <c r="BC663" s="1562" t="n"/>
      <c r="BD663" s="1562">
        <f>BE663</f>
        <v/>
      </c>
      <c r="BE663" s="1637" t="n"/>
      <c r="BF663" s="1562" t="n"/>
      <c r="BG663" s="1562" t="n"/>
      <c r="BH663" s="1562" t="n"/>
      <c r="BI663" s="1562">
        <f>BJ663</f>
        <v/>
      </c>
      <c r="BJ663" s="1637" t="n"/>
      <c r="BK663" s="1562" t="n"/>
      <c r="BL663" s="1562" t="n"/>
      <c r="BM663" s="1562" t="n"/>
      <c r="BN663" s="1562">
        <f>BO663</f>
        <v/>
      </c>
      <c r="BO663" s="1638" t="n"/>
      <c r="BP663" s="1562" t="n"/>
      <c r="BQ663" s="1562" t="n"/>
      <c r="BR663" s="1562" t="n"/>
      <c r="BS663" s="1562" t="n"/>
      <c r="BT663" s="1637">
        <f>+BS663</f>
        <v/>
      </c>
      <c r="BU663" s="1562" t="n"/>
      <c r="BV663" s="1562" t="n"/>
      <c r="BW663" s="1562" t="n"/>
      <c r="BX663" s="1562" t="n"/>
      <c r="BY663" s="1637">
        <f>+BX663</f>
        <v/>
      </c>
      <c r="BZ663" s="1637" t="n"/>
      <c r="CA663" s="1637" t="n"/>
      <c r="CB663" s="1637" t="n"/>
      <c r="CC663" s="1564" t="n"/>
    </row>
    <row r="664" ht="15" customFormat="1" customHeight="1" s="1628">
      <c r="A664" s="1695" t="inlineStr">
        <is>
          <t>Total Current Liabilities</t>
        </is>
      </c>
      <c r="B664" s="1793" t="n"/>
      <c r="C664" s="1779">
        <f>SUM(C656:C663)</f>
        <v/>
      </c>
      <c r="D664" s="1779">
        <f>SUM(D656:D663)</f>
        <v/>
      </c>
      <c r="E664" s="1779">
        <f>SUM(E656:E663)</f>
        <v/>
      </c>
      <c r="F664" s="1779">
        <f>SUM(F656:F663)</f>
        <v/>
      </c>
      <c r="G664" s="1779">
        <f>SUM(G656:G663)</f>
        <v/>
      </c>
      <c r="H664" s="1797" t="n">
        <v>2957.5</v>
      </c>
      <c r="I664" s="1797" t="n">
        <v>3065.2</v>
      </c>
      <c r="J664" s="1797" t="n">
        <v>2926</v>
      </c>
      <c r="K664" s="1795">
        <f>L664</f>
        <v/>
      </c>
      <c r="L664" s="1779">
        <f>SUM(L656:L663)</f>
        <v/>
      </c>
      <c r="M664" s="1797" t="n">
        <v>3194.3</v>
      </c>
      <c r="N664" s="1797" t="n">
        <v>2853.9</v>
      </c>
      <c r="O664" s="1797" t="n">
        <v>2711.3</v>
      </c>
      <c r="P664" s="1795">
        <f>Q664</f>
        <v/>
      </c>
      <c r="Q664" s="1779">
        <f>SUM(Q656:Q663)</f>
        <v/>
      </c>
      <c r="R664" s="1797" t="n">
        <v>3246.8</v>
      </c>
      <c r="S664" s="1797" t="n">
        <v>3720.1</v>
      </c>
      <c r="T664" s="1797" t="n">
        <v>3272.2</v>
      </c>
      <c r="U664" s="1795">
        <f>V664</f>
        <v/>
      </c>
      <c r="V664" s="1779">
        <f>SUM(V656:V663)</f>
        <v/>
      </c>
      <c r="W664" s="1797" t="n">
        <v>2875.4</v>
      </c>
      <c r="X664" s="1797" t="n">
        <v>3125</v>
      </c>
      <c r="Y664" s="1797" t="n">
        <v>2974.2</v>
      </c>
      <c r="Z664" s="1795">
        <f>AA664</f>
        <v/>
      </c>
      <c r="AA664" s="1779">
        <f>SUM(AA656:AA663)</f>
        <v/>
      </c>
      <c r="AB664" s="1797" t="n">
        <v>3132.2</v>
      </c>
      <c r="AC664" s="1797" t="n">
        <v>3380.8</v>
      </c>
      <c r="AD664" s="1797" t="n">
        <v>3546.1</v>
      </c>
      <c r="AE664" s="1795">
        <f>AF664</f>
        <v/>
      </c>
      <c r="AF664" s="1779">
        <f>SUM(AF656:AF663)</f>
        <v/>
      </c>
      <c r="AG664" s="1797" t="n">
        <v>3721.2</v>
      </c>
      <c r="AH664" s="1797" t="n">
        <v>3692.5</v>
      </c>
      <c r="AI664" s="1797" t="n">
        <v>3712.5</v>
      </c>
      <c r="AJ664" s="1795">
        <f>AK664</f>
        <v/>
      </c>
      <c r="AK664" s="1779">
        <f>SUM(AK656:AK663)</f>
        <v/>
      </c>
      <c r="AL664" s="1797" t="n">
        <v>4677.4</v>
      </c>
      <c r="AM664" s="1797" t="n">
        <v>4631.3</v>
      </c>
      <c r="AN664" s="1797" t="n">
        <v>4990.9</v>
      </c>
      <c r="AO664" s="1795">
        <f>AP664</f>
        <v/>
      </c>
      <c r="AP664" s="1779">
        <f>SUM(AP656:AP663)</f>
        <v/>
      </c>
      <c r="AQ664" s="1797" t="n">
        <v>6876.3</v>
      </c>
      <c r="AR664" s="1797">
        <f>8707.5+46.6</f>
        <v/>
      </c>
      <c r="AS664" s="1797" t="n">
        <v>9162.6</v>
      </c>
      <c r="AT664" s="1795">
        <f>AU664</f>
        <v/>
      </c>
      <c r="AU664" s="1779">
        <f>SUM(AU656:AU663)</f>
        <v/>
      </c>
      <c r="AV664" s="1797" t="n">
        <v>13612.8</v>
      </c>
      <c r="AW664" s="1797" t="n">
        <v>14637</v>
      </c>
      <c r="AX664" s="1797" t="n">
        <v>15668.6</v>
      </c>
      <c r="AY664" s="1795">
        <f>AZ664</f>
        <v/>
      </c>
      <c r="AZ664" s="1779">
        <f>SUM(AZ656:AZ663)</f>
        <v/>
      </c>
      <c r="BA664" s="1797" t="n">
        <v>16948.1</v>
      </c>
      <c r="BB664" s="1797" t="n">
        <v>16754.3</v>
      </c>
      <c r="BC664" s="1797" t="n">
        <v>16309.5</v>
      </c>
      <c r="BD664" s="1795">
        <f>BE664</f>
        <v/>
      </c>
      <c r="BE664" s="1641">
        <f>SUM(BE656:BE663)</f>
        <v/>
      </c>
      <c r="BF664" s="1797" t="n">
        <v>15048.7</v>
      </c>
      <c r="BG664" s="1797" t="n">
        <v>16132.3</v>
      </c>
      <c r="BH664" s="1797" t="n">
        <v>16025.8</v>
      </c>
      <c r="BI664" s="1795">
        <f>BJ664</f>
        <v/>
      </c>
      <c r="BJ664" s="1779">
        <f>SUM(BJ656:BJ663)</f>
        <v/>
      </c>
      <c r="BK664" s="1797" t="n">
        <v>18123.9</v>
      </c>
      <c r="BL664" s="1797" t="n">
        <v>18616</v>
      </c>
      <c r="BM664" s="1797" t="n">
        <v>19224.9</v>
      </c>
      <c r="BN664" s="1795">
        <f>BO664</f>
        <v/>
      </c>
      <c r="BO664" s="1799" t="n">
        <v>24263.9</v>
      </c>
      <c r="BP664" s="1642">
        <f>SUM(BP656:BP663)</f>
        <v/>
      </c>
      <c r="BQ664" s="1642">
        <f>SUM(BQ656:BQ663)</f>
        <v/>
      </c>
      <c r="BR664" s="1642">
        <f>SUM(BR656:BR663)</f>
        <v/>
      </c>
      <c r="BS664" s="1642">
        <f>SUM(BS656:BS663)</f>
        <v/>
      </c>
      <c r="BT664" s="1641">
        <f>SUM(BT656:BT663)</f>
        <v/>
      </c>
      <c r="BU664" s="1642">
        <f>SUM(BU656:BU663)</f>
        <v/>
      </c>
      <c r="BV664" s="1642">
        <f>SUM(BV656:BV663)</f>
        <v/>
      </c>
      <c r="BW664" s="1642">
        <f>SUM(BW656:BW663)</f>
        <v/>
      </c>
      <c r="BX664" s="1642">
        <f>SUM(BX656:BX663)</f>
        <v/>
      </c>
      <c r="BY664" s="1641">
        <f>SUM(BY656:BY663)</f>
        <v/>
      </c>
      <c r="BZ664" s="1641">
        <f>SUM(BZ656:BZ663)</f>
        <v/>
      </c>
      <c r="CA664" s="1641">
        <f>SUM(CA656:CA663)</f>
        <v/>
      </c>
      <c r="CB664" s="1641">
        <f>SUM(CB656:CB663)</f>
        <v/>
      </c>
      <c r="CC664" s="1634" t="n"/>
    </row>
    <row r="665" ht="15" customFormat="1" customHeight="1" s="1628">
      <c r="A665" s="1703" t="n"/>
      <c r="B665" s="1717" t="n"/>
      <c r="C665" s="1718" t="n"/>
      <c r="D665" s="1718" t="n"/>
      <c r="E665" s="1718" t="n"/>
      <c r="F665" s="1718" t="n"/>
      <c r="G665" s="1718" t="n"/>
      <c r="H665" s="1719" t="n"/>
      <c r="I665" s="1719" t="n"/>
      <c r="J665" s="1719" t="n"/>
      <c r="K665" s="1719" t="n"/>
      <c r="L665" s="1718" t="n"/>
      <c r="M665" s="1719" t="n"/>
      <c r="N665" s="1719" t="n"/>
      <c r="O665" s="1719" t="n"/>
      <c r="P665" s="1719" t="n"/>
      <c r="Q665" s="1718" t="n"/>
      <c r="R665" s="1719" t="n"/>
      <c r="S665" s="1719" t="n"/>
      <c r="T665" s="1719" t="n"/>
      <c r="U665" s="1719" t="n"/>
      <c r="V665" s="1718" t="n"/>
      <c r="W665" s="1719" t="n"/>
      <c r="X665" s="1719" t="n"/>
      <c r="Y665" s="1719" t="n"/>
      <c r="Z665" s="1719" t="n"/>
      <c r="AA665" s="1718" t="n"/>
      <c r="AB665" s="1719" t="n"/>
      <c r="AC665" s="1719" t="n"/>
      <c r="AD665" s="1719" t="n"/>
      <c r="AE665" s="1719" t="n"/>
      <c r="AF665" s="1718" t="n"/>
      <c r="AG665" s="1719" t="n"/>
      <c r="AH665" s="1719" t="n"/>
      <c r="AI665" s="1719" t="n"/>
      <c r="AJ665" s="1719" t="n"/>
      <c r="AK665" s="1718" t="n"/>
      <c r="AL665" s="1719" t="n"/>
      <c r="AM665" s="1719" t="n"/>
      <c r="AN665" s="1719" t="n"/>
      <c r="AO665" s="1719" t="n"/>
      <c r="AP665" s="1718" t="n"/>
      <c r="AQ665" s="1719" t="n"/>
      <c r="AR665" s="1719" t="n"/>
      <c r="AS665" s="1719" t="n"/>
      <c r="AT665" s="1719" t="n"/>
      <c r="AU665" s="1718" t="n"/>
      <c r="AV665" s="1719" t="n"/>
      <c r="AW665" s="1719" t="n"/>
      <c r="AX665" s="1719" t="n"/>
      <c r="AY665" s="1719" t="n"/>
      <c r="AZ665" s="1718" t="n"/>
      <c r="BA665" s="1719" t="n"/>
      <c r="BB665" s="1719" t="n"/>
      <c r="BC665" s="1719" t="n"/>
      <c r="BD665" s="1719" t="n"/>
      <c r="BE665" s="1718" t="n"/>
      <c r="BF665" s="1719" t="n"/>
      <c r="BG665" s="1719" t="n"/>
      <c r="BH665" s="1719" t="n"/>
      <c r="BI665" s="1719" t="n"/>
      <c r="BJ665" s="1718" t="n"/>
      <c r="BK665" s="1719" t="n"/>
      <c r="BL665" s="1719" t="n"/>
      <c r="BM665" s="1719" t="n"/>
      <c r="BN665" s="1719" t="n"/>
      <c r="BO665" s="1720" t="n"/>
      <c r="BP665" s="1719" t="n"/>
      <c r="BQ665" s="1719" t="n"/>
      <c r="BR665" s="1719" t="n"/>
      <c r="BS665" s="1719" t="n"/>
      <c r="BT665" s="1718" t="n"/>
      <c r="BU665" s="1719" t="n"/>
      <c r="BV665" s="1719" t="n"/>
      <c r="BW665" s="1719" t="n"/>
      <c r="BX665" s="1719" t="n"/>
      <c r="BY665" s="1718" t="n"/>
      <c r="BZ665" s="1718" t="n"/>
      <c r="CA665" s="1718" t="n"/>
      <c r="CB665" s="1718" t="n"/>
      <c r="CC665" s="1634" t="n"/>
    </row>
    <row r="666" ht="15" customFormat="1" customHeight="1" s="1628">
      <c r="A666" s="2003" t="inlineStr">
        <is>
          <t>Non-Current Liabilities</t>
        </is>
      </c>
      <c r="B666" s="1717" t="n"/>
      <c r="C666" s="1718" t="n"/>
      <c r="D666" s="1718" t="n"/>
      <c r="E666" s="1718" t="n"/>
      <c r="F666" s="1718" t="n"/>
      <c r="G666" s="1718" t="n"/>
      <c r="H666" s="1719" t="n"/>
      <c r="I666" s="1719" t="n"/>
      <c r="J666" s="1719" t="n"/>
      <c r="K666" s="1719" t="n"/>
      <c r="L666" s="1718" t="n"/>
      <c r="M666" s="1719" t="n"/>
      <c r="N666" s="1719" t="n"/>
      <c r="O666" s="1719" t="n"/>
      <c r="P666" s="1719" t="n"/>
      <c r="Q666" s="1718" t="n"/>
      <c r="R666" s="1719" t="n"/>
      <c r="S666" s="1719" t="n"/>
      <c r="T666" s="1719" t="n"/>
      <c r="U666" s="1719" t="n"/>
      <c r="V666" s="1718" t="n"/>
      <c r="W666" s="1719" t="n"/>
      <c r="X666" s="1719" t="n"/>
      <c r="Y666" s="1719" t="n"/>
      <c r="Z666" s="1719" t="n"/>
      <c r="AA666" s="1718" t="n"/>
      <c r="AB666" s="1719" t="n"/>
      <c r="AC666" s="1719" t="n"/>
      <c r="AD666" s="1719" t="n"/>
      <c r="AE666" s="1719" t="n"/>
      <c r="AF666" s="1718" t="n"/>
      <c r="AG666" s="1719" t="n"/>
      <c r="AH666" s="1719" t="n"/>
      <c r="AI666" s="1719" t="n"/>
      <c r="AJ666" s="1719" t="n"/>
      <c r="AK666" s="1718" t="n"/>
      <c r="AL666" s="1719" t="n"/>
      <c r="AM666" s="1719" t="n"/>
      <c r="AN666" s="1719" t="n"/>
      <c r="AO666" s="1719" t="n"/>
      <c r="AP666" s="1718" t="n"/>
      <c r="AQ666" s="1719" t="n"/>
      <c r="AR666" s="1719" t="n"/>
      <c r="AS666" s="1719" t="n"/>
      <c r="AT666" s="1719" t="n"/>
      <c r="AU666" s="1718" t="n"/>
      <c r="AV666" s="1719" t="n"/>
      <c r="AW666" s="1719" t="n"/>
      <c r="AX666" s="1719" t="n"/>
      <c r="AY666" s="1719" t="n"/>
      <c r="AZ666" s="1718" t="n"/>
      <c r="BA666" s="1719" t="n"/>
      <c r="BB666" s="1719" t="n"/>
      <c r="BC666" s="1719" t="n"/>
      <c r="BD666" s="1719" t="n"/>
      <c r="BE666" s="1718" t="n"/>
      <c r="BF666" s="1719" t="n"/>
      <c r="BG666" s="1719" t="n"/>
      <c r="BH666" s="1719" t="n"/>
      <c r="BI666" s="1719" t="n"/>
      <c r="BJ666" s="1718" t="n"/>
      <c r="BK666" s="1719" t="n"/>
      <c r="BL666" s="1719" t="n"/>
      <c r="BM666" s="1719" t="n"/>
      <c r="BN666" s="1719" t="n"/>
      <c r="BO666" s="1720" t="n"/>
      <c r="BP666" s="1719" t="n"/>
      <c r="BQ666" s="1719" t="n"/>
      <c r="BR666" s="1719" t="n"/>
      <c r="BS666" s="1719" t="n"/>
      <c r="BT666" s="1718" t="n"/>
      <c r="BU666" s="1719" t="n"/>
      <c r="BV666" s="1719" t="n"/>
      <c r="BW666" s="1719" t="n"/>
      <c r="BX666" s="1719" t="n"/>
      <c r="BY666" s="1718" t="n"/>
      <c r="BZ666" s="1718" t="n"/>
      <c r="CA666" s="1718" t="n"/>
      <c r="CB666" s="1718" t="n"/>
      <c r="CC666" s="1634" t="n"/>
    </row>
    <row r="667" ht="15" customFormat="1" customHeight="1" s="1561">
      <c r="A667" s="1721" t="inlineStr">
        <is>
          <t>Long-term debt</t>
        </is>
      </c>
      <c r="B667" s="1705" t="n"/>
      <c r="C667" s="1706" t="n">
        <v>699.756</v>
      </c>
      <c r="D667" s="1706" t="n">
        <v>708.631</v>
      </c>
      <c r="E667" s="1706" t="n">
        <v>733.7809999999999</v>
      </c>
      <c r="F667" s="1706" t="n">
        <v>755.88</v>
      </c>
      <c r="G667" s="1706" t="n">
        <v>1070.185</v>
      </c>
      <c r="H667" s="1714" t="n">
        <v>1097.3</v>
      </c>
      <c r="I667" s="1714" t="n">
        <v>1118.4</v>
      </c>
      <c r="J667" s="1714" t="n">
        <v>1137.4</v>
      </c>
      <c r="K667" s="1564">
        <f>L667</f>
        <v/>
      </c>
      <c r="L667" s="1706" t="n">
        <v>1149.876</v>
      </c>
      <c r="M667" s="1714" t="n">
        <v>1155.5</v>
      </c>
      <c r="N667" s="1714" t="n">
        <v>1115.8</v>
      </c>
      <c r="O667" s="1714" t="n">
        <v>1125.3</v>
      </c>
      <c r="P667" s="1564">
        <f>Q667</f>
        <v/>
      </c>
      <c r="Q667" s="1706" t="n">
        <v>1125.474</v>
      </c>
      <c r="R667" s="1714" t="n">
        <v>1144.3</v>
      </c>
      <c r="S667" s="1714" t="n">
        <v>901.9</v>
      </c>
      <c r="T667" s="1714" t="n">
        <v>2390.6</v>
      </c>
      <c r="U667" s="1564">
        <f>V667</f>
        <v/>
      </c>
      <c r="V667" s="1706" t="n">
        <v>3071.8</v>
      </c>
      <c r="W667" s="1714" t="n">
        <v>3040.3</v>
      </c>
      <c r="X667" s="1714" t="n">
        <v>2995.5</v>
      </c>
      <c r="Y667" s="1714" t="n">
        <v>2996.7</v>
      </c>
      <c r="Z667" s="1564">
        <f>AA667</f>
        <v/>
      </c>
      <c r="AA667" s="1706" t="n">
        <v>3000.1</v>
      </c>
      <c r="AB667" s="1714" t="n">
        <v>2978.6</v>
      </c>
      <c r="AC667" s="1714" t="n">
        <v>3007.7</v>
      </c>
      <c r="AD667" s="1714" t="n">
        <v>2985.9</v>
      </c>
      <c r="AE667" s="1564">
        <f>AF667</f>
        <v/>
      </c>
      <c r="AF667" s="1706" t="n">
        <v>3026.5</v>
      </c>
      <c r="AG667" s="1714" t="n">
        <v>3082.5</v>
      </c>
      <c r="AH667" s="1714" t="n">
        <v>3132.4</v>
      </c>
      <c r="AI667" s="1714" t="n">
        <v>3170</v>
      </c>
      <c r="AJ667" s="1564">
        <f>AK667</f>
        <v/>
      </c>
      <c r="AK667" s="1706" t="n">
        <v>3108.3</v>
      </c>
      <c r="AL667" s="1714" t="n">
        <v>3868.2</v>
      </c>
      <c r="AM667" s="1714" t="n">
        <v>4625</v>
      </c>
      <c r="AN667" s="1714" t="n">
        <v>4626.7</v>
      </c>
      <c r="AO667" s="1564">
        <f>AP667</f>
        <v/>
      </c>
      <c r="AP667" s="1706" t="n">
        <v>4662.8</v>
      </c>
      <c r="AQ667" s="1714" t="n">
        <v>4634.2</v>
      </c>
      <c r="AR667" s="1714" t="n">
        <v>4619.9</v>
      </c>
      <c r="AS667" s="1714" t="n">
        <v>4105.8</v>
      </c>
      <c r="AT667" s="1564">
        <f>AU667</f>
        <v/>
      </c>
      <c r="AU667" s="1706" t="n">
        <v>4075</v>
      </c>
      <c r="AV667" s="1714" t="n">
        <v>3951.7</v>
      </c>
      <c r="AW667" s="1714" t="n">
        <v>4385.3</v>
      </c>
      <c r="AX667" s="1714" t="n">
        <v>3503.1</v>
      </c>
      <c r="AY667" s="1564">
        <f>AZ667</f>
        <v/>
      </c>
      <c r="AZ667" s="1706" t="n">
        <v>3514.2</v>
      </c>
      <c r="BA667" s="1714" t="n">
        <v>3536</v>
      </c>
      <c r="BB667" s="1714" t="n">
        <v>4517.8</v>
      </c>
      <c r="BC667" s="1714" t="n">
        <v>4522.3</v>
      </c>
      <c r="BD667" s="1564">
        <f>BE667</f>
        <v/>
      </c>
      <c r="BE667" s="1706" t="n">
        <v>4631.5</v>
      </c>
      <c r="BF667" s="1714" t="n">
        <v>4612</v>
      </c>
      <c r="BG667" s="1714" t="n">
        <v>4608.2</v>
      </c>
      <c r="BH667" s="1714" t="n">
        <v>4692.2</v>
      </c>
      <c r="BI667" s="1564">
        <f>BJ667</f>
        <v/>
      </c>
      <c r="BJ667" s="1706" t="n">
        <v>3677.3</v>
      </c>
      <c r="BK667" s="1714" t="n">
        <v>3681</v>
      </c>
      <c r="BL667" s="1714" t="n">
        <v>3698.9</v>
      </c>
      <c r="BM667" s="1714" t="n">
        <v>2704.7</v>
      </c>
      <c r="BN667" s="1564">
        <f>BO667</f>
        <v/>
      </c>
      <c r="BO667" s="1788" t="n">
        <v>2709</v>
      </c>
      <c r="BP667" s="1562">
        <f>BP429</f>
        <v/>
      </c>
      <c r="BQ667" s="1562">
        <f>BQ429</f>
        <v/>
      </c>
      <c r="BR667" s="1562">
        <f>BR429</f>
        <v/>
      </c>
      <c r="BS667" s="1562">
        <f>BS429</f>
        <v/>
      </c>
      <c r="BT667" s="1637">
        <f>BS667</f>
        <v/>
      </c>
      <c r="BU667" s="1562">
        <f>BU429</f>
        <v/>
      </c>
      <c r="BV667" s="1562">
        <f>BV429</f>
        <v/>
      </c>
      <c r="BW667" s="1562">
        <f>BW429</f>
        <v/>
      </c>
      <c r="BX667" s="1562">
        <f>BX429</f>
        <v/>
      </c>
      <c r="BY667" s="1637">
        <f>BX667</f>
        <v/>
      </c>
      <c r="BZ667" s="1637">
        <f>BZ429</f>
        <v/>
      </c>
      <c r="CA667" s="1637">
        <f>CA429</f>
        <v/>
      </c>
      <c r="CB667" s="1637">
        <f>CB429</f>
        <v/>
      </c>
      <c r="CC667" s="1564" t="n"/>
    </row>
    <row r="668" ht="15" customFormat="1" customHeight="1" s="1561">
      <c r="A668" s="1721" t="inlineStr">
        <is>
          <t>Deferred and other tax liabilities</t>
        </is>
      </c>
      <c r="B668" s="1705" t="n"/>
      <c r="C668" s="1706" t="n">
        <v>188.404</v>
      </c>
      <c r="D668" s="1706" t="n">
        <v>155.693</v>
      </c>
      <c r="E668" s="1706" t="n">
        <v>176.727</v>
      </c>
      <c r="F668" s="1706" t="n">
        <v>88.307</v>
      </c>
      <c r="G668" s="1706" t="n">
        <v>364.695</v>
      </c>
      <c r="H668" s="1714" t="n">
        <v>318.8</v>
      </c>
      <c r="I668" s="1714" t="n">
        <v>318</v>
      </c>
      <c r="J668" s="1714" t="n">
        <v>304.7</v>
      </c>
      <c r="K668" s="1564">
        <f>L668</f>
        <v/>
      </c>
      <c r="L668" s="1706" t="n">
        <v>237.315</v>
      </c>
      <c r="M668" s="1714" t="n">
        <v>269.3</v>
      </c>
      <c r="N668" s="1714" t="n">
        <v>269.5</v>
      </c>
      <c r="O668" s="1714" t="n">
        <v>259.2</v>
      </c>
      <c r="P668" s="1564">
        <f>Q668</f>
        <v/>
      </c>
      <c r="Q668" s="1706" t="n">
        <v>256.74</v>
      </c>
      <c r="R668" s="1714" t="n">
        <v>138</v>
      </c>
      <c r="S668" s="1714" t="n">
        <v>196.4</v>
      </c>
      <c r="T668" s="1714" t="n">
        <v>222.1</v>
      </c>
      <c r="U668" s="1564">
        <f>V668</f>
        <v/>
      </c>
      <c r="V668" s="1706" t="n">
        <v>396.9</v>
      </c>
      <c r="W668" s="1714" t="n">
        <v>410.1</v>
      </c>
      <c r="X668" s="1714" t="n">
        <v>337.9</v>
      </c>
      <c r="Y668" s="1714" t="n">
        <v>320</v>
      </c>
      <c r="Z668" s="1564">
        <f>AA668</f>
        <v/>
      </c>
      <c r="AA668" s="1706" t="n">
        <v>327.9</v>
      </c>
      <c r="AB668" s="1714" t="n">
        <v>354.7</v>
      </c>
      <c r="AC668" s="1714" t="n">
        <v>390.9</v>
      </c>
      <c r="AD668" s="1714" t="n">
        <v>363.1</v>
      </c>
      <c r="AE668" s="1564">
        <f>AF668</f>
        <v/>
      </c>
      <c r="AF668" s="1706" t="n">
        <v>251.2</v>
      </c>
      <c r="AG668" s="1714" t="n">
        <v>218.6</v>
      </c>
      <c r="AH668" s="1714" t="n">
        <v>199.6</v>
      </c>
      <c r="AI668" s="1714" t="n">
        <v>203.6</v>
      </c>
      <c r="AJ668" s="1564">
        <f>AK668</f>
        <v/>
      </c>
      <c r="AK668" s="1706" t="n">
        <v>234.4</v>
      </c>
      <c r="AL668" s="1714" t="n">
        <v>262.7</v>
      </c>
      <c r="AM668" s="1714" t="n">
        <v>191.3</v>
      </c>
      <c r="AN668" s="1714" t="n">
        <v>209.1</v>
      </c>
      <c r="AO668" s="1564">
        <f>AP668</f>
        <v/>
      </c>
      <c r="AP668" s="1706" t="n">
        <v>238.3</v>
      </c>
      <c r="AQ668" s="1714" t="n">
        <v>245.2</v>
      </c>
      <c r="AR668" s="1714" t="n">
        <v>247.7</v>
      </c>
      <c r="AS668" s="1714" t="n">
        <v>282.6</v>
      </c>
      <c r="AT668" s="1564">
        <f>AU668</f>
        <v/>
      </c>
      <c r="AU668" s="1706" t="n">
        <v>240.6</v>
      </c>
      <c r="AV668" s="1714" t="n">
        <v>262.2</v>
      </c>
      <c r="AW668" s="1714" t="n">
        <v>252.4</v>
      </c>
      <c r="AX668" s="1714" t="n">
        <v>283</v>
      </c>
      <c r="AY668" s="1564">
        <f>AZ668</f>
        <v/>
      </c>
      <c r="AZ668" s="1706" t="n">
        <v>267</v>
      </c>
      <c r="BA668" s="1714" t="n">
        <v>293</v>
      </c>
      <c r="BB668" s="1714" t="n">
        <v>372.8</v>
      </c>
      <c r="BC668" s="1714" t="n">
        <v>380.4</v>
      </c>
      <c r="BD668" s="1564">
        <f>BE668</f>
        <v/>
      </c>
      <c r="BE668" s="1706" t="n">
        <v>372.2</v>
      </c>
      <c r="BF668" s="1714" t="n">
        <v>400.4</v>
      </c>
      <c r="BG668" s="1714" t="n">
        <v>351.9</v>
      </c>
      <c r="BH668" s="1714" t="n">
        <v>346.9</v>
      </c>
      <c r="BI668" s="1564">
        <f>BJ668</f>
        <v/>
      </c>
      <c r="BJ668" s="1706" t="n">
        <v>299.2</v>
      </c>
      <c r="BK668" s="1714" t="n">
        <v>335.9</v>
      </c>
      <c r="BL668" s="1714" t="n">
        <v>294.8</v>
      </c>
      <c r="BM668" s="1714" t="n">
        <v>187.2</v>
      </c>
      <c r="BN668" s="1564">
        <f>BO668</f>
        <v/>
      </c>
      <c r="BO668" s="1788" t="n">
        <v>183</v>
      </c>
      <c r="BP668" s="1562">
        <f>BO668+BP534</f>
        <v/>
      </c>
      <c r="BQ668" s="1562">
        <f>BP668+BQ534</f>
        <v/>
      </c>
      <c r="BR668" s="1562">
        <f>BQ668+BR534</f>
        <v/>
      </c>
      <c r="BS668" s="1562">
        <f>BR668+BS534</f>
        <v/>
      </c>
      <c r="BT668" s="1637">
        <f>BS668</f>
        <v/>
      </c>
      <c r="BU668" s="1562">
        <f>BT668+BU534</f>
        <v/>
      </c>
      <c r="BV668" s="1562">
        <f>BU668+BV534</f>
        <v/>
      </c>
      <c r="BW668" s="1562">
        <f>BV668+BW534</f>
        <v/>
      </c>
      <c r="BX668" s="1562">
        <f>BW668+BX534</f>
        <v/>
      </c>
      <c r="BY668" s="1637">
        <f>BX668</f>
        <v/>
      </c>
      <c r="BZ668" s="1637">
        <f>BY668+BZ534</f>
        <v/>
      </c>
      <c r="CA668" s="1637">
        <f>BZ668+CA534</f>
        <v/>
      </c>
      <c r="CB668" s="1637">
        <f>CA668+CB534</f>
        <v/>
      </c>
      <c r="CC668" s="1564" t="n"/>
    </row>
    <row r="669" ht="15" customFormat="1" customHeight="1" s="1561">
      <c r="A669" s="1721" t="inlineStr">
        <is>
          <t>Provisions</t>
        </is>
      </c>
      <c r="B669" s="1705" t="n"/>
      <c r="C669" s="1706" t="n">
        <v>12.694</v>
      </c>
      <c r="D669" s="1706" t="n">
        <v>11.811</v>
      </c>
      <c r="E669" s="1706" t="n">
        <v>10.012</v>
      </c>
      <c r="F669" s="1706" t="n">
        <v>7.974</v>
      </c>
      <c r="G669" s="1706" t="n">
        <v>4.62</v>
      </c>
      <c r="H669" s="1714" t="n">
        <v>4.4</v>
      </c>
      <c r="I669" s="1714" t="n">
        <v>4.1</v>
      </c>
      <c r="J669" s="1714" t="n">
        <v>4</v>
      </c>
      <c r="K669" s="1564">
        <f>L669</f>
        <v/>
      </c>
      <c r="L669" s="1706" t="n">
        <v>3.638</v>
      </c>
      <c r="M669" s="1714" t="n">
        <v>3.7</v>
      </c>
      <c r="N669" s="1714" t="n">
        <v>3.2</v>
      </c>
      <c r="O669" s="1714" t="n">
        <v>2.8</v>
      </c>
      <c r="P669" s="1564">
        <f>Q669</f>
        <v/>
      </c>
      <c r="Q669" s="1706" t="n">
        <v>2.445</v>
      </c>
      <c r="R669" s="1562" t="n"/>
      <c r="S669" s="1714" t="n">
        <v>12.6</v>
      </c>
      <c r="T669" s="1714" t="n">
        <v>16.5</v>
      </c>
      <c r="U669" s="1564">
        <f>V669</f>
        <v/>
      </c>
      <c r="V669" s="1706" t="n">
        <v>20.5</v>
      </c>
      <c r="W669" s="1714" t="n">
        <v>20.5</v>
      </c>
      <c r="X669" s="1714" t="n">
        <v>20.5</v>
      </c>
      <c r="Y669" s="1714" t="n">
        <v>21.2</v>
      </c>
      <c r="Z669" s="1564">
        <f>AA669</f>
        <v/>
      </c>
      <c r="AA669" s="1706" t="n">
        <v>21.2</v>
      </c>
      <c r="AB669" s="1714" t="n">
        <v>22.3</v>
      </c>
      <c r="AC669" s="1714" t="n">
        <v>23.5</v>
      </c>
      <c r="AD669" s="1714" t="n">
        <v>28.1</v>
      </c>
      <c r="AE669" s="1564">
        <f>AF669</f>
        <v/>
      </c>
      <c r="AF669" s="1706" t="n">
        <v>29.3</v>
      </c>
      <c r="AG669" s="1714" t="n">
        <v>29.3</v>
      </c>
      <c r="AH669" s="1562" t="n"/>
      <c r="AI669" s="1562" t="n"/>
      <c r="AJ669" s="1564">
        <f>AK669</f>
        <v/>
      </c>
      <c r="AK669" s="1637" t="n"/>
      <c r="AL669" s="1562" t="n"/>
      <c r="AM669" s="1562" t="n"/>
      <c r="AN669" s="1562" t="n"/>
      <c r="AO669" s="1564">
        <f>AP669</f>
        <v/>
      </c>
      <c r="AP669" s="1637" t="n"/>
      <c r="AQ669" s="1562" t="n"/>
      <c r="AR669" s="1562" t="n"/>
      <c r="AS669" s="1562" t="n"/>
      <c r="AT669" s="1564">
        <f>AU669</f>
        <v/>
      </c>
      <c r="AU669" s="1637" t="n"/>
      <c r="AV669" s="1562" t="n"/>
      <c r="AW669" s="1562" t="n"/>
      <c r="AX669" s="1562" t="n"/>
      <c r="AY669" s="1564">
        <f>AZ669</f>
        <v/>
      </c>
      <c r="AZ669" s="1637" t="n"/>
      <c r="BA669" s="1562" t="n"/>
      <c r="BB669" s="1562" t="n"/>
      <c r="BC669" s="1562" t="n"/>
      <c r="BD669" s="1564">
        <f>BE669</f>
        <v/>
      </c>
      <c r="BE669" s="1637" t="n"/>
      <c r="BF669" s="1562" t="n"/>
      <c r="BG669" s="1562" t="n"/>
      <c r="BH669" s="1562" t="n"/>
      <c r="BI669" s="1564">
        <f>BJ669</f>
        <v/>
      </c>
      <c r="BJ669" s="1637" t="n"/>
      <c r="BK669" s="1562" t="n"/>
      <c r="BL669" s="1562" t="n"/>
      <c r="BM669" s="1562" t="n"/>
      <c r="BN669" s="1564">
        <f>BO669</f>
        <v/>
      </c>
      <c r="BO669" s="1638" t="n"/>
      <c r="BP669" s="1562">
        <f>BO669</f>
        <v/>
      </c>
      <c r="BQ669" s="1562">
        <f>BP669</f>
        <v/>
      </c>
      <c r="BR669" s="1562">
        <f>BQ669</f>
        <v/>
      </c>
      <c r="BS669" s="1562">
        <f>BR669</f>
        <v/>
      </c>
      <c r="BT669" s="1637">
        <f>BS669</f>
        <v/>
      </c>
      <c r="BU669" s="1562">
        <f>BT669</f>
        <v/>
      </c>
      <c r="BV669" s="1562">
        <f>BU669</f>
        <v/>
      </c>
      <c r="BW669" s="1562">
        <f>BV669</f>
        <v/>
      </c>
      <c r="BX669" s="1562">
        <f>BW669</f>
        <v/>
      </c>
      <c r="BY669" s="1637">
        <f>BX669</f>
        <v/>
      </c>
      <c r="BZ669" s="1637">
        <f>BY669</f>
        <v/>
      </c>
      <c r="CA669" s="1637">
        <f>BZ669</f>
        <v/>
      </c>
      <c r="CB669" s="1637">
        <f>CA669</f>
        <v/>
      </c>
      <c r="CC669" s="1564" t="n"/>
    </row>
    <row r="670" ht="15" customFormat="1" customHeight="1" s="1561">
      <c r="A670" s="1721" t="inlineStr">
        <is>
          <t>Contract liabilities</t>
        </is>
      </c>
      <c r="B670" s="1705" t="n"/>
      <c r="C670" s="1637" t="n"/>
      <c r="D670" s="1637" t="n"/>
      <c r="E670" s="1637" t="n"/>
      <c r="F670" s="1637" t="n"/>
      <c r="G670" s="1637" t="n"/>
      <c r="H670" s="1562" t="n"/>
      <c r="I670" s="1562" t="n"/>
      <c r="J670" s="1562" t="n"/>
      <c r="K670" s="1562" t="n"/>
      <c r="L670" s="1637" t="n"/>
      <c r="M670" s="1562" t="n"/>
      <c r="N670" s="1562" t="n"/>
      <c r="O670" s="1562" t="n"/>
      <c r="P670" s="1562" t="n"/>
      <c r="Q670" s="1637" t="n"/>
      <c r="R670" s="1562" t="n"/>
      <c r="S670" s="1562" t="n"/>
      <c r="T670" s="1562" t="n"/>
      <c r="U670" s="1562" t="n"/>
      <c r="V670" s="1637" t="n"/>
      <c r="W670" s="1562" t="n"/>
      <c r="X670" s="1562" t="n"/>
      <c r="Y670" s="1562" t="n"/>
      <c r="Z670" s="1562" t="n"/>
      <c r="AA670" s="1637" t="n"/>
      <c r="AB670" s="1714" t="n">
        <v>819.4</v>
      </c>
      <c r="AC670" s="1714" t="n">
        <v>854.8</v>
      </c>
      <c r="AD670" s="1714" t="n">
        <v>1140.7</v>
      </c>
      <c r="AE670" s="1564">
        <f>AF670</f>
        <v/>
      </c>
      <c r="AF670" s="1706" t="n">
        <v>1224.6</v>
      </c>
      <c r="AG670" s="1714" t="n">
        <v>1190</v>
      </c>
      <c r="AH670" s="1714" t="n">
        <v>1280.2</v>
      </c>
      <c r="AI670" s="1714" t="n">
        <v>1276.5</v>
      </c>
      <c r="AJ670" s="1564">
        <f>AK670</f>
        <v/>
      </c>
      <c r="AK670" s="1706" t="n">
        <v>1759.6</v>
      </c>
      <c r="AL670" s="1714" t="n">
        <v>1702.6</v>
      </c>
      <c r="AM670" s="1714" t="n">
        <v>1918.1</v>
      </c>
      <c r="AN670" s="1714" t="n">
        <v>1652.8</v>
      </c>
      <c r="AO670" s="1564">
        <f>AP670</f>
        <v/>
      </c>
      <c r="AP670" s="1706" t="n">
        <v>1639.9</v>
      </c>
      <c r="AQ670" s="1714" t="n">
        <v>1583.2</v>
      </c>
      <c r="AR670" s="1714" t="n">
        <v>1860.2</v>
      </c>
      <c r="AS670" s="1714" t="n">
        <v>2001.7</v>
      </c>
      <c r="AT670" s="1564">
        <f>AU670</f>
        <v/>
      </c>
      <c r="AU670" s="1706" t="n">
        <v>3225.7</v>
      </c>
      <c r="AV670" s="1714" t="n">
        <v>3292.2</v>
      </c>
      <c r="AW670" s="1714" t="n">
        <v>4630.6</v>
      </c>
      <c r="AX670" s="1714" t="n">
        <v>4918.6</v>
      </c>
      <c r="AY670" s="1564">
        <f>AZ670</f>
        <v/>
      </c>
      <c r="AZ670" s="1706" t="n">
        <v>5269.9</v>
      </c>
      <c r="BA670" s="1714" t="n">
        <v>4147.4</v>
      </c>
      <c r="BB670" s="1714" t="n">
        <v>4205.3</v>
      </c>
      <c r="BC670" s="1714" t="n">
        <v>3826</v>
      </c>
      <c r="BD670" s="1564">
        <f>BE670</f>
        <v/>
      </c>
      <c r="BE670" s="1706" t="n">
        <v>4825.5</v>
      </c>
      <c r="BF670" s="1714" t="n">
        <v>4744.7</v>
      </c>
      <c r="BG670" s="1714" t="n">
        <v>4463</v>
      </c>
      <c r="BH670" s="1714" t="n">
        <v>4103.9</v>
      </c>
      <c r="BI670" s="1564">
        <f>BJ670</f>
        <v/>
      </c>
      <c r="BJ670" s="1706" t="n">
        <v>5625.4</v>
      </c>
      <c r="BK670" s="1714" t="n">
        <v>5400.6</v>
      </c>
      <c r="BL670" s="1714" t="n">
        <v>4187.1</v>
      </c>
      <c r="BM670" s="1714" t="n">
        <v>3572.3</v>
      </c>
      <c r="BN670" s="1564">
        <f>BO670</f>
        <v/>
      </c>
      <c r="BO670" s="1788" t="n">
        <v>3366.3</v>
      </c>
      <c r="BP670" s="1562">
        <f>BO670</f>
        <v/>
      </c>
      <c r="BQ670" s="1562">
        <f>BP670</f>
        <v/>
      </c>
      <c r="BR670" s="1562">
        <f>BQ670</f>
        <v/>
      </c>
      <c r="BS670" s="1562">
        <f>BR670</f>
        <v/>
      </c>
      <c r="BT670" s="1637">
        <f>BS670</f>
        <v/>
      </c>
      <c r="BU670" s="1562">
        <f>BT670</f>
        <v/>
      </c>
      <c r="BV670" s="1562">
        <f>BU670</f>
        <v/>
      </c>
      <c r="BW670" s="1562">
        <f>BV670</f>
        <v/>
      </c>
      <c r="BX670" s="1562">
        <f>BW670</f>
        <v/>
      </c>
      <c r="BY670" s="1637">
        <f>BX670</f>
        <v/>
      </c>
      <c r="BZ670" s="1637">
        <f>BY670</f>
        <v/>
      </c>
      <c r="CA670" s="1637">
        <f>BZ670</f>
        <v/>
      </c>
      <c r="CB670" s="1637">
        <f>CA670</f>
        <v/>
      </c>
      <c r="CC670" s="1564" t="n"/>
    </row>
    <row r="671" ht="15" customFormat="1" customHeight="1" s="1561">
      <c r="A671" s="1686" t="inlineStr">
        <is>
          <t>Accrued and other liabilities</t>
        </is>
      </c>
      <c r="B671" s="1708" t="n"/>
      <c r="C671" s="1709" t="n">
        <v>44.359</v>
      </c>
      <c r="D671" s="1709" t="n">
        <v>373.07</v>
      </c>
      <c r="E671" s="1709" t="n">
        <v>663.099</v>
      </c>
      <c r="F671" s="1709" t="n">
        <v>405.141</v>
      </c>
      <c r="G671" s="1709" t="n">
        <v>283.142</v>
      </c>
      <c r="H671" s="1716" t="n">
        <v>323.4</v>
      </c>
      <c r="I671" s="1716" t="n">
        <v>302.4</v>
      </c>
      <c r="J671" s="1716" t="n">
        <v>400.4</v>
      </c>
      <c r="K671" s="1791">
        <f>L671</f>
        <v/>
      </c>
      <c r="L671" s="1709" t="n">
        <v>411.655</v>
      </c>
      <c r="M671" s="1716" t="n">
        <v>391.5</v>
      </c>
      <c r="N671" s="1716" t="n">
        <v>470.3</v>
      </c>
      <c r="O671" s="1716" t="n">
        <v>462.1</v>
      </c>
      <c r="P671" s="1791">
        <f>Q671</f>
        <v/>
      </c>
      <c r="Q671" s="1709" t="n">
        <v>414.369</v>
      </c>
      <c r="R671" s="1716" t="n">
        <v>311.1</v>
      </c>
      <c r="S671" s="1716" t="n">
        <v>323.3</v>
      </c>
      <c r="T671" s="1716" t="n">
        <v>387.6</v>
      </c>
      <c r="U671" s="1791">
        <f>V671</f>
        <v/>
      </c>
      <c r="V671" s="1709" t="n">
        <v>615.7</v>
      </c>
      <c r="W671" s="1716" t="n">
        <v>735.5</v>
      </c>
      <c r="X671" s="1716" t="n">
        <v>760.6</v>
      </c>
      <c r="Y671" s="1716" t="n">
        <v>837.5</v>
      </c>
      <c r="Z671" s="1791">
        <f>AA671</f>
        <v/>
      </c>
      <c r="AA671" s="1709" t="n">
        <v>829.1</v>
      </c>
      <c r="AB671" s="1716" t="n">
        <v>275.3</v>
      </c>
      <c r="AC671" s="1716" t="n">
        <v>258.9</v>
      </c>
      <c r="AD671" s="1716" t="n">
        <v>239.7</v>
      </c>
      <c r="AE671" s="1791">
        <f>AF671</f>
        <v/>
      </c>
      <c r="AF671" s="1709" t="n">
        <v>172.4</v>
      </c>
      <c r="AG671" s="1716" t="n">
        <v>153.3</v>
      </c>
      <c r="AH671" s="1716" t="n">
        <v>183.9</v>
      </c>
      <c r="AI671" s="1716" t="n">
        <v>265.5</v>
      </c>
      <c r="AJ671" s="1791">
        <f>AK671</f>
        <v/>
      </c>
      <c r="AK671" s="1709" t="n">
        <v>241</v>
      </c>
      <c r="AL671" s="1716" t="n">
        <v>241.5</v>
      </c>
      <c r="AM671" s="1716" t="n">
        <v>240.6</v>
      </c>
      <c r="AN671" s="1716" t="n">
        <v>241.4</v>
      </c>
      <c r="AO671" s="1791">
        <f>AP671</f>
        <v/>
      </c>
      <c r="AP671" s="1709" t="n">
        <v>257.5</v>
      </c>
      <c r="AQ671" s="1716" t="n">
        <v>250.9</v>
      </c>
      <c r="AR671" s="1716" t="n">
        <v>240.3</v>
      </c>
      <c r="AS671" s="1716" t="n">
        <v>242.9</v>
      </c>
      <c r="AT671" s="1791">
        <f>AU671</f>
        <v/>
      </c>
      <c r="AU671" s="1709" t="n">
        <v>251.1</v>
      </c>
      <c r="AV671" s="1716" t="n">
        <v>302.5</v>
      </c>
      <c r="AW671" s="1716" t="n">
        <v>358.7</v>
      </c>
      <c r="AX671" s="1716" t="n">
        <v>475.1</v>
      </c>
      <c r="AY671" s="1791">
        <f>AZ671</f>
        <v/>
      </c>
      <c r="AZ671" s="1709" t="n">
        <v>454.9</v>
      </c>
      <c r="BA671" s="1716" t="n">
        <v>436.8</v>
      </c>
      <c r="BB671" s="1716" t="n">
        <v>473.4</v>
      </c>
      <c r="BC671" s="1716" t="n">
        <v>480.4</v>
      </c>
      <c r="BD671" s="1791">
        <f>BE671</f>
        <v/>
      </c>
      <c r="BE671" s="1709" t="n">
        <v>401.2</v>
      </c>
      <c r="BF671" s="1716" t="n">
        <v>442.7</v>
      </c>
      <c r="BG671" s="1716" t="n">
        <v>474.4</v>
      </c>
      <c r="BH671" s="1716" t="n">
        <v>445.7</v>
      </c>
      <c r="BI671" s="1791">
        <f>BJ671</f>
        <v/>
      </c>
      <c r="BJ671" s="1709" t="n">
        <v>459.5</v>
      </c>
      <c r="BK671" s="1716" t="n">
        <v>436.7</v>
      </c>
      <c r="BL671" s="1716" t="n">
        <v>434.1</v>
      </c>
      <c r="BM671" s="1716" t="n">
        <v>414.5</v>
      </c>
      <c r="BN671" s="1791">
        <f>BO671</f>
        <v/>
      </c>
      <c r="BO671" s="1792" t="n">
        <v>432.2</v>
      </c>
      <c r="BP671" s="1710">
        <f>BO671</f>
        <v/>
      </c>
      <c r="BQ671" s="1710">
        <f>BP671</f>
        <v/>
      </c>
      <c r="BR671" s="1710">
        <f>BQ671</f>
        <v/>
      </c>
      <c r="BS671" s="1710">
        <f>BR671</f>
        <v/>
      </c>
      <c r="BT671" s="1712">
        <f>BS671</f>
        <v/>
      </c>
      <c r="BU671" s="1710">
        <f>BT671</f>
        <v/>
      </c>
      <c r="BV671" s="1710">
        <f>BU671</f>
        <v/>
      </c>
      <c r="BW671" s="1710">
        <f>BV671</f>
        <v/>
      </c>
      <c r="BX671" s="1710">
        <f>BW671</f>
        <v/>
      </c>
      <c r="BY671" s="1712">
        <f>BX671</f>
        <v/>
      </c>
      <c r="BZ671" s="1712">
        <f>BY671</f>
        <v/>
      </c>
      <c r="CA671" s="1712">
        <f>BZ671</f>
        <v/>
      </c>
      <c r="CB671" s="1712">
        <f>CA671</f>
        <v/>
      </c>
      <c r="CC671" s="1564" t="n"/>
    </row>
    <row r="672" ht="15" customFormat="1" customHeight="1" s="1628">
      <c r="A672" s="1695" t="inlineStr">
        <is>
          <t>Total Non-Current liabilities</t>
        </is>
      </c>
      <c r="B672" s="1793" t="n"/>
      <c r="C672" s="1779">
        <f>SUM(C667:C671)</f>
        <v/>
      </c>
      <c r="D672" s="1779">
        <f>SUM(D667:D671)</f>
        <v/>
      </c>
      <c r="E672" s="1779">
        <f>SUM(E667:E671)</f>
        <v/>
      </c>
      <c r="F672" s="1779">
        <f>SUM(F667:F671)</f>
        <v/>
      </c>
      <c r="G672" s="1779">
        <f>SUM(G667:G671)</f>
        <v/>
      </c>
      <c r="H672" s="1795">
        <f>SUM(H667:H671)</f>
        <v/>
      </c>
      <c r="I672" s="1795">
        <f>SUM(I667:I671)</f>
        <v/>
      </c>
      <c r="J672" s="1795">
        <f>SUM(J667:J671)</f>
        <v/>
      </c>
      <c r="K672" s="1795">
        <f>SUM(K667:K671)</f>
        <v/>
      </c>
      <c r="L672" s="1779">
        <f>SUM(L667:L671)</f>
        <v/>
      </c>
      <c r="M672" s="1795">
        <f>SUM(M667:M671)</f>
        <v/>
      </c>
      <c r="N672" s="1795">
        <f>SUM(N667:N671)</f>
        <v/>
      </c>
      <c r="O672" s="1795">
        <f>SUM(O667:O671)</f>
        <v/>
      </c>
      <c r="P672" s="1795">
        <f>SUM(P667:P671)</f>
        <v/>
      </c>
      <c r="Q672" s="1779">
        <f>SUM(Q667:Q671)</f>
        <v/>
      </c>
      <c r="R672" s="1795">
        <f>SUM(R667:R671)</f>
        <v/>
      </c>
      <c r="S672" s="1795">
        <f>SUM(S667:S671)</f>
        <v/>
      </c>
      <c r="T672" s="1795">
        <f>SUM(T667:T671)</f>
        <v/>
      </c>
      <c r="U672" s="1795">
        <f>SUM(U667:U671)</f>
        <v/>
      </c>
      <c r="V672" s="1779">
        <f>SUM(V667:V671)</f>
        <v/>
      </c>
      <c r="W672" s="1795">
        <f>SUM(W667:W671)</f>
        <v/>
      </c>
      <c r="X672" s="1795">
        <f>SUM(X667:X671)</f>
        <v/>
      </c>
      <c r="Y672" s="1795">
        <f>SUM(Y667:Y671)</f>
        <v/>
      </c>
      <c r="Z672" s="1795">
        <f>SUM(Z667:Z671)</f>
        <v/>
      </c>
      <c r="AA672" s="1779">
        <f>SUM(AA667:AA671)</f>
        <v/>
      </c>
      <c r="AB672" s="1795">
        <f>SUM(AB667:AB671)</f>
        <v/>
      </c>
      <c r="AC672" s="1795">
        <f>SUM(AC667:AC671)</f>
        <v/>
      </c>
      <c r="AD672" s="1795">
        <f>SUM(AD667:AD671)</f>
        <v/>
      </c>
      <c r="AE672" s="1795">
        <f>SUM(AE667:AE671)</f>
        <v/>
      </c>
      <c r="AF672" s="1779">
        <f>SUM(AF667:AF671)</f>
        <v/>
      </c>
      <c r="AG672" s="1795">
        <f>SUM(AG667:AG671)</f>
        <v/>
      </c>
      <c r="AH672" s="1795">
        <f>SUM(AH667:AH671)</f>
        <v/>
      </c>
      <c r="AI672" s="1795">
        <f>SUM(AI667:AI671)</f>
        <v/>
      </c>
      <c r="AJ672" s="1795">
        <f>SUM(AJ667:AJ671)</f>
        <v/>
      </c>
      <c r="AK672" s="1779">
        <f>SUM(AK667:AK671)</f>
        <v/>
      </c>
      <c r="AL672" s="1795">
        <f>SUM(AL667:AL671)</f>
        <v/>
      </c>
      <c r="AM672" s="1795">
        <f>SUM(AM667:AM671)</f>
        <v/>
      </c>
      <c r="AN672" s="1795">
        <f>SUM(AN667:AN671)</f>
        <v/>
      </c>
      <c r="AO672" s="1795">
        <f>SUM(AO667:AO671)</f>
        <v/>
      </c>
      <c r="AP672" s="1779">
        <f>SUM(AP667:AP671)</f>
        <v/>
      </c>
      <c r="AQ672" s="1795">
        <f>SUM(AQ667:AQ671)</f>
        <v/>
      </c>
      <c r="AR672" s="1795">
        <f>SUM(AR667:AR671)</f>
        <v/>
      </c>
      <c r="AS672" s="1795">
        <f>SUM(AS667:AS671)</f>
        <v/>
      </c>
      <c r="AT672" s="1795">
        <f>SUM(AT667:AT671)</f>
        <v/>
      </c>
      <c r="AU672" s="1779">
        <f>SUM(AU667:AU671)</f>
        <v/>
      </c>
      <c r="AV672" s="1795">
        <f>SUM(AV667:AV671)</f>
        <v/>
      </c>
      <c r="AW672" s="1795">
        <f>SUM(AW667:AW671)</f>
        <v/>
      </c>
      <c r="AX672" s="1795">
        <f>SUM(AX667:AX671)</f>
        <v/>
      </c>
      <c r="AY672" s="1795">
        <f>SUM(AY667:AY671)</f>
        <v/>
      </c>
      <c r="AZ672" s="1779">
        <f>SUM(AZ667:AZ671)</f>
        <v/>
      </c>
      <c r="BA672" s="1795">
        <f>SUM(BA667:BA671)</f>
        <v/>
      </c>
      <c r="BB672" s="1795">
        <f>SUM(BB667:BB671)</f>
        <v/>
      </c>
      <c r="BC672" s="1795">
        <f>SUM(BC667:BC671)</f>
        <v/>
      </c>
      <c r="BD672" s="1795">
        <f>SUM(BD667:BD671)</f>
        <v/>
      </c>
      <c r="BE672" s="1779">
        <f>SUM(BE667:BE671)</f>
        <v/>
      </c>
      <c r="BF672" s="1795">
        <f>SUM(BF667:BF671)</f>
        <v/>
      </c>
      <c r="BG672" s="1795">
        <f>SUM(BG667:BG671)</f>
        <v/>
      </c>
      <c r="BH672" s="1795">
        <f>SUM(BH667:BH671)</f>
        <v/>
      </c>
      <c r="BI672" s="1795">
        <f>SUM(BI667:BI671)</f>
        <v/>
      </c>
      <c r="BJ672" s="1779">
        <f>SUM(BJ667:BJ671)</f>
        <v/>
      </c>
      <c r="BK672" s="1795">
        <f>SUM(BK667:BK671)</f>
        <v/>
      </c>
      <c r="BL672" s="1795">
        <f>SUM(BL667:BL671)</f>
        <v/>
      </c>
      <c r="BM672" s="1795">
        <f>SUM(BM667:BM671)</f>
        <v/>
      </c>
      <c r="BN672" s="1795">
        <f>SUM(BN667:BN671)</f>
        <v/>
      </c>
      <c r="BO672" s="1796">
        <f>SUM(BO667:BO671)</f>
        <v/>
      </c>
      <c r="BP672" s="1642">
        <f>SUM(BP667:BP671)</f>
        <v/>
      </c>
      <c r="BQ672" s="1642">
        <f>SUM(BQ667:BQ671)</f>
        <v/>
      </c>
      <c r="BR672" s="1642">
        <f>SUM(BR667:BR671)</f>
        <v/>
      </c>
      <c r="BS672" s="1642">
        <f>SUM(BS667:BS671)</f>
        <v/>
      </c>
      <c r="BT672" s="1641">
        <f>SUM(BT667:BT671)</f>
        <v/>
      </c>
      <c r="BU672" s="1642">
        <f>SUM(BU667:BU671)</f>
        <v/>
      </c>
      <c r="BV672" s="1642">
        <f>SUM(BV667:BV671)</f>
        <v/>
      </c>
      <c r="BW672" s="1642">
        <f>SUM(BW667:BW671)</f>
        <v/>
      </c>
      <c r="BX672" s="1642">
        <f>SUM(BX667:BX671)</f>
        <v/>
      </c>
      <c r="BY672" s="1641">
        <f>SUM(BY667:BY671)</f>
        <v/>
      </c>
      <c r="BZ672" s="1641">
        <f>SUM(BZ667:BZ671)</f>
        <v/>
      </c>
      <c r="CA672" s="1641">
        <f>SUM(CA667:CA671)</f>
        <v/>
      </c>
      <c r="CB672" s="1641">
        <f>SUM(CB667:CB671)</f>
        <v/>
      </c>
      <c r="CC672" s="1634" t="n"/>
    </row>
    <row r="673" ht="15" customFormat="1" customHeight="1" s="1628">
      <c r="A673" s="1681" t="inlineStr">
        <is>
          <t>Total Liabilities</t>
        </is>
      </c>
      <c r="B673" s="1717" t="n"/>
      <c r="C673" s="1802">
        <f>C664+C672</f>
        <v/>
      </c>
      <c r="D673" s="1802">
        <f>D664+D672</f>
        <v/>
      </c>
      <c r="E673" s="1802">
        <f>E664+E672</f>
        <v/>
      </c>
      <c r="F673" s="1802">
        <f>F664+F672</f>
        <v/>
      </c>
      <c r="G673" s="1802">
        <f>G664+G672</f>
        <v/>
      </c>
      <c r="H673" s="1634">
        <f>H664+H672</f>
        <v/>
      </c>
      <c r="I673" s="1634">
        <f>I664+I672</f>
        <v/>
      </c>
      <c r="J673" s="1634">
        <f>J664+J672</f>
        <v/>
      </c>
      <c r="K673" s="1634">
        <f>K664+K672</f>
        <v/>
      </c>
      <c r="L673" s="1802">
        <f>L664+L672</f>
        <v/>
      </c>
      <c r="M673" s="1634">
        <f>M664+M672</f>
        <v/>
      </c>
      <c r="N673" s="1634">
        <f>N664+N672</f>
        <v/>
      </c>
      <c r="O673" s="1634">
        <f>O664+O672</f>
        <v/>
      </c>
      <c r="P673" s="1634">
        <f>P664+P672</f>
        <v/>
      </c>
      <c r="Q673" s="1802">
        <f>Q664+Q672</f>
        <v/>
      </c>
      <c r="R673" s="1634">
        <f>R664+R672</f>
        <v/>
      </c>
      <c r="S673" s="1634">
        <f>S664+S672</f>
        <v/>
      </c>
      <c r="T673" s="1634">
        <f>T664+T672</f>
        <v/>
      </c>
      <c r="U673" s="1634">
        <f>U664+U672</f>
        <v/>
      </c>
      <c r="V673" s="1802">
        <f>V664+V672</f>
        <v/>
      </c>
      <c r="W673" s="1634">
        <f>W664+W672</f>
        <v/>
      </c>
      <c r="X673" s="1634">
        <f>X664+X672</f>
        <v/>
      </c>
      <c r="Y673" s="1634">
        <f>Y664+Y672</f>
        <v/>
      </c>
      <c r="Z673" s="1634">
        <f>Z664+Z672</f>
        <v/>
      </c>
      <c r="AA673" s="1802">
        <f>AA664+AA672</f>
        <v/>
      </c>
      <c r="AB673" s="1634">
        <f>AB664+AB672</f>
        <v/>
      </c>
      <c r="AC673" s="1634">
        <f>AC664+AC672</f>
        <v/>
      </c>
      <c r="AD673" s="1634">
        <f>AD664+AD672</f>
        <v/>
      </c>
      <c r="AE673" s="1634">
        <f>AE664+AE672</f>
        <v/>
      </c>
      <c r="AF673" s="1802">
        <f>AF664+AF672</f>
        <v/>
      </c>
      <c r="AG673" s="1634">
        <f>AG664+AG672</f>
        <v/>
      </c>
      <c r="AH673" s="1634">
        <f>AH664+AH672</f>
        <v/>
      </c>
      <c r="AI673" s="1634">
        <f>AI664+AI672</f>
        <v/>
      </c>
      <c r="AJ673" s="1634">
        <f>AJ664+AJ672</f>
        <v/>
      </c>
      <c r="AK673" s="1802">
        <f>AK664+AK672</f>
        <v/>
      </c>
      <c r="AL673" s="1634">
        <f>AL664+AL672</f>
        <v/>
      </c>
      <c r="AM673" s="1634">
        <f>AM664+AM672</f>
        <v/>
      </c>
      <c r="AN673" s="1634">
        <f>AN664+AN672</f>
        <v/>
      </c>
      <c r="AO673" s="1634">
        <f>AO664+AO672</f>
        <v/>
      </c>
      <c r="AP673" s="1802">
        <f>AP664+AP672</f>
        <v/>
      </c>
      <c r="AQ673" s="1634">
        <f>AQ664+AQ672</f>
        <v/>
      </c>
      <c r="AR673" s="1634">
        <f>AR664+AR672</f>
        <v/>
      </c>
      <c r="AS673" s="1634">
        <f>AS664+AS672</f>
        <v/>
      </c>
      <c r="AT673" s="1634">
        <f>AT664+AT672</f>
        <v/>
      </c>
      <c r="AU673" s="1802">
        <f>AU664+AU672</f>
        <v/>
      </c>
      <c r="AV673" s="1634">
        <f>AV664+AV672</f>
        <v/>
      </c>
      <c r="AW673" s="1634">
        <f>AW664+AW672</f>
        <v/>
      </c>
      <c r="AX673" s="1634">
        <f>AX664+AX672</f>
        <v/>
      </c>
      <c r="AY673" s="1634">
        <f>AY664+AY672</f>
        <v/>
      </c>
      <c r="AZ673" s="1802">
        <f>AZ664+AZ672</f>
        <v/>
      </c>
      <c r="BA673" s="1634">
        <f>BA664+BA672</f>
        <v/>
      </c>
      <c r="BB673" s="1634">
        <f>BB664+BB672</f>
        <v/>
      </c>
      <c r="BC673" s="1634">
        <f>BC664+BC672</f>
        <v/>
      </c>
      <c r="BD673" s="1634">
        <f>BD664+BD672</f>
        <v/>
      </c>
      <c r="BE673" s="1802">
        <f>BE664+BE672</f>
        <v/>
      </c>
      <c r="BF673" s="1634">
        <f>BF664+BF672</f>
        <v/>
      </c>
      <c r="BG673" s="1634">
        <f>BG664+BG672</f>
        <v/>
      </c>
      <c r="BH673" s="1634">
        <f>BH664+BH672</f>
        <v/>
      </c>
      <c r="BI673" s="1634">
        <f>BI664+BI672</f>
        <v/>
      </c>
      <c r="BJ673" s="1802">
        <f>BJ664+BJ672</f>
        <v/>
      </c>
      <c r="BK673" s="1634">
        <f>BK664+BK672</f>
        <v/>
      </c>
      <c r="BL673" s="1634">
        <f>BL664+BL672</f>
        <v/>
      </c>
      <c r="BM673" s="1634">
        <f>BM664+BM672</f>
        <v/>
      </c>
      <c r="BN673" s="1634">
        <f>BN664+BN672</f>
        <v/>
      </c>
      <c r="BO673" s="1803">
        <f>BO664+BO672</f>
        <v/>
      </c>
      <c r="BP673" s="1719">
        <f>BP664+BP672</f>
        <v/>
      </c>
      <c r="BQ673" s="1719">
        <f>BQ664+BQ672</f>
        <v/>
      </c>
      <c r="BR673" s="1719">
        <f>BR664+BR672</f>
        <v/>
      </c>
      <c r="BS673" s="1719">
        <f>BS664+BS672</f>
        <v/>
      </c>
      <c r="BT673" s="1718">
        <f>BT664+BT672</f>
        <v/>
      </c>
      <c r="BU673" s="1719">
        <f>BU664+BU672</f>
        <v/>
      </c>
      <c r="BV673" s="1719">
        <f>BV664+BV672</f>
        <v/>
      </c>
      <c r="BW673" s="1719">
        <f>BW664+BW672</f>
        <v/>
      </c>
      <c r="BX673" s="1719">
        <f>BX664+BX672</f>
        <v/>
      </c>
      <c r="BY673" s="1718">
        <f>BY664+BY672</f>
        <v/>
      </c>
      <c r="BZ673" s="1718">
        <f>BZ664+BZ672</f>
        <v/>
      </c>
      <c r="CA673" s="1718">
        <f>CA664+CA672</f>
        <v/>
      </c>
      <c r="CB673" s="1718">
        <f>CB664+CB672</f>
        <v/>
      </c>
      <c r="CC673" s="1634" t="n"/>
    </row>
    <row r="674" ht="15" customFormat="1" customHeight="1" s="1561">
      <c r="A674" s="1703" t="n"/>
      <c r="B674" s="1705" t="n"/>
      <c r="C674" s="1637" t="n"/>
      <c r="D674" s="1637" t="n"/>
      <c r="E674" s="1637" t="n"/>
      <c r="F674" s="1637" t="n"/>
      <c r="G674" s="1637" t="n"/>
      <c r="H674" s="1562" t="n"/>
      <c r="I674" s="1562" t="n"/>
      <c r="J674" s="1562" t="n"/>
      <c r="K674" s="1562" t="n"/>
      <c r="L674" s="1637" t="n"/>
      <c r="M674" s="1562" t="n"/>
      <c r="N674" s="1562" t="n"/>
      <c r="O674" s="1562" t="n"/>
      <c r="P674" s="1562" t="n"/>
      <c r="Q674" s="1637" t="n"/>
      <c r="R674" s="1562" t="n"/>
      <c r="S674" s="1562" t="n"/>
      <c r="T674" s="1562" t="n"/>
      <c r="U674" s="1562" t="n"/>
      <c r="V674" s="1637" t="n"/>
      <c r="W674" s="1562" t="n"/>
      <c r="X674" s="1562" t="n"/>
      <c r="Y674" s="1562" t="n"/>
      <c r="Z674" s="1562" t="n"/>
      <c r="AA674" s="1637" t="n"/>
      <c r="AB674" s="1562" t="n"/>
      <c r="AC674" s="1562" t="n"/>
      <c r="AD674" s="1562" t="n"/>
      <c r="AE674" s="1562" t="n"/>
      <c r="AF674" s="1637" t="n"/>
      <c r="AG674" s="1562" t="n"/>
      <c r="AH674" s="1562" t="n"/>
      <c r="AI674" s="1562" t="n"/>
      <c r="AJ674" s="1562" t="n"/>
      <c r="AK674" s="1637" t="n"/>
      <c r="AL674" s="1562" t="n"/>
      <c r="AM674" s="1562" t="n"/>
      <c r="AN674" s="1562" t="n"/>
      <c r="AO674" s="1562" t="n"/>
      <c r="AP674" s="1637" t="n"/>
      <c r="AQ674" s="1562" t="n"/>
      <c r="AR674" s="1562" t="n"/>
      <c r="AS674" s="1562" t="n"/>
      <c r="AT674" s="1562" t="n"/>
      <c r="AU674" s="1637" t="n"/>
      <c r="AV674" s="1562" t="n"/>
      <c r="AW674" s="1562" t="n"/>
      <c r="AX674" s="1562" t="n"/>
      <c r="AY674" s="1562" t="n"/>
      <c r="AZ674" s="1637" t="n"/>
      <c r="BA674" s="1562" t="n"/>
      <c r="BB674" s="1562" t="n"/>
      <c r="BC674" s="1562" t="n"/>
      <c r="BD674" s="1562" t="n"/>
      <c r="BE674" s="1637" t="n"/>
      <c r="BF674" s="1562" t="n"/>
      <c r="BG674" s="1562" t="n"/>
      <c r="BH674" s="1562" t="n"/>
      <c r="BI674" s="1562" t="n"/>
      <c r="BJ674" s="1637" t="n"/>
      <c r="BK674" s="1562" t="n"/>
      <c r="BL674" s="1562" t="n"/>
      <c r="BM674" s="1562" t="n"/>
      <c r="BN674" s="1562" t="n"/>
      <c r="BO674" s="1638" t="n"/>
      <c r="BP674" s="1562" t="n"/>
      <c r="BQ674" s="1562" t="n"/>
      <c r="BR674" s="1562" t="n"/>
      <c r="BS674" s="1562" t="n"/>
      <c r="BT674" s="1637" t="n"/>
      <c r="BU674" s="1562" t="n"/>
      <c r="BV674" s="1562" t="n"/>
      <c r="BW674" s="1562" t="n"/>
      <c r="BX674" s="1562" t="n"/>
      <c r="BY674" s="1637" t="n"/>
      <c r="BZ674" s="1637" t="n"/>
      <c r="CA674" s="1637" t="n"/>
      <c r="CB674" s="1637" t="n"/>
      <c r="CC674" s="1564" t="n"/>
    </row>
    <row r="675" ht="15" customFormat="1" customHeight="1" s="1561">
      <c r="A675" s="2003" t="inlineStr">
        <is>
          <t>Shareholders' Equity</t>
        </is>
      </c>
      <c r="B675" s="1705" t="n"/>
      <c r="C675" s="1637" t="n"/>
      <c r="D675" s="1637" t="n"/>
      <c r="E675" s="1637" t="n"/>
      <c r="F675" s="1637" t="n"/>
      <c r="G675" s="1637" t="n"/>
      <c r="H675" s="1562" t="n"/>
      <c r="I675" s="1562" t="n"/>
      <c r="J675" s="1562" t="n"/>
      <c r="K675" s="1562" t="n"/>
      <c r="L675" s="1637" t="n"/>
      <c r="M675" s="1562" t="n"/>
      <c r="N675" s="1562" t="n"/>
      <c r="O675" s="1562" t="n"/>
      <c r="P675" s="1562" t="n"/>
      <c r="Q675" s="1637" t="n"/>
      <c r="R675" s="1562" t="n"/>
      <c r="S675" s="1562" t="n"/>
      <c r="T675" s="1562" t="n"/>
      <c r="U675" s="1562" t="n"/>
      <c r="V675" s="1637" t="n"/>
      <c r="W675" s="1562" t="n"/>
      <c r="X675" s="1562" t="n"/>
      <c r="Y675" s="1562" t="n"/>
      <c r="Z675" s="1562" t="n"/>
      <c r="AA675" s="1637" t="n"/>
      <c r="AB675" s="1562" t="n"/>
      <c r="AC675" s="1562" t="n"/>
      <c r="AD675" s="1562" t="n"/>
      <c r="AE675" s="1562" t="n"/>
      <c r="AF675" s="1637" t="n"/>
      <c r="AG675" s="1562" t="n"/>
      <c r="AH675" s="1562" t="n"/>
      <c r="AI675" s="1562" t="n"/>
      <c r="AJ675" s="1562" t="n"/>
      <c r="AK675" s="1637" t="n"/>
      <c r="AL675" s="1562" t="n"/>
      <c r="AM675" s="1562" t="n"/>
      <c r="AN675" s="1562" t="n"/>
      <c r="AO675" s="1562" t="n"/>
      <c r="AP675" s="1637" t="n"/>
      <c r="AQ675" s="1562" t="n"/>
      <c r="AR675" s="1562" t="n"/>
      <c r="AS675" s="1562" t="n"/>
      <c r="AT675" s="1562" t="n"/>
      <c r="AU675" s="1637" t="n"/>
      <c r="AV675" s="1562" t="n"/>
      <c r="AW675" s="1562" t="n"/>
      <c r="AX675" s="1562" t="n"/>
      <c r="AY675" s="1562" t="n"/>
      <c r="AZ675" s="1637" t="n"/>
      <c r="BA675" s="1562" t="n"/>
      <c r="BB675" s="1562" t="n"/>
      <c r="BC675" s="1562" t="n"/>
      <c r="BD675" s="1562" t="n"/>
      <c r="BE675" s="1637" t="n"/>
      <c r="BF675" s="1562" t="n"/>
      <c r="BG675" s="1562" t="n"/>
      <c r="BH675" s="1562" t="n"/>
      <c r="BI675" s="1562" t="n"/>
      <c r="BJ675" s="1637" t="n"/>
      <c r="BK675" s="1562" t="n"/>
      <c r="BL675" s="1562" t="n"/>
      <c r="BM675" s="1562" t="n"/>
      <c r="BN675" s="1562" t="n"/>
      <c r="BO675" s="1638" t="n"/>
      <c r="BP675" s="1562" t="n"/>
      <c r="BQ675" s="1562" t="n"/>
      <c r="BR675" s="1562" t="n"/>
      <c r="BS675" s="1562" t="n"/>
      <c r="BT675" s="1637" t="n"/>
      <c r="BU675" s="1562" t="n"/>
      <c r="BV675" s="1562" t="n"/>
      <c r="BW675" s="1562" t="n"/>
      <c r="BX675" s="1562" t="n"/>
      <c r="BY675" s="1637" t="n"/>
      <c r="BZ675" s="1637" t="n"/>
      <c r="CA675" s="1637" t="n"/>
      <c r="CB675" s="1637" t="n"/>
      <c r="CC675" s="1564" t="n"/>
    </row>
    <row r="676" ht="15" customFormat="1" customHeight="1" s="1561">
      <c r="A676" s="1721" t="inlineStr">
        <is>
          <t>Issued and outstanding shares</t>
        </is>
      </c>
      <c r="B676" s="1705" t="n"/>
      <c r="C676" s="1706" t="n">
        <v>39.028</v>
      </c>
      <c r="D676" s="1706" t="n">
        <v>39.293</v>
      </c>
      <c r="E676" s="1706" t="n">
        <v>38.354</v>
      </c>
      <c r="F676" s="1706" t="n">
        <v>37.47</v>
      </c>
      <c r="G676" s="1706" t="n">
        <v>40.092</v>
      </c>
      <c r="H676" s="1562" t="n"/>
      <c r="I676" s="1562" t="n"/>
      <c r="J676" s="1562" t="n"/>
      <c r="K676" s="1562" t="n"/>
      <c r="L676" s="1706" t="n">
        <v>39.426</v>
      </c>
      <c r="M676" s="1562" t="n"/>
      <c r="N676" s="1562" t="n"/>
      <c r="O676" s="1562" t="n"/>
      <c r="P676" s="1562" t="n"/>
      <c r="Q676" s="1706" t="n">
        <v>38.786</v>
      </c>
      <c r="R676" s="1562" t="n"/>
      <c r="S676" s="1562" t="n"/>
      <c r="T676" s="1562" t="n"/>
      <c r="U676" s="1562" t="n"/>
      <c r="V676" s="1706" t="n">
        <v>39.4</v>
      </c>
      <c r="W676" s="1562" t="n"/>
      <c r="X676" s="1562" t="n"/>
      <c r="Y676" s="1562" t="n"/>
      <c r="Z676" s="1562" t="n"/>
      <c r="AA676" s="1706" t="n">
        <v>38.8</v>
      </c>
      <c r="AB676" s="1562" t="n"/>
      <c r="AC676" s="1562" t="n"/>
      <c r="AD676" s="1562" t="n"/>
      <c r="AE676" s="1562" t="n"/>
      <c r="AF676" s="1706" t="n">
        <v>38.6</v>
      </c>
      <c r="AG676" s="1562" t="n"/>
      <c r="AH676" s="1562" t="n"/>
      <c r="AI676" s="1562" t="n"/>
      <c r="AJ676" s="1562" t="n"/>
      <c r="AK676" s="1706" t="n">
        <v>38.2</v>
      </c>
      <c r="AL676" s="1562" t="n"/>
      <c r="AM676" s="1562" t="n"/>
      <c r="AN676" s="1562" t="n"/>
      <c r="AO676" s="1562" t="n"/>
      <c r="AP676" s="1706" t="n">
        <v>37.6</v>
      </c>
      <c r="AQ676" s="1562" t="n"/>
      <c r="AR676" s="1562" t="n"/>
      <c r="AS676" s="1562" t="n"/>
      <c r="AT676" s="1562" t="n"/>
      <c r="AU676" s="1706" t="n">
        <v>36.5</v>
      </c>
      <c r="AV676" s="1562" t="n"/>
      <c r="AW676" s="1562" t="n"/>
      <c r="AX676" s="1562" t="n"/>
      <c r="AY676" s="1562" t="n"/>
      <c r="AZ676" s="1706" t="n">
        <v>36.3</v>
      </c>
      <c r="BA676" s="1562" t="n"/>
      <c r="BB676" s="1562" t="n"/>
      <c r="BC676" s="1562" t="n"/>
      <c r="BD676" s="1562" t="n"/>
      <c r="BE676" s="1706" t="n">
        <v>36</v>
      </c>
      <c r="BF676" s="1562" t="n"/>
      <c r="BG676" s="1562" t="n"/>
      <c r="BH676" s="1562" t="n"/>
      <c r="BI676" s="1562" t="n"/>
      <c r="BJ676" s="1706" t="n">
        <v>35.4</v>
      </c>
      <c r="BK676" s="1562" t="n"/>
      <c r="BL676" s="1562" t="n"/>
      <c r="BM676" s="1562" t="n"/>
      <c r="BN676" s="1562" t="n"/>
      <c r="BO676" s="1638" t="n"/>
      <c r="BP676" s="1562" t="n"/>
      <c r="BQ676" s="1562" t="n"/>
      <c r="BR676" s="1562" t="n"/>
      <c r="BS676" s="1562" t="n"/>
      <c r="BT676" s="1637" t="n"/>
      <c r="BU676" s="1562" t="n"/>
      <c r="BV676" s="1562" t="n"/>
      <c r="BW676" s="1562" t="n"/>
      <c r="BX676" s="1562" t="n"/>
      <c r="BY676" s="1637" t="n"/>
      <c r="BZ676" s="1637" t="n"/>
      <c r="CA676" s="1637" t="n"/>
      <c r="CB676" s="1637" t="n"/>
      <c r="CC676" s="1564" t="n"/>
    </row>
    <row r="677" ht="15" customFormat="1" customHeight="1" s="1561">
      <c r="A677" s="1721" t="inlineStr">
        <is>
          <t>Share premium</t>
        </is>
      </c>
      <c r="B677" s="1705" t="n"/>
      <c r="C677" s="1706" t="n">
        <v>476.261</v>
      </c>
      <c r="D677" s="1706" t="n">
        <v>471.253</v>
      </c>
      <c r="E677" s="1706" t="n">
        <v>473.043</v>
      </c>
      <c r="F677" s="1706" t="n">
        <v>483.651</v>
      </c>
      <c r="G677" s="1706" t="n">
        <v>2912.862</v>
      </c>
      <c r="H677" s="1562" t="n"/>
      <c r="I677" s="1562" t="n"/>
      <c r="J677" s="1562" t="n"/>
      <c r="K677" s="1562" t="n"/>
      <c r="L677" s="1706" t="n">
        <v>3002.05</v>
      </c>
      <c r="M677" s="1562" t="n"/>
      <c r="N677" s="1562" t="n"/>
      <c r="O677" s="1562" t="n"/>
      <c r="P677" s="1562" t="n"/>
      <c r="Q677" s="1706" t="n">
        <v>3070.332</v>
      </c>
      <c r="R677" s="1562" t="n"/>
      <c r="S677" s="1562" t="n"/>
      <c r="T677" s="1562" t="n"/>
      <c r="U677" s="1562" t="n"/>
      <c r="V677" s="1706" t="n">
        <v>3693.5</v>
      </c>
      <c r="W677" s="1562" t="n"/>
      <c r="X677" s="1562" t="n"/>
      <c r="Y677" s="1562" t="n"/>
      <c r="Z677" s="1562" t="n"/>
      <c r="AA677" s="1706" t="n">
        <v>3732.5</v>
      </c>
      <c r="AB677" s="1562" t="n"/>
      <c r="AC677" s="1562" t="n"/>
      <c r="AD677" s="1562" t="n"/>
      <c r="AE677" s="1562" t="n"/>
      <c r="AF677" s="1706" t="n">
        <v>3741.3</v>
      </c>
      <c r="AG677" s="1562" t="n"/>
      <c r="AH677" s="1562" t="n"/>
      <c r="AI677" s="1562" t="n"/>
      <c r="AJ677" s="1562" t="n"/>
      <c r="AK677" s="1706" t="n">
        <v>3772</v>
      </c>
      <c r="AL677" s="1562" t="n"/>
      <c r="AM677" s="1562" t="n"/>
      <c r="AN677" s="1562" t="n"/>
      <c r="AO677" s="1562" t="n"/>
      <c r="AP677" s="1706" t="n">
        <v>3780.1</v>
      </c>
      <c r="AQ677" s="1562" t="n"/>
      <c r="AR677" s="1562" t="n"/>
      <c r="AS677" s="1562" t="n"/>
      <c r="AT677" s="1562" t="n"/>
      <c r="AU677" s="1706" t="n">
        <v>3876.1</v>
      </c>
      <c r="AV677" s="1562" t="n"/>
      <c r="AW677" s="1562" t="n"/>
      <c r="AX677" s="1562" t="n"/>
      <c r="AY677" s="1562" t="n"/>
      <c r="AZ677" s="1706" t="n">
        <v>3940.8</v>
      </c>
      <c r="BA677" s="1562" t="n"/>
      <c r="BB677" s="1562" t="n"/>
      <c r="BC677" s="1562" t="n"/>
      <c r="BD677" s="1562" t="n"/>
      <c r="BE677" s="1706" t="n">
        <v>3998.1</v>
      </c>
      <c r="BF677" s="1562" t="n"/>
      <c r="BG677" s="1562" t="n"/>
      <c r="BH677" s="1562" t="n"/>
      <c r="BI677" s="1562" t="n"/>
      <c r="BJ677" s="1706" t="n">
        <v>4049</v>
      </c>
      <c r="BK677" s="1562" t="n"/>
      <c r="BL677" s="1562" t="n"/>
      <c r="BM677" s="1562" t="n"/>
      <c r="BN677" s="1562" t="n"/>
      <c r="BO677" s="1638" t="n"/>
      <c r="BP677" s="1562" t="n"/>
      <c r="BQ677" s="1562" t="n"/>
      <c r="BR677" s="1562" t="n"/>
      <c r="BS677" s="1562" t="n"/>
      <c r="BT677" s="1637" t="n"/>
      <c r="BU677" s="1562" t="n"/>
      <c r="BV677" s="1562" t="n"/>
      <c r="BW677" s="1562" t="n"/>
      <c r="BX677" s="1562" t="n"/>
      <c r="BY677" s="1637" t="n"/>
      <c r="BZ677" s="1637" t="n"/>
      <c r="CA677" s="1637" t="n"/>
      <c r="CB677" s="1637" t="n"/>
      <c r="CC677" s="1564" t="n"/>
    </row>
    <row r="678" ht="15" customFormat="1" customHeight="1" s="1561">
      <c r="A678" s="1721" t="inlineStr">
        <is>
          <t>Treasury shares at cost</t>
        </is>
      </c>
      <c r="B678" s="1705" t="n"/>
      <c r="C678" s="1706" t="n">
        <v>-218.203</v>
      </c>
      <c r="D678" s="1706" t="n">
        <v>-151.672</v>
      </c>
      <c r="E678" s="1706" t="n">
        <v>-416.417</v>
      </c>
      <c r="F678" s="1706" t="n">
        <v>-464.574</v>
      </c>
      <c r="G678" s="1706" t="n">
        <v>-364.702</v>
      </c>
      <c r="H678" s="1562" t="n"/>
      <c r="I678" s="1562" t="n"/>
      <c r="J678" s="1562" t="n"/>
      <c r="K678" s="1562" t="n"/>
      <c r="L678" s="1706" t="n">
        <v>-389.443</v>
      </c>
      <c r="M678" s="1562" t="n"/>
      <c r="N678" s="1562" t="n"/>
      <c r="O678" s="1562" t="n"/>
      <c r="P678" s="1562" t="n"/>
      <c r="Q678" s="1706" t="n">
        <v>-476.922</v>
      </c>
      <c r="R678" s="1562" t="n"/>
      <c r="S678" s="1562" t="n"/>
      <c r="T678" s="1562" t="n"/>
      <c r="U678" s="1562" t="n"/>
      <c r="V678" s="1706" t="n">
        <v>-796.2</v>
      </c>
      <c r="W678" s="1562" t="n"/>
      <c r="X678" s="1562" t="n"/>
      <c r="Y678" s="1562" t="n"/>
      <c r="Z678" s="1562" t="n"/>
      <c r="AA678" s="1706" t="n">
        <v>-557.9</v>
      </c>
      <c r="AB678" s="1562" t="n"/>
      <c r="AC678" s="1562" t="n"/>
      <c r="AD678" s="1562" t="n"/>
      <c r="AE678" s="1562" t="n"/>
      <c r="AF678" s="1706" t="n">
        <v>-1621.8</v>
      </c>
      <c r="AG678" s="1562" t="n"/>
      <c r="AH678" s="1562" t="n"/>
      <c r="AI678" s="1562" t="n"/>
      <c r="AJ678" s="1562" t="n"/>
      <c r="AK678" s="1706" t="n">
        <v>-1019.6</v>
      </c>
      <c r="AL678" s="1562" t="n"/>
      <c r="AM678" s="1562" t="n"/>
      <c r="AN678" s="1562" t="n"/>
      <c r="AO678" s="1562" t="n"/>
      <c r="AP678" s="1706" t="n">
        <v>-863.2</v>
      </c>
      <c r="AQ678" s="1562" t="n"/>
      <c r="AR678" s="1562" t="n"/>
      <c r="AS678" s="1562" t="n"/>
      <c r="AT678" s="1562" t="n"/>
      <c r="AU678" s="1706" t="n">
        <v>-2422.8</v>
      </c>
      <c r="AV678" s="1562" t="n"/>
      <c r="AW678" s="1562" t="n"/>
      <c r="AX678" s="1562" t="n"/>
      <c r="AY678" s="1562" t="n"/>
      <c r="AZ678" s="1706" t="n">
        <v>-4641.3</v>
      </c>
      <c r="BA678" s="1562" t="n"/>
      <c r="BB678" s="1562" t="n"/>
      <c r="BC678" s="1562" t="n"/>
      <c r="BD678" s="1562" t="n"/>
      <c r="BE678" s="1706" t="n">
        <v>-3306.2</v>
      </c>
      <c r="BF678" s="1562" t="n"/>
      <c r="BG678" s="1562" t="n"/>
      <c r="BH678" s="1562" t="n"/>
      <c r="BI678" s="1562" t="n"/>
      <c r="BJ678" s="1706" t="n">
        <v>-476</v>
      </c>
      <c r="BK678" s="1562" t="n"/>
      <c r="BL678" s="1562" t="n"/>
      <c r="BM678" s="1562" t="n"/>
      <c r="BN678" s="1562" t="n"/>
      <c r="BO678" s="1638" t="n"/>
      <c r="BP678" s="1562" t="n"/>
      <c r="BQ678" s="1562" t="n"/>
      <c r="BR678" s="1562" t="n"/>
      <c r="BS678" s="1562" t="n"/>
      <c r="BT678" s="1637" t="n"/>
      <c r="BU678" s="1562" t="n"/>
      <c r="BV678" s="1562" t="n"/>
      <c r="BW678" s="1562" t="n"/>
      <c r="BX678" s="1562" t="n"/>
      <c r="BY678" s="1637" t="n"/>
      <c r="BZ678" s="1637" t="n"/>
      <c r="CA678" s="1637" t="n"/>
      <c r="CB678" s="1637" t="n"/>
      <c r="CC678" s="1564" t="n"/>
    </row>
    <row r="679" ht="15" customFormat="1" customHeight="1" s="1561">
      <c r="A679" s="1721" t="inlineStr">
        <is>
          <t>Retained earnings</t>
        </is>
      </c>
      <c r="B679" s="1705" t="n"/>
      <c r="C679" s="1706" t="n">
        <v>1450.156</v>
      </c>
      <c r="D679" s="1706" t="n">
        <v>2366.443</v>
      </c>
      <c r="E679" s="1706" t="n">
        <v>3270.703</v>
      </c>
      <c r="F679" s="1706" t="n">
        <v>3931.359</v>
      </c>
      <c r="G679" s="1706" t="n">
        <v>4376.613</v>
      </c>
      <c r="H679" s="1562" t="n"/>
      <c r="I679" s="1562" t="n"/>
      <c r="J679" s="1562" t="n"/>
      <c r="K679" s="1562" t="n"/>
      <c r="L679" s="1706" t="n">
        <v>4648.541</v>
      </c>
      <c r="M679" s="1562" t="n"/>
      <c r="N679" s="1562" t="n"/>
      <c r="O679" s="1562" t="n"/>
      <c r="P679" s="1562" t="n"/>
      <c r="Q679" s="1706" t="n">
        <v>5284.315</v>
      </c>
      <c r="R679" s="1562" t="n"/>
      <c r="S679" s="1562" t="n"/>
      <c r="T679" s="1562" t="n"/>
      <c r="U679" s="1562" t="n"/>
      <c r="V679" s="1706" t="n">
        <v>6282.5</v>
      </c>
      <c r="W679" s="1562" t="n"/>
      <c r="X679" s="1562" t="n"/>
      <c r="Y679" s="1562" t="n"/>
      <c r="Z679" s="1562" t="n"/>
      <c r="AA679" s="1706" t="n">
        <v>7211.3</v>
      </c>
      <c r="AB679" s="1562" t="n"/>
      <c r="AC679" s="1562" t="n"/>
      <c r="AD679" s="1562" t="n"/>
      <c r="AE679" s="1562" t="n"/>
      <c r="AF679" s="1706" t="n">
        <v>9197.9</v>
      </c>
      <c r="AG679" s="1562" t="n"/>
      <c r="AH679" s="1562" t="n"/>
      <c r="AI679" s="1562" t="n"/>
      <c r="AJ679" s="1562" t="n"/>
      <c r="AK679" s="1706" t="n">
        <v>9523.799999999999</v>
      </c>
      <c r="AL679" s="1562" t="n"/>
      <c r="AM679" s="1562" t="n"/>
      <c r="AN679" s="1562" t="n"/>
      <c r="AO679" s="1562" t="n"/>
      <c r="AP679" s="1706" t="n">
        <v>10731.5</v>
      </c>
      <c r="AQ679" s="1562" t="n"/>
      <c r="AR679" s="1562" t="n"/>
      <c r="AS679" s="1562" t="n"/>
      <c r="AT679" s="1562" t="n"/>
      <c r="AU679" s="1706" t="n">
        <v>8317.299999999999</v>
      </c>
      <c r="AV679" s="1562" t="n"/>
      <c r="AW679" s="1562" t="n"/>
      <c r="AX679" s="1562" t="n"/>
      <c r="AY679" s="1562" t="n"/>
      <c r="AZ679" s="1706" t="n">
        <v>9046.700000000001</v>
      </c>
      <c r="BA679" s="1562" t="n"/>
      <c r="BB679" s="1562" t="n"/>
      <c r="BC679" s="1562" t="n"/>
      <c r="BD679" s="1562" t="n"/>
      <c r="BE679" s="1706" t="n">
        <v>12379.5</v>
      </c>
      <c r="BF679" s="1562" t="n"/>
      <c r="BG679" s="1562" t="n"/>
      <c r="BH679" s="1562" t="n"/>
      <c r="BI679" s="1562" t="n"/>
      <c r="BJ679" s="1706" t="n">
        <v>14414.3</v>
      </c>
      <c r="BK679" s="1562" t="n"/>
      <c r="BL679" s="1562" t="n"/>
      <c r="BM679" s="1562" t="n"/>
      <c r="BN679" s="1562" t="n"/>
      <c r="BO679" s="1638" t="n"/>
      <c r="BP679" s="1562" t="n"/>
      <c r="BQ679" s="1562" t="n"/>
      <c r="BR679" s="1562" t="n"/>
      <c r="BS679" s="1562" t="n"/>
      <c r="BT679" s="1637" t="n"/>
      <c r="BU679" s="1562" t="n"/>
      <c r="BV679" s="1562" t="n"/>
      <c r="BW679" s="1562" t="n"/>
      <c r="BX679" s="1562" t="n"/>
      <c r="BY679" s="1637" t="n"/>
      <c r="BZ679" s="1637" t="n"/>
      <c r="CA679" s="1637" t="n"/>
      <c r="CB679" s="1637" t="n"/>
      <c r="CC679" s="1564" t="n"/>
    </row>
    <row r="680" ht="15" customFormat="1" customHeight="1" s="1561">
      <c r="A680" s="1686" t="inlineStr">
        <is>
          <t>Accumulated other comprehensive income</t>
        </is>
      </c>
      <c r="B680" s="1708" t="n"/>
      <c r="C680" s="1709" t="n">
        <v>27.526</v>
      </c>
      <c r="D680" s="1709" t="n">
        <v>48.591</v>
      </c>
      <c r="E680" s="1709" t="n">
        <v>78.471</v>
      </c>
      <c r="F680" s="1709" t="n">
        <v>78.98699999999999</v>
      </c>
      <c r="G680" s="1709" t="n">
        <v>-42.438</v>
      </c>
      <c r="H680" s="1710" t="n"/>
      <c r="I680" s="1710" t="n"/>
      <c r="J680" s="1710" t="n"/>
      <c r="K680" s="1710" t="n"/>
      <c r="L680" s="1709" t="n">
        <v>212.016</v>
      </c>
      <c r="M680" s="1710" t="n"/>
      <c r="N680" s="1710" t="n"/>
      <c r="O680" s="1710" t="n"/>
      <c r="P680" s="1710" t="n"/>
      <c r="Q680" s="1709" t="n">
        <v>472.32</v>
      </c>
      <c r="R680" s="1710" t="n"/>
      <c r="S680" s="1710" t="n"/>
      <c r="T680" s="1710" t="n"/>
      <c r="U680" s="1710" t="n"/>
      <c r="V680" s="1709" t="n">
        <v>601.2</v>
      </c>
      <c r="W680" s="1710" t="n"/>
      <c r="X680" s="1710" t="n"/>
      <c r="Y680" s="1710" t="n"/>
      <c r="Z680" s="1710" t="n"/>
      <c r="AA680" s="1709" t="n">
        <v>251.5</v>
      </c>
      <c r="AB680" s="1710" t="n"/>
      <c r="AC680" s="1710" t="n"/>
      <c r="AD680" s="1710" t="n"/>
      <c r="AE680" s="1710" t="n"/>
      <c r="AF680" s="1709" t="n">
        <v>285</v>
      </c>
      <c r="AG680" s="1710" t="n"/>
      <c r="AH680" s="1710" t="n"/>
      <c r="AI680" s="1710" t="n"/>
      <c r="AJ680" s="1710" t="n"/>
      <c r="AK680" s="1709" t="n">
        <v>277.8</v>
      </c>
      <c r="AL680" s="1710" t="n"/>
      <c r="AM680" s="1710" t="n"/>
      <c r="AN680" s="1710" t="n"/>
      <c r="AO680" s="1710" t="n"/>
      <c r="AP680" s="1709" t="n">
        <v>179.4</v>
      </c>
      <c r="AQ680" s="1710" t="n"/>
      <c r="AR680" s="1710" t="n"/>
      <c r="AS680" s="1710" t="n"/>
      <c r="AT680" s="1710" t="n"/>
      <c r="AU680" s="1709" t="n">
        <v>333.5</v>
      </c>
      <c r="AV680" s="1710" t="n"/>
      <c r="AW680" s="1710" t="n"/>
      <c r="AX680" s="1710" t="n"/>
      <c r="AY680" s="1710" t="n"/>
      <c r="AZ680" s="1709" t="n">
        <v>428.3</v>
      </c>
      <c r="BA680" s="1710" t="n"/>
      <c r="BB680" s="1710" t="n"/>
      <c r="BC680" s="1710" t="n"/>
      <c r="BD680" s="1710" t="n"/>
      <c r="BE680" s="1709" t="n">
        <v>345</v>
      </c>
      <c r="BF680" s="1710" t="n"/>
      <c r="BG680" s="1710" t="n"/>
      <c r="BH680" s="1710" t="n"/>
      <c r="BI680" s="1710" t="n"/>
      <c r="BJ680" s="1709" t="n">
        <v>454.1</v>
      </c>
      <c r="BK680" s="1710" t="n"/>
      <c r="BL680" s="1710" t="n"/>
      <c r="BM680" s="1710" t="n"/>
      <c r="BN680" s="1710" t="n"/>
      <c r="BO680" s="1711" t="n"/>
      <c r="BP680" s="1710" t="n"/>
      <c r="BQ680" s="1710" t="n"/>
      <c r="BR680" s="1710" t="n"/>
      <c r="BS680" s="1710" t="n"/>
      <c r="BT680" s="1712" t="n"/>
      <c r="BU680" s="1710" t="n"/>
      <c r="BV680" s="1710" t="n"/>
      <c r="BW680" s="1710" t="n"/>
      <c r="BX680" s="1710" t="n"/>
      <c r="BY680" s="1712" t="n"/>
      <c r="BZ680" s="1712" t="n"/>
      <c r="CA680" s="1712" t="n"/>
      <c r="CB680" s="1712" t="n"/>
      <c r="CC680" s="1564" t="n"/>
    </row>
    <row r="681" ht="15" customFormat="1" customHeight="1" s="1628">
      <c r="A681" s="1695" t="inlineStr">
        <is>
          <t>Total SE</t>
        </is>
      </c>
      <c r="B681" s="1793" t="n"/>
      <c r="C681" s="1779">
        <f>SUM(C676:C680)</f>
        <v/>
      </c>
      <c r="D681" s="1779">
        <f>SUM(D676:D680)</f>
        <v/>
      </c>
      <c r="E681" s="1779">
        <f>SUM(E676:E680)</f>
        <v/>
      </c>
      <c r="F681" s="1779">
        <f>SUM(F676:F680)</f>
        <v/>
      </c>
      <c r="G681" s="1779">
        <f>SUM(G676:G680)</f>
        <v/>
      </c>
      <c r="H681" s="1797" t="n">
        <v>7056.9</v>
      </c>
      <c r="I681" s="1797" t="n">
        <v>7080.4</v>
      </c>
      <c r="J681" s="1797" t="n">
        <v>7324.1</v>
      </c>
      <c r="K681" s="1795">
        <f>L681</f>
        <v/>
      </c>
      <c r="L681" s="1779">
        <f>SUM(L676:L680)</f>
        <v/>
      </c>
      <c r="M681" s="1797" t="n">
        <v>8076.8</v>
      </c>
      <c r="N681" s="1797" t="n">
        <v>7962.6</v>
      </c>
      <c r="O681" s="1797" t="n">
        <v>8144.9</v>
      </c>
      <c r="P681" s="1795">
        <f>Q681</f>
        <v/>
      </c>
      <c r="Q681" s="1779">
        <f>SUM(Q676:Q680)</f>
        <v/>
      </c>
      <c r="R681" s="1797" t="n">
        <v>8303.4</v>
      </c>
      <c r="S681" s="1797" t="n">
        <v>8149.2</v>
      </c>
      <c r="T681" s="1797" t="n">
        <v>8513.200000000001</v>
      </c>
      <c r="U681" s="1795">
        <f>V681</f>
        <v/>
      </c>
      <c r="V681" s="1779">
        <f>SUM(V676:V680)</f>
        <v/>
      </c>
      <c r="W681" s="1797" t="n">
        <v>10243</v>
      </c>
      <c r="X681" s="1797" t="n">
        <v>10032.6</v>
      </c>
      <c r="Y681" s="1797" t="n">
        <v>10346.8</v>
      </c>
      <c r="Z681" s="1795">
        <f>AA681</f>
        <v/>
      </c>
      <c r="AA681" s="1779">
        <f>SUM(AA676:AA680)</f>
        <v/>
      </c>
      <c r="AB681" s="1797" t="n">
        <v>11061.7</v>
      </c>
      <c r="AC681" s="1797" t="n">
        <v>10822.2</v>
      </c>
      <c r="AD681" s="1797" t="n">
        <v>11154</v>
      </c>
      <c r="AE681" s="1795">
        <f>AF681</f>
        <v/>
      </c>
      <c r="AF681" s="1779">
        <f>SUM(AF676:AF680)</f>
        <v/>
      </c>
      <c r="AG681" s="1797" t="n">
        <v>11965.7</v>
      </c>
      <c r="AH681" s="1797" t="n">
        <v>11545.3</v>
      </c>
      <c r="AI681" s="1797" t="n">
        <v>12071.1</v>
      </c>
      <c r="AJ681" s="1795">
        <f>AK681</f>
        <v/>
      </c>
      <c r="AK681" s="1779">
        <f>SUM(AK676:AK680)</f>
        <v/>
      </c>
      <c r="AL681" s="1797" t="n">
        <v>12525.2</v>
      </c>
      <c r="AM681" s="1797" t="n">
        <v>12699.8</v>
      </c>
      <c r="AN681" s="1797" t="n">
        <v>13742.5</v>
      </c>
      <c r="AO681" s="1795">
        <f>AP681</f>
        <v/>
      </c>
      <c r="AP681" s="1779">
        <f>SUM(AP676:AP680)</f>
        <v/>
      </c>
      <c r="AQ681" s="1797" t="n">
        <v>13628.9</v>
      </c>
      <c r="AR681" s="1797" t="n">
        <v>12093.3</v>
      </c>
      <c r="AS681" s="1797" t="n">
        <v>11502.4</v>
      </c>
      <c r="AT681" s="1795">
        <f>AU681</f>
        <v/>
      </c>
      <c r="AU681" s="1779">
        <f>SUM(AU676:AU680)</f>
        <v/>
      </c>
      <c r="AV681" s="1797" t="n">
        <v>8810.4</v>
      </c>
      <c r="AW681" s="1797" t="n">
        <v>7648.6</v>
      </c>
      <c r="AX681" s="1797" t="n">
        <v>7955.1</v>
      </c>
      <c r="AY681" s="1795">
        <f>AZ681</f>
        <v/>
      </c>
      <c r="AZ681" s="1779">
        <f>SUM(AZ676:AZ680)</f>
        <v/>
      </c>
      <c r="BA681" s="1797" t="n">
        <v>9786.299999999999</v>
      </c>
      <c r="BB681" s="1797" t="n">
        <v>10604.9</v>
      </c>
      <c r="BC681" s="1797" t="n">
        <v>11994.9</v>
      </c>
      <c r="BD681" s="1795">
        <f>BE681</f>
        <v/>
      </c>
      <c r="BE681" s="1641">
        <f>SUM(BE676:BE680)</f>
        <v/>
      </c>
      <c r="BF681" s="1797" t="n">
        <v>13794.1</v>
      </c>
      <c r="BG681" s="1797" t="n">
        <v>14711.2</v>
      </c>
      <c r="BH681" s="1797" t="n">
        <v>16151.6</v>
      </c>
      <c r="BI681" s="1795">
        <f>BJ681</f>
        <v/>
      </c>
      <c r="BJ681" s="1641">
        <f>SUM(BJ676:BJ680)</f>
        <v/>
      </c>
      <c r="BK681" s="1797" t="n">
        <v>17500.7</v>
      </c>
      <c r="BL681" s="1797" t="n">
        <v>17618.2</v>
      </c>
      <c r="BM681" s="1797" t="n">
        <v>18993.5</v>
      </c>
      <c r="BN681" s="1795">
        <f>BO681</f>
        <v/>
      </c>
      <c r="BO681" s="1799" t="n">
        <v>19612.2</v>
      </c>
      <c r="BP681" s="1642">
        <f>BO681+BP530+BP564+BP563+BP526</f>
        <v/>
      </c>
      <c r="BQ681" s="1642">
        <f>BP681+BQ530+BQ564+BQ563+BQ526</f>
        <v/>
      </c>
      <c r="BR681" s="1642">
        <f>BQ681+BR530+BR564+BR563+BR526</f>
        <v/>
      </c>
      <c r="BS681" s="1642">
        <f>BR681+BS530+BS564+BS563+BS526</f>
        <v/>
      </c>
      <c r="BT681" s="1641">
        <f>BS681</f>
        <v/>
      </c>
      <c r="BU681" s="1642">
        <f>BT681+BU530+BU564+BU563+BU526</f>
        <v/>
      </c>
      <c r="BV681" s="1642">
        <f>BU681+BV530+BV564+BV563+BV526</f>
        <v/>
      </c>
      <c r="BW681" s="1642">
        <f>BV681+BW530+BW564+BW563+BW526</f>
        <v/>
      </c>
      <c r="BX681" s="1642">
        <f>BW681+BX530+BX564+BX563+BX526</f>
        <v/>
      </c>
      <c r="BY681" s="1641">
        <f>BX681</f>
        <v/>
      </c>
      <c r="BZ681" s="1641">
        <f>BY681+BZ530+BZ564+BZ563+BZ526</f>
        <v/>
      </c>
      <c r="CA681" s="1641">
        <f>BZ681+CA530+CA564+CA563+CA526</f>
        <v/>
      </c>
      <c r="CB681" s="1641">
        <f>CA681+CB530+CB564+CB563+CB526</f>
        <v/>
      </c>
      <c r="CC681" s="1634" t="n"/>
    </row>
    <row r="682" ht="15" customFormat="1" customHeight="1" s="1561">
      <c r="A682" s="1721" t="inlineStr">
        <is>
          <t>NCI</t>
        </is>
      </c>
      <c r="B682" s="1705" t="n"/>
      <c r="C682" s="1637" t="n"/>
      <c r="D682" s="1637" t="n"/>
      <c r="E682" s="1637" t="n"/>
      <c r="F682" s="1637" t="n"/>
      <c r="G682" s="1637" t="n"/>
      <c r="H682" s="1562" t="n"/>
      <c r="I682" s="1562" t="n"/>
      <c r="J682" s="1562" t="n"/>
      <c r="K682" s="1564">
        <f>L682</f>
        <v/>
      </c>
      <c r="L682" s="1637" t="n"/>
      <c r="M682" s="1562" t="n"/>
      <c r="N682" s="1562" t="n"/>
      <c r="O682" s="1562" t="n"/>
      <c r="P682" s="1564">
        <f>Q682</f>
        <v/>
      </c>
      <c r="Q682" s="1637" t="n"/>
      <c r="R682" s="1562" t="n"/>
      <c r="S682" s="1562" t="n"/>
      <c r="T682" s="1562" t="n"/>
      <c r="U682" s="1564">
        <f>V682</f>
        <v/>
      </c>
      <c r="V682" s="1637" t="n"/>
      <c r="W682" s="1562" t="n"/>
      <c r="X682" s="1562" t="n"/>
      <c r="Y682" s="1562" t="n"/>
      <c r="Z682" s="1564">
        <f>AA682</f>
        <v/>
      </c>
      <c r="AA682" s="1637" t="n"/>
      <c r="AB682" s="1562" t="n"/>
      <c r="AC682" s="1562" t="n"/>
      <c r="AD682" s="1562" t="n"/>
      <c r="AE682" s="1564">
        <f>AF682</f>
        <v/>
      </c>
      <c r="AF682" s="1637" t="n"/>
      <c r="AG682" s="1562" t="n"/>
      <c r="AH682" s="1562" t="n"/>
      <c r="AI682" s="1562" t="n"/>
      <c r="AJ682" s="1564">
        <f>AK682</f>
        <v/>
      </c>
      <c r="AK682" s="1637" t="n"/>
      <c r="AL682" s="1562" t="n"/>
      <c r="AM682" s="1562" t="n"/>
      <c r="AN682" s="1562" t="n"/>
      <c r="AO682" s="1564">
        <f>AP682</f>
        <v/>
      </c>
      <c r="AP682" s="1637" t="n"/>
      <c r="AQ682" s="1562" t="n"/>
      <c r="AR682" s="1562" t="n"/>
      <c r="AS682" s="1562" t="n"/>
      <c r="AT682" s="1564">
        <f>AU682</f>
        <v/>
      </c>
      <c r="AU682" s="1637" t="n"/>
      <c r="AV682" s="1562" t="n"/>
      <c r="AW682" s="1562" t="n"/>
      <c r="AX682" s="1562" t="n"/>
      <c r="AY682" s="1564">
        <f>AZ682</f>
        <v/>
      </c>
      <c r="AZ682" s="1637" t="n"/>
      <c r="BA682" s="1562" t="n"/>
      <c r="BB682" s="1562" t="n"/>
      <c r="BC682" s="1562" t="n"/>
      <c r="BD682" s="1564">
        <f>BE682</f>
        <v/>
      </c>
      <c r="BE682" s="1637" t="n"/>
      <c r="BF682" s="1562" t="n"/>
      <c r="BG682" s="1562" t="n"/>
      <c r="BH682" s="1562" t="n"/>
      <c r="BI682" s="1564">
        <f>BJ682</f>
        <v/>
      </c>
      <c r="BJ682" s="1637" t="n"/>
      <c r="BK682" s="1562" t="n"/>
      <c r="BL682" s="1562" t="n"/>
      <c r="BM682" s="1562" t="n"/>
      <c r="BN682" s="1564">
        <f>BO682</f>
        <v/>
      </c>
      <c r="BO682" s="1638" t="n"/>
      <c r="BP682" s="1562">
        <f>BO682+BP358</f>
        <v/>
      </c>
      <c r="BQ682" s="1562">
        <f>BP682+BQ358</f>
        <v/>
      </c>
      <c r="BR682" s="1562">
        <f>BQ682+BR358</f>
        <v/>
      </c>
      <c r="BS682" s="1562">
        <f>BR682+BS358</f>
        <v/>
      </c>
      <c r="BT682" s="1637">
        <f>BO682+BT358</f>
        <v/>
      </c>
      <c r="BU682" s="1562">
        <f>BT682+BU358</f>
        <v/>
      </c>
      <c r="BV682" s="1562">
        <f>BU682+BV358</f>
        <v/>
      </c>
      <c r="BW682" s="1562">
        <f>BV682+BW358</f>
        <v/>
      </c>
      <c r="BX682" s="1562">
        <f>BW682+BX358</f>
        <v/>
      </c>
      <c r="BY682" s="1637">
        <f>BT682+BY358</f>
        <v/>
      </c>
      <c r="BZ682" s="1637">
        <f>BY682+BZ358</f>
        <v/>
      </c>
      <c r="CA682" s="1637">
        <f>BZ682+CA358</f>
        <v/>
      </c>
      <c r="CB682" s="1637">
        <f>CA682+CB358</f>
        <v/>
      </c>
      <c r="CC682" s="1564" t="n"/>
    </row>
    <row r="683" ht="15" customFormat="1" customHeight="1" s="1628">
      <c r="A683" s="1681" t="inlineStr">
        <is>
          <t>Total Liabilities &amp; SE</t>
        </is>
      </c>
      <c r="B683" s="1717" t="n"/>
      <c r="C683" s="1802">
        <f>C681+C673+C682</f>
        <v/>
      </c>
      <c r="D683" s="1802">
        <f>D681+D673+D682</f>
        <v/>
      </c>
      <c r="E683" s="1802">
        <f>E681+E673+E682</f>
        <v/>
      </c>
      <c r="F683" s="1802">
        <f>F681+F673+F682</f>
        <v/>
      </c>
      <c r="G683" s="1802">
        <f>G681+G673+G682</f>
        <v/>
      </c>
      <c r="H683" s="1634">
        <f>H681+H673+H682</f>
        <v/>
      </c>
      <c r="I683" s="1634">
        <f>I681+I673+I682</f>
        <v/>
      </c>
      <c r="J683" s="1634">
        <f>J681+J673+J682</f>
        <v/>
      </c>
      <c r="K683" s="1634">
        <f>K681+K673+K682</f>
        <v/>
      </c>
      <c r="L683" s="1802">
        <f>L681+L673+L682</f>
        <v/>
      </c>
      <c r="M683" s="1634">
        <f>M681+M673+M682</f>
        <v/>
      </c>
      <c r="N683" s="1634">
        <f>N681+N673+N682</f>
        <v/>
      </c>
      <c r="O683" s="1634">
        <f>O681+O673+O682</f>
        <v/>
      </c>
      <c r="P683" s="1634">
        <f>P681+P673+P682</f>
        <v/>
      </c>
      <c r="Q683" s="1802">
        <f>Q681+Q673+Q682</f>
        <v/>
      </c>
      <c r="R683" s="1634">
        <f>R681+R673+R682</f>
        <v/>
      </c>
      <c r="S683" s="1634">
        <f>S681+S673+S682</f>
        <v/>
      </c>
      <c r="T683" s="1634">
        <f>T681+T673+T682</f>
        <v/>
      </c>
      <c r="U683" s="1634">
        <f>U681+U673+U682</f>
        <v/>
      </c>
      <c r="V683" s="1802">
        <f>V681+V673+V682</f>
        <v/>
      </c>
      <c r="W683" s="1634">
        <f>W681+W673+W682</f>
        <v/>
      </c>
      <c r="X683" s="1634">
        <f>X681+X673+X682</f>
        <v/>
      </c>
      <c r="Y683" s="1634">
        <f>Y681+Y673+Y682</f>
        <v/>
      </c>
      <c r="Z683" s="1634">
        <f>Z681+Z673+Z682</f>
        <v/>
      </c>
      <c r="AA683" s="1802">
        <f>AA681+AA673+AA682</f>
        <v/>
      </c>
      <c r="AB683" s="1634">
        <f>AB681+AB673+AB682</f>
        <v/>
      </c>
      <c r="AC683" s="1634">
        <f>AC681+AC673+AC682</f>
        <v/>
      </c>
      <c r="AD683" s="1634">
        <f>AD681+AD673+AD682</f>
        <v/>
      </c>
      <c r="AE683" s="1634">
        <f>AE681+AE673+AE682</f>
        <v/>
      </c>
      <c r="AF683" s="1802">
        <f>AF681+AF673+AF682</f>
        <v/>
      </c>
      <c r="AG683" s="1634">
        <f>AG681+AG673+AG682</f>
        <v/>
      </c>
      <c r="AH683" s="1634">
        <f>AH681+AH673+AH682</f>
        <v/>
      </c>
      <c r="AI683" s="1634">
        <f>AI681+AI673+AI682</f>
        <v/>
      </c>
      <c r="AJ683" s="1634">
        <f>AJ681+AJ673+AJ682</f>
        <v/>
      </c>
      <c r="AK683" s="1802">
        <f>AK681+AK673+AK682</f>
        <v/>
      </c>
      <c r="AL683" s="1634">
        <f>AL681+AL673+AL682</f>
        <v/>
      </c>
      <c r="AM683" s="1634">
        <f>AM681+AM673+AM682</f>
        <v/>
      </c>
      <c r="AN683" s="1634">
        <f>AN681+AN673+AN682</f>
        <v/>
      </c>
      <c r="AO683" s="1634">
        <f>AO681+AO673+AO682</f>
        <v/>
      </c>
      <c r="AP683" s="1802">
        <f>AP681+AP673+AP682</f>
        <v/>
      </c>
      <c r="AQ683" s="1634">
        <f>AQ681+AQ673+AQ682</f>
        <v/>
      </c>
      <c r="AR683" s="1634">
        <f>AR681+AR673+AR682</f>
        <v/>
      </c>
      <c r="AS683" s="1634">
        <f>AS681+AS673+AS682</f>
        <v/>
      </c>
      <c r="AT683" s="1634">
        <f>AT681+AT673+AT682</f>
        <v/>
      </c>
      <c r="AU683" s="1802">
        <f>AU681+AU673+AU682</f>
        <v/>
      </c>
      <c r="AV683" s="1634">
        <f>AV681+AV673+AV682</f>
        <v/>
      </c>
      <c r="AW683" s="1634">
        <f>AW681+AW673+AW682</f>
        <v/>
      </c>
      <c r="AX683" s="1634">
        <f>AX681+AX673+AX682</f>
        <v/>
      </c>
      <c r="AY683" s="1634">
        <f>AY681+AY673+AY682</f>
        <v/>
      </c>
      <c r="AZ683" s="1802">
        <f>AZ681+AZ673+AZ682</f>
        <v/>
      </c>
      <c r="BA683" s="1634">
        <f>BA681+BA673+BA682</f>
        <v/>
      </c>
      <c r="BB683" s="1634">
        <f>BB681+BB673+BB682</f>
        <v/>
      </c>
      <c r="BC683" s="1634">
        <f>BC681+BC673+BC682</f>
        <v/>
      </c>
      <c r="BD683" s="1634">
        <f>BD681+BD673+BD682</f>
        <v/>
      </c>
      <c r="BE683" s="1802">
        <f>BE681+BE673+BE682</f>
        <v/>
      </c>
      <c r="BF683" s="1634">
        <f>BF681+BF673+BF682</f>
        <v/>
      </c>
      <c r="BG683" s="1634">
        <f>BG681+BG673+BG682</f>
        <v/>
      </c>
      <c r="BH683" s="1634">
        <f>BH681+BH673+BH682</f>
        <v/>
      </c>
      <c r="BI683" s="1634">
        <f>BI681+BI673+BI682</f>
        <v/>
      </c>
      <c r="BJ683" s="1802">
        <f>BJ681+BJ673+BJ682</f>
        <v/>
      </c>
      <c r="BK683" s="1634">
        <f>BK681+BK673+BK682</f>
        <v/>
      </c>
      <c r="BL683" s="1634">
        <f>BL681+BL673+BL682</f>
        <v/>
      </c>
      <c r="BM683" s="1634">
        <f>BM681+BM673+BM682</f>
        <v/>
      </c>
      <c r="BN683" s="1634">
        <f>BN681+BN673+BN682</f>
        <v/>
      </c>
      <c r="BO683" s="1803">
        <f>BO681+BO673+BO682</f>
        <v/>
      </c>
      <c r="BP683" s="1719">
        <f>BP681+BP673+BP682</f>
        <v/>
      </c>
      <c r="BQ683" s="1719">
        <f>BQ681+BQ673+BQ682</f>
        <v/>
      </c>
      <c r="BR683" s="1719">
        <f>BR681+BR673+BR682</f>
        <v/>
      </c>
      <c r="BS683" s="1719">
        <f>BS681+BS673+BS682</f>
        <v/>
      </c>
      <c r="BT683" s="1718">
        <f>BT681+BT673+BT682</f>
        <v/>
      </c>
      <c r="BU683" s="1719">
        <f>BU681+BU673+BU682</f>
        <v/>
      </c>
      <c r="BV683" s="1719">
        <f>BV681+BV673+BV682</f>
        <v/>
      </c>
      <c r="BW683" s="1719">
        <f>BW681+BW673+BW682</f>
        <v/>
      </c>
      <c r="BX683" s="1719">
        <f>BX681+BX673+BX682</f>
        <v/>
      </c>
      <c r="BY683" s="1718">
        <f>BY681+BY673+BY682</f>
        <v/>
      </c>
      <c r="BZ683" s="1718">
        <f>BZ681+BZ673+BZ682</f>
        <v/>
      </c>
      <c r="CA683" s="1718">
        <f>CA681+CA673+CA682</f>
        <v/>
      </c>
      <c r="CB683" s="1718">
        <f>CB681+CB673+CB682</f>
        <v/>
      </c>
      <c r="CC683" s="1634" t="n"/>
    </row>
    <row r="684" ht="15" customFormat="1" customHeight="1" s="1561">
      <c r="A684" s="1562" t="n"/>
      <c r="B684" s="1562" t="n"/>
      <c r="C684" s="1562" t="n"/>
      <c r="D684" s="1562" t="n"/>
      <c r="E684" s="1562" t="n"/>
      <c r="F684" s="1562" t="n"/>
      <c r="G684" s="1562" t="n"/>
      <c r="H684" s="1562" t="n"/>
      <c r="I684" s="1562" t="n"/>
      <c r="J684" s="1562" t="n"/>
      <c r="K684" s="1562" t="n"/>
      <c r="L684" s="1562" t="n"/>
      <c r="M684" s="1562" t="n"/>
      <c r="N684" s="1562" t="n"/>
      <c r="O684" s="1562" t="n"/>
      <c r="P684" s="1562" t="n"/>
      <c r="Q684" s="1562" t="n"/>
      <c r="R684" s="1562" t="n"/>
      <c r="S684" s="1562" t="n"/>
      <c r="T684" s="1562" t="n"/>
      <c r="U684" s="1562" t="n"/>
      <c r="V684" s="1562" t="n"/>
      <c r="W684" s="1562" t="n"/>
      <c r="X684" s="1562" t="n"/>
      <c r="Y684" s="1562" t="n"/>
      <c r="Z684" s="1562" t="n"/>
      <c r="AA684" s="1562" t="n"/>
      <c r="AB684" s="1562" t="n"/>
      <c r="AC684" s="1562" t="n"/>
      <c r="AD684" s="1562" t="n"/>
      <c r="AE684" s="1562" t="n"/>
      <c r="AF684" s="1562" t="n"/>
      <c r="AG684" s="1562" t="n"/>
      <c r="AH684" s="1562" t="n"/>
      <c r="AI684" s="1562" t="n"/>
      <c r="AJ684" s="1562" t="n"/>
      <c r="AK684" s="1562" t="n"/>
      <c r="AL684" s="1562" t="n"/>
      <c r="AM684" s="1562" t="n"/>
      <c r="AN684" s="1562" t="n"/>
      <c r="AO684" s="1562" t="n"/>
      <c r="AP684" s="1562" t="n"/>
      <c r="AQ684" s="1562" t="n"/>
      <c r="AR684" s="1562" t="n"/>
      <c r="AS684" s="1562" t="n"/>
      <c r="AT684" s="1562" t="n"/>
      <c r="AU684" s="1562" t="n"/>
      <c r="AV684" s="1562" t="n"/>
      <c r="AW684" s="1562" t="n"/>
      <c r="AX684" s="1562" t="n"/>
      <c r="AY684" s="1562" t="n"/>
      <c r="AZ684" s="1562" t="n"/>
      <c r="BA684" s="1562" t="n"/>
      <c r="BB684" s="1562" t="n"/>
      <c r="BC684" s="1562" t="n"/>
      <c r="BD684" s="1562" t="n"/>
      <c r="BE684" s="1562" t="n"/>
      <c r="BF684" s="1562" t="n"/>
      <c r="BG684" s="1562" t="n"/>
      <c r="BH684" s="1562" t="n"/>
      <c r="BI684" s="1562" t="n"/>
      <c r="BJ684" s="1562" t="n"/>
      <c r="BK684" s="1562" t="n"/>
      <c r="BL684" s="1562" t="n"/>
      <c r="BM684" s="1562" t="n"/>
      <c r="BN684" s="1562" t="n"/>
      <c r="BO684" s="1563" t="n"/>
      <c r="BP684" s="1562" t="n"/>
      <c r="BQ684" s="1562" t="n"/>
      <c r="BR684" s="1562" t="n"/>
      <c r="BS684" s="1562" t="n"/>
      <c r="BT684" s="1562" t="n"/>
      <c r="BU684" s="1562" t="n"/>
      <c r="BV684" s="1562" t="n"/>
      <c r="BW684" s="1562" t="n"/>
      <c r="BX684" s="1562" t="n"/>
      <c r="BY684" s="1562" t="n"/>
      <c r="BZ684" s="1562" t="n"/>
      <c r="CA684" s="1562" t="n"/>
      <c r="CB684" s="1562" t="n"/>
      <c r="CC684" s="1564" t="n"/>
    </row>
    <row r="685" ht="15" customFormat="1" customHeight="1" s="1561">
      <c r="A685" s="1823" t="inlineStr">
        <is>
          <t>BS Check</t>
        </is>
      </c>
      <c r="B685" s="1823" t="n"/>
      <c r="C685" s="1824">
        <f>ROUND(C653-C683,6)</f>
        <v/>
      </c>
      <c r="D685" s="1824">
        <f>ROUND(D653-D683,6)</f>
        <v/>
      </c>
      <c r="E685" s="1824">
        <f>ROUND(E653-E683,6)</f>
        <v/>
      </c>
      <c r="F685" s="1824">
        <f>ROUND(F653-F683,6)</f>
        <v/>
      </c>
      <c r="G685" s="1824">
        <f>ROUND(G653-G683,6)</f>
        <v/>
      </c>
      <c r="H685" s="1824">
        <f>ROUND(H653-H683,6)</f>
        <v/>
      </c>
      <c r="I685" s="1824">
        <f>ROUND(I653-I683,6)</f>
        <v/>
      </c>
      <c r="J685" s="1824">
        <f>ROUND(J653-J683,6)</f>
        <v/>
      </c>
      <c r="K685" s="1824">
        <f>ROUND(K653-K683,6)</f>
        <v/>
      </c>
      <c r="L685" s="1824">
        <f>ROUND(L653-L683,6)</f>
        <v/>
      </c>
      <c r="M685" s="1824">
        <f>ROUND(M653-M683,6)</f>
        <v/>
      </c>
      <c r="N685" s="1824">
        <f>ROUND(N653-N683,6)</f>
        <v/>
      </c>
      <c r="O685" s="1824">
        <f>ROUND(O653-O683,6)</f>
        <v/>
      </c>
      <c r="P685" s="1824">
        <f>ROUND(P653-P683,6)</f>
        <v/>
      </c>
      <c r="Q685" s="1824">
        <f>ROUND(Q653-Q683,6)</f>
        <v/>
      </c>
      <c r="R685" s="1824">
        <f>ROUND(R653-R683,6)</f>
        <v/>
      </c>
      <c r="S685" s="1824">
        <f>ROUND(S653-S683,6)</f>
        <v/>
      </c>
      <c r="T685" s="1824">
        <f>ROUND(T653-T683,6)</f>
        <v/>
      </c>
      <c r="U685" s="1824">
        <f>ROUND(U653-U683,6)</f>
        <v/>
      </c>
      <c r="V685" s="1824">
        <f>ROUND(V653-V683,6)</f>
        <v/>
      </c>
      <c r="W685" s="1824">
        <f>ROUND(W653-W683,6)</f>
        <v/>
      </c>
      <c r="X685" s="1824">
        <f>ROUND(X653-X683,6)</f>
        <v/>
      </c>
      <c r="Y685" s="1824">
        <f>ROUND(Y653-Y683,6)</f>
        <v/>
      </c>
      <c r="Z685" s="1824">
        <f>ROUND(Z653-Z683,6)</f>
        <v/>
      </c>
      <c r="AA685" s="1824">
        <f>ROUND(AA653-AA683,6)</f>
        <v/>
      </c>
      <c r="AB685" s="1824">
        <f>ROUND(AB653-AB683,6)</f>
        <v/>
      </c>
      <c r="AC685" s="1824">
        <f>ROUND(AC653-AC683,6)</f>
        <v/>
      </c>
      <c r="AD685" s="1824">
        <f>ROUND(AD653-AD683,6)</f>
        <v/>
      </c>
      <c r="AE685" s="1824">
        <f>ROUND(AE653-AE683,6)</f>
        <v/>
      </c>
      <c r="AF685" s="1824">
        <f>ROUND(AF653-AF683,6)</f>
        <v/>
      </c>
      <c r="AG685" s="1824">
        <f>ROUND(AG653-AG683,6)</f>
        <v/>
      </c>
      <c r="AH685" s="1824">
        <f>ROUND(AH653-AH683,6)</f>
        <v/>
      </c>
      <c r="AI685" s="1824">
        <f>ROUND(AI653-AI683,6)</f>
        <v/>
      </c>
      <c r="AJ685" s="1824">
        <f>ROUND(AJ653-AJ683,6)</f>
        <v/>
      </c>
      <c r="AK685" s="1824">
        <f>ROUND(AK653-AK683,6)</f>
        <v/>
      </c>
      <c r="AL685" s="1824">
        <f>ROUND(AL653-AL683,6)</f>
        <v/>
      </c>
      <c r="AM685" s="1824">
        <f>ROUND(AM653-AM683,6)</f>
        <v/>
      </c>
      <c r="AN685" s="1824">
        <f>ROUND(AN653-AN683,6)</f>
        <v/>
      </c>
      <c r="AO685" s="1824">
        <f>ROUND(AO653-AO683,6)</f>
        <v/>
      </c>
      <c r="AP685" s="1824">
        <f>ROUND(AP653-AP683,6)</f>
        <v/>
      </c>
      <c r="AQ685" s="1824">
        <f>ROUND(AQ653-AQ683,6)</f>
        <v/>
      </c>
      <c r="AR685" s="1824">
        <f>ROUND(AR653-AR683,6)</f>
        <v/>
      </c>
      <c r="AS685" s="1824">
        <f>ROUND(AS653-AS683,6)</f>
        <v/>
      </c>
      <c r="AT685" s="1824">
        <f>ROUND(AT653-AT683,6)</f>
        <v/>
      </c>
      <c r="AU685" s="1824">
        <f>ROUND(AU653-AU683,6)</f>
        <v/>
      </c>
      <c r="AV685" s="1824">
        <f>ROUND(AV653-AV683,6)</f>
        <v/>
      </c>
      <c r="AW685" s="1824">
        <f>ROUND(AW653-AW683,6)</f>
        <v/>
      </c>
      <c r="AX685" s="1824">
        <f>ROUND(AX653-AX683,6)</f>
        <v/>
      </c>
      <c r="AY685" s="1824">
        <f>ROUND(AY653-AY683,6)</f>
        <v/>
      </c>
      <c r="AZ685" s="1824">
        <f>ROUND(AZ653-AZ683,6)</f>
        <v/>
      </c>
      <c r="BA685" s="1824">
        <f>ROUND(BA653-BA683,6)</f>
        <v/>
      </c>
      <c r="BB685" s="1824">
        <f>ROUND(BB653-BB683,6)</f>
        <v/>
      </c>
      <c r="BC685" s="1824">
        <f>ROUND(BC653-BC683,6)</f>
        <v/>
      </c>
      <c r="BD685" s="1824">
        <f>ROUND(BD653-BD683,6)</f>
        <v/>
      </c>
      <c r="BE685" s="1824">
        <f>ROUND(BE653-BE683,6)</f>
        <v/>
      </c>
      <c r="BF685" s="1824">
        <f>ROUND(BF653-BF683,6)</f>
        <v/>
      </c>
      <c r="BG685" s="1824">
        <f>ROUND(BG653-BG683,6)</f>
        <v/>
      </c>
      <c r="BH685" s="1824">
        <f>ROUND(BH653-BH683,6)</f>
        <v/>
      </c>
      <c r="BI685" s="1824">
        <f>ROUND(BI653-BI683,6)</f>
        <v/>
      </c>
      <c r="BJ685" s="1824">
        <f>ROUND(BJ653-BJ683,6)</f>
        <v/>
      </c>
      <c r="BK685" s="1824">
        <f>ROUND(BK653-BK683,6)</f>
        <v/>
      </c>
      <c r="BL685" s="1824">
        <f>ROUND(BL653-BL683,6)</f>
        <v/>
      </c>
      <c r="BM685" s="1824">
        <f>ROUND(BM653-BM683,6)</f>
        <v/>
      </c>
      <c r="BN685" s="1824">
        <f>ROUND(BN653-BN683,6)</f>
        <v/>
      </c>
      <c r="BO685" s="1825">
        <f>ROUND(BO653-BO683,6)</f>
        <v/>
      </c>
      <c r="BP685" s="1824">
        <f>ROUND(BP653-BP683,6)</f>
        <v/>
      </c>
      <c r="BQ685" s="1824">
        <f>ROUND(BQ653-BQ683,6)</f>
        <v/>
      </c>
      <c r="BR685" s="1824">
        <f>ROUND(BR653-BR683,6)</f>
        <v/>
      </c>
      <c r="BS685" s="1824">
        <f>ROUND(BS653-BS683,6)</f>
        <v/>
      </c>
      <c r="BT685" s="1824">
        <f>ROUND(BT653-BT683,6)</f>
        <v/>
      </c>
      <c r="BU685" s="1824">
        <f>ROUND(BU653-BU683,6)</f>
        <v/>
      </c>
      <c r="BV685" s="1824">
        <f>ROUND(BV653-BV683,6)</f>
        <v/>
      </c>
      <c r="BW685" s="1824">
        <f>ROUND(BW653-BW683,6)</f>
        <v/>
      </c>
      <c r="BX685" s="1824">
        <f>ROUND(BX653-BX683,6)</f>
        <v/>
      </c>
      <c r="BY685" s="1824">
        <f>ROUND(BY653-BY683,6)</f>
        <v/>
      </c>
      <c r="BZ685" s="1824">
        <f>ROUND(BZ653-BZ683,6)</f>
        <v/>
      </c>
      <c r="CA685" s="1824">
        <f>ROUND(CA653-CA683,6)</f>
        <v/>
      </c>
      <c r="CB685" s="1824">
        <f>ROUND(CB653-CB683,6)</f>
        <v/>
      </c>
      <c r="CC685" s="1564" t="n"/>
    </row>
    <row r="686" ht="15" customFormat="1" customHeight="1" s="1561">
      <c r="A686" s="1562" t="n"/>
      <c r="B686" s="1562" t="n"/>
      <c r="C686" s="1562" t="n"/>
      <c r="D686" s="1562" t="n"/>
      <c r="E686" s="1562" t="n"/>
      <c r="F686" s="1562" t="n"/>
      <c r="G686" s="1562" t="n"/>
      <c r="H686" s="1562" t="n"/>
      <c r="I686" s="1562" t="n"/>
      <c r="J686" s="1562" t="n"/>
      <c r="K686" s="1562" t="n"/>
      <c r="L686" s="1562" t="n"/>
      <c r="M686" s="1562" t="n"/>
      <c r="N686" s="1562" t="n"/>
      <c r="O686" s="1562" t="n"/>
      <c r="P686" s="1562" t="n"/>
      <c r="Q686" s="1562" t="n"/>
      <c r="R686" s="1562" t="n"/>
      <c r="S686" s="1562" t="n"/>
      <c r="T686" s="1562" t="n"/>
      <c r="U686" s="1562" t="n"/>
      <c r="V686" s="1562" t="n"/>
      <c r="W686" s="1562" t="n"/>
      <c r="X686" s="1562" t="n"/>
      <c r="Y686" s="1562" t="n"/>
      <c r="Z686" s="1562" t="n"/>
      <c r="AA686" s="1562" t="n"/>
      <c r="AB686" s="1562" t="n"/>
      <c r="AC686" s="1562" t="n"/>
      <c r="AD686" s="1562" t="n"/>
      <c r="AE686" s="1562" t="n"/>
      <c r="AF686" s="1562" t="n"/>
      <c r="AG686" s="1562" t="n"/>
      <c r="AH686" s="1562" t="n"/>
      <c r="AI686" s="1562" t="n"/>
      <c r="AJ686" s="1562" t="n"/>
      <c r="AK686" s="1562" t="n"/>
      <c r="AL686" s="1562" t="n"/>
      <c r="AM686" s="1562" t="n"/>
      <c r="AN686" s="1562" t="n"/>
      <c r="AO686" s="1562" t="n"/>
      <c r="AP686" s="1562" t="n"/>
      <c r="AQ686" s="1562" t="n"/>
      <c r="AR686" s="1562" t="n"/>
      <c r="AS686" s="1562" t="n"/>
      <c r="AT686" s="1562" t="n"/>
      <c r="AU686" s="1562" t="n"/>
      <c r="AV686" s="1562" t="n"/>
      <c r="AW686" s="1562" t="n"/>
      <c r="AX686" s="1562" t="n"/>
      <c r="AY686" s="1562" t="n"/>
      <c r="AZ686" s="1562" t="n"/>
      <c r="BA686" s="1562" t="n"/>
      <c r="BB686" s="1562" t="n"/>
      <c r="BC686" s="1562" t="n"/>
      <c r="BD686" s="1562" t="n"/>
      <c r="BE686" s="1562" t="n"/>
      <c r="BF686" s="1562" t="n"/>
      <c r="BG686" s="1562" t="n"/>
      <c r="BH686" s="1562" t="n"/>
      <c r="BI686" s="1562" t="n"/>
      <c r="BJ686" s="1562" t="n"/>
      <c r="BK686" s="1562" t="n"/>
      <c r="BL686" s="1562" t="n"/>
      <c r="BM686" s="1562" t="n"/>
      <c r="BN686" s="1562" t="n"/>
      <c r="BO686" s="1563" t="n"/>
      <c r="BP686" s="1562" t="n"/>
      <c r="BQ686" s="1562" t="n"/>
      <c r="BR686" s="1562" t="n"/>
      <c r="BS686" s="1562" t="n"/>
      <c r="BT686" s="1562" t="n"/>
      <c r="BU686" s="1562" t="n"/>
      <c r="BV686" s="1562" t="n"/>
      <c r="BW686" s="1562" t="n"/>
      <c r="BX686" s="1562" t="n"/>
      <c r="BY686" s="1562" t="n"/>
      <c r="BZ686" s="1562" t="n"/>
      <c r="CA686" s="1562" t="n"/>
      <c r="CB686" s="1562" t="n"/>
      <c r="CC686" s="1564" t="n"/>
    </row>
    <row r="687" ht="15" customFormat="1" customHeight="1" s="1628">
      <c r="A687" s="2005" t="inlineStr">
        <is>
          <t>Model Checks</t>
        </is>
      </c>
      <c r="B687" s="2005" t="n"/>
      <c r="C687" s="2005" t="n"/>
      <c r="D687" s="2005" t="n"/>
      <c r="E687" s="2005" t="n"/>
      <c r="F687" s="2005" t="n"/>
      <c r="G687" s="2005" t="n"/>
      <c r="H687" s="2005" t="n"/>
      <c r="I687" s="2005" t="n"/>
      <c r="J687" s="2005" t="n"/>
      <c r="K687" s="2005" t="n"/>
      <c r="L687" s="2005" t="n"/>
      <c r="M687" s="2005" t="n"/>
      <c r="N687" s="2005" t="n"/>
      <c r="O687" s="2005" t="n"/>
      <c r="P687" s="2005" t="n"/>
      <c r="Q687" s="2005" t="n"/>
      <c r="R687" s="2005" t="n"/>
      <c r="S687" s="2005" t="n"/>
      <c r="T687" s="2005" t="n"/>
      <c r="U687" s="2005" t="n"/>
      <c r="V687" s="2005" t="n"/>
      <c r="W687" s="2005" t="n"/>
      <c r="X687" s="2005" t="n"/>
      <c r="Y687" s="2005" t="n"/>
      <c r="Z687" s="2005" t="n"/>
      <c r="AA687" s="2005" t="n"/>
      <c r="AB687" s="2005" t="n"/>
      <c r="AC687" s="2005" t="n"/>
      <c r="AD687" s="2005" t="n"/>
      <c r="AE687" s="2005" t="n"/>
      <c r="AF687" s="2005" t="n"/>
      <c r="AG687" s="2005" t="n"/>
      <c r="AH687" s="2005" t="n"/>
      <c r="AI687" s="2005" t="n"/>
      <c r="AJ687" s="2005" t="n"/>
      <c r="AK687" s="2005" t="n"/>
      <c r="AL687" s="2005" t="n"/>
      <c r="AM687" s="2005" t="n"/>
      <c r="AN687" s="2005" t="n"/>
      <c r="AO687" s="2005" t="n"/>
      <c r="AP687" s="2005" t="n"/>
      <c r="AQ687" s="2005" t="n"/>
      <c r="AR687" s="2005" t="n"/>
      <c r="AS687" s="2005" t="n"/>
      <c r="AT687" s="2005" t="n"/>
      <c r="AU687" s="2005" t="n"/>
      <c r="AV687" s="2005" t="n"/>
      <c r="AW687" s="2005" t="n"/>
      <c r="AX687" s="2005" t="n"/>
      <c r="AY687" s="2005" t="n"/>
      <c r="AZ687" s="2005" t="n"/>
      <c r="BA687" s="2005" t="n"/>
      <c r="BB687" s="2005" t="n"/>
      <c r="BC687" s="2005" t="n"/>
      <c r="BD687" s="2005" t="n"/>
      <c r="BE687" s="2005" t="n"/>
      <c r="BF687" s="2005" t="n"/>
      <c r="BG687" s="2005" t="n"/>
      <c r="BH687" s="2005" t="n"/>
      <c r="BI687" s="2005" t="n"/>
      <c r="BJ687" s="2005" t="n"/>
      <c r="BK687" s="2005" t="n"/>
      <c r="BL687" s="2005" t="n"/>
      <c r="BM687" s="2005" t="n"/>
      <c r="BN687" s="2005" t="n"/>
      <c r="BO687" s="2006" t="n"/>
      <c r="BP687" s="2005" t="n"/>
      <c r="BQ687" s="2005" t="n"/>
      <c r="BR687" s="2005" t="n"/>
      <c r="BS687" s="2005" t="n"/>
      <c r="BT687" s="2005" t="n"/>
      <c r="BU687" s="2005" t="n"/>
      <c r="BV687" s="2005" t="n"/>
      <c r="BW687" s="2005" t="n"/>
      <c r="BX687" s="2005" t="n"/>
      <c r="BY687" s="2005" t="n"/>
      <c r="BZ687" s="2005" t="n"/>
      <c r="CA687" s="2005" t="n"/>
      <c r="CB687" s="2005" t="n"/>
      <c r="CC687" s="1634" t="n"/>
    </row>
    <row r="688" ht="15" customFormat="1" customHeight="1" s="1561">
      <c r="A688" s="1564" t="inlineStr">
        <is>
          <t>Net Income on Revised IS = NI on CF statement</t>
        </is>
      </c>
      <c r="B688" s="1626" t="n"/>
      <c r="C688" s="1824">
        <f>IF(ISBLANK(INDEX(MO_IS_FirstRow,0,COLUMN())),0,ROUND(C526-C356,6))</f>
        <v/>
      </c>
      <c r="D688" s="1824">
        <f>IF(ISBLANK(INDEX(MO_IS_FirstRow,0,COLUMN())),0,ROUND(D526-D356,6))</f>
        <v/>
      </c>
      <c r="E688" s="1824">
        <f>IF(ISBLANK(INDEX(MO_IS_FirstRow,0,COLUMN())),0,ROUND(E526-E356,6))</f>
        <v/>
      </c>
      <c r="F688" s="1824">
        <f>IF(ISBLANK(INDEX(MO_IS_FirstRow,0,COLUMN())),0,ROUND(F526-F356,6))</f>
        <v/>
      </c>
      <c r="G688" s="1824">
        <f>IF(ISBLANK(INDEX(MO_IS_FirstRow,0,COLUMN())),0,ROUND(G526-G356,6))</f>
        <v/>
      </c>
      <c r="H688" s="1824">
        <f>IF(ISBLANK(INDEX(MO_IS_FirstRow,0,COLUMN())),0,ROUND(H526-H356,6))</f>
        <v/>
      </c>
      <c r="I688" s="1824">
        <f>IF(ISBLANK(INDEX(MO_IS_FirstRow,0,COLUMN())),0,ROUND(I526-I356,6))</f>
        <v/>
      </c>
      <c r="J688" s="1824">
        <f>IF(ISBLANK(INDEX(MO_IS_FirstRow,0,COLUMN())),0,ROUND(J526-J356,6))</f>
        <v/>
      </c>
      <c r="K688" s="1824">
        <f>IF(ISBLANK(INDEX(MO_IS_FirstRow,0,COLUMN())),0,ROUND(K526-K356,6))</f>
        <v/>
      </c>
      <c r="L688" s="1824">
        <f>IF(ISBLANK(INDEX(MO_IS_FirstRow,0,COLUMN())),0,ROUND(L526-L356,6))</f>
        <v/>
      </c>
      <c r="M688" s="1824">
        <f>IF(ISBLANK(INDEX(MO_IS_FirstRow,0,COLUMN())),0,ROUND(M526-M356,6))</f>
        <v/>
      </c>
      <c r="N688" s="1824">
        <f>IF(ISBLANK(INDEX(MO_IS_FirstRow,0,COLUMN())),0,ROUND(N526-N356,6))</f>
        <v/>
      </c>
      <c r="O688" s="1824">
        <f>IF(ISBLANK(INDEX(MO_IS_FirstRow,0,COLUMN())),0,ROUND(O526-O356,6))</f>
        <v/>
      </c>
      <c r="P688" s="1824">
        <f>IF(ISBLANK(INDEX(MO_IS_FirstRow,0,COLUMN())),0,ROUND(P526-P356,6))</f>
        <v/>
      </c>
      <c r="Q688" s="1824">
        <f>IF(ISBLANK(INDEX(MO_IS_FirstRow,0,COLUMN())),0,ROUND(Q526-Q356,6))</f>
        <v/>
      </c>
      <c r="R688" s="1824">
        <f>IF(ISBLANK(INDEX(MO_IS_FirstRow,0,COLUMN())),0,ROUND(R526-R356,6))</f>
        <v/>
      </c>
      <c r="S688" s="1824">
        <f>IF(ISBLANK(INDEX(MO_IS_FirstRow,0,COLUMN())),0,ROUND(S526-S356,6))</f>
        <v/>
      </c>
      <c r="T688" s="1824">
        <f>IF(ISBLANK(INDEX(MO_IS_FirstRow,0,COLUMN())),0,ROUND(T526-T356,6))</f>
        <v/>
      </c>
      <c r="U688" s="1824">
        <f>IF(ISBLANK(INDEX(MO_IS_FirstRow,0,COLUMN())),0,ROUND(U526-U356,6))</f>
        <v/>
      </c>
      <c r="V688" s="1824">
        <f>IF(ISBLANK(INDEX(MO_IS_FirstRow,0,COLUMN())),0,ROUND(V526-V356,6))</f>
        <v/>
      </c>
      <c r="W688" s="1824">
        <f>IF(ISBLANK(INDEX(MO_IS_FirstRow,0,COLUMN())),0,ROUND(W526-W356,6))</f>
        <v/>
      </c>
      <c r="X688" s="1824">
        <f>IF(ISBLANK(INDEX(MO_IS_FirstRow,0,COLUMN())),0,ROUND(X526-X356,6))</f>
        <v/>
      </c>
      <c r="Y688" s="1824">
        <f>IF(ISBLANK(INDEX(MO_IS_FirstRow,0,COLUMN())),0,ROUND(Y526-Y356,6))</f>
        <v/>
      </c>
      <c r="Z688" s="1824">
        <f>IF(ISBLANK(INDEX(MO_IS_FirstRow,0,COLUMN())),0,ROUND(Z526-Z356,6))</f>
        <v/>
      </c>
      <c r="AA688" s="1824">
        <f>IF(ISBLANK(INDEX(MO_IS_FirstRow,0,COLUMN())),0,ROUND(AA526-AA356,6))</f>
        <v/>
      </c>
      <c r="AB688" s="1824">
        <f>IF(ISBLANK(INDEX(MO_IS_FirstRow,0,COLUMN())),0,ROUND(AB526-AB356,6))</f>
        <v/>
      </c>
      <c r="AC688" s="1824">
        <f>IF(ISBLANK(INDEX(MO_IS_FirstRow,0,COLUMN())),0,ROUND(AC526-AC356,6))</f>
        <v/>
      </c>
      <c r="AD688" s="1824">
        <f>IF(ISBLANK(INDEX(MO_IS_FirstRow,0,COLUMN())),0,ROUND(AD526-AD356,6))</f>
        <v/>
      </c>
      <c r="AE688" s="1824">
        <f>IF(ISBLANK(INDEX(MO_IS_FirstRow,0,COLUMN())),0,ROUND(AE526-AE356,6))</f>
        <v/>
      </c>
      <c r="AF688" s="1824">
        <f>IF(ISBLANK(INDEX(MO_IS_FirstRow,0,COLUMN())),0,ROUND(AF526-AF356,6))</f>
        <v/>
      </c>
      <c r="AG688" s="1824">
        <f>IF(ISBLANK(INDEX(MO_IS_FirstRow,0,COLUMN())),0,ROUND(AG526-AG356,6))</f>
        <v/>
      </c>
      <c r="AH688" s="1824">
        <f>IF(ISBLANK(INDEX(MO_IS_FirstRow,0,COLUMN())),0,ROUND(AH526-AH356,6))</f>
        <v/>
      </c>
      <c r="AI688" s="1824">
        <f>IF(ISBLANK(INDEX(MO_IS_FirstRow,0,COLUMN())),0,ROUND(AI526-AI356,6))</f>
        <v/>
      </c>
      <c r="AJ688" s="1824">
        <f>IF(ISBLANK(INDEX(MO_IS_FirstRow,0,COLUMN())),0,ROUND(AJ526-AJ356,6))</f>
        <v/>
      </c>
      <c r="AK688" s="1824">
        <f>IF(ISBLANK(INDEX(MO_IS_FirstRow,0,COLUMN())),0,ROUND(AK526-AK356,6))</f>
        <v/>
      </c>
      <c r="AL688" s="1824">
        <f>IF(ISBLANK(INDEX(MO_IS_FirstRow,0,COLUMN())),0,ROUND(AL526-AL356,6))</f>
        <v/>
      </c>
      <c r="AM688" s="1824">
        <f>IF(ISBLANK(INDEX(MO_IS_FirstRow,0,COLUMN())),0,ROUND(AM526-AM356,6))</f>
        <v/>
      </c>
      <c r="AN688" s="1824">
        <f>IF(ISBLANK(INDEX(MO_IS_FirstRow,0,COLUMN())),0,ROUND(AN526-AN356,6))</f>
        <v/>
      </c>
      <c r="AO688" s="1824">
        <f>IF(ISBLANK(INDEX(MO_IS_FirstRow,0,COLUMN())),0,ROUND(AO526-AO356,6))</f>
        <v/>
      </c>
      <c r="AP688" s="1824">
        <f>IF(ISBLANK(INDEX(MO_IS_FirstRow,0,COLUMN())),0,ROUND(AP526-AP356,6))</f>
        <v/>
      </c>
      <c r="AQ688" s="1824">
        <f>IF(ISBLANK(INDEX(MO_IS_FirstRow,0,COLUMN())),0,ROUND(AQ526-AQ356,6))</f>
        <v/>
      </c>
      <c r="AR688" s="1824">
        <f>IF(ISBLANK(INDEX(MO_IS_FirstRow,0,COLUMN())),0,ROUND(AR526-AR356,6))</f>
        <v/>
      </c>
      <c r="AS688" s="1824">
        <f>IF(ISBLANK(INDEX(MO_IS_FirstRow,0,COLUMN())),0,ROUND(AS526-AS356,6))</f>
        <v/>
      </c>
      <c r="AT688" s="1824">
        <f>IF(ISBLANK(INDEX(MO_IS_FirstRow,0,COLUMN())),0,ROUND(AT526-AT356,6))</f>
        <v/>
      </c>
      <c r="AU688" s="1824">
        <f>IF(ISBLANK(INDEX(MO_IS_FirstRow,0,COLUMN())),0,ROUND(AU526-AU356,6))</f>
        <v/>
      </c>
      <c r="AV688" s="1824">
        <f>IF(ISBLANK(INDEX(MO_IS_FirstRow,0,COLUMN())),0,ROUND(AV526-AV356,6))</f>
        <v/>
      </c>
      <c r="AW688" s="1824">
        <f>IF(ISBLANK(INDEX(MO_IS_FirstRow,0,COLUMN())),0,ROUND(AW526-AW356,6))</f>
        <v/>
      </c>
      <c r="AX688" s="1824">
        <f>IF(ISBLANK(INDEX(MO_IS_FirstRow,0,COLUMN())),0,ROUND(AX526-AX356,6))</f>
        <v/>
      </c>
      <c r="AY688" s="1824">
        <f>IF(ISBLANK(INDEX(MO_IS_FirstRow,0,COLUMN())),0,ROUND(AY526-AY356,6))</f>
        <v/>
      </c>
      <c r="AZ688" s="1824">
        <f>IF(ISBLANK(INDEX(MO_IS_FirstRow,0,COLUMN())),0,ROUND(AZ526-AZ356,6))</f>
        <v/>
      </c>
      <c r="BA688" s="1824">
        <f>IF(ISBLANK(INDEX(MO_IS_FirstRow,0,COLUMN())),0,ROUND(BA526-BA356,6))</f>
        <v/>
      </c>
      <c r="BB688" s="1824">
        <f>IF(ISBLANK(INDEX(MO_IS_FirstRow,0,COLUMN())),0,ROUND(BB526-BB356,6))</f>
        <v/>
      </c>
      <c r="BC688" s="1824">
        <f>IF(ISBLANK(INDEX(MO_IS_FirstRow,0,COLUMN())),0,ROUND(BC526-BC356,6))</f>
        <v/>
      </c>
      <c r="BD688" s="1824">
        <f>IF(ISBLANK(INDEX(MO_IS_FirstRow,0,COLUMN())),0,ROUND(BD526-BD356,6))</f>
        <v/>
      </c>
      <c r="BE688" s="1824">
        <f>IF(ISBLANK(INDEX(MO_IS_FirstRow,0,COLUMN())),0,ROUND(BE526-BE356,6))</f>
        <v/>
      </c>
      <c r="BF688" s="1824">
        <f>IF(ISBLANK(INDEX(MO_IS_FirstRow,0,COLUMN())),0,ROUND(BF526-BF356,6))</f>
        <v/>
      </c>
      <c r="BG688" s="1824">
        <f>IF(ISBLANK(INDEX(MO_IS_FirstRow,0,COLUMN())),0,ROUND(BG526-BG356,6))</f>
        <v/>
      </c>
      <c r="BH688" s="1824">
        <f>IF(ISBLANK(INDEX(MO_IS_FirstRow,0,COLUMN())),0,ROUND(BH526-BH356,6))</f>
        <v/>
      </c>
      <c r="BI688" s="1824">
        <f>IF(ISBLANK(INDEX(MO_IS_FirstRow,0,COLUMN())),0,ROUND(BI526-BI356,6))</f>
        <v/>
      </c>
      <c r="BJ688" s="1824">
        <f>IF(ISBLANK(INDEX(MO_IS_FirstRow,0,COLUMN())),0,ROUND(BJ526-BJ356,6))</f>
        <v/>
      </c>
      <c r="BK688" s="1824">
        <f>IF(ISBLANK(INDEX(MO_IS_FirstRow,0,COLUMN())),0,ROUND(BK526-BK356,6))</f>
        <v/>
      </c>
      <c r="BL688" s="1824">
        <f>IF(ISBLANK(INDEX(MO_IS_FirstRow,0,COLUMN())),0,ROUND(BL526-BL356,6))</f>
        <v/>
      </c>
      <c r="BM688" s="1824">
        <f>IF(ISBLANK(INDEX(MO_IS_FirstRow,0,COLUMN())),0,ROUND(BM526-BM356,6))</f>
        <v/>
      </c>
      <c r="BN688" s="1824">
        <f>IF(ISBLANK(INDEX(MO_IS_FirstRow,0,COLUMN())),0,ROUND(BN526-BN356,6))</f>
        <v/>
      </c>
      <c r="BO688" s="1825">
        <f>IF(ISBLANK(INDEX(MO_IS_FirstRow,0,COLUMN())),0,ROUND(BO526-BO356,6))</f>
        <v/>
      </c>
      <c r="BP688" s="1824">
        <f>IF(ISBLANK(INDEX(MO_IS_FirstRow,0,COLUMN())),0,ROUND(BP526-BP356,6))</f>
        <v/>
      </c>
      <c r="BQ688" s="1824">
        <f>IF(ISBLANK(INDEX(MO_IS_FirstRow,0,COLUMN())),0,ROUND(BQ526-BQ356,6))</f>
        <v/>
      </c>
      <c r="BR688" s="1824">
        <f>IF(ISBLANK(INDEX(MO_IS_FirstRow,0,COLUMN())),0,ROUND(BR526-BR356,6))</f>
        <v/>
      </c>
      <c r="BS688" s="1824">
        <f>IF(ISBLANK(INDEX(MO_IS_FirstRow,0,COLUMN())),0,ROUND(BS526-BS356,6))</f>
        <v/>
      </c>
      <c r="BT688" s="1824">
        <f>IF(ISBLANK(INDEX(MO_IS_FirstRow,0,COLUMN())),0,ROUND(BT526-BT356,6))</f>
        <v/>
      </c>
      <c r="BU688" s="1824">
        <f>IF(ISBLANK(INDEX(MO_IS_FirstRow,0,COLUMN())),0,ROUND(BU526-BU356,6))</f>
        <v/>
      </c>
      <c r="BV688" s="1824">
        <f>IF(ISBLANK(INDEX(MO_IS_FirstRow,0,COLUMN())),0,ROUND(BV526-BV356,6))</f>
        <v/>
      </c>
      <c r="BW688" s="1824">
        <f>IF(ISBLANK(INDEX(MO_IS_FirstRow,0,COLUMN())),0,ROUND(BW526-BW356,6))</f>
        <v/>
      </c>
      <c r="BX688" s="1824">
        <f>IF(ISBLANK(INDEX(MO_IS_FirstRow,0,COLUMN())),0,ROUND(BX526-BX356,6))</f>
        <v/>
      </c>
      <c r="BY688" s="1824">
        <f>IF(ISBLANK(INDEX(MO_IS_FirstRow,0,COLUMN())),0,ROUND(BY526-BY356,6))</f>
        <v/>
      </c>
      <c r="BZ688" s="1824">
        <f>IF(ISBLANK(INDEX(MO_IS_FirstRow,0,COLUMN())),0,ROUND(BZ526-BZ356,6))</f>
        <v/>
      </c>
      <c r="CA688" s="1824">
        <f>IF(ISBLANK(INDEX(MO_IS_FirstRow,0,COLUMN())),0,ROUND(CA526-CA356,6))</f>
        <v/>
      </c>
      <c r="CB688" s="1824">
        <f>IF(ISBLANK(INDEX(MO_IS_FirstRow,0,COLUMN())),0,ROUND(CB526-CB356,6))</f>
        <v/>
      </c>
      <c r="CC688" s="1564" t="n"/>
    </row>
    <row r="689" ht="15" customFormat="1" customHeight="1" s="1561">
      <c r="A689" s="1564" t="inlineStr">
        <is>
          <t>Net Income on Reported IS = NI on Revised</t>
        </is>
      </c>
      <c r="B689" s="1626" t="n"/>
      <c r="C689" s="1824">
        <f>IF(ISBLANK(INDEX(MO_IS_FirstRow,0,COLUMN())),0,ROUND(C318-C356,6))</f>
        <v/>
      </c>
      <c r="D689" s="1824">
        <f>IF(ISBLANK(INDEX(MO_IS_FirstRow,0,COLUMN())),0,ROUND(D318-D356,6))</f>
        <v/>
      </c>
      <c r="E689" s="1824">
        <f>IF(ISBLANK(INDEX(MO_IS_FirstRow,0,COLUMN())),0,ROUND(E318-E356,6))</f>
        <v/>
      </c>
      <c r="F689" s="1824">
        <f>IF(ISBLANK(INDEX(MO_IS_FirstRow,0,COLUMN())),0,ROUND(F318-F356,6))</f>
        <v/>
      </c>
      <c r="G689" s="1824">
        <f>IF(ISBLANK(INDEX(MO_IS_FirstRow,0,COLUMN())),0,ROUND(G318-G356,6))</f>
        <v/>
      </c>
      <c r="H689" s="1824">
        <f>IF(ISBLANK(INDEX(MO_IS_FirstRow,0,COLUMN())),0,ROUND(H318-H356,6))</f>
        <v/>
      </c>
      <c r="I689" s="1824">
        <f>IF(ISBLANK(INDEX(MO_IS_FirstRow,0,COLUMN())),0,ROUND(I318-I356,6))</f>
        <v/>
      </c>
      <c r="J689" s="1824">
        <f>IF(ISBLANK(INDEX(MO_IS_FirstRow,0,COLUMN())),0,ROUND(J318-J356,6))</f>
        <v/>
      </c>
      <c r="K689" s="1824">
        <f>IF(ISBLANK(INDEX(MO_IS_FirstRow,0,COLUMN())),0,ROUND(K318-K356,6))</f>
        <v/>
      </c>
      <c r="L689" s="1824">
        <f>IF(ISBLANK(INDEX(MO_IS_FirstRow,0,COLUMN())),0,ROUND(L318-L356,6))</f>
        <v/>
      </c>
      <c r="M689" s="1824">
        <f>IF(ISBLANK(INDEX(MO_IS_FirstRow,0,COLUMN())),0,ROUND(M318-M356,6))</f>
        <v/>
      </c>
      <c r="N689" s="1824">
        <f>IF(ISBLANK(INDEX(MO_IS_FirstRow,0,COLUMN())),0,ROUND(N318-N356,6))</f>
        <v/>
      </c>
      <c r="O689" s="1824">
        <f>IF(ISBLANK(INDEX(MO_IS_FirstRow,0,COLUMN())),0,ROUND(O318-O356,6))</f>
        <v/>
      </c>
      <c r="P689" s="1824">
        <f>IF(ISBLANK(INDEX(MO_IS_FirstRow,0,COLUMN())),0,ROUND(P318-P356,6))</f>
        <v/>
      </c>
      <c r="Q689" s="1824">
        <f>IF(ISBLANK(INDEX(MO_IS_FirstRow,0,COLUMN())),0,ROUND(Q318-Q356,6))</f>
        <v/>
      </c>
      <c r="R689" s="1824">
        <f>IF(ISBLANK(INDEX(MO_IS_FirstRow,0,COLUMN())),0,ROUND(R318-R356,6))</f>
        <v/>
      </c>
      <c r="S689" s="1824">
        <f>IF(ISBLANK(INDEX(MO_IS_FirstRow,0,COLUMN())),0,ROUND(S318-S356,6))</f>
        <v/>
      </c>
      <c r="T689" s="1824">
        <f>IF(ISBLANK(INDEX(MO_IS_FirstRow,0,COLUMN())),0,ROUND(T318-T356,6))</f>
        <v/>
      </c>
      <c r="U689" s="1824">
        <f>IF(ISBLANK(INDEX(MO_IS_FirstRow,0,COLUMN())),0,ROUND(U318-U356,6))</f>
        <v/>
      </c>
      <c r="V689" s="1824">
        <f>IF(ISBLANK(INDEX(MO_IS_FirstRow,0,COLUMN())),0,ROUND(V318-V356,6))</f>
        <v/>
      </c>
      <c r="W689" s="1824">
        <f>IF(ISBLANK(INDEX(MO_IS_FirstRow,0,COLUMN())),0,ROUND(W318-W356,6))</f>
        <v/>
      </c>
      <c r="X689" s="1824">
        <f>IF(ISBLANK(INDEX(MO_IS_FirstRow,0,COLUMN())),0,ROUND(X318-X356,6))</f>
        <v/>
      </c>
      <c r="Y689" s="1824">
        <f>IF(ISBLANK(INDEX(MO_IS_FirstRow,0,COLUMN())),0,ROUND(Y318-Y356,6))</f>
        <v/>
      </c>
      <c r="Z689" s="1824">
        <f>IF(ISBLANK(INDEX(MO_IS_FirstRow,0,COLUMN())),0,ROUND(Z318-Z356,6))</f>
        <v/>
      </c>
      <c r="AA689" s="1824">
        <f>IF(ISBLANK(INDEX(MO_IS_FirstRow,0,COLUMN())),0,ROUND(AA318-AA356,6))</f>
        <v/>
      </c>
      <c r="AB689" s="1824">
        <f>IF(ISBLANK(INDEX(MO_IS_FirstRow,0,COLUMN())),0,ROUND(AB318-AB356,6))</f>
        <v/>
      </c>
      <c r="AC689" s="1824">
        <f>IF(ISBLANK(INDEX(MO_IS_FirstRow,0,COLUMN())),0,ROUND(AC318-AC356,6))</f>
        <v/>
      </c>
      <c r="AD689" s="1824">
        <f>IF(ISBLANK(INDEX(MO_IS_FirstRow,0,COLUMN())),0,ROUND(AD318-AD356,6))</f>
        <v/>
      </c>
      <c r="AE689" s="1824">
        <f>IF(ISBLANK(INDEX(MO_IS_FirstRow,0,COLUMN())),0,ROUND(AE318-AE356,6))</f>
        <v/>
      </c>
      <c r="AF689" s="1824">
        <f>IF(ISBLANK(INDEX(MO_IS_FirstRow,0,COLUMN())),0,ROUND(AF318-AF356,6))</f>
        <v/>
      </c>
      <c r="AG689" s="1824">
        <f>IF(ISBLANK(INDEX(MO_IS_FirstRow,0,COLUMN())),0,ROUND(AG318-AG356,6))</f>
        <v/>
      </c>
      <c r="AH689" s="1824">
        <f>IF(ISBLANK(INDEX(MO_IS_FirstRow,0,COLUMN())),0,ROUND(AH318-AH356,6))</f>
        <v/>
      </c>
      <c r="AI689" s="1824">
        <f>IF(ISBLANK(INDEX(MO_IS_FirstRow,0,COLUMN())),0,ROUND(AI318-AI356,6))</f>
        <v/>
      </c>
      <c r="AJ689" s="1824">
        <f>IF(ISBLANK(INDEX(MO_IS_FirstRow,0,COLUMN())),0,ROUND(AJ318-AJ356,6))</f>
        <v/>
      </c>
      <c r="AK689" s="1824">
        <f>IF(ISBLANK(INDEX(MO_IS_FirstRow,0,COLUMN())),0,ROUND(AK318-AK356,6))</f>
        <v/>
      </c>
      <c r="AL689" s="1824">
        <f>IF(ISBLANK(INDEX(MO_IS_FirstRow,0,COLUMN())),0,ROUND(AL318-AL356,6))</f>
        <v/>
      </c>
      <c r="AM689" s="1824">
        <f>IF(ISBLANK(INDEX(MO_IS_FirstRow,0,COLUMN())),0,ROUND(AM318-AM356,6))</f>
        <v/>
      </c>
      <c r="AN689" s="1824">
        <f>IF(ISBLANK(INDEX(MO_IS_FirstRow,0,COLUMN())),0,ROUND(AN318-AN356,6))</f>
        <v/>
      </c>
      <c r="AO689" s="1824">
        <f>IF(ISBLANK(INDEX(MO_IS_FirstRow,0,COLUMN())),0,ROUND(AO318-AO356,6))</f>
        <v/>
      </c>
      <c r="AP689" s="1824">
        <f>IF(ISBLANK(INDEX(MO_IS_FirstRow,0,COLUMN())),0,ROUND(AP318-AP356,6))</f>
        <v/>
      </c>
      <c r="AQ689" s="1824">
        <f>IF(ISBLANK(INDEX(MO_IS_FirstRow,0,COLUMN())),0,ROUND(AQ318-AQ356,6))</f>
        <v/>
      </c>
      <c r="AR689" s="1824">
        <f>IF(ISBLANK(INDEX(MO_IS_FirstRow,0,COLUMN())),0,ROUND(AR318-AR356,6))</f>
        <v/>
      </c>
      <c r="AS689" s="1824">
        <f>IF(ISBLANK(INDEX(MO_IS_FirstRow,0,COLUMN())),0,ROUND(AS318-AS356,6))</f>
        <v/>
      </c>
      <c r="AT689" s="1824">
        <f>IF(ISBLANK(INDEX(MO_IS_FirstRow,0,COLUMN())),0,ROUND(AT318-AT356,6))</f>
        <v/>
      </c>
      <c r="AU689" s="1824">
        <f>IF(ISBLANK(INDEX(MO_IS_FirstRow,0,COLUMN())),0,ROUND(AU318-AU356,6))</f>
        <v/>
      </c>
      <c r="AV689" s="1824">
        <f>IF(ISBLANK(INDEX(MO_IS_FirstRow,0,COLUMN())),0,ROUND(AV318-AV356,6))</f>
        <v/>
      </c>
      <c r="AW689" s="1824">
        <f>IF(ISBLANK(INDEX(MO_IS_FirstRow,0,COLUMN())),0,ROUND(AW318-AW356,6))</f>
        <v/>
      </c>
      <c r="AX689" s="1824">
        <f>IF(ISBLANK(INDEX(MO_IS_FirstRow,0,COLUMN())),0,ROUND(AX318-AX356,6))</f>
        <v/>
      </c>
      <c r="AY689" s="1824">
        <f>IF(ISBLANK(INDEX(MO_IS_FirstRow,0,COLUMN())),0,ROUND(AY318-AY356,6))</f>
        <v/>
      </c>
      <c r="AZ689" s="1824">
        <f>IF(ISBLANK(INDEX(MO_IS_FirstRow,0,COLUMN())),0,ROUND(AZ318-AZ356,6))</f>
        <v/>
      </c>
      <c r="BA689" s="1824">
        <f>IF(ISBLANK(INDEX(MO_IS_FirstRow,0,COLUMN())),0,ROUND(BA318-BA356,6))</f>
        <v/>
      </c>
      <c r="BB689" s="1824">
        <f>IF(ISBLANK(INDEX(MO_IS_FirstRow,0,COLUMN())),0,ROUND(BB318-BB356,6))</f>
        <v/>
      </c>
      <c r="BC689" s="1824">
        <f>IF(ISBLANK(INDEX(MO_IS_FirstRow,0,COLUMN())),0,ROUND(BC318-BC356,6))</f>
        <v/>
      </c>
      <c r="BD689" s="1824">
        <f>IF(ISBLANK(INDEX(MO_IS_FirstRow,0,COLUMN())),0,ROUND(BD318-BD356,6))</f>
        <v/>
      </c>
      <c r="BE689" s="1824">
        <f>IF(ISBLANK(INDEX(MO_IS_FirstRow,0,COLUMN())),0,ROUND(BE318-BE356,6))</f>
        <v/>
      </c>
      <c r="BF689" s="1824">
        <f>IF(ISBLANK(INDEX(MO_IS_FirstRow,0,COLUMN())),0,ROUND(BF318-BF356,6))</f>
        <v/>
      </c>
      <c r="BG689" s="1824">
        <f>IF(ISBLANK(INDEX(MO_IS_FirstRow,0,COLUMN())),0,ROUND(BG318-BG356,6))</f>
        <v/>
      </c>
      <c r="BH689" s="1824">
        <f>IF(ISBLANK(INDEX(MO_IS_FirstRow,0,COLUMN())),0,ROUND(BH318-BH356,6))</f>
        <v/>
      </c>
      <c r="BI689" s="1824">
        <f>IF(ISBLANK(INDEX(MO_IS_FirstRow,0,COLUMN())),0,ROUND(BI318-BI356,6))</f>
        <v/>
      </c>
      <c r="BJ689" s="1824">
        <f>IF(ISBLANK(INDEX(MO_IS_FirstRow,0,COLUMN())),0,ROUND(BJ318-BJ356,6))</f>
        <v/>
      </c>
      <c r="BK689" s="1824">
        <f>IF(ISBLANK(INDEX(MO_IS_FirstRow,0,COLUMN())),0,ROUND(BK318-BK356,6))</f>
        <v/>
      </c>
      <c r="BL689" s="1824">
        <f>IF(ISBLANK(INDEX(MO_IS_FirstRow,0,COLUMN())),0,ROUND(BL318-BL356,6))</f>
        <v/>
      </c>
      <c r="BM689" s="1824">
        <f>IF(ISBLANK(INDEX(MO_IS_FirstRow,0,COLUMN())),0,ROUND(BM318-BM356,6))</f>
        <v/>
      </c>
      <c r="BN689" s="1824">
        <f>IF(ISBLANK(INDEX(MO_IS_FirstRow,0,COLUMN())),0,ROUND(BN318-BN356,6))</f>
        <v/>
      </c>
      <c r="BO689" s="1825">
        <f>IF(ISBLANK(INDEX(MO_IS_FirstRow,0,COLUMN())),0,ROUND(BO318-BO356,6))</f>
        <v/>
      </c>
      <c r="BP689" s="1824">
        <f>IF(ISBLANK(INDEX(MO_IS_FirstRow,0,COLUMN())),0,ROUND(BP318-BP356,6))</f>
        <v/>
      </c>
      <c r="BQ689" s="1824">
        <f>IF(ISBLANK(INDEX(MO_IS_FirstRow,0,COLUMN())),0,ROUND(BQ318-BQ356,6))</f>
        <v/>
      </c>
      <c r="BR689" s="1824">
        <f>IF(ISBLANK(INDEX(MO_IS_FirstRow,0,COLUMN())),0,ROUND(BR318-BR356,6))</f>
        <v/>
      </c>
      <c r="BS689" s="1824">
        <f>IF(ISBLANK(INDEX(MO_IS_FirstRow,0,COLUMN())),0,ROUND(BS318-BS356,6))</f>
        <v/>
      </c>
      <c r="BT689" s="1824">
        <f>IF(ISBLANK(INDEX(MO_IS_FirstRow,0,COLUMN())),0,ROUND(BT318-BT356,6))</f>
        <v/>
      </c>
      <c r="BU689" s="1824">
        <f>IF(ISBLANK(INDEX(MO_IS_FirstRow,0,COLUMN())),0,ROUND(BU318-BU356,6))</f>
        <v/>
      </c>
      <c r="BV689" s="1824">
        <f>IF(ISBLANK(INDEX(MO_IS_FirstRow,0,COLUMN())),0,ROUND(BV318-BV356,6))</f>
        <v/>
      </c>
      <c r="BW689" s="1824">
        <f>IF(ISBLANK(INDEX(MO_IS_FirstRow,0,COLUMN())),0,ROUND(BW318-BW356,6))</f>
        <v/>
      </c>
      <c r="BX689" s="1824">
        <f>IF(ISBLANK(INDEX(MO_IS_FirstRow,0,COLUMN())),0,ROUND(BX318-BX356,6))</f>
        <v/>
      </c>
      <c r="BY689" s="1824">
        <f>IF(ISBLANK(INDEX(MO_IS_FirstRow,0,COLUMN())),0,ROUND(BY318-BY356,6))</f>
        <v/>
      </c>
      <c r="BZ689" s="1824">
        <f>IF(ISBLANK(INDEX(MO_IS_FirstRow,0,COLUMN())),0,ROUND(BZ318-BZ356,6))</f>
        <v/>
      </c>
      <c r="CA689" s="1824">
        <f>IF(ISBLANK(INDEX(MO_IS_FirstRow,0,COLUMN())),0,ROUND(CA318-CA356,6))</f>
        <v/>
      </c>
      <c r="CB689" s="1824">
        <f>IF(ISBLANK(INDEX(MO_IS_FirstRow,0,COLUMN())),0,ROUND(CB318-CB356,6))</f>
        <v/>
      </c>
      <c r="CC689" s="1564" t="n"/>
    </row>
    <row r="690" ht="15" customFormat="1" customHeight="1" s="1561">
      <c r="A690" s="1564" t="inlineStr">
        <is>
          <t>Cash is Positive</t>
        </is>
      </c>
      <c r="B690" s="1626" t="n"/>
      <c r="C690" s="1824">
        <f>IF(C427&lt;0,C427,0)</f>
        <v/>
      </c>
      <c r="D690" s="1824">
        <f>IF(D427&lt;0,D427,0)</f>
        <v/>
      </c>
      <c r="E690" s="1824">
        <f>IF(E427&lt;0,E427,0)</f>
        <v/>
      </c>
      <c r="F690" s="1824">
        <f>IF(F427&lt;0,F427,0)</f>
        <v/>
      </c>
      <c r="G690" s="1824">
        <f>IF(G427&lt;0,G427,0)</f>
        <v/>
      </c>
      <c r="H690" s="1824">
        <f>IF(H427&lt;0,H427,0)</f>
        <v/>
      </c>
      <c r="I690" s="1824">
        <f>IF(I427&lt;0,I427,0)</f>
        <v/>
      </c>
      <c r="J690" s="1824">
        <f>IF(J427&lt;0,J427,0)</f>
        <v/>
      </c>
      <c r="K690" s="1824">
        <f>IF(K427&lt;0,K427,0)</f>
        <v/>
      </c>
      <c r="L690" s="1824">
        <f>IF(L427&lt;0,L427,0)</f>
        <v/>
      </c>
      <c r="M690" s="1824">
        <f>IF(M427&lt;0,M427,0)</f>
        <v/>
      </c>
      <c r="N690" s="1824">
        <f>IF(N427&lt;0,N427,0)</f>
        <v/>
      </c>
      <c r="O690" s="1824">
        <f>IF(O427&lt;0,O427,0)</f>
        <v/>
      </c>
      <c r="P690" s="1824">
        <f>IF(P427&lt;0,P427,0)</f>
        <v/>
      </c>
      <c r="Q690" s="1824">
        <f>IF(Q427&lt;0,Q427,0)</f>
        <v/>
      </c>
      <c r="R690" s="1824">
        <f>IF(R427&lt;0,R427,0)</f>
        <v/>
      </c>
      <c r="S690" s="1824">
        <f>IF(S427&lt;0,S427,0)</f>
        <v/>
      </c>
      <c r="T690" s="1824">
        <f>IF(T427&lt;0,T427,0)</f>
        <v/>
      </c>
      <c r="U690" s="1824">
        <f>IF(U427&lt;0,U427,0)</f>
        <v/>
      </c>
      <c r="V690" s="1824">
        <f>IF(V427&lt;0,V427,0)</f>
        <v/>
      </c>
      <c r="W690" s="1824">
        <f>IF(W427&lt;0,W427,0)</f>
        <v/>
      </c>
      <c r="X690" s="1824">
        <f>IF(X427&lt;0,X427,0)</f>
        <v/>
      </c>
      <c r="Y690" s="1824">
        <f>IF(Y427&lt;0,Y427,0)</f>
        <v/>
      </c>
      <c r="Z690" s="1824">
        <f>IF(Z427&lt;0,Z427,0)</f>
        <v/>
      </c>
      <c r="AA690" s="1824">
        <f>IF(AA427&lt;0,AA427,0)</f>
        <v/>
      </c>
      <c r="AB690" s="1824">
        <f>IF(AB427&lt;0,AB427,0)</f>
        <v/>
      </c>
      <c r="AC690" s="1824">
        <f>IF(AC427&lt;0,AC427,0)</f>
        <v/>
      </c>
      <c r="AD690" s="1824">
        <f>IF(AD427&lt;0,AD427,0)</f>
        <v/>
      </c>
      <c r="AE690" s="1824">
        <f>IF(AE427&lt;0,AE427,0)</f>
        <v/>
      </c>
      <c r="AF690" s="1824">
        <f>IF(AF427&lt;0,AF427,0)</f>
        <v/>
      </c>
      <c r="AG690" s="1824">
        <f>IF(AG427&lt;0,AG427,0)</f>
        <v/>
      </c>
      <c r="AH690" s="1824">
        <f>IF(AH427&lt;0,AH427,0)</f>
        <v/>
      </c>
      <c r="AI690" s="1824">
        <f>IF(AI427&lt;0,AI427,0)</f>
        <v/>
      </c>
      <c r="AJ690" s="1824">
        <f>IF(AJ427&lt;0,AJ427,0)</f>
        <v/>
      </c>
      <c r="AK690" s="1824">
        <f>IF(AK427&lt;0,AK427,0)</f>
        <v/>
      </c>
      <c r="AL690" s="1824">
        <f>IF(AL427&lt;0,AL427,0)</f>
        <v/>
      </c>
      <c r="AM690" s="1824">
        <f>IF(AM427&lt;0,AM427,0)</f>
        <v/>
      </c>
      <c r="AN690" s="1824">
        <f>IF(AN427&lt;0,AN427,0)</f>
        <v/>
      </c>
      <c r="AO690" s="1824">
        <f>IF(AO427&lt;0,AO427,0)</f>
        <v/>
      </c>
      <c r="AP690" s="1824">
        <f>IF(AP427&lt;0,AP427,0)</f>
        <v/>
      </c>
      <c r="AQ690" s="1824">
        <f>IF(AQ427&lt;0,AQ427,0)</f>
        <v/>
      </c>
      <c r="AR690" s="1824">
        <f>IF(AR427&lt;0,AR427,0)</f>
        <v/>
      </c>
      <c r="AS690" s="1824">
        <f>IF(AS427&lt;0,AS427,0)</f>
        <v/>
      </c>
      <c r="AT690" s="1824">
        <f>IF(AT427&lt;0,AT427,0)</f>
        <v/>
      </c>
      <c r="AU690" s="1824">
        <f>IF(AU427&lt;0,AU427,0)</f>
        <v/>
      </c>
      <c r="AV690" s="1824">
        <f>IF(AV427&lt;0,AV427,0)</f>
        <v/>
      </c>
      <c r="AW690" s="1824">
        <f>IF(AW427&lt;0,AW427,0)</f>
        <v/>
      </c>
      <c r="AX690" s="1824">
        <f>IF(AX427&lt;0,AX427,0)</f>
        <v/>
      </c>
      <c r="AY690" s="1824">
        <f>IF(AY427&lt;0,AY427,0)</f>
        <v/>
      </c>
      <c r="AZ690" s="1824">
        <f>IF(AZ427&lt;0,AZ427,0)</f>
        <v/>
      </c>
      <c r="BA690" s="1824">
        <f>IF(BA427&lt;0,BA427,0)</f>
        <v/>
      </c>
      <c r="BB690" s="1824">
        <f>IF(BB427&lt;0,BB427,0)</f>
        <v/>
      </c>
      <c r="BC690" s="1824">
        <f>IF(BC427&lt;0,BC427,0)</f>
        <v/>
      </c>
      <c r="BD690" s="1824">
        <f>IF(BD427&lt;0,BD427,0)</f>
        <v/>
      </c>
      <c r="BE690" s="1824">
        <f>IF(BE427&lt;0,BE427,0)</f>
        <v/>
      </c>
      <c r="BF690" s="1824">
        <f>IF(BF427&lt;0,BF427,0)</f>
        <v/>
      </c>
      <c r="BG690" s="1824">
        <f>IF(BG427&lt;0,BG427,0)</f>
        <v/>
      </c>
      <c r="BH690" s="1824">
        <f>IF(BH427&lt;0,BH427,0)</f>
        <v/>
      </c>
      <c r="BI690" s="1824">
        <f>IF(BI427&lt;0,BI427,0)</f>
        <v/>
      </c>
      <c r="BJ690" s="1824">
        <f>IF(BJ427&lt;0,BJ427,0)</f>
        <v/>
      </c>
      <c r="BK690" s="1824">
        <f>IF(BK427&lt;0,BK427,0)</f>
        <v/>
      </c>
      <c r="BL690" s="1824">
        <f>IF(BL427&lt;0,BL427,0)</f>
        <v/>
      </c>
      <c r="BM690" s="1824">
        <f>IF(BM427&lt;0,BM427,0)</f>
        <v/>
      </c>
      <c r="BN690" s="1824">
        <f>IF(BN427&lt;0,BN427,0)</f>
        <v/>
      </c>
      <c r="BO690" s="1825">
        <f>IF(BO427&lt;0,BO427,0)</f>
        <v/>
      </c>
      <c r="BP690" s="1824">
        <f>IF(BP427&lt;0,BP427,0)</f>
        <v/>
      </c>
      <c r="BQ690" s="1824">
        <f>IF(BQ427&lt;0,BQ427,0)</f>
        <v/>
      </c>
      <c r="BR690" s="1824">
        <f>IF(BR427&lt;0,BR427,0)</f>
        <v/>
      </c>
      <c r="BS690" s="1824">
        <f>IF(BS427&lt;0,BS427,0)</f>
        <v/>
      </c>
      <c r="BT690" s="1824">
        <f>IF(BT427&lt;0,BT427,0)</f>
        <v/>
      </c>
      <c r="BU690" s="1824">
        <f>IF(BU427&lt;0,BU427,0)</f>
        <v/>
      </c>
      <c r="BV690" s="1824">
        <f>IF(BV427&lt;0,BV427,0)</f>
        <v/>
      </c>
      <c r="BW690" s="1824">
        <f>IF(BW427&lt;0,BW427,0)</f>
        <v/>
      </c>
      <c r="BX690" s="1824">
        <f>IF(BX427&lt;0,BX427,0)</f>
        <v/>
      </c>
      <c r="BY690" s="1824">
        <f>IF(BY427&lt;0,BY427,0)</f>
        <v/>
      </c>
      <c r="BZ690" s="1824">
        <f>IF(BZ427&lt;0,BZ427,0)</f>
        <v/>
      </c>
      <c r="CA690" s="1824">
        <f>IF(CA427&lt;0,CA427,0)</f>
        <v/>
      </c>
      <c r="CB690" s="1824">
        <f>IF(CB427&lt;0,CB427,0)</f>
        <v/>
      </c>
      <c r="CC690" s="1564" t="n"/>
    </row>
    <row r="691" ht="15" customFormat="1" customHeight="1" s="1561">
      <c r="A691" s="1564" t="inlineStr">
        <is>
          <t>Debt is Positive</t>
        </is>
      </c>
      <c r="B691" s="1626" t="n"/>
      <c r="C691" s="1824">
        <f>IF(C430&lt;0,C430,0)</f>
        <v/>
      </c>
      <c r="D691" s="1824">
        <f>IF(D430&lt;0,D430,0)</f>
        <v/>
      </c>
      <c r="E691" s="1824">
        <f>IF(E430&lt;0,E430,0)</f>
        <v/>
      </c>
      <c r="F691" s="1824">
        <f>IF(F430&lt;0,F430,0)</f>
        <v/>
      </c>
      <c r="G691" s="1824">
        <f>IF(G430&lt;0,G430,0)</f>
        <v/>
      </c>
      <c r="H691" s="1824">
        <f>IF(H430&lt;0,H430,0)</f>
        <v/>
      </c>
      <c r="I691" s="1824">
        <f>IF(I430&lt;0,I430,0)</f>
        <v/>
      </c>
      <c r="J691" s="1824">
        <f>IF(J430&lt;0,J430,0)</f>
        <v/>
      </c>
      <c r="K691" s="1824">
        <f>IF(K430&lt;0,K430,0)</f>
        <v/>
      </c>
      <c r="L691" s="1824">
        <f>IF(L430&lt;0,L430,0)</f>
        <v/>
      </c>
      <c r="M691" s="1824">
        <f>IF(M430&lt;0,M430,0)</f>
        <v/>
      </c>
      <c r="N691" s="1824">
        <f>IF(N430&lt;0,N430,0)</f>
        <v/>
      </c>
      <c r="O691" s="1824">
        <f>IF(O430&lt;0,O430,0)</f>
        <v/>
      </c>
      <c r="P691" s="1824">
        <f>IF(P430&lt;0,P430,0)</f>
        <v/>
      </c>
      <c r="Q691" s="1824">
        <f>IF(Q430&lt;0,Q430,0)</f>
        <v/>
      </c>
      <c r="R691" s="1824">
        <f>IF(R430&lt;0,R430,0)</f>
        <v/>
      </c>
      <c r="S691" s="1824">
        <f>IF(S430&lt;0,S430,0)</f>
        <v/>
      </c>
      <c r="T691" s="1824">
        <f>IF(T430&lt;0,T430,0)</f>
        <v/>
      </c>
      <c r="U691" s="1824">
        <f>IF(U430&lt;0,U430,0)</f>
        <v/>
      </c>
      <c r="V691" s="1824">
        <f>IF(V430&lt;0,V430,0)</f>
        <v/>
      </c>
      <c r="W691" s="1824">
        <f>IF(W430&lt;0,W430,0)</f>
        <v/>
      </c>
      <c r="X691" s="1824">
        <f>IF(X430&lt;0,X430,0)</f>
        <v/>
      </c>
      <c r="Y691" s="1824">
        <f>IF(Y430&lt;0,Y430,0)</f>
        <v/>
      </c>
      <c r="Z691" s="1824">
        <f>IF(Z430&lt;0,Z430,0)</f>
        <v/>
      </c>
      <c r="AA691" s="1824">
        <f>IF(AA430&lt;0,AA430,0)</f>
        <v/>
      </c>
      <c r="AB691" s="1824">
        <f>IF(AB430&lt;0,AB430,0)</f>
        <v/>
      </c>
      <c r="AC691" s="1824">
        <f>IF(AC430&lt;0,AC430,0)</f>
        <v/>
      </c>
      <c r="AD691" s="1824">
        <f>IF(AD430&lt;0,AD430,0)</f>
        <v/>
      </c>
      <c r="AE691" s="1824">
        <f>IF(AE430&lt;0,AE430,0)</f>
        <v/>
      </c>
      <c r="AF691" s="1824">
        <f>IF(AF430&lt;0,AF430,0)</f>
        <v/>
      </c>
      <c r="AG691" s="1824">
        <f>IF(AG430&lt;0,AG430,0)</f>
        <v/>
      </c>
      <c r="AH691" s="1824">
        <f>IF(AH430&lt;0,AH430,0)</f>
        <v/>
      </c>
      <c r="AI691" s="1824">
        <f>IF(AI430&lt;0,AI430,0)</f>
        <v/>
      </c>
      <c r="AJ691" s="1824">
        <f>IF(AJ430&lt;0,AJ430,0)</f>
        <v/>
      </c>
      <c r="AK691" s="1824">
        <f>IF(AK430&lt;0,AK430,0)</f>
        <v/>
      </c>
      <c r="AL691" s="1824">
        <f>IF(AL430&lt;0,AL430,0)</f>
        <v/>
      </c>
      <c r="AM691" s="1824">
        <f>IF(AM430&lt;0,AM430,0)</f>
        <v/>
      </c>
      <c r="AN691" s="1824">
        <f>IF(AN430&lt;0,AN430,0)</f>
        <v/>
      </c>
      <c r="AO691" s="1824">
        <f>IF(AO430&lt;0,AO430,0)</f>
        <v/>
      </c>
      <c r="AP691" s="1824">
        <f>IF(AP430&lt;0,AP430,0)</f>
        <v/>
      </c>
      <c r="AQ691" s="1824">
        <f>IF(AQ430&lt;0,AQ430,0)</f>
        <v/>
      </c>
      <c r="AR691" s="1824">
        <f>IF(AR430&lt;0,AR430,0)</f>
        <v/>
      </c>
      <c r="AS691" s="1824">
        <f>IF(AS430&lt;0,AS430,0)</f>
        <v/>
      </c>
      <c r="AT691" s="1824">
        <f>IF(AT430&lt;0,AT430,0)</f>
        <v/>
      </c>
      <c r="AU691" s="1824">
        <f>IF(AU430&lt;0,AU430,0)</f>
        <v/>
      </c>
      <c r="AV691" s="1824">
        <f>IF(AV430&lt;0,AV430,0)</f>
        <v/>
      </c>
      <c r="AW691" s="1824">
        <f>IF(AW430&lt;0,AW430,0)</f>
        <v/>
      </c>
      <c r="AX691" s="1824">
        <f>IF(AX430&lt;0,AX430,0)</f>
        <v/>
      </c>
      <c r="AY691" s="1824">
        <f>IF(AY430&lt;0,AY430,0)</f>
        <v/>
      </c>
      <c r="AZ691" s="1824">
        <f>IF(AZ430&lt;0,AZ430,0)</f>
        <v/>
      </c>
      <c r="BA691" s="1824">
        <f>IF(BA430&lt;0,BA430,0)</f>
        <v/>
      </c>
      <c r="BB691" s="1824">
        <f>IF(BB430&lt;0,BB430,0)</f>
        <v/>
      </c>
      <c r="BC691" s="1824">
        <f>IF(BC430&lt;0,BC430,0)</f>
        <v/>
      </c>
      <c r="BD691" s="1824">
        <f>IF(BD430&lt;0,BD430,0)</f>
        <v/>
      </c>
      <c r="BE691" s="1824">
        <f>IF(BE430&lt;0,BE430,0)</f>
        <v/>
      </c>
      <c r="BF691" s="1824">
        <f>IF(BF430&lt;0,BF430,0)</f>
        <v/>
      </c>
      <c r="BG691" s="1824">
        <f>IF(BG430&lt;0,BG430,0)</f>
        <v/>
      </c>
      <c r="BH691" s="1824">
        <f>IF(BH430&lt;0,BH430,0)</f>
        <v/>
      </c>
      <c r="BI691" s="1824">
        <f>IF(BI430&lt;0,BI430,0)</f>
        <v/>
      </c>
      <c r="BJ691" s="1824">
        <f>IF(BJ430&lt;0,BJ430,0)</f>
        <v/>
      </c>
      <c r="BK691" s="1824">
        <f>IF(BK430&lt;0,BK430,0)</f>
        <v/>
      </c>
      <c r="BL691" s="1824">
        <f>IF(BL430&lt;0,BL430,0)</f>
        <v/>
      </c>
      <c r="BM691" s="1824">
        <f>IF(BM430&lt;0,BM430,0)</f>
        <v/>
      </c>
      <c r="BN691" s="1824">
        <f>IF(BN430&lt;0,BN430,0)</f>
        <v/>
      </c>
      <c r="BO691" s="1825">
        <f>IF(BO430&lt;0,BO430,0)</f>
        <v/>
      </c>
      <c r="BP691" s="1824">
        <f>IF(BP430&lt;0,BP430,0)</f>
        <v/>
      </c>
      <c r="BQ691" s="1824">
        <f>IF(BQ430&lt;0,BQ430,0)</f>
        <v/>
      </c>
      <c r="BR691" s="1824">
        <f>IF(BR430&lt;0,BR430,0)</f>
        <v/>
      </c>
      <c r="BS691" s="1824">
        <f>IF(BS430&lt;0,BS430,0)</f>
        <v/>
      </c>
      <c r="BT691" s="1824">
        <f>IF(BT430&lt;0,BT430,0)</f>
        <v/>
      </c>
      <c r="BU691" s="1824">
        <f>IF(BU430&lt;0,BU430,0)</f>
        <v/>
      </c>
      <c r="BV691" s="1824">
        <f>IF(BV430&lt;0,BV430,0)</f>
        <v/>
      </c>
      <c r="BW691" s="1824">
        <f>IF(BW430&lt;0,BW430,0)</f>
        <v/>
      </c>
      <c r="BX691" s="1824">
        <f>IF(BX430&lt;0,BX430,0)</f>
        <v/>
      </c>
      <c r="BY691" s="1824">
        <f>IF(BY430&lt;0,BY430,0)</f>
        <v/>
      </c>
      <c r="BZ691" s="1824">
        <f>IF(BZ430&lt;0,BZ430,0)</f>
        <v/>
      </c>
      <c r="CA691" s="1824">
        <f>IF(CA430&lt;0,CA430,0)</f>
        <v/>
      </c>
      <c r="CB691" s="1824">
        <f>IF(CB430&lt;0,CB430,0)</f>
        <v/>
      </c>
      <c r="CC691" s="1564" t="n"/>
    </row>
    <row r="692" ht="15" customFormat="1" customHeight="1" s="1561">
      <c r="A692" s="1564" t="inlineStr">
        <is>
          <t>Segmented Revenue = Revenue</t>
        </is>
      </c>
      <c r="B692" s="1626" t="n"/>
      <c r="C692" s="1824">
        <f>IF(AND(ISBLANK(C41)),0,ROUND(C329-C41,6))</f>
        <v/>
      </c>
      <c r="D692" s="1824">
        <f>IF(AND(ISBLANK(D41)),0,ROUND(D329-D41,6))</f>
        <v/>
      </c>
      <c r="E692" s="1824">
        <f>IF(AND(ISBLANK(E41)),0,ROUND(E329-E41,6))</f>
        <v/>
      </c>
      <c r="F692" s="1824">
        <f>IF(AND(ISBLANK(F41)),0,ROUND(F329-F41,6))</f>
        <v/>
      </c>
      <c r="G692" s="1824">
        <f>IF(AND(ISBLANK(G41)),0,ROUND(G329-G41,6))</f>
        <v/>
      </c>
      <c r="H692" s="1824">
        <f>IF(AND(ISBLANK(H41)),0,ROUND(H329-H41,6))</f>
        <v/>
      </c>
      <c r="I692" s="1824">
        <f>IF(AND(ISBLANK(I41)),0,ROUND(I329-I41,6))</f>
        <v/>
      </c>
      <c r="J692" s="1824">
        <f>IF(AND(ISBLANK(J41)),0,ROUND(J329-J41,6))</f>
        <v/>
      </c>
      <c r="K692" s="1824">
        <f>IF(AND(ISBLANK(K41)),0,ROUND(K329-K41,6))</f>
        <v/>
      </c>
      <c r="L692" s="1824">
        <f>IF(AND(ISBLANK(L41)),0,ROUND(L329-L41,6))</f>
        <v/>
      </c>
      <c r="M692" s="1824">
        <f>IF(AND(ISBLANK(M41)),0,ROUND(M329-M41,6))</f>
        <v/>
      </c>
      <c r="N692" s="1824">
        <f>IF(AND(ISBLANK(N41)),0,ROUND(N329-N41,6))</f>
        <v/>
      </c>
      <c r="O692" s="1824">
        <f>IF(AND(ISBLANK(O41)),0,ROUND(O329-O41,6))</f>
        <v/>
      </c>
      <c r="P692" s="1824">
        <f>IF(AND(ISBLANK(P41)),0,ROUND(P329-P41,6))</f>
        <v/>
      </c>
      <c r="Q692" s="1824">
        <f>IF(AND(ISBLANK(Q41)),0,ROUND(Q329-Q41,6))</f>
        <v/>
      </c>
      <c r="R692" s="1824">
        <f>IF(AND(ISBLANK(R41)),0,ROUND(R329-R41,6))</f>
        <v/>
      </c>
      <c r="S692" s="1824">
        <f>IF(AND(ISBLANK(S41)),0,ROUND(S329-S41,6))</f>
        <v/>
      </c>
      <c r="T692" s="1824">
        <f>IF(AND(ISBLANK(T41)),0,ROUND(T329-T41,6))</f>
        <v/>
      </c>
      <c r="U692" s="1824">
        <f>IF(AND(ISBLANK(U41)),0,ROUND(U329-U41,6))</f>
        <v/>
      </c>
      <c r="V692" s="1824">
        <f>IF(AND(ISBLANK(V41)),0,ROUND(V329-V41,6))</f>
        <v/>
      </c>
      <c r="W692" s="1824">
        <f>IF(AND(ISBLANK(W41)),0,ROUND(W329-W41,6))</f>
        <v/>
      </c>
      <c r="X692" s="1824">
        <f>IF(AND(ISBLANK(X41)),0,ROUND(X329-X41,6))</f>
        <v/>
      </c>
      <c r="Y692" s="1824">
        <f>IF(AND(ISBLANK(Y41)),0,ROUND(Y329-Y41,6))</f>
        <v/>
      </c>
      <c r="Z692" s="1824">
        <f>IF(AND(ISBLANK(Z41)),0,ROUND(Z329-Z41,6))</f>
        <v/>
      </c>
      <c r="AA692" s="1824">
        <f>IF(AND(ISBLANK(AA41)),0,ROUND(AA329-AA41,6))</f>
        <v/>
      </c>
      <c r="AB692" s="1824">
        <f>IF(AND(ISBLANK(AB41)),0,ROUND(AB329-AB41,6))</f>
        <v/>
      </c>
      <c r="AC692" s="1824">
        <f>IF(AND(ISBLANK(AC41)),0,ROUND(AC329-AC41,6))</f>
        <v/>
      </c>
      <c r="AD692" s="1824">
        <f>IF(AND(ISBLANK(AD41)),0,ROUND(AD329-AD41,6))</f>
        <v/>
      </c>
      <c r="AE692" s="1824">
        <f>IF(AND(ISBLANK(AE41)),0,ROUND(AE329-AE41,6))</f>
        <v/>
      </c>
      <c r="AF692" s="1824">
        <f>IF(AND(ISBLANK(AF41)),0,ROUND(AF329-AF41,6))</f>
        <v/>
      </c>
      <c r="AG692" s="1824">
        <f>IF(AND(ISBLANK(AG41)),0,ROUND(AG329-AG41,6))</f>
        <v/>
      </c>
      <c r="AH692" s="1824">
        <f>IF(AND(ISBLANK(AH41)),0,ROUND(AH329-AH41,6))</f>
        <v/>
      </c>
      <c r="AI692" s="1824">
        <f>IF(AND(ISBLANK(AI41)),0,ROUND(AI329-AI41,6))</f>
        <v/>
      </c>
      <c r="AJ692" s="1824">
        <f>IF(AND(ISBLANK(AJ41)),0,ROUND(AJ329-AJ41,6))</f>
        <v/>
      </c>
      <c r="AK692" s="1824">
        <f>IF(AND(ISBLANK(AK41)),0,ROUND(AK329-AK41,6))</f>
        <v/>
      </c>
      <c r="AL692" s="1824">
        <f>IF(AND(ISBLANK(AL41)),0,ROUND(AL329-AL41,6))</f>
        <v/>
      </c>
      <c r="AM692" s="1824">
        <f>IF(AND(ISBLANK(AM41)),0,ROUND(AM329-AM41,6))</f>
        <v/>
      </c>
      <c r="AN692" s="1824">
        <f>IF(AND(ISBLANK(AN41)),0,ROUND(AN329-AN41,6))</f>
        <v/>
      </c>
      <c r="AO692" s="1824">
        <f>IF(AND(ISBLANK(AO41)),0,ROUND(AO329-AO41,6))</f>
        <v/>
      </c>
      <c r="AP692" s="1824">
        <f>IF(AND(ISBLANK(AP41)),0,ROUND(AP329-AP41,6))</f>
        <v/>
      </c>
      <c r="AQ692" s="1824">
        <f>IF(AND(ISBLANK(AQ41)),0,ROUND(AQ329-AQ41,6))</f>
        <v/>
      </c>
      <c r="AR692" s="1824">
        <f>IF(AND(ISBLANK(AR41)),0,ROUND(AR329-AR41,6))</f>
        <v/>
      </c>
      <c r="AS692" s="1824">
        <f>IF(AND(ISBLANK(AS41)),0,ROUND(AS329-AS41,6))</f>
        <v/>
      </c>
      <c r="AT692" s="1824">
        <f>IF(AND(ISBLANK(AT41)),0,ROUND(AT329-AT41,6))</f>
        <v/>
      </c>
      <c r="AU692" s="1824">
        <f>IF(AND(ISBLANK(AU41)),0,ROUND(AU329-AU41,6))</f>
        <v/>
      </c>
      <c r="AV692" s="1824">
        <f>IF(AND(ISBLANK(AV41)),0,ROUND(AV329-AV41,6))</f>
        <v/>
      </c>
      <c r="AW692" s="1824">
        <f>IF(AND(ISBLANK(AW41)),0,ROUND(AW329-AW41,6))</f>
        <v/>
      </c>
      <c r="AX692" s="1824">
        <f>IF(AND(ISBLANK(AX41)),0,ROUND(AX329-AX41,6))</f>
        <v/>
      </c>
      <c r="AY692" s="1824">
        <f>IF(AND(ISBLANK(AY41)),0,ROUND(AY329-AY41,6))</f>
        <v/>
      </c>
      <c r="AZ692" s="1824">
        <f>IF(AND(ISBLANK(AZ41)),0,ROUND(AZ329-AZ41,6))</f>
        <v/>
      </c>
      <c r="BA692" s="1824">
        <f>IF(AND(ISBLANK(BA41)),0,ROUND(BA329-BA41,6))</f>
        <v/>
      </c>
      <c r="BB692" s="1824">
        <f>IF(AND(ISBLANK(BB41)),0,ROUND(BB329-BB41,6))</f>
        <v/>
      </c>
      <c r="BC692" s="1824">
        <f>IF(AND(ISBLANK(BC41)),0,ROUND(BC329-BC41,6))</f>
        <v/>
      </c>
      <c r="BD692" s="1824">
        <f>IF(AND(ISBLANK(BD41)),0,ROUND(BD329-BD41,6))</f>
        <v/>
      </c>
      <c r="BE692" s="1824">
        <f>IF(AND(ISBLANK(BE41)),0,ROUND(BE329-BE41,6))</f>
        <v/>
      </c>
      <c r="BF692" s="1824">
        <f>IF(AND(ISBLANK(BF41)),0,ROUND(BF329-BF41,6))</f>
        <v/>
      </c>
      <c r="BG692" s="1824">
        <f>IF(AND(ISBLANK(BG41)),0,ROUND(BG329-BG41,6))</f>
        <v/>
      </c>
      <c r="BH692" s="1824">
        <f>IF(AND(ISBLANK(BH41)),0,ROUND(BH329-BH41,6))</f>
        <v/>
      </c>
      <c r="BI692" s="1824">
        <f>IF(AND(ISBLANK(BI41)),0,ROUND(BI329-BI41,6))</f>
        <v/>
      </c>
      <c r="BJ692" s="1824">
        <f>IF(AND(ISBLANK(BJ41)),0,ROUND(BJ329-BJ41,6))</f>
        <v/>
      </c>
      <c r="BK692" s="1824">
        <f>IF(AND(ISBLANK(BK41)),0,ROUND(BK329-BK41,6))</f>
        <v/>
      </c>
      <c r="BL692" s="1824">
        <f>IF(AND(ISBLANK(BL41)),0,ROUND(BL329-BL41,6))</f>
        <v/>
      </c>
      <c r="BM692" s="1824">
        <f>IF(AND(ISBLANK(BM41)),0,ROUND(BM329-BM41,6))</f>
        <v/>
      </c>
      <c r="BN692" s="1824">
        <f>IF(AND(ISBLANK(BN41)),0,ROUND(BN329-BN41,6))</f>
        <v/>
      </c>
      <c r="BO692" s="1825">
        <f>IF(AND(ISBLANK(BO41)),0,ROUND(BO329-BO41,6))</f>
        <v/>
      </c>
      <c r="BP692" s="1824">
        <f>IF(AND(ISBLANK(BP41)),0,ROUND(BP329-BP41,6))</f>
        <v/>
      </c>
      <c r="BQ692" s="1824">
        <f>IF(AND(ISBLANK(BQ41)),0,ROUND(BQ329-BQ41,6))</f>
        <v/>
      </c>
      <c r="BR692" s="1824">
        <f>IF(AND(ISBLANK(BR41)),0,ROUND(BR329-BR41,6))</f>
        <v/>
      </c>
      <c r="BS692" s="1824">
        <f>IF(AND(ISBLANK(BS41)),0,ROUND(BS329-BS41,6))</f>
        <v/>
      </c>
      <c r="BT692" s="1824">
        <f>IF(AND(ISBLANK(BT41)),0,ROUND(BT329-BT41,6))</f>
        <v/>
      </c>
      <c r="BU692" s="1824">
        <f>IF(AND(ISBLANK(BU41)),0,ROUND(BU329-BU41,6))</f>
        <v/>
      </c>
      <c r="BV692" s="1824">
        <f>IF(AND(ISBLANK(BV41)),0,ROUND(BV329-BV41,6))</f>
        <v/>
      </c>
      <c r="BW692" s="1824">
        <f>IF(AND(ISBLANK(BW41)),0,ROUND(BW329-BW41,6))</f>
        <v/>
      </c>
      <c r="BX692" s="1824">
        <f>IF(AND(ISBLANK(BX41)),0,ROUND(BX329-BX41,6))</f>
        <v/>
      </c>
      <c r="BY692" s="1824">
        <f>IF(AND(ISBLANK(BY41)),0,ROUND(BY329-BY41,6))</f>
        <v/>
      </c>
      <c r="BZ692" s="1824">
        <f>IF(AND(ISBLANK(BZ41)),0,ROUND(BZ329-BZ41,6))</f>
        <v/>
      </c>
      <c r="CA692" s="1824">
        <f>IF(AND(ISBLANK(CA41)),0,ROUND(CA329-CA41,6))</f>
        <v/>
      </c>
      <c r="CB692" s="1824">
        <f>IF(AND(ISBLANK(CB41)),0,ROUND(CB329-CB41,6))</f>
        <v/>
      </c>
      <c r="CC692" s="1564" t="n"/>
    </row>
    <row r="693" ht="15" customFormat="1" customHeight="1" s="1561">
      <c r="A693" s="1564" t="inlineStr">
        <is>
          <t>EBIT in OPEX = EBIT in ISAR</t>
        </is>
      </c>
      <c r="B693" s="1626" t="n"/>
      <c r="C693" s="1824">
        <f>C89-C308</f>
        <v/>
      </c>
      <c r="D693" s="1824">
        <f>D89-D308</f>
        <v/>
      </c>
      <c r="E693" s="1824">
        <f>E89-E308</f>
        <v/>
      </c>
      <c r="F693" s="1824">
        <f>F89-F308</f>
        <v/>
      </c>
      <c r="G693" s="1824">
        <f>G89-G308</f>
        <v/>
      </c>
      <c r="H693" s="1824">
        <f>H89-H308</f>
        <v/>
      </c>
      <c r="I693" s="1824">
        <f>I89-I308</f>
        <v/>
      </c>
      <c r="J693" s="1824">
        <f>J89-J308</f>
        <v/>
      </c>
      <c r="K693" s="1824">
        <f>K89-K308</f>
        <v/>
      </c>
      <c r="L693" s="1824">
        <f>L89-L308</f>
        <v/>
      </c>
      <c r="M693" s="1824">
        <f>M89-M308</f>
        <v/>
      </c>
      <c r="N693" s="1824">
        <f>N89-N308</f>
        <v/>
      </c>
      <c r="O693" s="1824">
        <f>O89-O308</f>
        <v/>
      </c>
      <c r="P693" s="1824">
        <f>P89-P308</f>
        <v/>
      </c>
      <c r="Q693" s="1824">
        <f>Q89-Q308</f>
        <v/>
      </c>
      <c r="R693" s="1824">
        <f>R89-R308</f>
        <v/>
      </c>
      <c r="S693" s="1824">
        <f>S89-S308</f>
        <v/>
      </c>
      <c r="T693" s="1824">
        <f>T89-T308</f>
        <v/>
      </c>
      <c r="U693" s="1824">
        <f>U89-U308</f>
        <v/>
      </c>
      <c r="V693" s="1824">
        <f>V89-V308</f>
        <v/>
      </c>
      <c r="W693" s="1824">
        <f>W89-W308</f>
        <v/>
      </c>
      <c r="X693" s="1824">
        <f>X89-X308</f>
        <v/>
      </c>
      <c r="Y693" s="1824">
        <f>Y89-Y308</f>
        <v/>
      </c>
      <c r="Z693" s="1824">
        <f>Z89-Z308</f>
        <v/>
      </c>
      <c r="AA693" s="1824">
        <f>AA89-AA308</f>
        <v/>
      </c>
      <c r="AB693" s="1824">
        <f>AB89-AB308</f>
        <v/>
      </c>
      <c r="AC693" s="1824">
        <f>AC89-AC308</f>
        <v/>
      </c>
      <c r="AD693" s="1824">
        <f>AD89-AD308</f>
        <v/>
      </c>
      <c r="AE693" s="1824">
        <f>AE89-AE308</f>
        <v/>
      </c>
      <c r="AF693" s="1824">
        <f>AF89-AF308</f>
        <v/>
      </c>
      <c r="AG693" s="1824">
        <f>AG89-AG308</f>
        <v/>
      </c>
      <c r="AH693" s="1824">
        <f>AH89-AH308</f>
        <v/>
      </c>
      <c r="AI693" s="1824">
        <f>AI89-AI308</f>
        <v/>
      </c>
      <c r="AJ693" s="1824">
        <f>AJ89-AJ308</f>
        <v/>
      </c>
      <c r="AK693" s="1824">
        <f>AK89-AK308</f>
        <v/>
      </c>
      <c r="AL693" s="1824">
        <f>AL89-AL308</f>
        <v/>
      </c>
      <c r="AM693" s="1824">
        <f>AM89-AM308</f>
        <v/>
      </c>
      <c r="AN693" s="1824">
        <f>AN89-AN308</f>
        <v/>
      </c>
      <c r="AO693" s="1824">
        <f>AO89-AO308</f>
        <v/>
      </c>
      <c r="AP693" s="1824">
        <f>AP89-AP308</f>
        <v/>
      </c>
      <c r="AQ693" s="1824">
        <f>AQ89-AQ308</f>
        <v/>
      </c>
      <c r="AR693" s="1824">
        <f>AR89-AR308</f>
        <v/>
      </c>
      <c r="AS693" s="1824">
        <f>AS89-AS308</f>
        <v/>
      </c>
      <c r="AT693" s="1824">
        <f>AT89-AT308</f>
        <v/>
      </c>
      <c r="AU693" s="1824">
        <f>AU89-AU308</f>
        <v/>
      </c>
      <c r="AV693" s="1824">
        <f>AV89-AV308</f>
        <v/>
      </c>
      <c r="AW693" s="1824">
        <f>AW89-AW308</f>
        <v/>
      </c>
      <c r="AX693" s="1824">
        <f>AX89-AX308</f>
        <v/>
      </c>
      <c r="AY693" s="1824">
        <f>AY89-AY308</f>
        <v/>
      </c>
      <c r="AZ693" s="1824">
        <f>AZ89-AZ308</f>
        <v/>
      </c>
      <c r="BA693" s="1824">
        <f>BA89-BA308</f>
        <v/>
      </c>
      <c r="BB693" s="1824">
        <f>BB89-BB308</f>
        <v/>
      </c>
      <c r="BC693" s="1824">
        <f>BC89-BC308</f>
        <v/>
      </c>
      <c r="BD693" s="1824">
        <f>BD89-BD308</f>
        <v/>
      </c>
      <c r="BE693" s="1824">
        <f>BE89-BE308</f>
        <v/>
      </c>
      <c r="BF693" s="1824">
        <f>BF89-BF308</f>
        <v/>
      </c>
      <c r="BG693" s="1824">
        <f>BG89-BG308</f>
        <v/>
      </c>
      <c r="BH693" s="1824">
        <f>BH89-BH308</f>
        <v/>
      </c>
      <c r="BI693" s="1824">
        <f>BI89-BI308</f>
        <v/>
      </c>
      <c r="BJ693" s="1824">
        <f>BJ89-BJ308</f>
        <v/>
      </c>
      <c r="BK693" s="1824">
        <f>BK89-BK308</f>
        <v/>
      </c>
      <c r="BL693" s="1824">
        <f>BL89-BL308</f>
        <v/>
      </c>
      <c r="BM693" s="1824">
        <f>BM89-BM308</f>
        <v/>
      </c>
      <c r="BN693" s="1824">
        <f>BN89-BN308</f>
        <v/>
      </c>
      <c r="BO693" s="1825">
        <f>BO89-BO308</f>
        <v/>
      </c>
      <c r="BP693" s="1824" t="n"/>
      <c r="BQ693" s="1824" t="n"/>
      <c r="BR693" s="1824" t="n"/>
      <c r="BS693" s="1824" t="n"/>
      <c r="BT693" s="1824" t="n"/>
      <c r="BU693" s="1824" t="n"/>
      <c r="BV693" s="1824" t="n"/>
      <c r="BW693" s="1824" t="n"/>
      <c r="BX693" s="1824" t="n"/>
      <c r="BY693" s="1824" t="n"/>
      <c r="BZ693" s="1824" t="n"/>
      <c r="CA693" s="1824" t="n"/>
      <c r="CB693" s="1824" t="n"/>
      <c r="CC693" s="1564" t="n"/>
    </row>
    <row r="694" ht="15" customFormat="1" customHeight="1" s="1561">
      <c r="A694" s="1564" t="inlineStr">
        <is>
          <t>Cash Flow is not Repeated</t>
        </is>
      </c>
      <c r="B694" s="1626" t="n"/>
      <c r="C694" s="1824">
        <f>IF(ISBLANK(INDEX(MO_IS_FirstRow,0,COLUMN())),0,IF(OR(C575=B575,C575=D575),"CHECK",0))</f>
        <v/>
      </c>
      <c r="D694" s="1824">
        <f>IF(ISBLANK(INDEX(MO_IS_FirstRow,0,COLUMN())),0,IF(OR(D575=C575,D575=F575),"CHECK",0))</f>
        <v/>
      </c>
      <c r="E694" s="1824">
        <f>IF(ISBLANK(INDEX(MO_IS_FirstRow,0,COLUMN())),0,IF(OR(E575=D575,E575=J575),"CHECK",0))</f>
        <v/>
      </c>
      <c r="F694" s="1824">
        <f>IF(ISBLANK(INDEX(MO_IS_FirstRow,0,COLUMN())),0,IF(OR(F575=E575,F575=K575),"CHECK",0))</f>
        <v/>
      </c>
      <c r="G694" s="1824">
        <f>IF(ISBLANK(INDEX(MO_IS_FirstRow,0,COLUMN())),0,IF(OR(G575=F575,G575=L575),"CHECK",0))</f>
        <v/>
      </c>
      <c r="H694" s="1824">
        <f>IF(ISBLANK(INDEX(MO_IS_FirstRow,0,COLUMN())),0,IF(OR(H575=B575,H575=I575,H575=F575),"CHECK",0))</f>
        <v/>
      </c>
      <c r="I694" s="1824">
        <f>IF(ISBLANK(INDEX(MO_IS_FirstRow,0,COLUMN())),0,IF(OR(I575=C575,I575=J575,I575=H575),"CHECK",0))</f>
        <v/>
      </c>
      <c r="J694" s="1824">
        <f>IF(ISBLANK(INDEX(MO_IS_FirstRow,0,COLUMN())),0,IF(OR(J575=D575,J575=K575,J575=I575),"CHECK",0))</f>
        <v/>
      </c>
      <c r="K694" s="1824">
        <f>IF(ISBLANK(INDEX(MO_IS_FirstRow,0,COLUMN())),0,IF(OR(K575=F575,K575=L575,K575=J575),"CHECK",0))</f>
        <v/>
      </c>
      <c r="L694" s="1824">
        <f>IF(ISBLANK(INDEX(MO_IS_FirstRow,0,COLUMN())),0,IF(L575=G575,"CHECK",0))</f>
        <v/>
      </c>
      <c r="M694" s="1824">
        <f>IF(ISBLANK(INDEX(MO_IS_FirstRow,0,COLUMN())),0,IF(OR(M575=H575,M575=N575,M575=K575),"CHECK",0))</f>
        <v/>
      </c>
      <c r="N694" s="1824">
        <f>IF(ISBLANK(INDEX(MO_IS_FirstRow,0,COLUMN())),0,IF(OR(N575=I575,N575=O575,N575=M575),"CHECK",0))</f>
        <v/>
      </c>
      <c r="O694" s="1824">
        <f>IF(ISBLANK(INDEX(MO_IS_FirstRow,0,COLUMN())),0,IF(OR(O575=J575,O575=P575,O575=N575),"CHECK",0))</f>
        <v/>
      </c>
      <c r="P694" s="1824">
        <f>IF(ISBLANK(INDEX(MO_IS_FirstRow,0,COLUMN())),0,IF(OR(P575=K575,P575=Q575,P575=O575),"CHECK",0))</f>
        <v/>
      </c>
      <c r="Q694" s="1824">
        <f>IF(ISBLANK(INDEX(MO_IS_FirstRow,0,COLUMN())),0,IF(Q575=L575,"CHECK",0))</f>
        <v/>
      </c>
      <c r="R694" s="1824">
        <f>IF(ISBLANK(INDEX(MO_IS_FirstRow,0,COLUMN())),0,IF(OR(R575=M575,R575=S575,R575=P575),"CHECK",0))</f>
        <v/>
      </c>
      <c r="S694" s="1824">
        <f>IF(ISBLANK(INDEX(MO_IS_FirstRow,0,COLUMN())),0,IF(OR(S575=N575,S575=T575,S575=R575),"CHECK",0))</f>
        <v/>
      </c>
      <c r="T694" s="1824">
        <f>IF(ISBLANK(INDEX(MO_IS_FirstRow,0,COLUMN())),0,IF(OR(T575=O575,T575=U575,T575=S575),"CHECK",0))</f>
        <v/>
      </c>
      <c r="U694" s="1824">
        <f>IF(ISBLANK(INDEX(MO_IS_FirstRow,0,COLUMN())),0,IF(OR(U575=P575,U575=V575,U575=T575),"CHECK",0))</f>
        <v/>
      </c>
      <c r="V694" s="1824">
        <f>IF(ISBLANK(INDEX(MO_IS_FirstRow,0,COLUMN())),0,IF(V575=Q575,"CHECK",0))</f>
        <v/>
      </c>
      <c r="W694" s="1824">
        <f>IF(ISBLANK(INDEX(MO_IS_FirstRow,0,COLUMN())),0,IF(OR(W575=R575,W575=X575,W575=U575),"CHECK",0))</f>
        <v/>
      </c>
      <c r="X694" s="1824">
        <f>IF(ISBLANK(INDEX(MO_IS_FirstRow,0,COLUMN())),0,IF(OR(X575=S575,X575=Y575,X575=W575),"CHECK",0))</f>
        <v/>
      </c>
      <c r="Y694" s="1824">
        <f>IF(ISBLANK(INDEX(MO_IS_FirstRow,0,COLUMN())),0,IF(OR(Y575=T575,Y575=Z575,Y575=X575),"CHECK",0))</f>
        <v/>
      </c>
      <c r="Z694" s="1824">
        <f>IF(ISBLANK(INDEX(MO_IS_FirstRow,0,COLUMN())),0,IF(OR(Z575=U575,Z575=AA575,Z575=Y575),"CHECK",0))</f>
        <v/>
      </c>
      <c r="AA694" s="1824">
        <f>IF(ISBLANK(INDEX(MO_IS_FirstRow,0,COLUMN())),0,IF(AA575=V575,"CHECK",0))</f>
        <v/>
      </c>
      <c r="AB694" s="1824">
        <f>IF(ISBLANK(INDEX(MO_IS_FirstRow,0,COLUMN())),0,IF(OR(AB575=W575,AB575=AC575,AB575=Z575),"CHECK",0))</f>
        <v/>
      </c>
      <c r="AC694" s="1824">
        <f>IF(ISBLANK(INDEX(MO_IS_FirstRow,0,COLUMN())),0,IF(OR(AC575=X575,AC575=AD575,AC575=AB575),"CHECK",0))</f>
        <v/>
      </c>
      <c r="AD694" s="1824">
        <f>IF(ISBLANK(INDEX(MO_IS_FirstRow,0,COLUMN())),0,IF(OR(AD575=Y575,AD575=AE575,AD575=AC575),"CHECK",0))</f>
        <v/>
      </c>
      <c r="AE694" s="1824">
        <f>IF(ISBLANK(INDEX(MO_IS_FirstRow,0,COLUMN())),0,IF(OR(AE575=Z575,AE575=AF575,AE575=AD575),"CHECK",0))</f>
        <v/>
      </c>
      <c r="AF694" s="1824">
        <f>IF(ISBLANK(INDEX(MO_IS_FirstRow,0,COLUMN())),0,IF(AF575=AA575,"CHECK",0))</f>
        <v/>
      </c>
      <c r="AG694" s="1824">
        <f>IF(ISBLANK(INDEX(MO_IS_FirstRow,0,COLUMN())),0,IF(OR(AG575=AB575,AG575=AH575,AG575=AE575),"CHECK",0))</f>
        <v/>
      </c>
      <c r="AH694" s="1824">
        <f>IF(ISBLANK(INDEX(MO_IS_FirstRow,0,COLUMN())),0,IF(OR(AH575=AC575,AH575=AI575,AH575=AG575),"CHECK",0))</f>
        <v/>
      </c>
      <c r="AI694" s="1824">
        <f>IF(ISBLANK(INDEX(MO_IS_FirstRow,0,COLUMN())),0,IF(OR(AI575=AD575,AI575=AJ575,AI575=AH575),"CHECK",0))</f>
        <v/>
      </c>
      <c r="AJ694" s="1824">
        <f>IF(ISBLANK(INDEX(MO_IS_FirstRow,0,COLUMN())),0,IF(OR(AJ575=AE575,AJ575=AK575,AJ575=AI575),"CHECK",0))</f>
        <v/>
      </c>
      <c r="AK694" s="1824">
        <f>IF(ISBLANK(INDEX(MO_IS_FirstRow,0,COLUMN())),0,IF(AK575=AF575,"CHECK",0))</f>
        <v/>
      </c>
      <c r="AL694" s="1824">
        <f>IF(ISBLANK(INDEX(MO_IS_FirstRow,0,COLUMN())),0,IF(OR(AL575=AG575,AL575=AM575,AL575=AJ575),"CHECK",0))</f>
        <v/>
      </c>
      <c r="AM694" s="1824">
        <f>IF(ISBLANK(INDEX(MO_IS_FirstRow,0,COLUMN())),0,IF(OR(AM575=AH575,AM575=AN575,AM575=AL575),"CHECK",0))</f>
        <v/>
      </c>
      <c r="AN694" s="1824">
        <f>IF(ISBLANK(INDEX(MO_IS_FirstRow,0,COLUMN())),0,IF(OR(AN575=AI575,AN575=AO575,AN575=AM575),"CHECK",0))</f>
        <v/>
      </c>
      <c r="AO694" s="1824">
        <f>IF(ISBLANK(INDEX(MO_IS_FirstRow,0,COLUMN())),0,IF(OR(AO575=AJ575,AO575=AP575,AO575=AN575),"CHECK",0))</f>
        <v/>
      </c>
      <c r="AP694" s="1824">
        <f>IF(ISBLANK(INDEX(MO_IS_FirstRow,0,COLUMN())),0,IF(AP575=AK575,"CHECK",0))</f>
        <v/>
      </c>
      <c r="AQ694" s="1824">
        <f>IF(ISBLANK(INDEX(MO_IS_FirstRow,0,COLUMN())),0,IF(OR(AQ575=AL575,AQ575=AR575,AQ575=AO575),"CHECK",0))</f>
        <v/>
      </c>
      <c r="AR694" s="1824">
        <f>IF(ISBLANK(INDEX(MO_IS_FirstRow,0,COLUMN())),0,IF(OR(AR575=AM575,AR575=AS575,AR575=AQ575),"CHECK",0))</f>
        <v/>
      </c>
      <c r="AS694" s="1824">
        <f>IF(ISBLANK(INDEX(MO_IS_FirstRow,0,COLUMN())),0,IF(OR(AS575=AN575,AS575=AT575,AS575=AR575),"CHECK",0))</f>
        <v/>
      </c>
      <c r="AT694" s="1824">
        <f>IF(ISBLANK(INDEX(MO_IS_FirstRow,0,COLUMN())),0,IF(OR(AT575=AO575,AT575=AU575,AT575=AS575),"CHECK",0))</f>
        <v/>
      </c>
      <c r="AU694" s="1824">
        <f>IF(ISBLANK(INDEX(MO_IS_FirstRow,0,COLUMN())),0,IF(AU575=AP575,"CHECK",0))</f>
        <v/>
      </c>
      <c r="AV694" s="1824">
        <f>IF(ISBLANK(INDEX(MO_IS_FirstRow,0,COLUMN())),0,IF(OR(AV575=AQ575,AV575=AW575,AV575=AT575),"CHECK",0))</f>
        <v/>
      </c>
      <c r="AW694" s="1824">
        <f>IF(ISBLANK(INDEX(MO_IS_FirstRow,0,COLUMN())),0,IF(OR(AW575=AR575,AW575=AX575,AW575=AV575),"CHECK",0))</f>
        <v/>
      </c>
      <c r="AX694" s="1824">
        <f>IF(ISBLANK(INDEX(MO_IS_FirstRow,0,COLUMN())),0,IF(OR(AX575=AS575,AX575=AY575,AX575=AW575),"CHECK",0))</f>
        <v/>
      </c>
      <c r="AY694" s="1824">
        <f>IF(ISBLANK(INDEX(MO_IS_FirstRow,0,COLUMN())),0,IF(OR(AY575=AT575,AY575=AZ575,AY575=AX575),"CHECK",0))</f>
        <v/>
      </c>
      <c r="AZ694" s="1824">
        <f>IF(ISBLANK(INDEX(MO_IS_FirstRow,0,COLUMN())),0,IF(AZ575=AU575,"CHECK",0))</f>
        <v/>
      </c>
      <c r="BA694" s="1824">
        <f>IF(ISBLANK(INDEX(MO_IS_FirstRow,0,COLUMN())),0,IF(OR(BA575=AV575,BA575=BB575,BA575=AY575),"CHECK",0))</f>
        <v/>
      </c>
      <c r="BB694" s="1824">
        <f>IF(ISBLANK(INDEX(MO_IS_FirstRow,0,COLUMN())),0,IF(OR(BB575=AW575,BB575=BC575,BB575=BA575),"CHECK",0))</f>
        <v/>
      </c>
      <c r="BC694" s="1824">
        <f>IF(ISBLANK(INDEX(MO_IS_FirstRow,0,COLUMN())),0,IF(OR(BC575=AX575,BC575=BD575,BC575=BB575),"CHECK",0))</f>
        <v/>
      </c>
      <c r="BD694" s="1824">
        <f>IF(ISBLANK(INDEX(MO_IS_FirstRow,0,COLUMN())),0,IF(OR(BD575=AY575,BD575=BE575,BD575=BC575),"CHECK",0))</f>
        <v/>
      </c>
      <c r="BE694" s="1824">
        <f>IF(ISBLANK(INDEX(MO_IS_FirstRow,0,COLUMN())),0,IF(BE575=AZ575,"CHECK",0))</f>
        <v/>
      </c>
      <c r="BF694" s="1824">
        <f>IF(ISBLANK(INDEX(MO_IS_FirstRow,0,COLUMN())),0,IF(OR(BF575=BA575,BF575=BG575,BF575=BD575),"CHECK",0))</f>
        <v/>
      </c>
      <c r="BG694" s="1824">
        <f>IF(ISBLANK(INDEX(MO_IS_FirstRow,0,COLUMN())),0,IF(OR(BG575=BB575,BG575=BH575,BG575=BF575),"CHECK",0))</f>
        <v/>
      </c>
      <c r="BH694" s="1824">
        <f>IF(ISBLANK(INDEX(MO_IS_FirstRow,0,COLUMN())),0,IF(OR(BH575=BC575,BH575=BI575,BH575=BG575),"CHECK",0))</f>
        <v/>
      </c>
      <c r="BI694" s="1824">
        <f>IF(ISBLANK(INDEX(MO_IS_FirstRow,0,COLUMN())),0,IF(OR(BI575=BD575,BI575=BJ575,BI575=BH575),"CHECK",0))</f>
        <v/>
      </c>
      <c r="BJ694" s="1824">
        <f>IF(ISBLANK(INDEX(MO_IS_FirstRow,0,COLUMN())),0,IF(BJ575=BE575,"CHECK",0))</f>
        <v/>
      </c>
      <c r="BK694" s="1824">
        <f>IF(ISBLANK(INDEX(MO_IS_FirstRow,0,COLUMN())),0,IF(OR(BK575=BF575,BK575=BL575,BK575=BI575),"CHECK",0))</f>
        <v/>
      </c>
      <c r="BL694" s="1824">
        <f>IF(ISBLANK(INDEX(MO_IS_FirstRow,0,COLUMN())),0,IF(OR(BL575=BG575,BL575=BM575,BL575=BK575),"CHECK",0))</f>
        <v/>
      </c>
      <c r="BM694" s="1824">
        <f>IF(ISBLANK(INDEX(MO_IS_FirstRow,0,COLUMN())),0,IF(OR(BM575=BH575,BM575=BN575,BM575=BL575),"CHECK",0))</f>
        <v/>
      </c>
      <c r="BN694" s="1824">
        <f>IF(ISBLANK(INDEX(MO_IS_FirstRow,0,COLUMN())),0,IF(OR(BN575=BI575,BN575=BO575,BN575=BM575),"CHECK",0))</f>
        <v/>
      </c>
      <c r="BO694" s="1825">
        <f>IF(ISBLANK(INDEX(MO_IS_FirstRow,0,COLUMN())),0,IF(BO575=BJ575,"CHECK",0))</f>
        <v/>
      </c>
      <c r="BP694" s="1824" t="n"/>
      <c r="BQ694" s="1824" t="n"/>
      <c r="BR694" s="1824" t="n"/>
      <c r="BS694" s="1824" t="n"/>
      <c r="BT694" s="1824" t="n"/>
      <c r="BU694" s="1824" t="n"/>
      <c r="BV694" s="1824" t="n"/>
      <c r="BW694" s="1824" t="n"/>
      <c r="BX694" s="1824" t="n"/>
      <c r="BY694" s="1824" t="n"/>
      <c r="BZ694" s="1824" t="n"/>
      <c r="CA694" s="1824" t="n"/>
      <c r="CB694" s="1824" t="n"/>
      <c r="CC694" s="1564" t="n"/>
    </row>
    <row r="695" ht="15" customFormat="1" customHeight="1" s="1561">
      <c r="A695" s="1564" t="inlineStr">
        <is>
          <t>Income Statement is not Repeated</t>
        </is>
      </c>
      <c r="B695" s="1626" t="n"/>
      <c r="C695" s="1824">
        <f>IF(ISBLANK(INDEX(MO_IS_FirstRow,0,COLUMN())),0,IF(OR(C356=B356,C356=D356),"CHECK",0))</f>
        <v/>
      </c>
      <c r="D695" s="1824">
        <f>IF(ISBLANK(INDEX(MO_IS_FirstRow,0,COLUMN())),0,IF(OR(D356=C356,D356=F356),"CHECK",0))</f>
        <v/>
      </c>
      <c r="E695" s="1824">
        <f>IF(ISBLANK(INDEX(MO_IS_FirstRow,0,COLUMN())),0,IF(OR(E356=D356,E356=J356),"CHECK",0))</f>
        <v/>
      </c>
      <c r="F695" s="1824">
        <f>IF(ISBLANK(INDEX(MO_IS_FirstRow,0,COLUMN())),0,IF(OR(F356=E356,F356=K356),"CHECK",0))</f>
        <v/>
      </c>
      <c r="G695" s="1824">
        <f>IF(ISBLANK(INDEX(MO_IS_FirstRow,0,COLUMN())),0,IF(OR(G356=F356,G356=L356),"CHECK",0))</f>
        <v/>
      </c>
      <c r="H695" s="1824">
        <f>IF(ISBLANK(INDEX(MO_IS_FirstRow,0,COLUMN())),0,IF(OR(H356=B356,H356=I356,H356=F356),"CHECK",0))</f>
        <v/>
      </c>
      <c r="I695" s="1824">
        <f>IF(ISBLANK(INDEX(MO_IS_FirstRow,0,COLUMN())),0,IF(OR(I356=C356,I356=J356,I356=H356),"CHECK",0))</f>
        <v/>
      </c>
      <c r="J695" s="1824">
        <f>IF(ISBLANK(INDEX(MO_IS_FirstRow,0,COLUMN())),0,IF(OR(J356=D356,J356=K356,J356=I356),"CHECK",0))</f>
        <v/>
      </c>
      <c r="K695" s="1824">
        <f>IF(ISBLANK(INDEX(MO_IS_FirstRow,0,COLUMN())),0,IF(OR(K356=F356,K356=L356,K356=J356),"CHECK",0))</f>
        <v/>
      </c>
      <c r="L695" s="1824">
        <f>IF(ISBLANK(INDEX(MO_IS_FirstRow,0,COLUMN())),0,IF(L356=G356,"CHECK",0))</f>
        <v/>
      </c>
      <c r="M695" s="1824">
        <f>IF(ISBLANK(INDEX(MO_IS_FirstRow,0,COLUMN())),0,IF(OR(M356=H356,M356=N356,M356=K356),"CHECK",0))</f>
        <v/>
      </c>
      <c r="N695" s="1824">
        <f>IF(ISBLANK(INDEX(MO_IS_FirstRow,0,COLUMN())),0,IF(OR(N356=I356,N356=O356,N356=M356),"CHECK",0))</f>
        <v/>
      </c>
      <c r="O695" s="1824">
        <f>IF(ISBLANK(INDEX(MO_IS_FirstRow,0,COLUMN())),0,IF(OR(O356=J356,O356=P356,O356=N356),"CHECK",0))</f>
        <v/>
      </c>
      <c r="P695" s="1824">
        <f>IF(ISBLANK(INDEX(MO_IS_FirstRow,0,COLUMN())),0,IF(OR(P356=K356,P356=Q356,P356=O356),"CHECK",0))</f>
        <v/>
      </c>
      <c r="Q695" s="1824">
        <f>IF(ISBLANK(INDEX(MO_IS_FirstRow,0,COLUMN())),0,IF(Q356=L356,"CHECK",0))</f>
        <v/>
      </c>
      <c r="R695" s="1824">
        <f>IF(ISBLANK(INDEX(MO_IS_FirstRow,0,COLUMN())),0,IF(OR(R356=M356,R356=S356,R356=P356),"CHECK",0))</f>
        <v/>
      </c>
      <c r="S695" s="1824">
        <f>IF(ISBLANK(INDEX(MO_IS_FirstRow,0,COLUMN())),0,IF(OR(S356=N356,S356=T356,S356=R356),"CHECK",0))</f>
        <v/>
      </c>
      <c r="T695" s="1824">
        <f>IF(ISBLANK(INDEX(MO_IS_FirstRow,0,COLUMN())),0,IF(OR(T356=O356,T356=U356,T356=S356),"CHECK",0))</f>
        <v/>
      </c>
      <c r="U695" s="1824">
        <f>IF(ISBLANK(INDEX(MO_IS_FirstRow,0,COLUMN())),0,IF(OR(U356=P356,U356=V356,U356=T356),"CHECK",0))</f>
        <v/>
      </c>
      <c r="V695" s="1824">
        <f>IF(ISBLANK(INDEX(MO_IS_FirstRow,0,COLUMN())),0,IF(V356=Q356,"CHECK",0))</f>
        <v/>
      </c>
      <c r="W695" s="1824">
        <f>IF(ISBLANK(INDEX(MO_IS_FirstRow,0,COLUMN())),0,IF(OR(W356=R356,W356=X356,W356=U356),"CHECK",0))</f>
        <v/>
      </c>
      <c r="X695" s="1824">
        <f>IF(ISBLANK(INDEX(MO_IS_FirstRow,0,COLUMN())),0,IF(OR(X356=S356,X356=Y356,X356=W356),"CHECK",0))</f>
        <v/>
      </c>
      <c r="Y695" s="1824">
        <f>IF(ISBLANK(INDEX(MO_IS_FirstRow,0,COLUMN())),0,IF(OR(Y356=T356,Y356=Z356,Y356=X356),"CHECK",0))</f>
        <v/>
      </c>
      <c r="Z695" s="1824">
        <f>IF(ISBLANK(INDEX(MO_IS_FirstRow,0,COLUMN())),0,IF(OR(Z356=U356,Z356=AA356,Z356=Y356),"CHECK",0))</f>
        <v/>
      </c>
      <c r="AA695" s="1824">
        <f>IF(ISBLANK(INDEX(MO_IS_FirstRow,0,COLUMN())),0,IF(AA356=V356,"CHECK",0))</f>
        <v/>
      </c>
      <c r="AB695" s="1824">
        <f>IF(ISBLANK(INDEX(MO_IS_FirstRow,0,COLUMN())),0,IF(OR(AB356=W356,AB356=AC356,AB356=Z356),"CHECK",0))</f>
        <v/>
      </c>
      <c r="AC695" s="1824">
        <f>IF(ISBLANK(INDEX(MO_IS_FirstRow,0,COLUMN())),0,IF(OR(AC356=X356,AC356=AD356,AC356=AB356),"CHECK",0))</f>
        <v/>
      </c>
      <c r="AD695" s="1824">
        <f>IF(ISBLANK(INDEX(MO_IS_FirstRow,0,COLUMN())),0,IF(OR(AD356=Y356,AD356=AE356,AD356=AC356),"CHECK",0))</f>
        <v/>
      </c>
      <c r="AE695" s="1824">
        <f>IF(ISBLANK(INDEX(MO_IS_FirstRow,0,COLUMN())),0,IF(OR(AE356=Z356,AE356=AF356,AE356=AD356),"CHECK",0))</f>
        <v/>
      </c>
      <c r="AF695" s="1824">
        <f>IF(ISBLANK(INDEX(MO_IS_FirstRow,0,COLUMN())),0,IF(AF356=AA356,"CHECK",0))</f>
        <v/>
      </c>
      <c r="AG695" s="1824">
        <f>IF(ISBLANK(INDEX(MO_IS_FirstRow,0,COLUMN())),0,IF(OR(AG356=AB356,AG356=AH356,AG356=AE356),"CHECK",0))</f>
        <v/>
      </c>
      <c r="AH695" s="1824">
        <f>IF(ISBLANK(INDEX(MO_IS_FirstRow,0,COLUMN())),0,IF(OR(AH356=AC356,AH356=AI356,AH356=AG356),"CHECK",0))</f>
        <v/>
      </c>
      <c r="AI695" s="1824">
        <f>IF(ISBLANK(INDEX(MO_IS_FirstRow,0,COLUMN())),0,IF(OR(AI356=AD356,AI356=AJ356,AI356=AH356),"CHECK",0))</f>
        <v/>
      </c>
      <c r="AJ695" s="1824">
        <f>IF(ISBLANK(INDEX(MO_IS_FirstRow,0,COLUMN())),0,IF(OR(AJ356=AE356,AJ356=AK356,AJ356=AI356),"CHECK",0))</f>
        <v/>
      </c>
      <c r="AK695" s="1824">
        <f>IF(ISBLANK(INDEX(MO_IS_FirstRow,0,COLUMN())),0,IF(AK356=AF356,"CHECK",0))</f>
        <v/>
      </c>
      <c r="AL695" s="1824">
        <f>IF(ISBLANK(INDEX(MO_IS_FirstRow,0,COLUMN())),0,IF(OR(AL356=AG356,AL356=AM356,AL356=AJ356),"CHECK",0))</f>
        <v/>
      </c>
      <c r="AM695" s="1824">
        <f>IF(ISBLANK(INDEX(MO_IS_FirstRow,0,COLUMN())),0,IF(OR(AM356=AH356,AM356=AN356,AM356=AL356),"CHECK",0))</f>
        <v/>
      </c>
      <c r="AN695" s="1824">
        <f>IF(ISBLANK(INDEX(MO_IS_FirstRow,0,COLUMN())),0,IF(OR(AN356=AI356,AN356=AO356,AN356=AM356),"CHECK",0))</f>
        <v/>
      </c>
      <c r="AO695" s="1824">
        <f>IF(ISBLANK(INDEX(MO_IS_FirstRow,0,COLUMN())),0,IF(OR(AO356=AJ356,AO356=AP356,AO356=AN356),"CHECK",0))</f>
        <v/>
      </c>
      <c r="AP695" s="1824">
        <f>IF(ISBLANK(INDEX(MO_IS_FirstRow,0,COLUMN())),0,IF(AP356=AK356,"CHECK",0))</f>
        <v/>
      </c>
      <c r="AQ695" s="1824">
        <f>IF(ISBLANK(INDEX(MO_IS_FirstRow,0,COLUMN())),0,IF(OR(AQ356=AL356,AQ356=AR356,AQ356=AO356),"CHECK",0))</f>
        <v/>
      </c>
      <c r="AR695" s="1824">
        <f>IF(ISBLANK(INDEX(MO_IS_FirstRow,0,COLUMN())),0,IF(OR(AR356=AM356,AR356=AS356,AR356=AQ356),"CHECK",0))</f>
        <v/>
      </c>
      <c r="AS695" s="1824">
        <f>IF(ISBLANK(INDEX(MO_IS_FirstRow,0,COLUMN())),0,IF(OR(AS356=AN356,AS356=AT356,AS356=AR356),"CHECK",0))</f>
        <v/>
      </c>
      <c r="AT695" s="1824">
        <f>IF(ISBLANK(INDEX(MO_IS_FirstRow,0,COLUMN())),0,IF(OR(AT356=AO356,AT356=AU356,AT356=AS356),"CHECK",0))</f>
        <v/>
      </c>
      <c r="AU695" s="1824">
        <f>IF(ISBLANK(INDEX(MO_IS_FirstRow,0,COLUMN())),0,IF(AU356=AP356,"CHECK",0))</f>
        <v/>
      </c>
      <c r="AV695" s="1824">
        <f>IF(ISBLANK(INDEX(MO_IS_FirstRow,0,COLUMN())),0,IF(OR(AV356=AQ356,AV356=AW356,AV356=AT356),"CHECK",0))</f>
        <v/>
      </c>
      <c r="AW695" s="1824">
        <f>IF(ISBLANK(INDEX(MO_IS_FirstRow,0,COLUMN())),0,IF(OR(AW356=AR356,AW356=AX356,AW356=AV356),"CHECK",0))</f>
        <v/>
      </c>
      <c r="AX695" s="1824">
        <f>IF(ISBLANK(INDEX(MO_IS_FirstRow,0,COLUMN())),0,IF(OR(AX356=AS356,AX356=AY356,AX356=AW356),"CHECK",0))</f>
        <v/>
      </c>
      <c r="AY695" s="1824">
        <f>IF(ISBLANK(INDEX(MO_IS_FirstRow,0,COLUMN())),0,IF(OR(AY356=AT356,AY356=AZ356,AY356=AX356),"CHECK",0))</f>
        <v/>
      </c>
      <c r="AZ695" s="1824">
        <f>IF(ISBLANK(INDEX(MO_IS_FirstRow,0,COLUMN())),0,IF(AZ356=AU356,"CHECK",0))</f>
        <v/>
      </c>
      <c r="BA695" s="1824">
        <f>IF(ISBLANK(INDEX(MO_IS_FirstRow,0,COLUMN())),0,IF(OR(BA356=AV356,BA356=BB356,BA356=AY356),"CHECK",0))</f>
        <v/>
      </c>
      <c r="BB695" s="1824">
        <f>IF(ISBLANK(INDEX(MO_IS_FirstRow,0,COLUMN())),0,IF(OR(BB356=AW356,BB356=BC356,BB356=BA356),"CHECK",0))</f>
        <v/>
      </c>
      <c r="BC695" s="1824">
        <f>IF(ISBLANK(INDEX(MO_IS_FirstRow,0,COLUMN())),0,IF(OR(BC356=AX356,BC356=BD356,BC356=BB356),"CHECK",0))</f>
        <v/>
      </c>
      <c r="BD695" s="1824">
        <f>IF(ISBLANK(INDEX(MO_IS_FirstRow,0,COLUMN())),0,IF(OR(BD356=AY356,BD356=BE356,BD356=BC356),"CHECK",0))</f>
        <v/>
      </c>
      <c r="BE695" s="1824">
        <f>IF(ISBLANK(INDEX(MO_IS_FirstRow,0,COLUMN())),0,IF(BE356=AZ356,"CHECK",0))</f>
        <v/>
      </c>
      <c r="BF695" s="1824">
        <f>IF(ISBLANK(INDEX(MO_IS_FirstRow,0,COLUMN())),0,IF(OR(BF356=BA356,BF356=BG356,BF356=BD356),"CHECK",0))</f>
        <v/>
      </c>
      <c r="BG695" s="1824">
        <f>IF(ISBLANK(INDEX(MO_IS_FirstRow,0,COLUMN())),0,IF(OR(BG356=BB356,BG356=BH356,BG356=BF356),"CHECK",0))</f>
        <v/>
      </c>
      <c r="BH695" s="1824">
        <f>IF(ISBLANK(INDEX(MO_IS_FirstRow,0,COLUMN())),0,IF(OR(BH356=BC356,BH356=BI356,BH356=BG356),"CHECK",0))</f>
        <v/>
      </c>
      <c r="BI695" s="1824">
        <f>IF(ISBLANK(INDEX(MO_IS_FirstRow,0,COLUMN())),0,IF(OR(BI356=BD356,BI356=BJ356,BI356=BH356),"CHECK",0))</f>
        <v/>
      </c>
      <c r="BJ695" s="1824">
        <f>IF(ISBLANK(INDEX(MO_IS_FirstRow,0,COLUMN())),0,IF(BJ356=BE356,"CHECK",0))</f>
        <v/>
      </c>
      <c r="BK695" s="1824">
        <f>IF(ISBLANK(INDEX(MO_IS_FirstRow,0,COLUMN())),0,IF(OR(BK356=BF356,BK356=BL356,BK356=BI356),"CHECK",0))</f>
        <v/>
      </c>
      <c r="BL695" s="1824">
        <f>IF(ISBLANK(INDEX(MO_IS_FirstRow,0,COLUMN())),0,IF(OR(BL356=BG356,BL356=BM356,BL356=BK356),"CHECK",0))</f>
        <v/>
      </c>
      <c r="BM695" s="1824">
        <f>IF(ISBLANK(INDEX(MO_IS_FirstRow,0,COLUMN())),0,IF(OR(BM356=BH356,BM356=BN356,BM356=BL356),"CHECK",0))</f>
        <v/>
      </c>
      <c r="BN695" s="1824">
        <f>IF(ISBLANK(INDEX(MO_IS_FirstRow,0,COLUMN())),0,IF(OR(BN356=BI356,BN356=BO356,BN356=BM356),"CHECK",0))</f>
        <v/>
      </c>
      <c r="BO695" s="1825">
        <f>IF(ISBLANK(INDEX(MO_IS_FirstRow,0,COLUMN())),0,IF(BO356=BJ356,"CHECK",0))</f>
        <v/>
      </c>
      <c r="BP695" s="1824" t="n"/>
      <c r="BQ695" s="1824" t="n"/>
      <c r="BR695" s="1824" t="n"/>
      <c r="BS695" s="1824" t="n"/>
      <c r="BT695" s="1824" t="n"/>
      <c r="BU695" s="1824" t="n"/>
      <c r="BV695" s="1824" t="n"/>
      <c r="BW695" s="1824" t="n"/>
      <c r="BX695" s="1824" t="n"/>
      <c r="BY695" s="1824" t="n"/>
      <c r="BZ695" s="1824" t="n"/>
      <c r="CA695" s="1824" t="n"/>
      <c r="CB695" s="1824" t="n"/>
      <c r="CC695" s="1564" t="n"/>
    </row>
    <row r="696" ht="15" customFormat="1" customHeight="1" s="1561">
      <c r="A696" s="1564" t="inlineStr">
        <is>
          <t>Balance Sheet is not Repeated</t>
        </is>
      </c>
      <c r="B696" s="1626" t="n"/>
      <c r="C696" s="1824">
        <f>IF(OR(C653=B653,C653=D653),"CHECK",0)</f>
        <v/>
      </c>
      <c r="D696" s="1824">
        <f>IF(OR(D653=C653,D653=F653),"CHECK",0)</f>
        <v/>
      </c>
      <c r="E696" s="1824">
        <f>IF(OR(E653=D653,E653=J653),"CHECK",0)</f>
        <v/>
      </c>
      <c r="F696" s="1824">
        <f>IF(OR(F653=E653,F653=K653),"CHECK",0)</f>
        <v/>
      </c>
      <c r="G696" s="1824">
        <f>IF(OR(G653=F653,G653=L653),"CHECK",0)</f>
        <v/>
      </c>
      <c r="H696" s="1824">
        <f>IF(OR(H653=B653,H653=I653,H653=F653),"CHECK",0)</f>
        <v/>
      </c>
      <c r="I696" s="1824">
        <f>IF(OR(I653=C653,I653=J653,I653=H653),"CHECK",0)</f>
        <v/>
      </c>
      <c r="J696" s="1824">
        <f>IF(OR(J653=D653,J653=K653,J653=I653),"CHECK",0)</f>
        <v/>
      </c>
      <c r="K696" s="1824">
        <f>IF(OR(K653=F653,K653=J653),"CHECK",0)</f>
        <v/>
      </c>
      <c r="L696" s="1824">
        <f>IF(L653=G653,"CHECK",0)</f>
        <v/>
      </c>
      <c r="M696" s="1824">
        <f>IF(OR(M653=H653,M653=N653,M653=K653),"CHECK",0)</f>
        <v/>
      </c>
      <c r="N696" s="1824">
        <f>IF(OR(N653=I653,N653=O653,N653=M653),"CHECK",0)</f>
        <v/>
      </c>
      <c r="O696" s="1824">
        <f>IF(OR(O653=J653,O653=P653,O653=N653),"CHECK",0)</f>
        <v/>
      </c>
      <c r="P696" s="1824">
        <f>IF(OR(P653=K653,P653=O653),"CHECK",0)</f>
        <v/>
      </c>
      <c r="Q696" s="1824">
        <f>IF(Q653=L653,"CHECK",0)</f>
        <v/>
      </c>
      <c r="R696" s="1824">
        <f>IF(OR(R653=M653,R653=S653,R653=P653),"CHECK",0)</f>
        <v/>
      </c>
      <c r="S696" s="1824">
        <f>IF(OR(S653=N653,S653=T653,S653=R653),"CHECK",0)</f>
        <v/>
      </c>
      <c r="T696" s="1824">
        <f>IF(OR(T653=O653,T653=U653,T653=S653),"CHECK",0)</f>
        <v/>
      </c>
      <c r="U696" s="1824">
        <f>IF(OR(U653=P653,U653=T653),"CHECK",0)</f>
        <v/>
      </c>
      <c r="V696" s="1824">
        <f>IF(V653=Q653,"CHECK",0)</f>
        <v/>
      </c>
      <c r="W696" s="1824">
        <f>IF(OR(W653=R653,W653=X653,W653=U653),"CHECK",0)</f>
        <v/>
      </c>
      <c r="X696" s="1824">
        <f>IF(OR(X653=S653,X653=Y653,X653=W653),"CHECK",0)</f>
        <v/>
      </c>
      <c r="Y696" s="1824">
        <f>IF(OR(Y653=T653,Y653=Z653,Y653=X653),"CHECK",0)</f>
        <v/>
      </c>
      <c r="Z696" s="1824">
        <f>IF(OR(Z653=U653,Z653=Y653),"CHECK",0)</f>
        <v/>
      </c>
      <c r="AA696" s="1824">
        <f>IF(AA653=V653,"CHECK",0)</f>
        <v/>
      </c>
      <c r="AB696" s="1824">
        <f>IF(OR(AB653=W653,AB653=AC653,AB653=Z653),"CHECK",0)</f>
        <v/>
      </c>
      <c r="AC696" s="1824">
        <f>IF(OR(AC653=X653,AC653=AD653,AC653=AB653),"CHECK",0)</f>
        <v/>
      </c>
      <c r="AD696" s="1824">
        <f>IF(OR(AD653=Y653,AD653=AE653,AD653=AC653),"CHECK",0)</f>
        <v/>
      </c>
      <c r="AE696" s="1824">
        <f>IF(OR(AE653=Z653,AE653=AD653),"CHECK",0)</f>
        <v/>
      </c>
      <c r="AF696" s="1824">
        <f>IF(AF653=AA653,"CHECK",0)</f>
        <v/>
      </c>
      <c r="AG696" s="1824">
        <f>IF(OR(AG653=AB653,AG653=AH653,AG653=AE653),"CHECK",0)</f>
        <v/>
      </c>
      <c r="AH696" s="1824">
        <f>IF(OR(AH653=AC653,AH653=AI653,AH653=AG653),"CHECK",0)</f>
        <v/>
      </c>
      <c r="AI696" s="1824">
        <f>IF(OR(AI653=AD653,AI653=AJ653,AI653=AH653),"CHECK",0)</f>
        <v/>
      </c>
      <c r="AJ696" s="1824">
        <f>IF(OR(AJ653=AE653,AJ653=AI653),"CHECK",0)</f>
        <v/>
      </c>
      <c r="AK696" s="1824">
        <f>IF(AK653=AF653,"CHECK",0)</f>
        <v/>
      </c>
      <c r="AL696" s="1824">
        <f>IF(OR(AL653=AG653,AL653=AM653,AL653=AJ653),"CHECK",0)</f>
        <v/>
      </c>
      <c r="AM696" s="1824">
        <f>IF(OR(AM653=AH653,AM653=AN653,AM653=AL653),"CHECK",0)</f>
        <v/>
      </c>
      <c r="AN696" s="1824">
        <f>IF(OR(AN653=AI653,AN653=AO653,AN653=AM653),"CHECK",0)</f>
        <v/>
      </c>
      <c r="AO696" s="1824">
        <f>IF(OR(AO653=AJ653,AO653=AN653),"CHECK",0)</f>
        <v/>
      </c>
      <c r="AP696" s="1824">
        <f>IF(AP653=AK653,"CHECK",0)</f>
        <v/>
      </c>
      <c r="AQ696" s="1824">
        <f>IF(OR(AQ653=AL653,AQ653=AR653,AQ653=AO653),"CHECK",0)</f>
        <v/>
      </c>
      <c r="AR696" s="1824">
        <f>IF(OR(AR653=AM653,AR653=AS653,AR653=AQ653),"CHECK",0)</f>
        <v/>
      </c>
      <c r="AS696" s="1824">
        <f>IF(OR(AS653=AN653,AS653=AT653,AS653=AR653),"CHECK",0)</f>
        <v/>
      </c>
      <c r="AT696" s="1824">
        <f>IF(OR(AT653=AO653,AT653=AS653),"CHECK",0)</f>
        <v/>
      </c>
      <c r="AU696" s="1824">
        <f>IF(AU653=AP653,"CHECK",0)</f>
        <v/>
      </c>
      <c r="AV696" s="1824">
        <f>IF(OR(AV653=AQ653,AV653=AW653,AV653=AT653),"CHECK",0)</f>
        <v/>
      </c>
      <c r="AW696" s="1824">
        <f>IF(OR(AW653=AR653,AW653=AX653,AW653=AV653),"CHECK",0)</f>
        <v/>
      </c>
      <c r="AX696" s="1824">
        <f>IF(OR(AX653=AS653,AX653=AY653,AX653=AW653),"CHECK",0)</f>
        <v/>
      </c>
      <c r="AY696" s="1824">
        <f>IF(OR(AY653=AT653,AY653=AX653),"CHECK",0)</f>
        <v/>
      </c>
      <c r="AZ696" s="1824">
        <f>IF(AZ653=AU653,"CHECK",0)</f>
        <v/>
      </c>
      <c r="BA696" s="1824">
        <f>IF(OR(BA653=AV653,BA653=BB653,BA653=AY653),"CHECK",0)</f>
        <v/>
      </c>
      <c r="BB696" s="1824">
        <f>IF(OR(BB653=AW653,BB653=BC653,BB653=BA653),"CHECK",0)</f>
        <v/>
      </c>
      <c r="BC696" s="1824">
        <f>IF(OR(BC653=AX653,BC653=BD653,BC653=BB653),"CHECK",0)</f>
        <v/>
      </c>
      <c r="BD696" s="1824">
        <f>IF(OR(BD653=AY653,BD653=BC653),"CHECK",0)</f>
        <v/>
      </c>
      <c r="BE696" s="1824">
        <f>IF(BE653=AZ653,"CHECK",0)</f>
        <v/>
      </c>
      <c r="BF696" s="1824">
        <f>IF(OR(BF653=BA653,BF653=BG653,BF653=BD653),"CHECK",0)</f>
        <v/>
      </c>
      <c r="BG696" s="1824">
        <f>IF(OR(BG653=BB653,BG653=BH653,BG653=BF653),"CHECK",0)</f>
        <v/>
      </c>
      <c r="BH696" s="1824">
        <f>IF(OR(BH653=BC653,BH653=BI653,BH653=BG653),"CHECK",0)</f>
        <v/>
      </c>
      <c r="BI696" s="1824">
        <f>IF(OR(BI653=BD653,BI653=BH653),"CHECK",0)</f>
        <v/>
      </c>
      <c r="BJ696" s="1824">
        <f>IF(BJ653=BE653,"CHECK",0)</f>
        <v/>
      </c>
      <c r="BK696" s="1824">
        <f>IF(OR(BK653=BF653,BK653=BL653,BK653=BI653),"CHECK",0)</f>
        <v/>
      </c>
      <c r="BL696" s="1824">
        <f>IF(OR(BL653=BG653,BL653=BM653,BL653=BK653),"CHECK",0)</f>
        <v/>
      </c>
      <c r="BM696" s="1824">
        <f>IF(OR(BM653=BH653,BM653=BN653,BM653=BL653),"CHECK",0)</f>
        <v/>
      </c>
      <c r="BN696" s="1824">
        <f>IF(OR(BN653=BI653,BN653=BM653),"CHECK",0)</f>
        <v/>
      </c>
      <c r="BO696" s="1825">
        <f>IF(BO653=BJ653,"CHECK",0)</f>
        <v/>
      </c>
      <c r="BP696" s="1824" t="n"/>
      <c r="BQ696" s="1824" t="n"/>
      <c r="BR696" s="1824" t="n"/>
      <c r="BS696" s="1824" t="n"/>
      <c r="BT696" s="1824" t="n"/>
      <c r="BU696" s="1824" t="n"/>
      <c r="BV696" s="1824" t="n"/>
      <c r="BW696" s="1824" t="n"/>
      <c r="BX696" s="1824" t="n"/>
      <c r="BY696" s="1824" t="n"/>
      <c r="BZ696" s="1824" t="n"/>
      <c r="CA696" s="1824" t="n"/>
      <c r="CB696" s="1824" t="n"/>
      <c r="CC696" s="1564" t="n"/>
    </row>
    <row r="697" ht="15" customFormat="1" customHeight="1" s="1561">
      <c r="A697" s="1564" t="inlineStr">
        <is>
          <t>Ending CF = Ending Cumulative CF</t>
        </is>
      </c>
      <c r="B697" s="1626" t="n"/>
      <c r="C697" s="1824">
        <f>IF(ISBLANK(INDEX(MO_IS_FirstRow,0,COLUMN())),0,ROUND(C578-C522,6))</f>
        <v/>
      </c>
      <c r="D697" s="1824">
        <f>IF(ISBLANK(INDEX(MO_IS_FirstRow,0,COLUMN())),0,ROUND(D578-D522,6))</f>
        <v/>
      </c>
      <c r="E697" s="1824">
        <f>IF(ISBLANK(INDEX(MO_IS_FirstRow,0,COLUMN())),0,ROUND(E578-E522,6))</f>
        <v/>
      </c>
      <c r="F697" s="1824">
        <f>IF(ISBLANK(INDEX(MO_IS_FirstRow,0,COLUMN())),0,ROUND(F578-F522,6))</f>
        <v/>
      </c>
      <c r="G697" s="1824">
        <f>IF(ISBLANK(INDEX(MO_IS_FirstRow,0,COLUMN())),0,ROUND(G578-G522,6))</f>
        <v/>
      </c>
      <c r="H697" s="1824">
        <f>IF(ISBLANK(INDEX(MO_IS_FirstRow,0,COLUMN())),0,ROUND(H578-H522,6))</f>
        <v/>
      </c>
      <c r="I697" s="1824">
        <f>IF(ISBLANK(INDEX(MO_IS_FirstRow,0,COLUMN())),0,ROUND(I578-I522,6))</f>
        <v/>
      </c>
      <c r="J697" s="1824">
        <f>IF(ISBLANK(INDEX(MO_IS_FirstRow,0,COLUMN())),0,ROUND(J578-J522,6))</f>
        <v/>
      </c>
      <c r="K697" s="1824">
        <f>IF(ISBLANK(INDEX(MO_IS_FirstRow,0,COLUMN())),0,ROUND(K578-K522,6))</f>
        <v/>
      </c>
      <c r="L697" s="1824">
        <f>IF(ISBLANK(INDEX(MO_IS_FirstRow,0,COLUMN())),0,ROUND(L578-L522,6))</f>
        <v/>
      </c>
      <c r="M697" s="1824">
        <f>IF(ISBLANK(INDEX(MO_IS_FirstRow,0,COLUMN())),0,ROUND(M578-M522,6))</f>
        <v/>
      </c>
      <c r="N697" s="1824">
        <f>IF(ISBLANK(INDEX(MO_IS_FirstRow,0,COLUMN())),0,ROUND(N578-N522,6))</f>
        <v/>
      </c>
      <c r="O697" s="1824">
        <f>IF(ISBLANK(INDEX(MO_IS_FirstRow,0,COLUMN())),0,ROUND(O578-O522,6))</f>
        <v/>
      </c>
      <c r="P697" s="1824">
        <f>IF(ISBLANK(INDEX(MO_IS_FirstRow,0,COLUMN())),0,ROUND(P578-P522,6))</f>
        <v/>
      </c>
      <c r="Q697" s="1824">
        <f>IF(ISBLANK(INDEX(MO_IS_FirstRow,0,COLUMN())),0,ROUND(Q578-Q522,6))</f>
        <v/>
      </c>
      <c r="R697" s="1824">
        <f>IF(ISBLANK(INDEX(MO_IS_FirstRow,0,COLUMN())),0,ROUND(R578-R522,6))</f>
        <v/>
      </c>
      <c r="S697" s="1824">
        <f>IF(ISBLANK(INDEX(MO_IS_FirstRow,0,COLUMN())),0,ROUND(S578-S522,6))</f>
        <v/>
      </c>
      <c r="T697" s="1824">
        <f>IF(ISBLANK(INDEX(MO_IS_FirstRow,0,COLUMN())),0,ROUND(T578-T522,6))</f>
        <v/>
      </c>
      <c r="U697" s="1824">
        <f>IF(ISBLANK(INDEX(MO_IS_FirstRow,0,COLUMN())),0,ROUND(U578-U522,6))</f>
        <v/>
      </c>
      <c r="V697" s="1824">
        <f>IF(ISBLANK(INDEX(MO_IS_FirstRow,0,COLUMN())),0,ROUND(V578-V522,6))</f>
        <v/>
      </c>
      <c r="W697" s="1824">
        <f>IF(ISBLANK(INDEX(MO_IS_FirstRow,0,COLUMN())),0,ROUND(W578-W522,6))</f>
        <v/>
      </c>
      <c r="X697" s="1824">
        <f>IF(ISBLANK(INDEX(MO_IS_FirstRow,0,COLUMN())),0,ROUND(X578-X522,6))</f>
        <v/>
      </c>
      <c r="Y697" s="1824">
        <f>IF(ISBLANK(INDEX(MO_IS_FirstRow,0,COLUMN())),0,ROUND(Y578-Y522,6))</f>
        <v/>
      </c>
      <c r="Z697" s="1824">
        <f>IF(ISBLANK(INDEX(MO_IS_FirstRow,0,COLUMN())),0,ROUND(Z578-Z522,6))</f>
        <v/>
      </c>
      <c r="AA697" s="1824">
        <f>IF(ISBLANK(INDEX(MO_IS_FirstRow,0,COLUMN())),0,ROUND(AA578-AA522,6))</f>
        <v/>
      </c>
      <c r="AB697" s="1824">
        <f>IF(ISBLANK(INDEX(MO_IS_FirstRow,0,COLUMN())),0,ROUND(AB578-AB522,6))</f>
        <v/>
      </c>
      <c r="AC697" s="1824">
        <f>IF(ISBLANK(INDEX(MO_IS_FirstRow,0,COLUMN())),0,ROUND(AC578-AC522,6))</f>
        <v/>
      </c>
      <c r="AD697" s="1824">
        <f>IF(ISBLANK(INDEX(MO_IS_FirstRow,0,COLUMN())),0,ROUND(AD578-AD522,6))</f>
        <v/>
      </c>
      <c r="AE697" s="1824">
        <f>IF(ISBLANK(INDEX(MO_IS_FirstRow,0,COLUMN())),0,ROUND(AE578-AE522,6))</f>
        <v/>
      </c>
      <c r="AF697" s="1824">
        <f>IF(ISBLANK(INDEX(MO_IS_FirstRow,0,COLUMN())),0,ROUND(AF578-AF522,6))</f>
        <v/>
      </c>
      <c r="AG697" s="1824">
        <f>IF(ISBLANK(INDEX(MO_IS_FirstRow,0,COLUMN())),0,ROUND(AG578-AG522,6))</f>
        <v/>
      </c>
      <c r="AH697" s="1824">
        <f>IF(ISBLANK(INDEX(MO_IS_FirstRow,0,COLUMN())),0,ROUND(AH578-AH522,6))</f>
        <v/>
      </c>
      <c r="AI697" s="1824">
        <f>IF(ISBLANK(INDEX(MO_IS_FirstRow,0,COLUMN())),0,ROUND(AI578-AI522,6))</f>
        <v/>
      </c>
      <c r="AJ697" s="1824">
        <f>IF(ISBLANK(INDEX(MO_IS_FirstRow,0,COLUMN())),0,ROUND(AJ578-AJ522,6))</f>
        <v/>
      </c>
      <c r="AK697" s="1824">
        <f>IF(ISBLANK(INDEX(MO_IS_FirstRow,0,COLUMN())),0,ROUND(AK578-AK522,6))</f>
        <v/>
      </c>
      <c r="AL697" s="1824">
        <f>IF(ISBLANK(INDEX(MO_IS_FirstRow,0,COLUMN())),0,ROUND(AL578-AL522,6))</f>
        <v/>
      </c>
      <c r="AM697" s="1824">
        <f>IF(ISBLANK(INDEX(MO_IS_FirstRow,0,COLUMN())),0,ROUND(AM578-AM522,6))</f>
        <v/>
      </c>
      <c r="AN697" s="1824">
        <f>IF(ISBLANK(INDEX(MO_IS_FirstRow,0,COLUMN())),0,ROUND(AN578-AN522,6))</f>
        <v/>
      </c>
      <c r="AO697" s="1824">
        <f>IF(ISBLANK(INDEX(MO_IS_FirstRow,0,COLUMN())),0,ROUND(AO578-AO522,6))</f>
        <v/>
      </c>
      <c r="AP697" s="1824">
        <f>IF(ISBLANK(INDEX(MO_IS_FirstRow,0,COLUMN())),0,ROUND(AP578-AP522,6))</f>
        <v/>
      </c>
      <c r="AQ697" s="1824">
        <f>IF(ISBLANK(INDEX(MO_IS_FirstRow,0,COLUMN())),0,ROUND(AQ578-AQ522,6))</f>
        <v/>
      </c>
      <c r="AR697" s="1824">
        <f>IF(ISBLANK(INDEX(MO_IS_FirstRow,0,COLUMN())),0,ROUND(AR578-AR522,6))</f>
        <v/>
      </c>
      <c r="AS697" s="1824">
        <f>IF(ISBLANK(INDEX(MO_IS_FirstRow,0,COLUMN())),0,ROUND(AS578-AS522,6))</f>
        <v/>
      </c>
      <c r="AT697" s="1824">
        <f>IF(ISBLANK(INDEX(MO_IS_FirstRow,0,COLUMN())),0,ROUND(AT578-AT522,6))</f>
        <v/>
      </c>
      <c r="AU697" s="1824">
        <f>IF(ISBLANK(INDEX(MO_IS_FirstRow,0,COLUMN())),0,ROUND(AU578-AU522,6))</f>
        <v/>
      </c>
      <c r="AV697" s="1824">
        <f>IF(ISBLANK(INDEX(MO_IS_FirstRow,0,COLUMN())),0,ROUND(AV578-AV522,6))</f>
        <v/>
      </c>
      <c r="AW697" s="1824">
        <f>IF(ISBLANK(INDEX(MO_IS_FirstRow,0,COLUMN())),0,ROUND(AW578-AW522,6))</f>
        <v/>
      </c>
      <c r="AX697" s="1824">
        <f>IF(ISBLANK(INDEX(MO_IS_FirstRow,0,COLUMN())),0,ROUND(AX578-AX522,6))</f>
        <v/>
      </c>
      <c r="AY697" s="1824">
        <f>IF(ISBLANK(INDEX(MO_IS_FirstRow,0,COLUMN())),0,ROUND(AY578-AY522,6))</f>
        <v/>
      </c>
      <c r="AZ697" s="1824">
        <f>IF(ISBLANK(INDEX(MO_IS_FirstRow,0,COLUMN())),0,ROUND(AZ578-AZ522,6))</f>
        <v/>
      </c>
      <c r="BA697" s="1824">
        <f>IF(ISBLANK(INDEX(MO_IS_FirstRow,0,COLUMN())),0,ROUND(BA578-BA522,6))</f>
        <v/>
      </c>
      <c r="BB697" s="1824">
        <f>IF(ISBLANK(INDEX(MO_IS_FirstRow,0,COLUMN())),0,ROUND(BB578-BB522,6))</f>
        <v/>
      </c>
      <c r="BC697" s="1824">
        <f>IF(ISBLANK(INDEX(MO_IS_FirstRow,0,COLUMN())),0,ROUND(BC578-BC522,6))</f>
        <v/>
      </c>
      <c r="BD697" s="1824">
        <f>IF(ISBLANK(INDEX(MO_IS_FirstRow,0,COLUMN())),0,ROUND(BD578-BD522,6))</f>
        <v/>
      </c>
      <c r="BE697" s="1824">
        <f>IF(ISBLANK(INDEX(MO_IS_FirstRow,0,COLUMN())),0,ROUND(BE578-BE522,6))</f>
        <v/>
      </c>
      <c r="BF697" s="1824">
        <f>IF(ISBLANK(INDEX(MO_IS_FirstRow,0,COLUMN())),0,ROUND(BF578-BF522,6))</f>
        <v/>
      </c>
      <c r="BG697" s="1824">
        <f>IF(ISBLANK(INDEX(MO_IS_FirstRow,0,COLUMN())),0,ROUND(BG578-BG522,6))</f>
        <v/>
      </c>
      <c r="BH697" s="1824">
        <f>IF(ISBLANK(INDEX(MO_IS_FirstRow,0,COLUMN())),0,ROUND(BH578-BH522,6))</f>
        <v/>
      </c>
      <c r="BI697" s="1824">
        <f>IF(ISBLANK(INDEX(MO_IS_FirstRow,0,COLUMN())),0,ROUND(BI578-BI522,6))</f>
        <v/>
      </c>
      <c r="BJ697" s="1824">
        <f>IF(ISBLANK(INDEX(MO_IS_FirstRow,0,COLUMN())),0,ROUND(BJ578-BJ522,6))</f>
        <v/>
      </c>
      <c r="BK697" s="1824">
        <f>IF(ISBLANK(INDEX(MO_IS_FirstRow,0,COLUMN())),0,ROUND(BK578-BK522,6))</f>
        <v/>
      </c>
      <c r="BL697" s="1824">
        <f>IF(ISBLANK(INDEX(MO_IS_FirstRow,0,COLUMN())),0,ROUND(BL578-BL522,6))</f>
        <v/>
      </c>
      <c r="BM697" s="1824">
        <f>IF(ISBLANK(INDEX(MO_IS_FirstRow,0,COLUMN())),0,ROUND(BM578-BM522,6))</f>
        <v/>
      </c>
      <c r="BN697" s="1824">
        <f>IF(ISBLANK(INDEX(MO_IS_FirstRow,0,COLUMN())),0,ROUND(BN578-BN522,6))</f>
        <v/>
      </c>
      <c r="BO697" s="1825">
        <f>IF(ISBLANK(INDEX(MO_IS_FirstRow,0,COLUMN())),0,ROUND(BO578-BO522,6))</f>
        <v/>
      </c>
      <c r="BP697" s="1824">
        <f>IF(ISBLANK(INDEX(MO_IS_FirstRow,0,COLUMN())),0,ROUND(BP578-BP522,6))</f>
        <v/>
      </c>
      <c r="BQ697" s="1824">
        <f>IF(ISBLANK(INDEX(MO_IS_FirstRow,0,COLUMN())),0,ROUND(BQ578-BQ522,6))</f>
        <v/>
      </c>
      <c r="BR697" s="1824">
        <f>IF(ISBLANK(INDEX(MO_IS_FirstRow,0,COLUMN())),0,ROUND(BR578-BR522,6))</f>
        <v/>
      </c>
      <c r="BS697" s="1824">
        <f>IF(ISBLANK(INDEX(MO_IS_FirstRow,0,COLUMN())),0,ROUND(BS578-BS522,6))</f>
        <v/>
      </c>
      <c r="BT697" s="1824">
        <f>IF(ISBLANK(INDEX(MO_IS_FirstRow,0,COLUMN())),0,ROUND(BT578-BT522,6))</f>
        <v/>
      </c>
      <c r="BU697" s="1824">
        <f>IF(ISBLANK(INDEX(MO_IS_FirstRow,0,COLUMN())),0,ROUND(BU578-BU522,6))</f>
        <v/>
      </c>
      <c r="BV697" s="1824">
        <f>IF(ISBLANK(INDEX(MO_IS_FirstRow,0,COLUMN())),0,ROUND(BV578-BV522,6))</f>
        <v/>
      </c>
      <c r="BW697" s="1824">
        <f>IF(ISBLANK(INDEX(MO_IS_FirstRow,0,COLUMN())),0,ROUND(BW578-BW522,6))</f>
        <v/>
      </c>
      <c r="BX697" s="1824">
        <f>IF(ISBLANK(INDEX(MO_IS_FirstRow,0,COLUMN())),0,ROUND(BX578-BX522,6))</f>
        <v/>
      </c>
      <c r="BY697" s="1824">
        <f>IF(ISBLANK(INDEX(MO_IS_FirstRow,0,COLUMN())),0,ROUND(BY578-BY522,6))</f>
        <v/>
      </c>
      <c r="BZ697" s="1824">
        <f>IF(ISBLANK(INDEX(MO_IS_FirstRow,0,COLUMN())),0,ROUND(BZ578-BZ522,6))</f>
        <v/>
      </c>
      <c r="CA697" s="1824">
        <f>IF(ISBLANK(INDEX(MO_IS_FirstRow,0,COLUMN())),0,ROUND(CA578-CA522,6))</f>
        <v/>
      </c>
      <c r="CB697" s="1824">
        <f>IF(ISBLANK(INDEX(MO_IS_FirstRow,0,COLUMN())),0,ROUND(CB578-CB522,6))</f>
        <v/>
      </c>
      <c r="CC697" s="1564" t="n"/>
    </row>
    <row r="698" ht="15" customFormat="1" customHeight="1" s="1561">
      <c r="A698" s="1564" t="inlineStr">
        <is>
          <t>Capex is Updated</t>
        </is>
      </c>
      <c r="B698" s="1626" t="n"/>
      <c r="C698" s="1824">
        <f>ROUND(INDEX(MO_CFSum_Capex,0,COLUMN())-C549-C550,6)</f>
        <v/>
      </c>
      <c r="D698" s="1824">
        <f>ROUND(INDEX(MO_CFSum_Capex,0,COLUMN())-D549-D550,6)</f>
        <v/>
      </c>
      <c r="E698" s="1824">
        <f>ROUND(INDEX(MO_CFSum_Capex,0,COLUMN())-E549-E550,6)</f>
        <v/>
      </c>
      <c r="F698" s="1824">
        <f>ROUND(INDEX(MO_CFSum_Capex,0,COLUMN())-F549-F550,6)</f>
        <v/>
      </c>
      <c r="G698" s="1824">
        <f>ROUND(INDEX(MO_CFSum_Capex,0,COLUMN())-G549-G550,6)</f>
        <v/>
      </c>
      <c r="H698" s="1824">
        <f>ROUND(INDEX(MO_CFSum_Capex,0,COLUMN())-H549-H550,6)</f>
        <v/>
      </c>
      <c r="I698" s="1824">
        <f>ROUND(INDEX(MO_CFSum_Capex,0,COLUMN())-I549-I550,6)</f>
        <v/>
      </c>
      <c r="J698" s="1824">
        <f>ROUND(INDEX(MO_CFSum_Capex,0,COLUMN())-J549-J550,6)</f>
        <v/>
      </c>
      <c r="K698" s="1824">
        <f>ROUND(INDEX(MO_CFSum_Capex,0,COLUMN())-K549-K550,6)</f>
        <v/>
      </c>
      <c r="L698" s="1824">
        <f>ROUND(INDEX(MO_CFSum_Capex,0,COLUMN())-L549-L550,6)</f>
        <v/>
      </c>
      <c r="M698" s="1824">
        <f>ROUND(INDEX(MO_CFSum_Capex,0,COLUMN())-M549-M550,6)</f>
        <v/>
      </c>
      <c r="N698" s="1824">
        <f>ROUND(INDEX(MO_CFSum_Capex,0,COLUMN())-N549-N550,6)</f>
        <v/>
      </c>
      <c r="O698" s="1824">
        <f>ROUND(INDEX(MO_CFSum_Capex,0,COLUMN())-O549-O550,6)</f>
        <v/>
      </c>
      <c r="P698" s="1824">
        <f>ROUND(INDEX(MO_CFSum_Capex,0,COLUMN())-P549-P550,6)</f>
        <v/>
      </c>
      <c r="Q698" s="1824">
        <f>ROUND(INDEX(MO_CFSum_Capex,0,COLUMN())-Q549-Q550,6)</f>
        <v/>
      </c>
      <c r="R698" s="1824">
        <f>ROUND(INDEX(MO_CFSum_Capex,0,COLUMN())-R549-R550,6)</f>
        <v/>
      </c>
      <c r="S698" s="1824">
        <f>ROUND(INDEX(MO_CFSum_Capex,0,COLUMN())-S549-S550,6)</f>
        <v/>
      </c>
      <c r="T698" s="1824">
        <f>ROUND(INDEX(MO_CFSum_Capex,0,COLUMN())-T549-T550,6)</f>
        <v/>
      </c>
      <c r="U698" s="1824">
        <f>ROUND(INDEX(MO_CFSum_Capex,0,COLUMN())-U549-U550,6)</f>
        <v/>
      </c>
      <c r="V698" s="1824">
        <f>ROUND(INDEX(MO_CFSum_Capex,0,COLUMN())-V549-V550,6)</f>
        <v/>
      </c>
      <c r="W698" s="1824">
        <f>ROUND(INDEX(MO_CFSum_Capex,0,COLUMN())-W549-W550,6)</f>
        <v/>
      </c>
      <c r="X698" s="1824">
        <f>ROUND(INDEX(MO_CFSum_Capex,0,COLUMN())-X549-X550,6)</f>
        <v/>
      </c>
      <c r="Y698" s="1824">
        <f>ROUND(INDEX(MO_CFSum_Capex,0,COLUMN())-Y549-Y550,6)</f>
        <v/>
      </c>
      <c r="Z698" s="1824">
        <f>ROUND(INDEX(MO_CFSum_Capex,0,COLUMN())-Z549-Z550,6)</f>
        <v/>
      </c>
      <c r="AA698" s="1824">
        <f>ROUND(INDEX(MO_CFSum_Capex,0,COLUMN())-AA549-AA550,6)</f>
        <v/>
      </c>
      <c r="AB698" s="1824">
        <f>ROUND(INDEX(MO_CFSum_Capex,0,COLUMN())-AB549-AB550,6)</f>
        <v/>
      </c>
      <c r="AC698" s="1824">
        <f>ROUND(INDEX(MO_CFSum_Capex,0,COLUMN())-AC549-AC550,6)</f>
        <v/>
      </c>
      <c r="AD698" s="1824">
        <f>ROUND(INDEX(MO_CFSum_Capex,0,COLUMN())-AD549-AD550,6)</f>
        <v/>
      </c>
      <c r="AE698" s="1824">
        <f>ROUND(INDEX(MO_CFSum_Capex,0,COLUMN())-AE549-AE550,6)</f>
        <v/>
      </c>
      <c r="AF698" s="1824">
        <f>ROUND(INDEX(MO_CFSum_Capex,0,COLUMN())-AF549-AF550,6)</f>
        <v/>
      </c>
      <c r="AG698" s="1824">
        <f>ROUND(INDEX(MO_CFSum_Capex,0,COLUMN())-AG549-AG550,6)</f>
        <v/>
      </c>
      <c r="AH698" s="1824">
        <f>ROUND(INDEX(MO_CFSum_Capex,0,COLUMN())-AH549-AH550,6)</f>
        <v/>
      </c>
      <c r="AI698" s="1824">
        <f>ROUND(INDEX(MO_CFSum_Capex,0,COLUMN())-AI549-AI550,6)</f>
        <v/>
      </c>
      <c r="AJ698" s="1824">
        <f>ROUND(INDEX(MO_CFSum_Capex,0,COLUMN())-AJ549-AJ550,6)</f>
        <v/>
      </c>
      <c r="AK698" s="1824">
        <f>ROUND(INDEX(MO_CFSum_Capex,0,COLUMN())-AK549-AK550,6)</f>
        <v/>
      </c>
      <c r="AL698" s="1824">
        <f>ROUND(INDEX(MO_CFSum_Capex,0,COLUMN())-AL549-AL550,6)</f>
        <v/>
      </c>
      <c r="AM698" s="1824">
        <f>ROUND(INDEX(MO_CFSum_Capex,0,COLUMN())-AM549-AM550,6)</f>
        <v/>
      </c>
      <c r="AN698" s="1824">
        <f>ROUND(INDEX(MO_CFSum_Capex,0,COLUMN())-AN549-AN550,6)</f>
        <v/>
      </c>
      <c r="AO698" s="1824">
        <f>ROUND(INDEX(MO_CFSum_Capex,0,COLUMN())-AO549-AO550,6)</f>
        <v/>
      </c>
      <c r="AP698" s="1824">
        <f>ROUND(INDEX(MO_CFSum_Capex,0,COLUMN())-AP549-AP550,6)</f>
        <v/>
      </c>
      <c r="AQ698" s="1824">
        <f>ROUND(INDEX(MO_CFSum_Capex,0,COLUMN())-AQ549-AQ550,6)</f>
        <v/>
      </c>
      <c r="AR698" s="1824">
        <f>ROUND(INDEX(MO_CFSum_Capex,0,COLUMN())-AR549-AR550,6)</f>
        <v/>
      </c>
      <c r="AS698" s="1824">
        <f>ROUND(INDEX(MO_CFSum_Capex,0,COLUMN())-AS549-AS550,6)</f>
        <v/>
      </c>
      <c r="AT698" s="1824">
        <f>ROUND(INDEX(MO_CFSum_Capex,0,COLUMN())-AT549-AT550,6)</f>
        <v/>
      </c>
      <c r="AU698" s="1824">
        <f>ROUND(INDEX(MO_CFSum_Capex,0,COLUMN())-AU549-AU550,6)</f>
        <v/>
      </c>
      <c r="AV698" s="1824">
        <f>ROUND(INDEX(MO_CFSum_Capex,0,COLUMN())-AV549-AV550,6)</f>
        <v/>
      </c>
      <c r="AW698" s="1824">
        <f>ROUND(INDEX(MO_CFSum_Capex,0,COLUMN())-AW549-AW550,6)</f>
        <v/>
      </c>
      <c r="AX698" s="1824">
        <f>ROUND(INDEX(MO_CFSum_Capex,0,COLUMN())-AX549-AX550,6)</f>
        <v/>
      </c>
      <c r="AY698" s="1824">
        <f>ROUND(INDEX(MO_CFSum_Capex,0,COLUMN())-AY549-AY550,6)</f>
        <v/>
      </c>
      <c r="AZ698" s="1824">
        <f>ROUND(INDEX(MO_CFSum_Capex,0,COLUMN())-AZ549-AZ550,6)</f>
        <v/>
      </c>
      <c r="BA698" s="1824">
        <f>ROUND(INDEX(MO_CFSum_Capex,0,COLUMN())-BA549-BA550,6)</f>
        <v/>
      </c>
      <c r="BB698" s="1824">
        <f>ROUND(INDEX(MO_CFSum_Capex,0,COLUMN())-BB549-BB550,6)</f>
        <v/>
      </c>
      <c r="BC698" s="1824">
        <f>ROUND(INDEX(MO_CFSum_Capex,0,COLUMN())-BC549-BC550,6)</f>
        <v/>
      </c>
      <c r="BD698" s="1824">
        <f>ROUND(INDEX(MO_CFSum_Capex,0,COLUMN())-BD549-BD550,6)</f>
        <v/>
      </c>
      <c r="BE698" s="1824">
        <f>ROUND(INDEX(MO_CFSum_Capex,0,COLUMN())-BE549-BE550,6)</f>
        <v/>
      </c>
      <c r="BF698" s="1824">
        <f>ROUND(INDEX(MO_CFSum_Capex,0,COLUMN())-BF549-BF550,6)</f>
        <v/>
      </c>
      <c r="BG698" s="1824">
        <f>ROUND(INDEX(MO_CFSum_Capex,0,COLUMN())-BG549-BG550,6)</f>
        <v/>
      </c>
      <c r="BH698" s="1824">
        <f>ROUND(INDEX(MO_CFSum_Capex,0,COLUMN())-BH549-BH550,6)</f>
        <v/>
      </c>
      <c r="BI698" s="1824">
        <f>ROUND(INDEX(MO_CFSum_Capex,0,COLUMN())-BI549-BI550,6)</f>
        <v/>
      </c>
      <c r="BJ698" s="1824">
        <f>ROUND(INDEX(MO_CFSum_Capex,0,COLUMN())-BJ549-BJ550,6)</f>
        <v/>
      </c>
      <c r="BK698" s="1824">
        <f>ROUND(INDEX(MO_CFSum_Capex,0,COLUMN())-BK549-BK550,6)</f>
        <v/>
      </c>
      <c r="BL698" s="1824">
        <f>ROUND(INDEX(MO_CFSum_Capex,0,COLUMN())-BL549-BL550,6)</f>
        <v/>
      </c>
      <c r="BM698" s="1824">
        <f>ROUND(INDEX(MO_CFSum_Capex,0,COLUMN())-BM549-BM550,6)</f>
        <v/>
      </c>
      <c r="BN698" s="1824">
        <f>ROUND(INDEX(MO_CFSum_Capex,0,COLUMN())-BN549-BN550,6)</f>
        <v/>
      </c>
      <c r="BO698" s="1825">
        <f>ROUND(INDEX(MO_CFSum_Capex,0,COLUMN())-BO549-BO550,6)</f>
        <v/>
      </c>
      <c r="BP698" s="1824">
        <f>ROUND(INDEX(MO_CFSum_Capex,0,COLUMN())-BP549-BP550,6)</f>
        <v/>
      </c>
      <c r="BQ698" s="1824">
        <f>ROUND(INDEX(MO_CFSum_Capex,0,COLUMN())-BQ549-BQ550,6)</f>
        <v/>
      </c>
      <c r="BR698" s="1824">
        <f>ROUND(INDEX(MO_CFSum_Capex,0,COLUMN())-BR549-BR550,6)</f>
        <v/>
      </c>
      <c r="BS698" s="1824">
        <f>ROUND(INDEX(MO_CFSum_Capex,0,COLUMN())-BS549-BS550,6)</f>
        <v/>
      </c>
      <c r="BT698" s="1824">
        <f>ROUND(INDEX(MO_CFSum_Capex,0,COLUMN())-BT549-BT550,6)</f>
        <v/>
      </c>
      <c r="BU698" s="1824">
        <f>ROUND(INDEX(MO_CFSum_Capex,0,COLUMN())-BU549-BU550,6)</f>
        <v/>
      </c>
      <c r="BV698" s="1824">
        <f>ROUND(INDEX(MO_CFSum_Capex,0,COLUMN())-BV549-BV550,6)</f>
        <v/>
      </c>
      <c r="BW698" s="1824">
        <f>ROUND(INDEX(MO_CFSum_Capex,0,COLUMN())-BW549-BW550,6)</f>
        <v/>
      </c>
      <c r="BX698" s="1824">
        <f>ROUND(INDEX(MO_CFSum_Capex,0,COLUMN())-BX549-BX550,6)</f>
        <v/>
      </c>
      <c r="BY698" s="1824">
        <f>ROUND(INDEX(MO_CFSum_Capex,0,COLUMN())-BY549-BY550,6)</f>
        <v/>
      </c>
      <c r="BZ698" s="1824">
        <f>ROUND(INDEX(MO_CFSum_Capex,0,COLUMN())-BZ549-BZ550,6)</f>
        <v/>
      </c>
      <c r="CA698" s="1824">
        <f>ROUND(INDEX(MO_CFSum_Capex,0,COLUMN())-CA549-CA550,6)</f>
        <v/>
      </c>
      <c r="CB698" s="1824">
        <f>ROUND(INDEX(MO_CFSum_Capex,0,COLUMN())-CB549-CB550,6)</f>
        <v/>
      </c>
      <c r="CC698" s="1564" t="n"/>
    </row>
    <row r="699" ht="15" customFormat="1" customHeight="1" s="1561">
      <c r="A699" s="1564" t="inlineStr">
        <is>
          <t>Margin is Updated</t>
        </is>
      </c>
      <c r="B699" s="1626" t="n"/>
      <c r="C699" s="1824">
        <f>IF(ISBLANK(INDEX(MO_IS_FirstRow,0,COLUMN())),0,IF(MOD(C285*1000000,1)=0,"Check",0))</f>
        <v/>
      </c>
      <c r="D699" s="1824">
        <f>IF(ISBLANK(INDEX(MO_IS_FirstRow,0,COLUMN())),0,IF(MOD(D285*1000000,1)=0,"Check",0))</f>
        <v/>
      </c>
      <c r="E699" s="1824">
        <f>IF(ISBLANK(INDEX(MO_IS_FirstRow,0,COLUMN())),0,IF(MOD(E285*1000000,1)=0,"Check",0))</f>
        <v/>
      </c>
      <c r="F699" s="1824">
        <f>IF(ISBLANK(INDEX(MO_IS_FirstRow,0,COLUMN())),0,IF(MOD(F285*1000000,1)=0,"Check",0))</f>
        <v/>
      </c>
      <c r="G699" s="1824">
        <f>IF(ISBLANK(INDEX(MO_IS_FirstRow,0,COLUMN())),0,IF(MOD(G285*1000000,1)=0,"Check",0))</f>
        <v/>
      </c>
      <c r="H699" s="1824">
        <f>IF(ISBLANK(INDEX(MO_IS_FirstRow,0,COLUMN())),0,IF(MOD(H285*1000000,1)=0,"Check",0))</f>
        <v/>
      </c>
      <c r="I699" s="1824">
        <f>IF(ISBLANK(INDEX(MO_IS_FirstRow,0,COLUMN())),0,IF(MOD(I285*1000000,1)=0,"Check",0))</f>
        <v/>
      </c>
      <c r="J699" s="1824">
        <f>IF(ISBLANK(INDEX(MO_IS_FirstRow,0,COLUMN())),0,IF(MOD(J285*1000000,1)=0,"Check",0))</f>
        <v/>
      </c>
      <c r="K699" s="1824">
        <f>IF(ISBLANK(INDEX(MO_IS_FirstRow,0,COLUMN())),0,IF(MOD(K285*1000000,1)=0,"Check",0))</f>
        <v/>
      </c>
      <c r="L699" s="1824">
        <f>IF(ISBLANK(INDEX(MO_IS_FirstRow,0,COLUMN())),0,IF(MOD(L285*1000000,1)=0,"Check",0))</f>
        <v/>
      </c>
      <c r="M699" s="1824">
        <f>IF(ISBLANK(INDEX(MO_IS_FirstRow,0,COLUMN())),0,IF(MOD(M285*1000000,1)=0,"Check",0))</f>
        <v/>
      </c>
      <c r="N699" s="1824">
        <f>IF(ISBLANK(INDEX(MO_IS_FirstRow,0,COLUMN())),0,IF(MOD(N285*1000000,1)=0,"Check",0))</f>
        <v/>
      </c>
      <c r="O699" s="1824">
        <f>IF(ISBLANK(INDEX(MO_IS_FirstRow,0,COLUMN())),0,IF(MOD(O285*1000000,1)=0,"Check",0))</f>
        <v/>
      </c>
      <c r="P699" s="1824">
        <f>IF(ISBLANK(INDEX(MO_IS_FirstRow,0,COLUMN())),0,IF(MOD(P285*1000000,1)=0,"Check",0))</f>
        <v/>
      </c>
      <c r="Q699" s="1824">
        <f>IF(ISBLANK(INDEX(MO_IS_FirstRow,0,COLUMN())),0,IF(MOD(Q285*1000000,1)=0,"Check",0))</f>
        <v/>
      </c>
      <c r="R699" s="1824">
        <f>IF(ISBLANK(INDEX(MO_IS_FirstRow,0,COLUMN())),0,IF(MOD(R285*1000000,1)=0,"Check",0))</f>
        <v/>
      </c>
      <c r="S699" s="1824">
        <f>IF(ISBLANK(INDEX(MO_IS_FirstRow,0,COLUMN())),0,IF(MOD(S285*1000000,1)=0,"Check",0))</f>
        <v/>
      </c>
      <c r="T699" s="1824">
        <f>IF(ISBLANK(INDEX(MO_IS_FirstRow,0,COLUMN())),0,IF(MOD(T285*1000000,1)=0,"Check",0))</f>
        <v/>
      </c>
      <c r="U699" s="1824">
        <f>IF(ISBLANK(INDEX(MO_IS_FirstRow,0,COLUMN())),0,IF(MOD(U285*1000000,1)=0,"Check",0))</f>
        <v/>
      </c>
      <c r="V699" s="1824">
        <f>IF(ISBLANK(INDEX(MO_IS_FirstRow,0,COLUMN())),0,IF(MOD(V285*1000000,1)=0,"Check",0))</f>
        <v/>
      </c>
      <c r="W699" s="1824">
        <f>IF(ISBLANK(INDEX(MO_IS_FirstRow,0,COLUMN())),0,IF(MOD(W285*1000000,1)=0,"Check",0))</f>
        <v/>
      </c>
      <c r="X699" s="1824">
        <f>IF(ISBLANK(INDEX(MO_IS_FirstRow,0,COLUMN())),0,IF(MOD(X285*1000000,1)=0,"Check",0))</f>
        <v/>
      </c>
      <c r="Y699" s="1824">
        <f>IF(ISBLANK(INDEX(MO_IS_FirstRow,0,COLUMN())),0,IF(MOD(Y285*1000000,1)=0,"Check",0))</f>
        <v/>
      </c>
      <c r="Z699" s="1824">
        <f>IF(ISBLANK(INDEX(MO_IS_FirstRow,0,COLUMN())),0,IF(MOD(Z285*1000000,1)=0,"Check",0))</f>
        <v/>
      </c>
      <c r="AA699" s="1824">
        <f>IF(ISBLANK(INDEX(MO_IS_FirstRow,0,COLUMN())),0,IF(MOD(AA285*1000000,1)=0,"Check",0))</f>
        <v/>
      </c>
      <c r="AB699" s="1824">
        <f>IF(ISBLANK(INDEX(MO_IS_FirstRow,0,COLUMN())),0,IF(MOD(AB285*1000000,1)=0,"Check",0))</f>
        <v/>
      </c>
      <c r="AC699" s="1824">
        <f>IF(ISBLANK(INDEX(MO_IS_FirstRow,0,COLUMN())),0,IF(MOD(AC285*1000000,1)=0,"Check",0))</f>
        <v/>
      </c>
      <c r="AD699" s="1824">
        <f>IF(ISBLANK(INDEX(MO_IS_FirstRow,0,COLUMN())),0,IF(MOD(AD285*1000000,1)=0,"Check",0))</f>
        <v/>
      </c>
      <c r="AE699" s="1824">
        <f>IF(ISBLANK(INDEX(MO_IS_FirstRow,0,COLUMN())),0,IF(MOD(AE285*1000000,1)=0,"Check",0))</f>
        <v/>
      </c>
      <c r="AF699" s="1824">
        <f>IF(ISBLANK(INDEX(MO_IS_FirstRow,0,COLUMN())),0,IF(MOD(AF285*1000000,1)=0,"Check",0))</f>
        <v/>
      </c>
      <c r="AG699" s="1824">
        <f>IF(ISBLANK(INDEX(MO_IS_FirstRow,0,COLUMN())),0,IF(MOD(AG285*1000000,1)=0,"Check",0))</f>
        <v/>
      </c>
      <c r="AH699" s="1824">
        <f>IF(ISBLANK(INDEX(MO_IS_FirstRow,0,COLUMN())),0,IF(MOD(AH285*1000000,1)=0,"Check",0))</f>
        <v/>
      </c>
      <c r="AI699" s="1824">
        <f>IF(ISBLANK(INDEX(MO_IS_FirstRow,0,COLUMN())),0,IF(MOD(AI285*1000000,1)=0,"Check",0))</f>
        <v/>
      </c>
      <c r="AJ699" s="1824">
        <f>IF(ISBLANK(INDEX(MO_IS_FirstRow,0,COLUMN())),0,IF(MOD(AJ285*1000000,1)=0,"Check",0))</f>
        <v/>
      </c>
      <c r="AK699" s="1824">
        <f>IF(ISBLANK(INDEX(MO_IS_FirstRow,0,COLUMN())),0,IF(MOD(AK285*1000000,1)=0,"Check",0))</f>
        <v/>
      </c>
      <c r="AL699" s="1824">
        <f>IF(ISBLANK(INDEX(MO_IS_FirstRow,0,COLUMN())),0,IF(MOD(AL285*1000000,1)=0,"Check",0))</f>
        <v/>
      </c>
      <c r="AM699" s="1824">
        <f>IF(ISBLANK(INDEX(MO_IS_FirstRow,0,COLUMN())),0,IF(MOD(AM285*1000000,1)=0,"Check",0))</f>
        <v/>
      </c>
      <c r="AN699" s="1824">
        <f>IF(ISBLANK(INDEX(MO_IS_FirstRow,0,COLUMN())),0,IF(MOD(AN285*1000000,1)=0,"Check",0))</f>
        <v/>
      </c>
      <c r="AO699" s="1824">
        <f>IF(ISBLANK(INDEX(MO_IS_FirstRow,0,COLUMN())),0,IF(MOD(AO285*1000000,1)=0,"Check",0))</f>
        <v/>
      </c>
      <c r="AP699" s="1824">
        <f>IF(ISBLANK(INDEX(MO_IS_FirstRow,0,COLUMN())),0,IF(MOD(AP285*1000000,1)=0,"Check",0))</f>
        <v/>
      </c>
      <c r="AQ699" s="1824">
        <f>IF(ISBLANK(INDEX(MO_IS_FirstRow,0,COLUMN())),0,IF(MOD(AQ285*1000000,1)=0,"Check",0))</f>
        <v/>
      </c>
      <c r="AR699" s="1824">
        <f>IF(ISBLANK(INDEX(MO_IS_FirstRow,0,COLUMN())),0,IF(MOD(AR285*1000000,1)=0,"Check",0))</f>
        <v/>
      </c>
      <c r="AS699" s="1824">
        <f>IF(ISBLANK(INDEX(MO_IS_FirstRow,0,COLUMN())),0,IF(MOD(AS285*1000000,1)=0,"Check",0))</f>
        <v/>
      </c>
      <c r="AT699" s="1824">
        <f>IF(ISBLANK(INDEX(MO_IS_FirstRow,0,COLUMN())),0,IF(MOD(AT285*1000000,1)=0,"Check",0))</f>
        <v/>
      </c>
      <c r="AU699" s="1824">
        <f>IF(ISBLANK(INDEX(MO_IS_FirstRow,0,COLUMN())),0,IF(MOD(AU285*1000000,1)=0,"Check",0))</f>
        <v/>
      </c>
      <c r="AV699" s="1824">
        <f>IF(ISBLANK(INDEX(MO_IS_FirstRow,0,COLUMN())),0,IF(MOD(AV285*1000000,1)=0,"Check",0))</f>
        <v/>
      </c>
      <c r="AW699" s="1824">
        <f>IF(ISBLANK(INDEX(MO_IS_FirstRow,0,COLUMN())),0,IF(MOD(AW285*1000000,1)=0,"Check",0))</f>
        <v/>
      </c>
      <c r="AX699" s="1824">
        <f>IF(ISBLANK(INDEX(MO_IS_FirstRow,0,COLUMN())),0,IF(MOD(AX285*1000000,1)=0,"Check",0))</f>
        <v/>
      </c>
      <c r="AY699" s="1824">
        <f>IF(ISBLANK(INDEX(MO_IS_FirstRow,0,COLUMN())),0,IF(MOD(AY285*1000000,1)=0,"Check",0))</f>
        <v/>
      </c>
      <c r="AZ699" s="1824">
        <f>IF(ISBLANK(INDEX(MO_IS_FirstRow,0,COLUMN())),0,IF(MOD(AZ285*1000000,1)=0,"Check",0))</f>
        <v/>
      </c>
      <c r="BA699" s="1824">
        <f>IF(ISBLANK(INDEX(MO_IS_FirstRow,0,COLUMN())),0,IF(MOD(BA285*1000000,1)=0,"Check",0))</f>
        <v/>
      </c>
      <c r="BB699" s="1824">
        <f>IF(ISBLANK(INDEX(MO_IS_FirstRow,0,COLUMN())),0,IF(MOD(BB285*1000000,1)=0,"Check",0))</f>
        <v/>
      </c>
      <c r="BC699" s="1824">
        <f>IF(ISBLANK(INDEX(MO_IS_FirstRow,0,COLUMN())),0,IF(MOD(BC285*1000000,1)=0,"Check",0))</f>
        <v/>
      </c>
      <c r="BD699" s="1824">
        <f>IF(ISBLANK(INDEX(MO_IS_FirstRow,0,COLUMN())),0,IF(MOD(BD285*1000000,1)=0,"Check",0))</f>
        <v/>
      </c>
      <c r="BE699" s="1824">
        <f>IF(ISBLANK(INDEX(MO_IS_FirstRow,0,COLUMN())),0,IF(MOD(BE285*1000000,1)=0,"Check",0))</f>
        <v/>
      </c>
      <c r="BF699" s="1824">
        <f>IF(ISBLANK(INDEX(MO_IS_FirstRow,0,COLUMN())),0,IF(MOD(BF285*1000000,1)=0,"Check",0))</f>
        <v/>
      </c>
      <c r="BG699" s="1824">
        <f>IF(ISBLANK(INDEX(MO_IS_FirstRow,0,COLUMN())),0,IF(MOD(BG285*1000000,1)=0,"Check",0))</f>
        <v/>
      </c>
      <c r="BH699" s="1824">
        <f>IF(ISBLANK(INDEX(MO_IS_FirstRow,0,COLUMN())),0,IF(MOD(BH285*1000000,1)=0,"Check",0))</f>
        <v/>
      </c>
      <c r="BI699" s="1824">
        <f>IF(ISBLANK(INDEX(MO_IS_FirstRow,0,COLUMN())),0,IF(MOD(BI285*1000000,1)=0,"Check",0))</f>
        <v/>
      </c>
      <c r="BJ699" s="1824">
        <f>IF(ISBLANK(INDEX(MO_IS_FirstRow,0,COLUMN())),0,IF(MOD(BJ285*1000000,1)=0,"Check",0))</f>
        <v/>
      </c>
      <c r="BK699" s="1824">
        <f>IF(ISBLANK(INDEX(MO_IS_FirstRow,0,COLUMN())),0,IF(MOD(BK285*1000000,1)=0,"Check",0))</f>
        <v/>
      </c>
      <c r="BL699" s="1824">
        <f>IF(ISBLANK(INDEX(MO_IS_FirstRow,0,COLUMN())),0,IF(MOD(BL285*1000000,1)=0,"Check",0))</f>
        <v/>
      </c>
      <c r="BM699" s="1824">
        <f>IF(ISBLANK(INDEX(MO_IS_FirstRow,0,COLUMN())),0,IF(MOD(BM285*1000000,1)=0,"Check",0))</f>
        <v/>
      </c>
      <c r="BN699" s="1824">
        <f>IF(ISBLANK(INDEX(MO_IS_FirstRow,0,COLUMN())),0,IF(MOD(BN285*1000000,1)=0,"Check",0))</f>
        <v/>
      </c>
      <c r="BO699" s="1825">
        <f>IF(ISBLANK(INDEX(MO_IS_FirstRow,0,COLUMN())),0,IF(MOD(BO285*1000000,1)=0,"Check",0))</f>
        <v/>
      </c>
      <c r="BP699" s="1824">
        <f>IF(ISBLANK(INDEX(MO_IS_FirstRow,0,COLUMN())),0,IF(MOD(BP285*1000000,1)=0,"Check",0))</f>
        <v/>
      </c>
      <c r="BQ699" s="1824">
        <f>IF(ISBLANK(INDEX(MO_IS_FirstRow,0,COLUMN())),0,IF(MOD(BQ285*1000000,1)=0,"Check",0))</f>
        <v/>
      </c>
      <c r="BR699" s="1824">
        <f>IF(ISBLANK(INDEX(MO_IS_FirstRow,0,COLUMN())),0,IF(MOD(BR285*1000000,1)=0,"Check",0))</f>
        <v/>
      </c>
      <c r="BS699" s="1824">
        <f>IF(ISBLANK(INDEX(MO_IS_FirstRow,0,COLUMN())),0,IF(MOD(BS285*1000000,1)=0,"Check",0))</f>
        <v/>
      </c>
      <c r="BT699" s="1824">
        <f>IF(ISBLANK(INDEX(MO_IS_FirstRow,0,COLUMN())),0,IF(MOD(BT285*1000000,1)=0,"Check",0))</f>
        <v/>
      </c>
      <c r="BU699" s="1824">
        <f>IF(ISBLANK(INDEX(MO_IS_FirstRow,0,COLUMN())),0,IF(MOD(BU285*1000000,1)=0,"Check",0))</f>
        <v/>
      </c>
      <c r="BV699" s="1824">
        <f>IF(ISBLANK(INDEX(MO_IS_FirstRow,0,COLUMN())),0,IF(MOD(BV285*1000000,1)=0,"Check",0))</f>
        <v/>
      </c>
      <c r="BW699" s="1824">
        <f>IF(ISBLANK(INDEX(MO_IS_FirstRow,0,COLUMN())),0,IF(MOD(BW285*1000000,1)=0,"Check",0))</f>
        <v/>
      </c>
      <c r="BX699" s="1824">
        <f>IF(ISBLANK(INDEX(MO_IS_FirstRow,0,COLUMN())),0,IF(MOD(BX285*1000000,1)=0,"Check",0))</f>
        <v/>
      </c>
      <c r="BY699" s="1824">
        <f>IF(ISBLANK(INDEX(MO_IS_FirstRow,0,COLUMN())),0,IF(MOD(BY285*1000000,1)=0,"Check",0))</f>
        <v/>
      </c>
      <c r="BZ699" s="1824">
        <f>IF(ISBLANK(INDEX(MO_IS_FirstRow,0,COLUMN())),0,IF(MOD(BZ285*1000000,1)=0,"Check",0))</f>
        <v/>
      </c>
      <c r="CA699" s="1824">
        <f>IF(ISBLANK(INDEX(MO_IS_FirstRow,0,COLUMN())),0,IF(MOD(CA285*1000000,1)=0,"Check",0))</f>
        <v/>
      </c>
      <c r="CB699" s="1824">
        <f>IF(ISBLANK(INDEX(MO_IS_FirstRow,0,COLUMN())),0,IF(MOD(CB285*1000000,1)=0,"Check",0))</f>
        <v/>
      </c>
      <c r="CC699" s="1564" t="n"/>
    </row>
    <row r="700" ht="15" customFormat="1" customHeight="1" s="1561">
      <c r="A700" s="1564" t="inlineStr">
        <is>
          <t>Adjusted Numbers FY = Sum of Qs</t>
        </is>
      </c>
      <c r="B700" s="1626" t="n"/>
      <c r="C700" s="1824" t="n"/>
      <c r="D700" s="1824" t="n"/>
      <c r="E700" s="1824" t="n"/>
      <c r="F700" s="1824" t="n"/>
      <c r="G700" s="1824" t="n"/>
      <c r="H700" s="1824" t="n"/>
      <c r="I700" s="1824" t="n"/>
      <c r="J700" s="1824" t="n"/>
      <c r="K700" s="1824" t="n"/>
      <c r="L700" s="1824" t="n"/>
      <c r="M700" s="1824" t="n"/>
      <c r="N700" s="1824" t="n"/>
      <c r="O700" s="1824" t="n"/>
      <c r="P700" s="1824" t="n"/>
      <c r="Q700" s="1824" t="n"/>
      <c r="R700" s="1824" t="n"/>
      <c r="S700" s="1824" t="n"/>
      <c r="T700" s="1824" t="n"/>
      <c r="U700" s="1824" t="n"/>
      <c r="V700" s="1824" t="n"/>
      <c r="W700" s="1824" t="n"/>
      <c r="X700" s="1824" t="n"/>
      <c r="Y700" s="1824" t="n"/>
      <c r="Z700" s="1824" t="n"/>
      <c r="AA700" s="1824" t="n"/>
      <c r="AB700" s="1824" t="n"/>
      <c r="AC700" s="1824" t="n"/>
      <c r="AD700" s="1824" t="n"/>
      <c r="AE700" s="1824" t="n"/>
      <c r="AF700" s="1824" t="n"/>
      <c r="AG700" s="1824" t="n"/>
      <c r="AH700" s="1824" t="n"/>
      <c r="AI700" s="1824" t="n"/>
      <c r="AJ700" s="1824" t="n"/>
      <c r="AK700" s="1824" t="n"/>
      <c r="AL700" s="1824" t="n"/>
      <c r="AM700" s="1824" t="n"/>
      <c r="AN700" s="1824" t="n"/>
      <c r="AO700" s="1824" t="n"/>
      <c r="AP700" s="1824" t="n"/>
      <c r="AQ700" s="1824" t="n"/>
      <c r="AR700" s="1824" t="n"/>
      <c r="AS700" s="1824" t="n"/>
      <c r="AT700" s="1824" t="n"/>
      <c r="AU700" s="1824" t="n"/>
      <c r="AV700" s="1824" t="n"/>
      <c r="AW700" s="1824" t="n"/>
      <c r="AX700" s="1824" t="n"/>
      <c r="AY700" s="1824" t="n"/>
      <c r="AZ700" s="1824" t="n"/>
      <c r="BA700" s="1824" t="n"/>
      <c r="BB700" s="1824" t="n"/>
      <c r="BC700" s="1824" t="n"/>
      <c r="BD700" s="1824" t="n"/>
      <c r="BE700" s="1824" t="n"/>
      <c r="BF700" s="1824" t="n"/>
      <c r="BG700" s="1824" t="n"/>
      <c r="BH700" s="1824" t="n"/>
      <c r="BI700" s="1824" t="n"/>
      <c r="BJ700" s="1824" t="n"/>
      <c r="BK700" s="1824" t="n"/>
      <c r="BL700" s="1824" t="n"/>
      <c r="BM700" s="1824" t="n"/>
      <c r="BN700" s="1824" t="n"/>
      <c r="BO700" s="1825" t="n"/>
      <c r="BP700" s="1824" t="n"/>
      <c r="BQ700" s="1824" t="n"/>
      <c r="BR700" s="1824" t="n"/>
      <c r="BS700" s="1824" t="n"/>
      <c r="BT700" s="1824" t="n"/>
      <c r="BU700" s="1824" t="n"/>
      <c r="BV700" s="1824" t="n"/>
      <c r="BW700" s="1824" t="n"/>
      <c r="BX700" s="1824" t="n"/>
      <c r="BY700" s="1824" t="n"/>
      <c r="BZ700" s="1824" t="n"/>
      <c r="CA700" s="1824" t="n"/>
      <c r="CB700" s="1824" t="n"/>
      <c r="CC700" s="1564" t="n"/>
    </row>
    <row r="701" ht="15" customFormat="1" customHeight="1" s="1561">
      <c r="A701" s="1564" t="inlineStr">
        <is>
          <t>*Cash Flow Summary Signs are Correct</t>
        </is>
      </c>
      <c r="B701" s="1626" t="n"/>
      <c r="C701" s="1824">
        <f>IF(OR(INDEX(MO_CFSum_Acquisition,1,COLUMN())&gt;0,INDEX(MO_CFSum_Divestiture,1,COLUMN())&lt;0,INDEX(MO_CFSum_Capex,1,COLUMN())&gt;0,INDEX(MO_CFSum_Dividend,1,COLUMN())&gt;0),"CHECK",0)</f>
        <v/>
      </c>
      <c r="D701" s="1824">
        <f>IF(OR(INDEX(MO_CFSum_Acquisition,1,COLUMN())&gt;0,INDEX(MO_CFSum_Divestiture,1,COLUMN())&lt;0,INDEX(MO_CFSum_Capex,1,COLUMN())&gt;0,INDEX(MO_CFSum_Dividend,1,COLUMN())&gt;0),"CHECK",0)</f>
        <v/>
      </c>
      <c r="E701" s="1824">
        <f>IF(OR(INDEX(MO_CFSum_Acquisition,1,COLUMN())&gt;0,INDEX(MO_CFSum_Divestiture,1,COLUMN())&lt;0,INDEX(MO_CFSum_Capex,1,COLUMN())&gt;0,INDEX(MO_CFSum_Dividend,1,COLUMN())&gt;0),"CHECK",0)</f>
        <v/>
      </c>
      <c r="F701" s="1824">
        <f>IF(OR(INDEX(MO_CFSum_Acquisition,1,COLUMN())&gt;0,INDEX(MO_CFSum_Divestiture,1,COLUMN())&lt;0,INDEX(MO_CFSum_Capex,1,COLUMN())&gt;0,INDEX(MO_CFSum_Dividend,1,COLUMN())&gt;0),"CHECK",0)</f>
        <v/>
      </c>
      <c r="G701" s="1824">
        <f>IF(OR(INDEX(MO_CFSum_Acquisition,1,COLUMN())&gt;0,INDEX(MO_CFSum_Divestiture,1,COLUMN())&lt;0,INDEX(MO_CFSum_Capex,1,COLUMN())&gt;0,INDEX(MO_CFSum_Dividend,1,COLUMN())&gt;0),"CHECK",0)</f>
        <v/>
      </c>
      <c r="H701" s="1824">
        <f>IF(OR(INDEX(MO_CFSum_Acquisition,1,COLUMN())&gt;0,INDEX(MO_CFSum_Divestiture,1,COLUMN())&lt;0,INDEX(MO_CFSum_Capex,1,COLUMN())&gt;0,INDEX(MO_CFSum_Dividend,1,COLUMN())&gt;0),"CHECK",0)</f>
        <v/>
      </c>
      <c r="I701" s="1824">
        <f>IF(OR(INDEX(MO_CFSum_Acquisition,1,COLUMN())&gt;0,INDEX(MO_CFSum_Divestiture,1,COLUMN())&lt;0,INDEX(MO_CFSum_Capex,1,COLUMN())&gt;0,INDEX(MO_CFSum_Dividend,1,COLUMN())&gt;0),"CHECK",0)</f>
        <v/>
      </c>
      <c r="J701" s="1824">
        <f>IF(OR(INDEX(MO_CFSum_Acquisition,1,COLUMN())&gt;0,INDEX(MO_CFSum_Divestiture,1,COLUMN())&lt;0,INDEX(MO_CFSum_Capex,1,COLUMN())&gt;0,INDEX(MO_CFSum_Dividend,1,COLUMN())&gt;0),"CHECK",0)</f>
        <v/>
      </c>
      <c r="K701" s="1824">
        <f>IF(OR(INDEX(MO_CFSum_Acquisition,1,COLUMN())&gt;0,INDEX(MO_CFSum_Divestiture,1,COLUMN())&lt;0,INDEX(MO_CFSum_Capex,1,COLUMN())&gt;0,INDEX(MO_CFSum_Dividend,1,COLUMN())&gt;0),"CHECK",0)</f>
        <v/>
      </c>
      <c r="L701" s="1824">
        <f>IF(OR(INDEX(MO_CFSum_Acquisition,1,COLUMN())&gt;0,INDEX(MO_CFSum_Divestiture,1,COLUMN())&lt;0,INDEX(MO_CFSum_Capex,1,COLUMN())&gt;0,INDEX(MO_CFSum_Dividend,1,COLUMN())&gt;0),"CHECK",0)</f>
        <v/>
      </c>
      <c r="M701" s="1824">
        <f>IF(OR(INDEX(MO_CFSum_Acquisition,1,COLUMN())&gt;0,INDEX(MO_CFSum_Divestiture,1,COLUMN())&lt;0,INDEX(MO_CFSum_Capex,1,COLUMN())&gt;0,INDEX(MO_CFSum_Dividend,1,COLUMN())&gt;0),"CHECK",0)</f>
        <v/>
      </c>
      <c r="N701" s="1824">
        <f>IF(OR(INDEX(MO_CFSum_Acquisition,1,COLUMN())&gt;0,INDEX(MO_CFSum_Divestiture,1,COLUMN())&lt;0,INDEX(MO_CFSum_Capex,1,COLUMN())&gt;0,INDEX(MO_CFSum_Dividend,1,COLUMN())&gt;0),"CHECK",0)</f>
        <v/>
      </c>
      <c r="O701" s="1824">
        <f>IF(OR(INDEX(MO_CFSum_Acquisition,1,COLUMN())&gt;0,INDEX(MO_CFSum_Divestiture,1,COLUMN())&lt;0,INDEX(MO_CFSum_Capex,1,COLUMN())&gt;0,INDEX(MO_CFSum_Dividend,1,COLUMN())&gt;0),"CHECK",0)</f>
        <v/>
      </c>
      <c r="P701" s="1824">
        <f>IF(OR(INDEX(MO_CFSum_Acquisition,1,COLUMN())&gt;0,INDEX(MO_CFSum_Divestiture,1,COLUMN())&lt;0,INDEX(MO_CFSum_Capex,1,COLUMN())&gt;0,INDEX(MO_CFSum_Dividend,1,COLUMN())&gt;0),"CHECK",0)</f>
        <v/>
      </c>
      <c r="Q701" s="1824">
        <f>IF(OR(INDEX(MO_CFSum_Acquisition,1,COLUMN())&gt;0,INDEX(MO_CFSum_Divestiture,1,COLUMN())&lt;0,INDEX(MO_CFSum_Capex,1,COLUMN())&gt;0,INDEX(MO_CFSum_Dividend,1,COLUMN())&gt;0),"CHECK",0)</f>
        <v/>
      </c>
      <c r="R701" s="1824">
        <f>IF(OR(INDEX(MO_CFSum_Acquisition,1,COLUMN())&gt;0,INDEX(MO_CFSum_Divestiture,1,COLUMN())&lt;0,INDEX(MO_CFSum_Capex,1,COLUMN())&gt;0,INDEX(MO_CFSum_Dividend,1,COLUMN())&gt;0),"CHECK",0)</f>
        <v/>
      </c>
      <c r="S701" s="1824">
        <f>IF(OR(INDEX(MO_CFSum_Acquisition,1,COLUMN())&gt;0,INDEX(MO_CFSum_Divestiture,1,COLUMN())&lt;0,INDEX(MO_CFSum_Capex,1,COLUMN())&gt;0,INDEX(MO_CFSum_Dividend,1,COLUMN())&gt;0),"CHECK",0)</f>
        <v/>
      </c>
      <c r="T701" s="1824">
        <f>IF(OR(INDEX(MO_CFSum_Acquisition,1,COLUMN())&gt;0,INDEX(MO_CFSum_Divestiture,1,COLUMN())&lt;0,INDEX(MO_CFSum_Capex,1,COLUMN())&gt;0,INDEX(MO_CFSum_Dividend,1,COLUMN())&gt;0),"CHECK",0)</f>
        <v/>
      </c>
      <c r="U701" s="1824">
        <f>IF(OR(INDEX(MO_CFSum_Acquisition,1,COLUMN())&gt;0,INDEX(MO_CFSum_Divestiture,1,COLUMN())&lt;0,INDEX(MO_CFSum_Capex,1,COLUMN())&gt;0,INDEX(MO_CFSum_Dividend,1,COLUMN())&gt;0),"CHECK",0)</f>
        <v/>
      </c>
      <c r="V701" s="1824">
        <f>IF(OR(INDEX(MO_CFSum_Acquisition,1,COLUMN())&gt;0,INDEX(MO_CFSum_Divestiture,1,COLUMN())&lt;0,INDEX(MO_CFSum_Capex,1,COLUMN())&gt;0,INDEX(MO_CFSum_Dividend,1,COLUMN())&gt;0),"CHECK",0)</f>
        <v/>
      </c>
      <c r="W701" s="1824">
        <f>IF(OR(INDEX(MO_CFSum_Acquisition,1,COLUMN())&gt;0,INDEX(MO_CFSum_Divestiture,1,COLUMN())&lt;0,INDEX(MO_CFSum_Capex,1,COLUMN())&gt;0,INDEX(MO_CFSum_Dividend,1,COLUMN())&gt;0),"CHECK",0)</f>
        <v/>
      </c>
      <c r="X701" s="1824">
        <f>IF(OR(INDEX(MO_CFSum_Acquisition,1,COLUMN())&gt;0,INDEX(MO_CFSum_Divestiture,1,COLUMN())&lt;0,INDEX(MO_CFSum_Capex,1,COLUMN())&gt;0,INDEX(MO_CFSum_Dividend,1,COLUMN())&gt;0),"CHECK",0)</f>
        <v/>
      </c>
      <c r="Y701" s="1824">
        <f>IF(OR(INDEX(MO_CFSum_Acquisition,1,COLUMN())&gt;0,INDEX(MO_CFSum_Divestiture,1,COLUMN())&lt;0,INDEX(MO_CFSum_Capex,1,COLUMN())&gt;0,INDEX(MO_CFSum_Dividend,1,COLUMN())&gt;0),"CHECK",0)</f>
        <v/>
      </c>
      <c r="Z701" s="1824">
        <f>IF(OR(INDEX(MO_CFSum_Acquisition,1,COLUMN())&gt;0,INDEX(MO_CFSum_Divestiture,1,COLUMN())&lt;0,INDEX(MO_CFSum_Capex,1,COLUMN())&gt;0,INDEX(MO_CFSum_Dividend,1,COLUMN())&gt;0),"CHECK",0)</f>
        <v/>
      </c>
      <c r="AA701" s="1824">
        <f>IF(OR(INDEX(MO_CFSum_Acquisition,1,COLUMN())&gt;0,INDEX(MO_CFSum_Divestiture,1,COLUMN())&lt;0,INDEX(MO_CFSum_Capex,1,COLUMN())&gt;0,INDEX(MO_CFSum_Dividend,1,COLUMN())&gt;0),"CHECK",0)</f>
        <v/>
      </c>
      <c r="AB701" s="1824">
        <f>IF(OR(INDEX(MO_CFSum_Acquisition,1,COLUMN())&gt;0,INDEX(MO_CFSum_Divestiture,1,COLUMN())&lt;0,INDEX(MO_CFSum_Capex,1,COLUMN())&gt;0,INDEX(MO_CFSum_Dividend,1,COLUMN())&gt;0),"CHECK",0)</f>
        <v/>
      </c>
      <c r="AC701" s="1824">
        <f>IF(OR(INDEX(MO_CFSum_Acquisition,1,COLUMN())&gt;0,INDEX(MO_CFSum_Divestiture,1,COLUMN())&lt;0,INDEX(MO_CFSum_Capex,1,COLUMN())&gt;0,INDEX(MO_CFSum_Dividend,1,COLUMN())&gt;0),"CHECK",0)</f>
        <v/>
      </c>
      <c r="AD701" s="1824">
        <f>IF(OR(INDEX(MO_CFSum_Acquisition,1,COLUMN())&gt;0,INDEX(MO_CFSum_Divestiture,1,COLUMN())&lt;0,INDEX(MO_CFSum_Capex,1,COLUMN())&gt;0,INDEX(MO_CFSum_Dividend,1,COLUMN())&gt;0),"CHECK",0)</f>
        <v/>
      </c>
      <c r="AE701" s="1824">
        <f>IF(OR(INDEX(MO_CFSum_Acquisition,1,COLUMN())&gt;0,INDEX(MO_CFSum_Divestiture,1,COLUMN())&lt;0,INDEX(MO_CFSum_Capex,1,COLUMN())&gt;0,INDEX(MO_CFSum_Dividend,1,COLUMN())&gt;0),"CHECK",0)</f>
        <v/>
      </c>
      <c r="AF701" s="1824">
        <f>IF(OR(INDEX(MO_CFSum_Acquisition,1,COLUMN())&gt;0,INDEX(MO_CFSum_Divestiture,1,COLUMN())&lt;0,INDEX(MO_CFSum_Capex,1,COLUMN())&gt;0,INDEX(MO_CFSum_Dividend,1,COLUMN())&gt;0),"CHECK",0)</f>
        <v/>
      </c>
      <c r="AG701" s="1824">
        <f>IF(OR(INDEX(MO_CFSum_Acquisition,1,COLUMN())&gt;0,INDEX(MO_CFSum_Divestiture,1,COLUMN())&lt;0,INDEX(MO_CFSum_Capex,1,COLUMN())&gt;0,INDEX(MO_CFSum_Dividend,1,COLUMN())&gt;0),"CHECK",0)</f>
        <v/>
      </c>
      <c r="AH701" s="1824">
        <f>IF(OR(INDEX(MO_CFSum_Acquisition,1,COLUMN())&gt;0,INDEX(MO_CFSum_Divestiture,1,COLUMN())&lt;0,INDEX(MO_CFSum_Capex,1,COLUMN())&gt;0,INDEX(MO_CFSum_Dividend,1,COLUMN())&gt;0),"CHECK",0)</f>
        <v/>
      </c>
      <c r="AI701" s="1824">
        <f>IF(OR(INDEX(MO_CFSum_Acquisition,1,COLUMN())&gt;0,INDEX(MO_CFSum_Divestiture,1,COLUMN())&lt;0,INDEX(MO_CFSum_Capex,1,COLUMN())&gt;0,INDEX(MO_CFSum_Dividend,1,COLUMN())&gt;0),"CHECK",0)</f>
        <v/>
      </c>
      <c r="AJ701" s="1824">
        <f>IF(OR(INDEX(MO_CFSum_Acquisition,1,COLUMN())&gt;0,INDEX(MO_CFSum_Divestiture,1,COLUMN())&lt;0,INDEX(MO_CFSum_Capex,1,COLUMN())&gt;0,INDEX(MO_CFSum_Dividend,1,COLUMN())&gt;0),"CHECK",0)</f>
        <v/>
      </c>
      <c r="AK701" s="1824">
        <f>IF(OR(INDEX(MO_CFSum_Acquisition,1,COLUMN())&gt;0,INDEX(MO_CFSum_Divestiture,1,COLUMN())&lt;0,INDEX(MO_CFSum_Capex,1,COLUMN())&gt;0,INDEX(MO_CFSum_Dividend,1,COLUMN())&gt;0),"CHECK",0)</f>
        <v/>
      </c>
      <c r="AL701" s="1824">
        <f>IF(OR(INDEX(MO_CFSum_Acquisition,1,COLUMN())&gt;0,INDEX(MO_CFSum_Divestiture,1,COLUMN())&lt;0,INDEX(MO_CFSum_Capex,1,COLUMN())&gt;0,INDEX(MO_CFSum_Dividend,1,COLUMN())&gt;0),"CHECK",0)</f>
        <v/>
      </c>
      <c r="AM701" s="1824">
        <f>IF(OR(INDEX(MO_CFSum_Acquisition,1,COLUMN())&gt;0,INDEX(MO_CFSum_Divestiture,1,COLUMN())&lt;0,INDEX(MO_CFSum_Capex,1,COLUMN())&gt;0,INDEX(MO_CFSum_Dividend,1,COLUMN())&gt;0),"CHECK",0)</f>
        <v/>
      </c>
      <c r="AN701" s="1824">
        <f>IF(OR(INDEX(MO_CFSum_Acquisition,1,COLUMN())&gt;0,INDEX(MO_CFSum_Divestiture,1,COLUMN())&lt;0,INDEX(MO_CFSum_Capex,1,COLUMN())&gt;0,INDEX(MO_CFSum_Dividend,1,COLUMN())&gt;0),"CHECK",0)</f>
        <v/>
      </c>
      <c r="AO701" s="1824">
        <f>IF(OR(INDEX(MO_CFSum_Acquisition,1,COLUMN())&gt;0,INDEX(MO_CFSum_Divestiture,1,COLUMN())&lt;0,INDEX(MO_CFSum_Capex,1,COLUMN())&gt;0,INDEX(MO_CFSum_Dividend,1,COLUMN())&gt;0),"CHECK",0)</f>
        <v/>
      </c>
      <c r="AP701" s="1824">
        <f>IF(OR(INDEX(MO_CFSum_Acquisition,1,COLUMN())&gt;0,INDEX(MO_CFSum_Divestiture,1,COLUMN())&lt;0,INDEX(MO_CFSum_Capex,1,COLUMN())&gt;0,INDEX(MO_CFSum_Dividend,1,COLUMN())&gt;0),"CHECK",0)</f>
        <v/>
      </c>
      <c r="AQ701" s="1824">
        <f>IF(OR(INDEX(MO_CFSum_Acquisition,1,COLUMN())&gt;0,INDEX(MO_CFSum_Divestiture,1,COLUMN())&lt;0,INDEX(MO_CFSum_Capex,1,COLUMN())&gt;0,INDEX(MO_CFSum_Dividend,1,COLUMN())&gt;0),"CHECK",0)</f>
        <v/>
      </c>
      <c r="AR701" s="1824">
        <f>IF(OR(INDEX(MO_CFSum_Acquisition,1,COLUMN())&gt;0,INDEX(MO_CFSum_Divestiture,1,COLUMN())&lt;0,INDEX(MO_CFSum_Capex,1,COLUMN())&gt;0,INDEX(MO_CFSum_Dividend,1,COLUMN())&gt;0),"CHECK",0)</f>
        <v/>
      </c>
      <c r="AS701" s="1824">
        <f>IF(OR(INDEX(MO_CFSum_Acquisition,1,COLUMN())&gt;0,INDEX(MO_CFSum_Divestiture,1,COLUMN())&lt;0,INDEX(MO_CFSum_Capex,1,COLUMN())&gt;0,INDEX(MO_CFSum_Dividend,1,COLUMN())&gt;0),"CHECK",0)</f>
        <v/>
      </c>
      <c r="AT701" s="1824">
        <f>IF(OR(INDEX(MO_CFSum_Acquisition,1,COLUMN())&gt;0,INDEX(MO_CFSum_Divestiture,1,COLUMN())&lt;0,INDEX(MO_CFSum_Capex,1,COLUMN())&gt;0,INDEX(MO_CFSum_Dividend,1,COLUMN())&gt;0),"CHECK",0)</f>
        <v/>
      </c>
      <c r="AU701" s="1824">
        <f>IF(OR(INDEX(MO_CFSum_Acquisition,1,COLUMN())&gt;0,INDEX(MO_CFSum_Divestiture,1,COLUMN())&lt;0,INDEX(MO_CFSum_Capex,1,COLUMN())&gt;0,INDEX(MO_CFSum_Dividend,1,COLUMN())&gt;0),"CHECK",0)</f>
        <v/>
      </c>
      <c r="AV701" s="1824">
        <f>IF(OR(INDEX(MO_CFSum_Acquisition,1,COLUMN())&gt;0,INDEX(MO_CFSum_Divestiture,1,COLUMN())&lt;0,INDEX(MO_CFSum_Capex,1,COLUMN())&gt;0,INDEX(MO_CFSum_Dividend,1,COLUMN())&gt;0),"CHECK",0)</f>
        <v/>
      </c>
      <c r="AW701" s="1824">
        <f>IF(OR(INDEX(MO_CFSum_Acquisition,1,COLUMN())&gt;0,INDEX(MO_CFSum_Divestiture,1,COLUMN())&lt;0,INDEX(MO_CFSum_Capex,1,COLUMN())&gt;0,INDEX(MO_CFSum_Dividend,1,COLUMN())&gt;0),"CHECK",0)</f>
        <v/>
      </c>
      <c r="AX701" s="1824">
        <f>IF(OR(INDEX(MO_CFSum_Acquisition,1,COLUMN())&gt;0,INDEX(MO_CFSum_Divestiture,1,COLUMN())&lt;0,INDEX(MO_CFSum_Capex,1,COLUMN())&gt;0,INDEX(MO_CFSum_Dividend,1,COLUMN())&gt;0),"CHECK",0)</f>
        <v/>
      </c>
      <c r="AY701" s="1824">
        <f>IF(OR(INDEX(MO_CFSum_Acquisition,1,COLUMN())&gt;0,INDEX(MO_CFSum_Divestiture,1,COLUMN())&lt;0,INDEX(MO_CFSum_Capex,1,COLUMN())&gt;0,INDEX(MO_CFSum_Dividend,1,COLUMN())&gt;0),"CHECK",0)</f>
        <v/>
      </c>
      <c r="AZ701" s="1824">
        <f>IF(OR(INDEX(MO_CFSum_Acquisition,1,COLUMN())&gt;0,INDEX(MO_CFSum_Divestiture,1,COLUMN())&lt;0,INDEX(MO_CFSum_Capex,1,COLUMN())&gt;0,INDEX(MO_CFSum_Dividend,1,COLUMN())&gt;0),"CHECK",0)</f>
        <v/>
      </c>
      <c r="BA701" s="1824">
        <f>IF(OR(INDEX(MO_CFSum_Acquisition,1,COLUMN())&gt;0,INDEX(MO_CFSum_Divestiture,1,COLUMN())&lt;0,INDEX(MO_CFSum_Capex,1,COLUMN())&gt;0,INDEX(MO_CFSum_Dividend,1,COLUMN())&gt;0),"CHECK",0)</f>
        <v/>
      </c>
      <c r="BB701" s="1824">
        <f>IF(OR(INDEX(MO_CFSum_Acquisition,1,COLUMN())&gt;0,INDEX(MO_CFSum_Divestiture,1,COLUMN())&lt;0,INDEX(MO_CFSum_Capex,1,COLUMN())&gt;0,INDEX(MO_CFSum_Dividend,1,COLUMN())&gt;0),"CHECK",0)</f>
        <v/>
      </c>
      <c r="BC701" s="1824">
        <f>IF(OR(INDEX(MO_CFSum_Acquisition,1,COLUMN())&gt;0,INDEX(MO_CFSum_Divestiture,1,COLUMN())&lt;0,INDEX(MO_CFSum_Capex,1,COLUMN())&gt;0,INDEX(MO_CFSum_Dividend,1,COLUMN())&gt;0),"CHECK",0)</f>
        <v/>
      </c>
      <c r="BD701" s="1824">
        <f>IF(OR(INDEX(MO_CFSum_Acquisition,1,COLUMN())&gt;0,INDEX(MO_CFSum_Divestiture,1,COLUMN())&lt;0,INDEX(MO_CFSum_Capex,1,COLUMN())&gt;0,INDEX(MO_CFSum_Dividend,1,COLUMN())&gt;0),"CHECK",0)</f>
        <v/>
      </c>
      <c r="BE701" s="1824">
        <f>IF(OR(INDEX(MO_CFSum_Acquisition,1,COLUMN())&gt;0,INDEX(MO_CFSum_Divestiture,1,COLUMN())&lt;0,INDEX(MO_CFSum_Capex,1,COLUMN())&gt;0,INDEX(MO_CFSum_Dividend,1,COLUMN())&gt;0),"CHECK",0)</f>
        <v/>
      </c>
      <c r="BF701" s="1824">
        <f>IF(OR(INDEX(MO_CFSum_Acquisition,1,COLUMN())&gt;0,INDEX(MO_CFSum_Divestiture,1,COLUMN())&lt;0,INDEX(MO_CFSum_Capex,1,COLUMN())&gt;0,INDEX(MO_CFSum_Dividend,1,COLUMN())&gt;0),"CHECK",0)</f>
        <v/>
      </c>
      <c r="BG701" s="1824">
        <f>IF(OR(INDEX(MO_CFSum_Acquisition,1,COLUMN())&gt;0,INDEX(MO_CFSum_Divestiture,1,COLUMN())&lt;0,INDEX(MO_CFSum_Capex,1,COLUMN())&gt;0,INDEX(MO_CFSum_Dividend,1,COLUMN())&gt;0),"CHECK",0)</f>
        <v/>
      </c>
      <c r="BH701" s="1824">
        <f>IF(OR(INDEX(MO_CFSum_Acquisition,1,COLUMN())&gt;0,INDEX(MO_CFSum_Divestiture,1,COLUMN())&lt;0,INDEX(MO_CFSum_Capex,1,COLUMN())&gt;0,INDEX(MO_CFSum_Dividend,1,COLUMN())&gt;0),"CHECK",0)</f>
        <v/>
      </c>
      <c r="BI701" s="1824">
        <f>IF(OR(INDEX(MO_CFSum_Acquisition,1,COLUMN())&gt;0,INDEX(MO_CFSum_Divestiture,1,COLUMN())&lt;0,INDEX(MO_CFSum_Capex,1,COLUMN())&gt;0,INDEX(MO_CFSum_Dividend,1,COLUMN())&gt;0),"CHECK",0)</f>
        <v/>
      </c>
      <c r="BJ701" s="1824">
        <f>IF(OR(INDEX(MO_CFSum_Acquisition,1,COLUMN())&gt;0,INDEX(MO_CFSum_Divestiture,1,COLUMN())&lt;0,INDEX(MO_CFSum_Capex,1,COLUMN())&gt;0,INDEX(MO_CFSum_Dividend,1,COLUMN())&gt;0),"CHECK",0)</f>
        <v/>
      </c>
      <c r="BK701" s="1824">
        <f>IF(OR(INDEX(MO_CFSum_Acquisition,1,COLUMN())&gt;0,INDEX(MO_CFSum_Divestiture,1,COLUMN())&lt;0,INDEX(MO_CFSum_Capex,1,COLUMN())&gt;0,INDEX(MO_CFSum_Dividend,1,COLUMN())&gt;0),"CHECK",0)</f>
        <v/>
      </c>
      <c r="BL701" s="1824">
        <f>IF(OR(INDEX(MO_CFSum_Acquisition,1,COLUMN())&gt;0,INDEX(MO_CFSum_Divestiture,1,COLUMN())&lt;0,INDEX(MO_CFSum_Capex,1,COLUMN())&gt;0,INDEX(MO_CFSum_Dividend,1,COLUMN())&gt;0),"CHECK",0)</f>
        <v/>
      </c>
      <c r="BM701" s="1824">
        <f>IF(OR(INDEX(MO_CFSum_Acquisition,1,COLUMN())&gt;0,INDEX(MO_CFSum_Divestiture,1,COLUMN())&lt;0,INDEX(MO_CFSum_Capex,1,COLUMN())&gt;0,INDEX(MO_CFSum_Dividend,1,COLUMN())&gt;0),"CHECK",0)</f>
        <v/>
      </c>
      <c r="BN701" s="1824">
        <f>IF(OR(INDEX(MO_CFSum_Acquisition,1,COLUMN())&gt;0,INDEX(MO_CFSum_Divestiture,1,COLUMN())&lt;0,INDEX(MO_CFSum_Capex,1,COLUMN())&gt;0,INDEX(MO_CFSum_Dividend,1,COLUMN())&gt;0),"CHECK",0)</f>
        <v/>
      </c>
      <c r="BO701" s="1825">
        <f>IF(OR(INDEX(MO_CFSum_Acquisition,1,COLUMN())&gt;0,INDEX(MO_CFSum_Divestiture,1,COLUMN())&lt;0,INDEX(MO_CFSum_Capex,1,COLUMN())&gt;0,INDEX(MO_CFSum_Dividend,1,COLUMN())&gt;0),"CHECK",0)</f>
        <v/>
      </c>
      <c r="BP701" s="1824">
        <f>IF(OR(INDEX(MO_CFSum_Acquisition,1,COLUMN())&gt;0,INDEX(MO_CFSum_Divestiture,1,COLUMN())&lt;0,INDEX(MO_CFSum_Capex,1,COLUMN())&gt;0,INDEX(MO_CFSum_Dividend,1,COLUMN())&gt;0),"CHECK",0)</f>
        <v/>
      </c>
      <c r="BQ701" s="1824">
        <f>IF(OR(INDEX(MO_CFSum_Acquisition,1,COLUMN())&gt;0,INDEX(MO_CFSum_Divestiture,1,COLUMN())&lt;0,INDEX(MO_CFSum_Capex,1,COLUMN())&gt;0,INDEX(MO_CFSum_Dividend,1,COLUMN())&gt;0),"CHECK",0)</f>
        <v/>
      </c>
      <c r="BR701" s="1824">
        <f>IF(OR(INDEX(MO_CFSum_Acquisition,1,COLUMN())&gt;0,INDEX(MO_CFSum_Divestiture,1,COLUMN())&lt;0,INDEX(MO_CFSum_Capex,1,COLUMN())&gt;0,INDEX(MO_CFSum_Dividend,1,COLUMN())&gt;0),"CHECK",0)</f>
        <v/>
      </c>
      <c r="BS701" s="1824">
        <f>IF(OR(INDEX(MO_CFSum_Acquisition,1,COLUMN())&gt;0,INDEX(MO_CFSum_Divestiture,1,COLUMN())&lt;0,INDEX(MO_CFSum_Capex,1,COLUMN())&gt;0,INDEX(MO_CFSum_Dividend,1,COLUMN())&gt;0),"CHECK",0)</f>
        <v/>
      </c>
      <c r="BT701" s="1824">
        <f>IF(OR(INDEX(MO_CFSum_Acquisition,1,COLUMN())&gt;0,INDEX(MO_CFSum_Divestiture,1,COLUMN())&lt;0,INDEX(MO_CFSum_Capex,1,COLUMN())&gt;0,INDEX(MO_CFSum_Dividend,1,COLUMN())&gt;0),"CHECK",0)</f>
        <v/>
      </c>
      <c r="BU701" s="1824">
        <f>IF(OR(INDEX(MO_CFSum_Acquisition,1,COLUMN())&gt;0,INDEX(MO_CFSum_Divestiture,1,COLUMN())&lt;0,INDEX(MO_CFSum_Capex,1,COLUMN())&gt;0,INDEX(MO_CFSum_Dividend,1,COLUMN())&gt;0),"CHECK",0)</f>
        <v/>
      </c>
      <c r="BV701" s="1824">
        <f>IF(OR(INDEX(MO_CFSum_Acquisition,1,COLUMN())&gt;0,INDEX(MO_CFSum_Divestiture,1,COLUMN())&lt;0,INDEX(MO_CFSum_Capex,1,COLUMN())&gt;0,INDEX(MO_CFSum_Dividend,1,COLUMN())&gt;0),"CHECK",0)</f>
        <v/>
      </c>
      <c r="BW701" s="1824">
        <f>IF(OR(INDEX(MO_CFSum_Acquisition,1,COLUMN())&gt;0,INDEX(MO_CFSum_Divestiture,1,COLUMN())&lt;0,INDEX(MO_CFSum_Capex,1,COLUMN())&gt;0,INDEX(MO_CFSum_Dividend,1,COLUMN())&gt;0),"CHECK",0)</f>
        <v/>
      </c>
      <c r="BX701" s="1824">
        <f>IF(OR(INDEX(MO_CFSum_Acquisition,1,COLUMN())&gt;0,INDEX(MO_CFSum_Divestiture,1,COLUMN())&lt;0,INDEX(MO_CFSum_Capex,1,COLUMN())&gt;0,INDEX(MO_CFSum_Dividend,1,COLUMN())&gt;0),"CHECK",0)</f>
        <v/>
      </c>
      <c r="BY701" s="1824">
        <f>IF(OR(INDEX(MO_CFSum_Acquisition,1,COLUMN())&gt;0,INDEX(MO_CFSum_Divestiture,1,COLUMN())&lt;0,INDEX(MO_CFSum_Capex,1,COLUMN())&gt;0,INDEX(MO_CFSum_Dividend,1,COLUMN())&gt;0),"CHECK",0)</f>
        <v/>
      </c>
      <c r="BZ701" s="1824">
        <f>IF(OR(INDEX(MO_CFSum_Acquisition,1,COLUMN())&gt;0,INDEX(MO_CFSum_Divestiture,1,COLUMN())&lt;0,INDEX(MO_CFSum_Capex,1,COLUMN())&gt;0,INDEX(MO_CFSum_Dividend,1,COLUMN())&gt;0),"CHECK",0)</f>
        <v/>
      </c>
      <c r="CA701" s="1824">
        <f>IF(OR(INDEX(MO_CFSum_Acquisition,1,COLUMN())&gt;0,INDEX(MO_CFSum_Divestiture,1,COLUMN())&lt;0,INDEX(MO_CFSum_Capex,1,COLUMN())&gt;0,INDEX(MO_CFSum_Dividend,1,COLUMN())&gt;0),"CHECK",0)</f>
        <v/>
      </c>
      <c r="CB701" s="1824">
        <f>IF(OR(INDEX(MO_CFSum_Acquisition,1,COLUMN())&gt;0,INDEX(MO_CFSum_Divestiture,1,COLUMN())&lt;0,INDEX(MO_CFSum_Capex,1,COLUMN())&gt;0,INDEX(MO_CFSum_Dividend,1,COLUMN())&gt;0),"CHECK",0)</f>
        <v/>
      </c>
      <c r="CC701" s="1564" t="n"/>
    </row>
    <row r="702" ht="15" customFormat="1" customHeight="1" s="1561">
      <c r="A702" s="1564" t="inlineStr">
        <is>
          <t>*RIS NI FY = Sum of Qs</t>
        </is>
      </c>
      <c r="B702" s="1626" t="n"/>
      <c r="C702" s="1824" t="n"/>
      <c r="D702" s="1824" t="n"/>
      <c r="E702" s="1824" t="n"/>
      <c r="F702" s="1824" t="n"/>
      <c r="G702" s="1824" t="n"/>
      <c r="H702" s="1824" t="n"/>
      <c r="I702" s="1824" t="n"/>
      <c r="J702" s="1824" t="n"/>
      <c r="K702" s="1824" t="n"/>
      <c r="L702" s="1824">
        <f>ROUND(L356-SUM(H356,I356,J356,K356),6)</f>
        <v/>
      </c>
      <c r="M702" s="1824" t="n"/>
      <c r="N702" s="1824" t="n"/>
      <c r="O702" s="1824" t="n"/>
      <c r="P702" s="1824" t="n"/>
      <c r="Q702" s="1824">
        <f>ROUND(Q356-SUM(M356,N356,O356,P356),6)</f>
        <v/>
      </c>
      <c r="R702" s="1824" t="n"/>
      <c r="S702" s="1824" t="n"/>
      <c r="T702" s="1824" t="n"/>
      <c r="U702" s="1824" t="n"/>
      <c r="V702" s="1824">
        <f>ROUND(V356-SUM(R356,S356,T356,U356),6)</f>
        <v/>
      </c>
      <c r="W702" s="1824" t="n"/>
      <c r="X702" s="1824" t="n"/>
      <c r="Y702" s="1824" t="n"/>
      <c r="Z702" s="1824" t="n"/>
      <c r="AA702" s="1824">
        <f>ROUND(AA356-SUM(W356,X356,Y356,Z356),6)</f>
        <v/>
      </c>
      <c r="AB702" s="1824" t="n"/>
      <c r="AC702" s="1824" t="n"/>
      <c r="AD702" s="1824" t="n"/>
      <c r="AE702" s="1824" t="n"/>
      <c r="AF702" s="1824">
        <f>ROUND(AF356-SUM(AB356,AC356,AD356,AE356),6)</f>
        <v/>
      </c>
      <c r="AG702" s="1824" t="n"/>
      <c r="AH702" s="1824" t="n"/>
      <c r="AI702" s="1824" t="n"/>
      <c r="AJ702" s="1824" t="n"/>
      <c r="AK702" s="1824">
        <f>ROUND(AK356-SUM(AG356,AH356,AI356,AJ356),6)</f>
        <v/>
      </c>
      <c r="AL702" s="1824" t="n"/>
      <c r="AM702" s="1824" t="n"/>
      <c r="AN702" s="1824" t="n"/>
      <c r="AO702" s="1824" t="n"/>
      <c r="AP702" s="1824">
        <f>ROUND(AP356-SUM(AL356,AM356,AN356,AO356),6)</f>
        <v/>
      </c>
      <c r="AQ702" s="1824" t="n"/>
      <c r="AR702" s="1824" t="n"/>
      <c r="AS702" s="1824" t="n"/>
      <c r="AT702" s="1824" t="n"/>
      <c r="AU702" s="1824">
        <f>ROUND(AU356-SUM(AQ356,AR356,AS356,AT356),6)</f>
        <v/>
      </c>
      <c r="AV702" s="1824" t="n"/>
      <c r="AW702" s="1824" t="n"/>
      <c r="AX702" s="1824" t="n"/>
      <c r="AY702" s="1824" t="n"/>
      <c r="AZ702" s="1824">
        <f>ROUND(AZ356-SUM(AV356,AW356,AX356,AY356),6)</f>
        <v/>
      </c>
      <c r="BA702" s="1824" t="n"/>
      <c r="BB702" s="1824" t="n"/>
      <c r="BC702" s="1824" t="n"/>
      <c r="BD702" s="1824" t="n"/>
      <c r="BE702" s="1824">
        <f>ROUND(BE356-SUM(BA356,BB356,BC356,BD356),6)</f>
        <v/>
      </c>
      <c r="BF702" s="1824" t="n"/>
      <c r="BG702" s="1824" t="n"/>
      <c r="BH702" s="1824" t="n"/>
      <c r="BI702" s="1824" t="n"/>
      <c r="BJ702" s="1824">
        <f>ROUND(BJ356-SUM(BF356,BG356,BH356,BI356),6)</f>
        <v/>
      </c>
      <c r="BK702" s="1824" t="n"/>
      <c r="BL702" s="1824" t="n"/>
      <c r="BM702" s="1824" t="n"/>
      <c r="BN702" s="1824" t="n"/>
      <c r="BO702" s="1825">
        <f>ROUND(BO356-SUM(BK356,BL356,BM356,BN356),6)</f>
        <v/>
      </c>
      <c r="BP702" s="1824" t="n"/>
      <c r="BQ702" s="1824" t="n"/>
      <c r="BR702" s="1824" t="n"/>
      <c r="BS702" s="1824" t="n"/>
      <c r="BT702" s="1824" t="n"/>
      <c r="BU702" s="1824" t="n"/>
      <c r="BV702" s="1824" t="n"/>
      <c r="BW702" s="1824" t="n"/>
      <c r="BX702" s="1824" t="n"/>
      <c r="BY702" s="1824" t="n"/>
      <c r="BZ702" s="1824" t="n"/>
      <c r="CA702" s="1824" t="n"/>
      <c r="CB702" s="1824" t="n"/>
      <c r="CC702" s="1564" t="n"/>
    </row>
    <row r="703" ht="15" customFormat="1" customHeight="1" s="1561">
      <c r="A703" s="1564" t="inlineStr">
        <is>
          <t>*RIS Adjusted NI FY = Sum of Qs</t>
        </is>
      </c>
      <c r="B703" s="1626" t="n"/>
      <c r="C703" s="1824" t="n"/>
      <c r="D703" s="1824" t="n"/>
      <c r="E703" s="1824" t="n"/>
      <c r="F703" s="1824" t="n"/>
      <c r="G703" s="1824" t="n"/>
      <c r="H703" s="1824" t="n"/>
      <c r="I703" s="1824" t="n"/>
      <c r="J703" s="1824" t="n"/>
      <c r="K703" s="1824" t="n"/>
      <c r="L703" s="1824">
        <f>ROUND(SUM(H365,I365,J365,K365)-INDEX(MO_RIS_NI_NONGAAP_Diluted,1,COLUMN()),6)</f>
        <v/>
      </c>
      <c r="M703" s="1824" t="n"/>
      <c r="N703" s="1824" t="n"/>
      <c r="O703" s="1824" t="n"/>
      <c r="P703" s="1824" t="n"/>
      <c r="Q703" s="1824">
        <f>ROUND(SUM(M365,N365,O365,P365)-INDEX(MO_RIS_NI_NONGAAP_Diluted,1,COLUMN()),6)</f>
        <v/>
      </c>
      <c r="R703" s="1824" t="n"/>
      <c r="S703" s="1824" t="n"/>
      <c r="T703" s="1824" t="n"/>
      <c r="U703" s="1824" t="n"/>
      <c r="V703" s="1824">
        <f>ROUND(SUM(R365,S365,T365,U365)-INDEX(MO_RIS_NI_NONGAAP_Diluted,1,COLUMN()),6)</f>
        <v/>
      </c>
      <c r="W703" s="1824" t="n"/>
      <c r="X703" s="1824" t="n"/>
      <c r="Y703" s="1824" t="n"/>
      <c r="Z703" s="1824" t="n"/>
      <c r="AA703" s="1824">
        <f>ROUND(SUM(W365,X365,Y365,Z365)-INDEX(MO_RIS_NI_NONGAAP_Diluted,1,COLUMN()),6)</f>
        <v/>
      </c>
      <c r="AB703" s="1824" t="n"/>
      <c r="AC703" s="1824" t="n"/>
      <c r="AD703" s="1824" t="n"/>
      <c r="AE703" s="1824" t="n"/>
      <c r="AF703" s="1824">
        <f>ROUND(SUM(AB365,AC365,AD365,AE365)-INDEX(MO_RIS_NI_NONGAAP_Diluted,1,COLUMN()),6)</f>
        <v/>
      </c>
      <c r="AG703" s="1824" t="n"/>
      <c r="AH703" s="1824" t="n"/>
      <c r="AI703" s="1824" t="n"/>
      <c r="AJ703" s="1824" t="n"/>
      <c r="AK703" s="1824">
        <f>ROUND(SUM(AG365,AH365,AI365,AJ365)-INDEX(MO_RIS_NI_NONGAAP_Diluted,1,COLUMN()),6)</f>
        <v/>
      </c>
      <c r="AL703" s="1824" t="n"/>
      <c r="AM703" s="1824" t="n"/>
      <c r="AN703" s="1824" t="n"/>
      <c r="AO703" s="1824" t="n"/>
      <c r="AP703" s="1824">
        <f>ROUND(SUM(AL365,AM365,AN365,AO365)-INDEX(MO_RIS_NI_NONGAAP_Diluted,1,COLUMN()),6)</f>
        <v/>
      </c>
      <c r="AQ703" s="1824" t="n"/>
      <c r="AR703" s="1824" t="n"/>
      <c r="AS703" s="1824" t="n"/>
      <c r="AT703" s="1824" t="n"/>
      <c r="AU703" s="1824">
        <f>ROUND(SUM(AQ365,AR365,AS365,AT365)-INDEX(MO_RIS_NI_NONGAAP_Diluted,1,COLUMN()),6)</f>
        <v/>
      </c>
      <c r="AV703" s="1824" t="n"/>
      <c r="AW703" s="1824" t="n"/>
      <c r="AX703" s="1824" t="n"/>
      <c r="AY703" s="1824" t="n"/>
      <c r="AZ703" s="1824">
        <f>ROUND(SUM(AV365,AW365,AX365,AY365)-INDEX(MO_RIS_NI_NONGAAP_Diluted,1,COLUMN()),6)</f>
        <v/>
      </c>
      <c r="BA703" s="1824" t="n"/>
      <c r="BB703" s="1824" t="n"/>
      <c r="BC703" s="1824" t="n"/>
      <c r="BD703" s="1824" t="n"/>
      <c r="BE703" s="1824">
        <f>ROUND(SUM(BA365,BB365,BC365,BD365)-INDEX(MO_RIS_NI_NONGAAP_Diluted,1,COLUMN()),6)</f>
        <v/>
      </c>
      <c r="BF703" s="1824" t="n"/>
      <c r="BG703" s="1824" t="n"/>
      <c r="BH703" s="1824" t="n"/>
      <c r="BI703" s="1824" t="n"/>
      <c r="BJ703" s="1824">
        <f>ROUND(SUM(BF365,BG365,BH365,BI365)-INDEX(MO_RIS_NI_NONGAAP_Diluted,1,COLUMN()),6)</f>
        <v/>
      </c>
      <c r="BK703" s="1824" t="n"/>
      <c r="BL703" s="1824" t="n"/>
      <c r="BM703" s="1824" t="n"/>
      <c r="BN703" s="1824" t="n"/>
      <c r="BO703" s="1825">
        <f>ROUND(SUM(BK365,BL365,BM365,BN365)-INDEX(MO_RIS_NI_NONGAAP_Diluted,1,COLUMN()),6)</f>
        <v/>
      </c>
      <c r="BP703" s="1824" t="n"/>
      <c r="BQ703" s="1824" t="n"/>
      <c r="BR703" s="1824" t="n"/>
      <c r="BS703" s="1824" t="n"/>
      <c r="BT703" s="1824" t="n"/>
      <c r="BU703" s="1824" t="n"/>
      <c r="BV703" s="1824" t="n"/>
      <c r="BW703" s="1824" t="n"/>
      <c r="BX703" s="1824" t="n"/>
      <c r="BY703" s="1824" t="n"/>
      <c r="BZ703" s="1824" t="n"/>
      <c r="CA703" s="1824" t="n"/>
      <c r="CB703" s="1824" t="n"/>
      <c r="CC703" s="1564" t="n"/>
    </row>
    <row r="704" ht="15" customFormat="1" customHeight="1" s="1561">
      <c r="A704" s="1564" t="inlineStr">
        <is>
          <t>*CFO Before WC subtotal FY = Sum of Qs</t>
        </is>
      </c>
      <c r="B704" s="1626" t="n"/>
      <c r="C704" s="1824" t="n"/>
      <c r="D704" s="1824" t="n"/>
      <c r="E704" s="1824" t="n"/>
      <c r="F704" s="1824" t="n"/>
      <c r="G704" s="1824" t="n"/>
      <c r="H704" s="1824" t="n"/>
      <c r="I704" s="1824" t="n"/>
      <c r="J704" s="1824" t="n"/>
      <c r="K704" s="1824" t="n"/>
      <c r="L704" s="1824">
        <f>ROUND(SUM(H536,I536,J536,K536)-SUM(OFFSET(INDEX(MO_CFS_CFO_BeforeWC,1,COLUMN()),ROW(INDEX(MO_SubSection_CFS_CFO,1,COLUMN()))-ROW(INDEX(MO_CFS_CFO_BeforeWC,1,COLUMN())),0,ROW(INDEX(MO_CFS_CFO_BeforeWC,1,COLUMN()))-ROW(INDEX(MO_SubSection_CFS_CFO,1,COLUMN())),1)),6)</f>
        <v/>
      </c>
      <c r="M704" s="1824" t="n"/>
      <c r="N704" s="1824" t="n"/>
      <c r="O704" s="1824" t="n"/>
      <c r="P704" s="1824" t="n"/>
      <c r="Q704" s="1824">
        <f>ROUND(SUM(M536,N536,O536,P536)-SUM(OFFSET(INDEX(MO_CFS_CFO_BeforeWC,1,COLUMN()),ROW(INDEX(MO_SubSection_CFS_CFO,1,COLUMN()))-ROW(INDEX(MO_CFS_CFO_BeforeWC,1,COLUMN())),0,ROW(INDEX(MO_CFS_CFO_BeforeWC,1,COLUMN()))-ROW(INDEX(MO_SubSection_CFS_CFO,1,COLUMN())),1)),6)</f>
        <v/>
      </c>
      <c r="R704" s="1824" t="n"/>
      <c r="S704" s="1824" t="n"/>
      <c r="T704" s="1824" t="n"/>
      <c r="U704" s="1824" t="n"/>
      <c r="V704" s="1824">
        <f>ROUND(SUM(R536,S536,T536,U536)-SUM(OFFSET(INDEX(MO_CFS_CFO_BeforeWC,1,COLUMN()),ROW(INDEX(MO_SubSection_CFS_CFO,1,COLUMN()))-ROW(INDEX(MO_CFS_CFO_BeforeWC,1,COLUMN())),0,ROW(INDEX(MO_CFS_CFO_BeforeWC,1,COLUMN()))-ROW(INDEX(MO_SubSection_CFS_CFO,1,COLUMN())),1)),6)</f>
        <v/>
      </c>
      <c r="W704" s="1824" t="n"/>
      <c r="X704" s="1824" t="n"/>
      <c r="Y704" s="1824" t="n"/>
      <c r="Z704" s="1824" t="n"/>
      <c r="AA704" s="1824">
        <f>ROUND(SUM(W536,X536,Y536,Z536)-SUM(OFFSET(INDEX(MO_CFS_CFO_BeforeWC,1,COLUMN()),ROW(INDEX(MO_SubSection_CFS_CFO,1,COLUMN()))-ROW(INDEX(MO_CFS_CFO_BeforeWC,1,COLUMN())),0,ROW(INDEX(MO_CFS_CFO_BeforeWC,1,COLUMN()))-ROW(INDEX(MO_SubSection_CFS_CFO,1,COLUMN())),1)),6)</f>
        <v/>
      </c>
      <c r="AB704" s="1824" t="n"/>
      <c r="AC704" s="1824" t="n"/>
      <c r="AD704" s="1824" t="n"/>
      <c r="AE704" s="1824" t="n"/>
      <c r="AF704" s="1824">
        <f>ROUND(SUM(AB536,AC536,AD536,AE536)-SUM(OFFSET(INDEX(MO_CFS_CFO_BeforeWC,1,COLUMN()),ROW(INDEX(MO_SubSection_CFS_CFO,1,COLUMN()))-ROW(INDEX(MO_CFS_CFO_BeforeWC,1,COLUMN())),0,ROW(INDEX(MO_CFS_CFO_BeforeWC,1,COLUMN()))-ROW(INDEX(MO_SubSection_CFS_CFO,1,COLUMN())),1)),6)</f>
        <v/>
      </c>
      <c r="AG704" s="1824" t="n"/>
      <c r="AH704" s="1824" t="n"/>
      <c r="AI704" s="1824" t="n"/>
      <c r="AJ704" s="1824" t="n"/>
      <c r="AK704" s="1824">
        <f>ROUND(SUM(AG536,AH536,AI536,AJ536)-SUM(OFFSET(INDEX(MO_CFS_CFO_BeforeWC,1,COLUMN()),ROW(INDEX(MO_SubSection_CFS_CFO,1,COLUMN()))-ROW(INDEX(MO_CFS_CFO_BeforeWC,1,COLUMN())),0,ROW(INDEX(MO_CFS_CFO_BeforeWC,1,COLUMN()))-ROW(INDEX(MO_SubSection_CFS_CFO,1,COLUMN())),1)),6)</f>
        <v/>
      </c>
      <c r="AL704" s="1824" t="n"/>
      <c r="AM704" s="1824" t="n"/>
      <c r="AN704" s="1824" t="n"/>
      <c r="AO704" s="1824" t="n"/>
      <c r="AP704" s="1824">
        <f>ROUND(SUM(AL536,AM536,AN536,AO536)-SUM(OFFSET(INDEX(MO_CFS_CFO_BeforeWC,1,COLUMN()),ROW(INDEX(MO_SubSection_CFS_CFO,1,COLUMN()))-ROW(INDEX(MO_CFS_CFO_BeforeWC,1,COLUMN())),0,ROW(INDEX(MO_CFS_CFO_BeforeWC,1,COLUMN()))-ROW(INDEX(MO_SubSection_CFS_CFO,1,COLUMN())),1)),6)</f>
        <v/>
      </c>
      <c r="AQ704" s="1824" t="n"/>
      <c r="AR704" s="1824" t="n"/>
      <c r="AS704" s="1824" t="n"/>
      <c r="AT704" s="1824" t="n"/>
      <c r="AU704" s="1824">
        <f>ROUND(SUM(AQ536,AR536,AS536,AT536)-SUM(OFFSET(INDEX(MO_CFS_CFO_BeforeWC,1,COLUMN()),ROW(INDEX(MO_SubSection_CFS_CFO,1,COLUMN()))-ROW(INDEX(MO_CFS_CFO_BeforeWC,1,COLUMN())),0,ROW(INDEX(MO_CFS_CFO_BeforeWC,1,COLUMN()))-ROW(INDEX(MO_SubSection_CFS_CFO,1,COLUMN())),1)),6)</f>
        <v/>
      </c>
      <c r="AV704" s="1824" t="n"/>
      <c r="AW704" s="1824" t="n"/>
      <c r="AX704" s="1824" t="n"/>
      <c r="AY704" s="1824" t="n"/>
      <c r="AZ704" s="1824">
        <f>ROUND(SUM(AV536,AW536,AX536,AY536)-SUM(OFFSET(INDEX(MO_CFS_CFO_BeforeWC,1,COLUMN()),ROW(INDEX(MO_SubSection_CFS_CFO,1,COLUMN()))-ROW(INDEX(MO_CFS_CFO_BeforeWC,1,COLUMN())),0,ROW(INDEX(MO_CFS_CFO_BeforeWC,1,COLUMN()))-ROW(INDEX(MO_SubSection_CFS_CFO,1,COLUMN())),1)),6)</f>
        <v/>
      </c>
      <c r="BA704" s="1824" t="n"/>
      <c r="BB704" s="1824" t="n"/>
      <c r="BC704" s="1824" t="n"/>
      <c r="BD704" s="1824" t="n"/>
      <c r="BE704" s="1824">
        <f>ROUND(SUM(BA536,BB536,BC536,BD536)-SUM(OFFSET(INDEX(MO_CFS_CFO_BeforeWC,1,COLUMN()),ROW(INDEX(MO_SubSection_CFS_CFO,1,COLUMN()))-ROW(INDEX(MO_CFS_CFO_BeforeWC,1,COLUMN())),0,ROW(INDEX(MO_CFS_CFO_BeforeWC,1,COLUMN()))-ROW(INDEX(MO_SubSection_CFS_CFO,1,COLUMN())),1)),6)</f>
        <v/>
      </c>
      <c r="BF704" s="1824" t="n"/>
      <c r="BG704" s="1824" t="n"/>
      <c r="BH704" s="1824" t="n"/>
      <c r="BI704" s="1824" t="n"/>
      <c r="BJ704" s="1824">
        <f>ROUND(SUM(BF536,BG536,BH536,BI536)-SUM(OFFSET(INDEX(MO_CFS_CFO_BeforeWC,1,COLUMN()),ROW(INDEX(MO_SubSection_CFS_CFO,1,COLUMN()))-ROW(INDEX(MO_CFS_CFO_BeforeWC,1,COLUMN())),0,ROW(INDEX(MO_CFS_CFO_BeforeWC,1,COLUMN()))-ROW(INDEX(MO_SubSection_CFS_CFO,1,COLUMN())),1)),6)</f>
        <v/>
      </c>
      <c r="BK704" s="1824" t="n"/>
      <c r="BL704" s="1824" t="n"/>
      <c r="BM704" s="1824" t="n"/>
      <c r="BN704" s="1824" t="n"/>
      <c r="BO704" s="1825">
        <f>ROUND(SUM(BK536,BL536,BM536,BN536)-SUM(OFFSET(INDEX(MO_CFS_CFO_BeforeWC,1,COLUMN()),ROW(INDEX(MO_SubSection_CFS_CFO,1,COLUMN()))-ROW(INDEX(MO_CFS_CFO_BeforeWC,1,COLUMN())),0,ROW(INDEX(MO_CFS_CFO_BeforeWC,1,COLUMN()))-ROW(INDEX(MO_SubSection_CFS_CFO,1,COLUMN())),1)),6)</f>
        <v/>
      </c>
      <c r="BP704" s="1824" t="n"/>
      <c r="BQ704" s="1824" t="n"/>
      <c r="BR704" s="1824" t="n"/>
      <c r="BS704" s="1824" t="n"/>
      <c r="BT704" s="1824" t="n"/>
      <c r="BU704" s="1824" t="n"/>
      <c r="BV704" s="1824" t="n"/>
      <c r="BW704" s="1824" t="n"/>
      <c r="BX704" s="1824" t="n"/>
      <c r="BY704" s="1824" t="n"/>
      <c r="BZ704" s="1824" t="n"/>
      <c r="CA704" s="1824" t="n"/>
      <c r="CB704" s="1824" t="n"/>
      <c r="CC704" s="1564" t="n"/>
    </row>
    <row r="705" ht="15" customFormat="1" customHeight="1" s="1561">
      <c r="A705" s="1564" t="inlineStr">
        <is>
          <t>*CFO subtotal FY = Sum of Qs</t>
        </is>
      </c>
      <c r="B705" s="1626" t="n"/>
      <c r="C705" s="1824" t="n"/>
      <c r="D705" s="1824" t="n"/>
      <c r="E705" s="1824" t="n"/>
      <c r="F705" s="1824" t="n"/>
      <c r="G705" s="1824" t="n"/>
      <c r="H705" s="1824" t="n"/>
      <c r="I705" s="1824" t="n"/>
      <c r="J705" s="1824" t="n"/>
      <c r="K705" s="1824" t="n"/>
      <c r="L705" s="1824">
        <f>ROUND(SUM(H546,I546,J546,K546)-SUM(OFFSET(INDEX(MO_CFS_CFO,1,COLUMN()),ROW(INDEX(MO_CFS_CFO_BeforeWC,1,COLUMN()))-ROW(INDEX(MO_CFS_CFO,1,COLUMN())),0,ROW(INDEX(MO_CFS_CFO,1,COLUMN()))-ROW(INDEX(MO_CFS_CFO_BeforeWC,1,COLUMN())),1)),6)+ROUND(L545,6)</f>
        <v/>
      </c>
      <c r="M705" s="1824" t="n"/>
      <c r="N705" s="1824" t="n"/>
      <c r="O705" s="1824" t="n"/>
      <c r="P705" s="1824" t="n"/>
      <c r="Q705" s="1824">
        <f>ROUND(SUM(M546,N546,O546,P546)-SUM(OFFSET(INDEX(MO_CFS_CFO,1,COLUMN()),ROW(INDEX(MO_CFS_CFO_BeforeWC,1,COLUMN()))-ROW(INDEX(MO_CFS_CFO,1,COLUMN())),0,ROW(INDEX(MO_CFS_CFO,1,COLUMN()))-ROW(INDEX(MO_CFS_CFO_BeforeWC,1,COLUMN())),1)),6)+ROUND(Q545,6)</f>
        <v/>
      </c>
      <c r="R705" s="1824" t="n"/>
      <c r="S705" s="1824" t="n"/>
      <c r="T705" s="1824" t="n"/>
      <c r="U705" s="1824" t="n"/>
      <c r="V705" s="1824">
        <f>ROUND(SUM(R546,S546,T546,U546)-SUM(OFFSET(INDEX(MO_CFS_CFO,1,COLUMN()),ROW(INDEX(MO_CFS_CFO_BeforeWC,1,COLUMN()))-ROW(INDEX(MO_CFS_CFO,1,COLUMN())),0,ROW(INDEX(MO_CFS_CFO,1,COLUMN()))-ROW(INDEX(MO_CFS_CFO_BeforeWC,1,COLUMN())),1)),6)+ROUND(V545,6)</f>
        <v/>
      </c>
      <c r="W705" s="1824" t="n"/>
      <c r="X705" s="1824" t="n"/>
      <c r="Y705" s="1824" t="n"/>
      <c r="Z705" s="1824" t="n"/>
      <c r="AA705" s="1824">
        <f>ROUND(SUM(W546,X546,Y546,Z546)-SUM(OFFSET(INDEX(MO_CFS_CFO,1,COLUMN()),ROW(INDEX(MO_CFS_CFO_BeforeWC,1,COLUMN()))-ROW(INDEX(MO_CFS_CFO,1,COLUMN())),0,ROW(INDEX(MO_CFS_CFO,1,COLUMN()))-ROW(INDEX(MO_CFS_CFO_BeforeWC,1,COLUMN())),1)),6)+ROUND(AA545,6)</f>
        <v/>
      </c>
      <c r="AB705" s="1824" t="n"/>
      <c r="AC705" s="1824" t="n"/>
      <c r="AD705" s="1824" t="n"/>
      <c r="AE705" s="1824" t="n"/>
      <c r="AF705" s="1824">
        <f>ROUND(SUM(AB546,AC546,AD546,AE546)-SUM(OFFSET(INDEX(MO_CFS_CFO,1,COLUMN()),ROW(INDEX(MO_CFS_CFO_BeforeWC,1,COLUMN()))-ROW(INDEX(MO_CFS_CFO,1,COLUMN())),0,ROW(INDEX(MO_CFS_CFO,1,COLUMN()))-ROW(INDEX(MO_CFS_CFO_BeforeWC,1,COLUMN())),1)),6)+ROUND(AF545,6)</f>
        <v/>
      </c>
      <c r="AG705" s="1824" t="n"/>
      <c r="AH705" s="1824" t="n"/>
      <c r="AI705" s="1824" t="n"/>
      <c r="AJ705" s="1824" t="n"/>
      <c r="AK705" s="1824">
        <f>ROUND(SUM(AG546,AH546,AI546,AJ546)-SUM(OFFSET(INDEX(MO_CFS_CFO,1,COLUMN()),ROW(INDEX(MO_CFS_CFO_BeforeWC,1,COLUMN()))-ROW(INDEX(MO_CFS_CFO,1,COLUMN())),0,ROW(INDEX(MO_CFS_CFO,1,COLUMN()))-ROW(INDEX(MO_CFS_CFO_BeforeWC,1,COLUMN())),1)),6)+ROUND(AK545,6)</f>
        <v/>
      </c>
      <c r="AL705" s="1824" t="n"/>
      <c r="AM705" s="1824" t="n"/>
      <c r="AN705" s="1824" t="n"/>
      <c r="AO705" s="1824" t="n"/>
      <c r="AP705" s="1824">
        <f>ROUND(SUM(AL546,AM546,AN546,AO546)-SUM(OFFSET(INDEX(MO_CFS_CFO,1,COLUMN()),ROW(INDEX(MO_CFS_CFO_BeforeWC,1,COLUMN()))-ROW(INDEX(MO_CFS_CFO,1,COLUMN())),0,ROW(INDEX(MO_CFS_CFO,1,COLUMN()))-ROW(INDEX(MO_CFS_CFO_BeforeWC,1,COLUMN())),1)),6)+ROUND(AP545,6)</f>
        <v/>
      </c>
      <c r="AQ705" s="1824" t="n"/>
      <c r="AR705" s="1824" t="n"/>
      <c r="AS705" s="1824" t="n"/>
      <c r="AT705" s="1824" t="n"/>
      <c r="AU705" s="1824">
        <f>ROUND(SUM(AQ546,AR546,AS546,AT546)-SUM(OFFSET(INDEX(MO_CFS_CFO,1,COLUMN()),ROW(INDEX(MO_CFS_CFO_BeforeWC,1,COLUMN()))-ROW(INDEX(MO_CFS_CFO,1,COLUMN())),0,ROW(INDEX(MO_CFS_CFO,1,COLUMN()))-ROW(INDEX(MO_CFS_CFO_BeforeWC,1,COLUMN())),1)),6)+ROUND(AU545,6)</f>
        <v/>
      </c>
      <c r="AV705" s="1824" t="n"/>
      <c r="AW705" s="1824" t="n"/>
      <c r="AX705" s="1824" t="n"/>
      <c r="AY705" s="1824" t="n"/>
      <c r="AZ705" s="1824">
        <f>ROUND(SUM(AV546,AW546,AX546,AY546)-SUM(OFFSET(INDEX(MO_CFS_CFO,1,COLUMN()),ROW(INDEX(MO_CFS_CFO_BeforeWC,1,COLUMN()))-ROW(INDEX(MO_CFS_CFO,1,COLUMN())),0,ROW(INDEX(MO_CFS_CFO,1,COLUMN()))-ROW(INDEX(MO_CFS_CFO_BeforeWC,1,COLUMN())),1)),6)+ROUND(AZ545,6)</f>
        <v/>
      </c>
      <c r="BA705" s="1824" t="n"/>
      <c r="BB705" s="1824" t="n"/>
      <c r="BC705" s="1824" t="n"/>
      <c r="BD705" s="1824" t="n"/>
      <c r="BE705" s="1824">
        <f>ROUND(SUM(BA546,BB546,BC546,BD546)-SUM(OFFSET(INDEX(MO_CFS_CFO,1,COLUMN()),ROW(INDEX(MO_CFS_CFO_BeforeWC,1,COLUMN()))-ROW(INDEX(MO_CFS_CFO,1,COLUMN())),0,ROW(INDEX(MO_CFS_CFO,1,COLUMN()))-ROW(INDEX(MO_CFS_CFO_BeforeWC,1,COLUMN())),1)),6)+ROUND(BE545,6)</f>
        <v/>
      </c>
      <c r="BF705" s="1824" t="n"/>
      <c r="BG705" s="1824" t="n"/>
      <c r="BH705" s="1824" t="n"/>
      <c r="BI705" s="1824" t="n"/>
      <c r="BJ705" s="1824">
        <f>ROUND(SUM(BF546,BG546,BH546,BI546)-SUM(OFFSET(INDEX(MO_CFS_CFO,1,COLUMN()),ROW(INDEX(MO_CFS_CFO_BeforeWC,1,COLUMN()))-ROW(INDEX(MO_CFS_CFO,1,COLUMN())),0,ROW(INDEX(MO_CFS_CFO,1,COLUMN()))-ROW(INDEX(MO_CFS_CFO_BeforeWC,1,COLUMN())),1)),6)+ROUND(BJ545,6)</f>
        <v/>
      </c>
      <c r="BK705" s="1824" t="n"/>
      <c r="BL705" s="1824" t="n"/>
      <c r="BM705" s="1824" t="n"/>
      <c r="BN705" s="1824" t="n"/>
      <c r="BO705" s="1825">
        <f>ROUND(SUM(BK546,BL546,BM546,BN546)-SUM(OFFSET(INDEX(MO_CFS_CFO,1,COLUMN()),ROW(INDEX(MO_CFS_CFO_BeforeWC,1,COLUMN()))-ROW(INDEX(MO_CFS_CFO,1,COLUMN())),0,ROW(INDEX(MO_CFS_CFO,1,COLUMN()))-ROW(INDEX(MO_CFS_CFO_BeforeWC,1,COLUMN())),1)),6)+ROUND(BO545,6)</f>
        <v/>
      </c>
      <c r="BP705" s="1824" t="n"/>
      <c r="BQ705" s="1824" t="n"/>
      <c r="BR705" s="1824" t="n"/>
      <c r="BS705" s="1824" t="n"/>
      <c r="BT705" s="1824" t="n"/>
      <c r="BU705" s="1824" t="n"/>
      <c r="BV705" s="1824" t="n"/>
      <c r="BW705" s="1824" t="n"/>
      <c r="BX705" s="1824" t="n"/>
      <c r="BY705" s="1824" t="n"/>
      <c r="BZ705" s="1824" t="n"/>
      <c r="CA705" s="1824" t="n"/>
      <c r="CB705" s="1824" t="n"/>
      <c r="CC705" s="1564" t="n"/>
    </row>
    <row r="706" ht="15" customFormat="1" customHeight="1" s="1561">
      <c r="A706" s="1564" t="inlineStr">
        <is>
          <t>*CFI subtotal FY = Sum of Qs</t>
        </is>
      </c>
      <c r="B706" s="1626" t="n"/>
      <c r="C706" s="1824" t="n"/>
      <c r="D706" s="1824" t="n"/>
      <c r="E706" s="1824" t="n"/>
      <c r="F706" s="1824" t="n"/>
      <c r="G706" s="1824" t="n"/>
      <c r="H706" s="1824" t="n"/>
      <c r="I706" s="1824" t="n"/>
      <c r="J706" s="1824" t="n"/>
      <c r="K706" s="1824" t="n"/>
      <c r="L706" s="1824">
        <f>ROUND(SUM(H560,I560,J560,K560)-SUM(OFFSET(INDEX(MO_CFS_CFI,1,COLUMN()),ROW(INDEX(MO_SubSection_CFS_CFI,1,COLUMN()))-ROW(INDEX(MO_CFS_CFI,1,COLUMN())),0,ROW(INDEX(MO_CFS_CFI,1,COLUMN()))-ROW(INDEX(MO_SubSection_CFS_CFI,1,COLUMN())),1)),6)</f>
        <v/>
      </c>
      <c r="M706" s="1824" t="n"/>
      <c r="N706" s="1824" t="n"/>
      <c r="O706" s="1824" t="n"/>
      <c r="P706" s="1824" t="n"/>
      <c r="Q706" s="1824">
        <f>ROUND(SUM(M560,N560,O560,P560)-SUM(OFFSET(INDEX(MO_CFS_CFI,1,COLUMN()),ROW(INDEX(MO_SubSection_CFS_CFI,1,COLUMN()))-ROW(INDEX(MO_CFS_CFI,1,COLUMN())),0,ROW(INDEX(MO_CFS_CFI,1,COLUMN()))-ROW(INDEX(MO_SubSection_CFS_CFI,1,COLUMN())),1)),6)</f>
        <v/>
      </c>
      <c r="R706" s="1824" t="n"/>
      <c r="S706" s="1824" t="n"/>
      <c r="T706" s="1824" t="n"/>
      <c r="U706" s="1824" t="n"/>
      <c r="V706" s="1824">
        <f>ROUND(SUM(R560,S560,T560,U560)-SUM(OFFSET(INDEX(MO_CFS_CFI,1,COLUMN()),ROW(INDEX(MO_SubSection_CFS_CFI,1,COLUMN()))-ROW(INDEX(MO_CFS_CFI,1,COLUMN())),0,ROW(INDEX(MO_CFS_CFI,1,COLUMN()))-ROW(INDEX(MO_SubSection_CFS_CFI,1,COLUMN())),1)),6)</f>
        <v/>
      </c>
      <c r="W706" s="1824" t="n"/>
      <c r="X706" s="1824" t="n"/>
      <c r="Y706" s="1824" t="n"/>
      <c r="Z706" s="1824" t="n"/>
      <c r="AA706" s="1824">
        <f>ROUND(SUM(W560,X560,Y560,Z560)-SUM(OFFSET(INDEX(MO_CFS_CFI,1,COLUMN()),ROW(INDEX(MO_SubSection_CFS_CFI,1,COLUMN()))-ROW(INDEX(MO_CFS_CFI,1,COLUMN())),0,ROW(INDEX(MO_CFS_CFI,1,COLUMN()))-ROW(INDEX(MO_SubSection_CFS_CFI,1,COLUMN())),1)),6)</f>
        <v/>
      </c>
      <c r="AB706" s="1824" t="n"/>
      <c r="AC706" s="1824" t="n"/>
      <c r="AD706" s="1824" t="n"/>
      <c r="AE706" s="1824" t="n"/>
      <c r="AF706" s="1824">
        <f>ROUND(SUM(AB560,AC560,AD560,AE560)-SUM(OFFSET(INDEX(MO_CFS_CFI,1,COLUMN()),ROW(INDEX(MO_SubSection_CFS_CFI,1,COLUMN()))-ROW(INDEX(MO_CFS_CFI,1,COLUMN())),0,ROW(INDEX(MO_CFS_CFI,1,COLUMN()))-ROW(INDEX(MO_SubSection_CFS_CFI,1,COLUMN())),1)),6)</f>
        <v/>
      </c>
      <c r="AG706" s="1824" t="n"/>
      <c r="AH706" s="1824" t="n"/>
      <c r="AI706" s="1824" t="n"/>
      <c r="AJ706" s="1824" t="n"/>
      <c r="AK706" s="1824">
        <f>ROUND(SUM(AG560,AH560,AI560,AJ560)-SUM(OFFSET(INDEX(MO_CFS_CFI,1,COLUMN()),ROW(INDEX(MO_SubSection_CFS_CFI,1,COLUMN()))-ROW(INDEX(MO_CFS_CFI,1,COLUMN())),0,ROW(INDEX(MO_CFS_CFI,1,COLUMN()))-ROW(INDEX(MO_SubSection_CFS_CFI,1,COLUMN())),1)),6)</f>
        <v/>
      </c>
      <c r="AL706" s="1824" t="n"/>
      <c r="AM706" s="1824" t="n"/>
      <c r="AN706" s="1824" t="n"/>
      <c r="AO706" s="1824" t="n"/>
      <c r="AP706" s="1824">
        <f>ROUND(SUM(AL560,AM560,AN560,AO560)-SUM(OFFSET(INDEX(MO_CFS_CFI,1,COLUMN()),ROW(INDEX(MO_SubSection_CFS_CFI,1,COLUMN()))-ROW(INDEX(MO_CFS_CFI,1,COLUMN())),0,ROW(INDEX(MO_CFS_CFI,1,COLUMN()))-ROW(INDEX(MO_SubSection_CFS_CFI,1,COLUMN())),1)),6)</f>
        <v/>
      </c>
      <c r="AQ706" s="1824" t="n"/>
      <c r="AR706" s="1824" t="n"/>
      <c r="AS706" s="1824" t="n"/>
      <c r="AT706" s="1824" t="n"/>
      <c r="AU706" s="1824">
        <f>ROUND(SUM(AQ560,AR560,AS560,AT560)-SUM(OFFSET(INDEX(MO_CFS_CFI,1,COLUMN()),ROW(INDEX(MO_SubSection_CFS_CFI,1,COLUMN()))-ROW(INDEX(MO_CFS_CFI,1,COLUMN())),0,ROW(INDEX(MO_CFS_CFI,1,COLUMN()))-ROW(INDEX(MO_SubSection_CFS_CFI,1,COLUMN())),1)),6)</f>
        <v/>
      </c>
      <c r="AV706" s="1824" t="n"/>
      <c r="AW706" s="1824" t="n"/>
      <c r="AX706" s="1824" t="n"/>
      <c r="AY706" s="1824" t="n"/>
      <c r="AZ706" s="1824">
        <f>ROUND(SUM(AV560,AW560,AX560,AY560)-SUM(OFFSET(INDEX(MO_CFS_CFI,1,COLUMN()),ROW(INDEX(MO_SubSection_CFS_CFI,1,COLUMN()))-ROW(INDEX(MO_CFS_CFI,1,COLUMN())),0,ROW(INDEX(MO_CFS_CFI,1,COLUMN()))-ROW(INDEX(MO_SubSection_CFS_CFI,1,COLUMN())),1)),6)</f>
        <v/>
      </c>
      <c r="BA706" s="1824" t="n"/>
      <c r="BB706" s="1824" t="n"/>
      <c r="BC706" s="1824" t="n"/>
      <c r="BD706" s="1824" t="n"/>
      <c r="BE706" s="1824">
        <f>ROUND(SUM(BA560,BB560,BC560,BD560)-SUM(OFFSET(INDEX(MO_CFS_CFI,1,COLUMN()),ROW(INDEX(MO_SubSection_CFS_CFI,1,COLUMN()))-ROW(INDEX(MO_CFS_CFI,1,COLUMN())),0,ROW(INDEX(MO_CFS_CFI,1,COLUMN()))-ROW(INDEX(MO_SubSection_CFS_CFI,1,COLUMN())),1)),6)</f>
        <v/>
      </c>
      <c r="BF706" s="1824" t="n"/>
      <c r="BG706" s="1824" t="n"/>
      <c r="BH706" s="1824" t="n"/>
      <c r="BI706" s="1824" t="n"/>
      <c r="BJ706" s="1824">
        <f>ROUND(SUM(BF560,BG560,BH560,BI560)-SUM(OFFSET(INDEX(MO_CFS_CFI,1,COLUMN()),ROW(INDEX(MO_SubSection_CFS_CFI,1,COLUMN()))-ROW(INDEX(MO_CFS_CFI,1,COLUMN())),0,ROW(INDEX(MO_CFS_CFI,1,COLUMN()))-ROW(INDEX(MO_SubSection_CFS_CFI,1,COLUMN())),1)),6)</f>
        <v/>
      </c>
      <c r="BK706" s="1824" t="n"/>
      <c r="BL706" s="1824" t="n"/>
      <c r="BM706" s="1824" t="n"/>
      <c r="BN706" s="1824" t="n"/>
      <c r="BO706" s="1825">
        <f>ROUND(SUM(BK560,BL560,BM560,BN560)-SUM(OFFSET(INDEX(MO_CFS_CFI,1,COLUMN()),ROW(INDEX(MO_SubSection_CFS_CFI,1,COLUMN()))-ROW(INDEX(MO_CFS_CFI,1,COLUMN())),0,ROW(INDEX(MO_CFS_CFI,1,COLUMN()))-ROW(INDEX(MO_SubSection_CFS_CFI,1,COLUMN())),1)),6)</f>
        <v/>
      </c>
      <c r="BP706" s="1824" t="n"/>
      <c r="BQ706" s="1824" t="n"/>
      <c r="BR706" s="1824" t="n"/>
      <c r="BS706" s="1824" t="n"/>
      <c r="BT706" s="1824" t="n"/>
      <c r="BU706" s="1824" t="n"/>
      <c r="BV706" s="1824" t="n"/>
      <c r="BW706" s="1824" t="n"/>
      <c r="BX706" s="1824" t="n"/>
      <c r="BY706" s="1824" t="n"/>
      <c r="BZ706" s="1824" t="n"/>
      <c r="CA706" s="1824" t="n"/>
      <c r="CB706" s="1824" t="n"/>
      <c r="CC706" s="1564" t="n"/>
    </row>
    <row r="707" ht="15" customFormat="1" customHeight="1" s="1561">
      <c r="A707" s="1564" t="inlineStr">
        <is>
          <t>*CFF subtotal FY = Sum of Qs</t>
        </is>
      </c>
      <c r="B707" s="1626" t="n"/>
      <c r="C707" s="1824" t="n"/>
      <c r="D707" s="1824" t="n"/>
      <c r="E707" s="1824" t="n"/>
      <c r="F707" s="1824" t="n"/>
      <c r="G707" s="1824" t="n"/>
      <c r="H707" s="1824" t="n"/>
      <c r="I707" s="1824" t="n"/>
      <c r="J707" s="1824" t="n"/>
      <c r="K707" s="1824" t="n"/>
      <c r="L707" s="1824">
        <f>ROUND(SUM(H572,I572,J572,K572)-SUM(OFFSET(INDEX(MO_CFS_CFF,1,COLUMN()),ROW(INDEX(MO_SubSection_CFS_CFF,1,COLUMN()))-ROW(INDEX(MO_CFS_CFF,1,COLUMN())),0,ROW(INDEX(MO_CFS_CFF,1,COLUMN()))-ROW(INDEX(MO_SubSection_CFS_CFF,1,COLUMN())),1)),6)</f>
        <v/>
      </c>
      <c r="M707" s="1824" t="n"/>
      <c r="N707" s="1824" t="n"/>
      <c r="O707" s="1824" t="n"/>
      <c r="P707" s="1824" t="n"/>
      <c r="Q707" s="1824">
        <f>ROUND(SUM(M572,N572,O572,P572)-SUM(OFFSET(INDEX(MO_CFS_CFF,1,COLUMN()),ROW(INDEX(MO_SubSection_CFS_CFF,1,COLUMN()))-ROW(INDEX(MO_CFS_CFF,1,COLUMN())),0,ROW(INDEX(MO_CFS_CFF,1,COLUMN()))-ROW(INDEX(MO_SubSection_CFS_CFF,1,COLUMN())),1)),6)</f>
        <v/>
      </c>
      <c r="R707" s="1824" t="n"/>
      <c r="S707" s="1824" t="n"/>
      <c r="T707" s="1824" t="n"/>
      <c r="U707" s="1824" t="n"/>
      <c r="V707" s="1824">
        <f>ROUND(SUM(R572,S572,T572,U572)-SUM(OFFSET(INDEX(MO_CFS_CFF,1,COLUMN()),ROW(INDEX(MO_SubSection_CFS_CFF,1,COLUMN()))-ROW(INDEX(MO_CFS_CFF,1,COLUMN())),0,ROW(INDEX(MO_CFS_CFF,1,COLUMN()))-ROW(INDEX(MO_SubSection_CFS_CFF,1,COLUMN())),1)),6)</f>
        <v/>
      </c>
      <c r="W707" s="1824" t="n"/>
      <c r="X707" s="1824" t="n"/>
      <c r="Y707" s="1824" t="n"/>
      <c r="Z707" s="1824" t="n"/>
      <c r="AA707" s="1824">
        <f>ROUND(SUM(W572,X572,Y572,Z572)-SUM(OFFSET(INDEX(MO_CFS_CFF,1,COLUMN()),ROW(INDEX(MO_SubSection_CFS_CFF,1,COLUMN()))-ROW(INDEX(MO_CFS_CFF,1,COLUMN())),0,ROW(INDEX(MO_CFS_CFF,1,COLUMN()))-ROW(INDEX(MO_SubSection_CFS_CFF,1,COLUMN())),1)),6)</f>
        <v/>
      </c>
      <c r="AB707" s="1824" t="n"/>
      <c r="AC707" s="1824" t="n"/>
      <c r="AD707" s="1824" t="n"/>
      <c r="AE707" s="1824" t="n"/>
      <c r="AF707" s="1824">
        <f>ROUND(SUM(AB572,AC572,AD572,AE572)-SUM(OFFSET(INDEX(MO_CFS_CFF,1,COLUMN()),ROW(INDEX(MO_SubSection_CFS_CFF,1,COLUMN()))-ROW(INDEX(MO_CFS_CFF,1,COLUMN())),0,ROW(INDEX(MO_CFS_CFF,1,COLUMN()))-ROW(INDEX(MO_SubSection_CFS_CFF,1,COLUMN())),1)),6)</f>
        <v/>
      </c>
      <c r="AG707" s="1824" t="n"/>
      <c r="AH707" s="1824" t="n"/>
      <c r="AI707" s="1824" t="n"/>
      <c r="AJ707" s="1824" t="n"/>
      <c r="AK707" s="1824">
        <f>ROUND(SUM(AG572,AH572,AI572,AJ572)-SUM(OFFSET(INDEX(MO_CFS_CFF,1,COLUMN()),ROW(INDEX(MO_SubSection_CFS_CFF,1,COLUMN()))-ROW(INDEX(MO_CFS_CFF,1,COLUMN())),0,ROW(INDEX(MO_CFS_CFF,1,COLUMN()))-ROW(INDEX(MO_SubSection_CFS_CFF,1,COLUMN())),1)),6)</f>
        <v/>
      </c>
      <c r="AL707" s="1824" t="n"/>
      <c r="AM707" s="1824" t="n"/>
      <c r="AN707" s="1824" t="n"/>
      <c r="AO707" s="1824" t="n"/>
      <c r="AP707" s="1824">
        <f>ROUND(SUM(AL572,AM572,AN572,AO572)-SUM(OFFSET(INDEX(MO_CFS_CFF,1,COLUMN()),ROW(INDEX(MO_SubSection_CFS_CFF,1,COLUMN()))-ROW(INDEX(MO_CFS_CFF,1,COLUMN())),0,ROW(INDEX(MO_CFS_CFF,1,COLUMN()))-ROW(INDEX(MO_SubSection_CFS_CFF,1,COLUMN())),1)),6)</f>
        <v/>
      </c>
      <c r="AQ707" s="1824" t="n"/>
      <c r="AR707" s="1824" t="n"/>
      <c r="AS707" s="1824" t="n"/>
      <c r="AT707" s="1824" t="n"/>
      <c r="AU707" s="1824">
        <f>ROUND(SUM(AQ572,AR572,AS572,AT572)-SUM(OFFSET(INDEX(MO_CFS_CFF,1,COLUMN()),ROW(INDEX(MO_SubSection_CFS_CFF,1,COLUMN()))-ROW(INDEX(MO_CFS_CFF,1,COLUMN())),0,ROW(INDEX(MO_CFS_CFF,1,COLUMN()))-ROW(INDEX(MO_SubSection_CFS_CFF,1,COLUMN())),1)),6)</f>
        <v/>
      </c>
      <c r="AV707" s="1824" t="n"/>
      <c r="AW707" s="1824" t="n"/>
      <c r="AX707" s="1824" t="n"/>
      <c r="AY707" s="1824" t="n"/>
      <c r="AZ707" s="1824">
        <f>ROUND(SUM(AV572,AW572,AX572,AY572)-SUM(OFFSET(INDEX(MO_CFS_CFF,1,COLUMN()),ROW(INDEX(MO_SubSection_CFS_CFF,1,COLUMN()))-ROW(INDEX(MO_CFS_CFF,1,COLUMN())),0,ROW(INDEX(MO_CFS_CFF,1,COLUMN()))-ROW(INDEX(MO_SubSection_CFS_CFF,1,COLUMN())),1)),6)</f>
        <v/>
      </c>
      <c r="BA707" s="1824" t="n"/>
      <c r="BB707" s="1824" t="n"/>
      <c r="BC707" s="1824" t="n"/>
      <c r="BD707" s="1824" t="n"/>
      <c r="BE707" s="1824">
        <f>ROUND(SUM(BA572,BB572,BC572,BD572)-SUM(OFFSET(INDEX(MO_CFS_CFF,1,COLUMN()),ROW(INDEX(MO_SubSection_CFS_CFF,1,COLUMN()))-ROW(INDEX(MO_CFS_CFF,1,COLUMN())),0,ROW(INDEX(MO_CFS_CFF,1,COLUMN()))-ROW(INDEX(MO_SubSection_CFS_CFF,1,COLUMN())),1)),6)</f>
        <v/>
      </c>
      <c r="BF707" s="1824" t="n"/>
      <c r="BG707" s="1824" t="n"/>
      <c r="BH707" s="1824" t="n"/>
      <c r="BI707" s="1824" t="n"/>
      <c r="BJ707" s="1824">
        <f>ROUND(SUM(BF572,BG572,BH572,BI572)-SUM(OFFSET(INDEX(MO_CFS_CFF,1,COLUMN()),ROW(INDEX(MO_SubSection_CFS_CFF,1,COLUMN()))-ROW(INDEX(MO_CFS_CFF,1,COLUMN())),0,ROW(INDEX(MO_CFS_CFF,1,COLUMN()))-ROW(INDEX(MO_SubSection_CFS_CFF,1,COLUMN())),1)),6)</f>
        <v/>
      </c>
      <c r="BK707" s="1824" t="n"/>
      <c r="BL707" s="1824" t="n"/>
      <c r="BM707" s="1824" t="n"/>
      <c r="BN707" s="1824" t="n"/>
      <c r="BO707" s="1825">
        <f>ROUND(SUM(BK572,BL572,BM572,BN572)-SUM(OFFSET(INDEX(MO_CFS_CFF,1,COLUMN()),ROW(INDEX(MO_SubSection_CFS_CFF,1,COLUMN()))-ROW(INDEX(MO_CFS_CFF,1,COLUMN())),0,ROW(INDEX(MO_CFS_CFF,1,COLUMN()))-ROW(INDEX(MO_SubSection_CFS_CFF,1,COLUMN())),1)),6)</f>
        <v/>
      </c>
      <c r="BP707" s="1824" t="n"/>
      <c r="BQ707" s="1824" t="n"/>
      <c r="BR707" s="1824" t="n"/>
      <c r="BS707" s="1824" t="n"/>
      <c r="BT707" s="1824" t="n"/>
      <c r="BU707" s="1824" t="n"/>
      <c r="BV707" s="1824" t="n"/>
      <c r="BW707" s="1824" t="n"/>
      <c r="BX707" s="1824" t="n"/>
      <c r="BY707" s="1824" t="n"/>
      <c r="BZ707" s="1824" t="n"/>
      <c r="CA707" s="1824" t="n"/>
      <c r="CB707" s="1824" t="n"/>
      <c r="CC707" s="1564" t="n"/>
    </row>
    <row r="708" ht="15" customFormat="1" customHeight="1" s="1561">
      <c r="A708" s="1564" t="inlineStr">
        <is>
          <t>*CF Summary FY = Sum of Qs</t>
        </is>
      </c>
      <c r="B708" s="1626" t="n"/>
      <c r="C708" s="1824" t="n"/>
      <c r="D708" s="1824" t="n"/>
      <c r="E708" s="1824" t="n"/>
      <c r="F708" s="1824" t="n"/>
      <c r="G708" s="1824" t="n"/>
      <c r="H708" s="1824" t="n"/>
      <c r="I708" s="1824" t="n"/>
      <c r="J708" s="1824" t="n"/>
      <c r="K708" s="1824" t="n"/>
      <c r="L708" s="1824">
        <f>ROUND(SUM(INDEX(MO_CFSum_Acquisition,0,COLUMN()),INDEX(MO_CFSum_Capex,0,COLUMN()),INDEX(MO_CFSum_Divestiture,0,COLUMN()),INDEX(MO_CFSum_Dividend,0,COLUMN()))-SUM(H405,I405,J405,K405,H406,I406,J406,K406,H407,I407,J407,K407)-SUM(H403,I403,J403,K403),6)</f>
        <v/>
      </c>
      <c r="M708" s="1824" t="n"/>
      <c r="N708" s="1824" t="n"/>
      <c r="O708" s="1824" t="n"/>
      <c r="P708" s="1824" t="n"/>
      <c r="Q708" s="1824">
        <f>ROUND(SUM(INDEX(MO_CFSum_Acquisition,0,COLUMN()),INDEX(MO_CFSum_Capex,0,COLUMN()),INDEX(MO_CFSum_Divestiture,0,COLUMN()),INDEX(MO_CFSum_Dividend,0,COLUMN()))-SUM(M405,N405,O405,P405,M406,N406,O406,P406,M407,N407,O407,P407)-SUM(M403,N403,O403,P403),6)</f>
        <v/>
      </c>
      <c r="R708" s="1824" t="n"/>
      <c r="S708" s="1824" t="n"/>
      <c r="T708" s="1824" t="n"/>
      <c r="U708" s="1824" t="n"/>
      <c r="V708" s="1824">
        <f>ROUND(SUM(INDEX(MO_CFSum_Acquisition,0,COLUMN()),INDEX(MO_CFSum_Capex,0,COLUMN()),INDEX(MO_CFSum_Divestiture,0,COLUMN()),INDEX(MO_CFSum_Dividend,0,COLUMN()))-SUM(R405,S405,T405,U405,R406,S406,T406,U406,R407,S407,T407,U407)-SUM(R403,S403,T403,U403),6)</f>
        <v/>
      </c>
      <c r="W708" s="1824" t="n"/>
      <c r="X708" s="1824" t="n"/>
      <c r="Y708" s="1824" t="n"/>
      <c r="Z708" s="1824" t="n"/>
      <c r="AA708" s="1824">
        <f>ROUND(SUM(INDEX(MO_CFSum_Acquisition,0,COLUMN()),INDEX(MO_CFSum_Capex,0,COLUMN()),INDEX(MO_CFSum_Divestiture,0,COLUMN()),INDEX(MO_CFSum_Dividend,0,COLUMN()))-SUM(W405,X405,Y405,Z405,W406,X406,Y406,Z406,W407,X407,Y407,Z407)-SUM(W403,X403,Y403,Z403),6)</f>
        <v/>
      </c>
      <c r="AB708" s="1824" t="n"/>
      <c r="AC708" s="1824" t="n"/>
      <c r="AD708" s="1824" t="n"/>
      <c r="AE708" s="1824" t="n"/>
      <c r="AF708" s="1824">
        <f>ROUND(SUM(INDEX(MO_CFSum_Acquisition,0,COLUMN()),INDEX(MO_CFSum_Capex,0,COLUMN()),INDEX(MO_CFSum_Divestiture,0,COLUMN()),INDEX(MO_CFSum_Dividend,0,COLUMN()))-SUM(AB405,AC405,AD405,AE405,AB406,AC406,AD406,AE406,AB407,AC407,AD407,AE407)-SUM(AB403,AC403,AD403,AE403),6)</f>
        <v/>
      </c>
      <c r="AG708" s="1824" t="n"/>
      <c r="AH708" s="1824" t="n"/>
      <c r="AI708" s="1824" t="n"/>
      <c r="AJ708" s="1824" t="n"/>
      <c r="AK708" s="1824">
        <f>ROUND(SUM(INDEX(MO_CFSum_Acquisition,0,COLUMN()),INDEX(MO_CFSum_Capex,0,COLUMN()),INDEX(MO_CFSum_Divestiture,0,COLUMN()),INDEX(MO_CFSum_Dividend,0,COLUMN()))-SUM(AG405,AH405,AI405,AJ405,AG406,AH406,AI406,AJ406,AG407,AH407,AI407,AJ407)-SUM(AG403,AH403,AI403,AJ403),6)</f>
        <v/>
      </c>
      <c r="AL708" s="1824" t="n"/>
      <c r="AM708" s="1824" t="n"/>
      <c r="AN708" s="1824" t="n"/>
      <c r="AO708" s="1824" t="n"/>
      <c r="AP708" s="1824">
        <f>ROUND(SUM(INDEX(MO_CFSum_Acquisition,0,COLUMN()),INDEX(MO_CFSum_Capex,0,COLUMN()),INDEX(MO_CFSum_Divestiture,0,COLUMN()),INDEX(MO_CFSum_Dividend,0,COLUMN()))-SUM(AL405,AM405,AN405,AO405,AL406,AM406,AN406,AO406,AL407,AM407,AN407,AO407)-SUM(AL403,AM403,AN403,AO403),6)</f>
        <v/>
      </c>
      <c r="AQ708" s="1824" t="n"/>
      <c r="AR708" s="1824" t="n"/>
      <c r="AS708" s="1824" t="n"/>
      <c r="AT708" s="1824" t="n"/>
      <c r="AU708" s="1824">
        <f>ROUND(SUM(INDEX(MO_CFSum_Acquisition,0,COLUMN()),INDEX(MO_CFSum_Capex,0,COLUMN()),INDEX(MO_CFSum_Divestiture,0,COLUMN()),INDEX(MO_CFSum_Dividend,0,COLUMN()))-SUM(AQ405,AR405,AS405,AT405,AQ406,AR406,AS406,AT406,AQ407,AR407,AS407,AT407)-SUM(AQ403,AR403,AS403,AT403),6)</f>
        <v/>
      </c>
      <c r="AV708" s="1824" t="n"/>
      <c r="AW708" s="1824" t="n"/>
      <c r="AX708" s="1824" t="n"/>
      <c r="AY708" s="1824" t="n"/>
      <c r="AZ708" s="1824">
        <f>ROUND(SUM(INDEX(MO_CFSum_Acquisition,0,COLUMN()),INDEX(MO_CFSum_Capex,0,COLUMN()),INDEX(MO_CFSum_Divestiture,0,COLUMN()),INDEX(MO_CFSum_Dividend,0,COLUMN()))-SUM(AV405,AW405,AX405,AY405,AV406,AW406,AX406,AY406,AV407,AW407,AX407,AY407)-SUM(AV403,AW403,AX403,AY403),6)</f>
        <v/>
      </c>
      <c r="BA708" s="1824" t="n"/>
      <c r="BB708" s="1824" t="n"/>
      <c r="BC708" s="1824" t="n"/>
      <c r="BD708" s="1824" t="n"/>
      <c r="BE708" s="1824">
        <f>ROUND(SUM(INDEX(MO_CFSum_Acquisition,0,COLUMN()),INDEX(MO_CFSum_Capex,0,COLUMN()),INDEX(MO_CFSum_Divestiture,0,COLUMN()),INDEX(MO_CFSum_Dividend,0,COLUMN()))-SUM(BA405,BB405,BC405,BD405,BA406,BB406,BC406,BD406,BA407,BB407,BC407,BD407)-SUM(BA403,BB403,BC403,BD403),6)</f>
        <v/>
      </c>
      <c r="BF708" s="1824" t="n"/>
      <c r="BG708" s="1824" t="n"/>
      <c r="BH708" s="1824" t="n"/>
      <c r="BI708" s="1824" t="n"/>
      <c r="BJ708" s="1824">
        <f>ROUND(SUM(INDEX(MO_CFSum_Acquisition,0,COLUMN()),INDEX(MO_CFSum_Capex,0,COLUMN()),INDEX(MO_CFSum_Divestiture,0,COLUMN()),INDEX(MO_CFSum_Dividend,0,COLUMN()))-SUM(BF405,BG405,BH405,BI405,BF406,BG406,BH406,BI406,BF407,BG407,BH407,BI407)-SUM(BF403,BG403,BH403,BI403),6)</f>
        <v/>
      </c>
      <c r="BK708" s="1824" t="n"/>
      <c r="BL708" s="1824" t="n"/>
      <c r="BM708" s="1824" t="n"/>
      <c r="BN708" s="1824" t="n"/>
      <c r="BO708" s="1825">
        <f>ROUND(SUM(INDEX(MO_CFSum_Acquisition,0,COLUMN()),INDEX(MO_CFSum_Capex,0,COLUMN()),INDEX(MO_CFSum_Divestiture,0,COLUMN()),INDEX(MO_CFSum_Dividend,0,COLUMN()))-SUM(BK405,BL405,BM405,BN405,BK406,BL406,BM406,BN406,BK407,BL407,BM407,BN407)-SUM(BK403,BL403,BM403,BN403),6)</f>
        <v/>
      </c>
      <c r="BP708" s="1824" t="n"/>
      <c r="BQ708" s="1824" t="n"/>
      <c r="BR708" s="1824" t="n"/>
      <c r="BS708" s="1824" t="n"/>
      <c r="BT708" s="1824" t="n"/>
      <c r="BU708" s="1824" t="n"/>
      <c r="BV708" s="1824" t="n"/>
      <c r="BW708" s="1824" t="n"/>
      <c r="BX708" s="1824" t="n"/>
      <c r="BY708" s="1824" t="n"/>
      <c r="BZ708" s="1824" t="n"/>
      <c r="CA708" s="1824" t="n"/>
      <c r="CB708" s="1824" t="n"/>
      <c r="CC708" s="1564" t="n"/>
    </row>
    <row r="709" ht="15" customFormat="1" customHeight="1" s="1561">
      <c r="A709" s="1562" t="n"/>
      <c r="B709" s="1626" t="n"/>
      <c r="C709" s="1626" t="n"/>
      <c r="D709" s="1626" t="n"/>
      <c r="E709" s="1626" t="n"/>
      <c r="F709" s="1626" t="n"/>
      <c r="G709" s="1626" t="n"/>
      <c r="H709" s="1626" t="n"/>
      <c r="I709" s="1626" t="n"/>
      <c r="J709" s="1626" t="n"/>
      <c r="K709" s="1626" t="n"/>
      <c r="L709" s="1626" t="n"/>
      <c r="M709" s="1626" t="n"/>
      <c r="N709" s="1626" t="n"/>
      <c r="O709" s="1626" t="n"/>
      <c r="P709" s="1626" t="n"/>
      <c r="Q709" s="1626" t="n"/>
      <c r="R709" s="1626" t="n"/>
      <c r="S709" s="1562" t="n"/>
      <c r="T709" s="1626" t="n"/>
      <c r="U709" s="1626" t="n"/>
      <c r="V709" s="1626" t="n"/>
      <c r="W709" s="1626" t="n"/>
      <c r="X709" s="1562" t="n"/>
      <c r="Y709" s="1626" t="n"/>
      <c r="Z709" s="1626" t="n"/>
      <c r="AA709" s="1626" t="n"/>
      <c r="AB709" s="1626" t="n"/>
      <c r="AC709" s="1562" t="n"/>
      <c r="AD709" s="1626" t="n"/>
      <c r="AE709" s="1626" t="n"/>
      <c r="AF709" s="1626" t="n"/>
      <c r="AG709" s="1626" t="n"/>
      <c r="AH709" s="1562" t="n"/>
      <c r="AI709" s="1626" t="n"/>
      <c r="AJ709" s="1626" t="n"/>
      <c r="AK709" s="1626" t="n"/>
      <c r="AL709" s="1626" t="n"/>
      <c r="AM709" s="1562" t="n"/>
      <c r="AN709" s="1626" t="n"/>
      <c r="AO709" s="1626" t="n"/>
      <c r="AP709" s="1626" t="n"/>
      <c r="AQ709" s="1626" t="n"/>
      <c r="AR709" s="1562" t="n"/>
      <c r="AS709" s="1626" t="n"/>
      <c r="AT709" s="1626" t="n"/>
      <c r="AU709" s="1626" t="n"/>
      <c r="AV709" s="1626" t="n"/>
      <c r="AW709" s="1562" t="n"/>
      <c r="AX709" s="1626" t="n"/>
      <c r="AY709" s="1626" t="n"/>
      <c r="AZ709" s="1626" t="n"/>
      <c r="BA709" s="1626" t="n"/>
      <c r="BB709" s="1562" t="n"/>
      <c r="BC709" s="1626" t="n"/>
      <c r="BD709" s="1626" t="n"/>
      <c r="BE709" s="1626" t="n"/>
      <c r="BF709" s="1626" t="n"/>
      <c r="BG709" s="1562" t="n"/>
      <c r="BH709" s="1626" t="n"/>
      <c r="BI709" s="1626" t="n"/>
      <c r="BJ709" s="1626" t="n"/>
      <c r="BK709" s="1626" t="n"/>
      <c r="BL709" s="1562" t="n"/>
      <c r="BM709" s="1626" t="n"/>
      <c r="BN709" s="1626" t="n"/>
      <c r="BO709" s="2007" t="n"/>
      <c r="BP709" s="1562" t="n"/>
      <c r="BQ709" s="1562" t="n"/>
      <c r="BR709" s="1562" t="n"/>
      <c r="BS709" s="1562" t="n"/>
      <c r="BT709" s="1562" t="n"/>
      <c r="BU709" s="1562" t="n"/>
      <c r="BV709" s="1562" t="n"/>
      <c r="BW709" s="1562" t="n"/>
      <c r="BX709" s="1562" t="n"/>
      <c r="BY709" s="1562" t="n"/>
      <c r="BZ709" s="1562" t="n"/>
      <c r="CA709" s="1562" t="n"/>
      <c r="CB709" s="1562" t="n"/>
      <c r="CC709" s="1564" t="n"/>
    </row>
    <row r="710" ht="15" customFormat="1" customHeight="1" s="1561">
      <c r="A710" s="2005" t="inlineStr">
        <is>
          <t>Other Tables</t>
        </is>
      </c>
      <c r="B710" s="2005" t="n"/>
      <c r="C710" s="2005" t="n"/>
      <c r="D710" s="2005" t="n"/>
      <c r="E710" s="2005" t="n"/>
      <c r="F710" s="2005" t="n"/>
      <c r="G710" s="2005" t="n"/>
      <c r="H710" s="2005" t="n"/>
      <c r="I710" s="2005" t="n"/>
      <c r="J710" s="2005" t="n"/>
      <c r="K710" s="2005" t="n"/>
      <c r="L710" s="2005" t="n"/>
      <c r="M710" s="2005" t="n"/>
      <c r="N710" s="2005" t="n"/>
      <c r="O710" s="2005" t="n"/>
      <c r="P710" s="2005" t="n"/>
      <c r="Q710" s="2005" t="n"/>
      <c r="R710" s="2005" t="n"/>
      <c r="S710" s="2005" t="n"/>
      <c r="T710" s="2005" t="n"/>
      <c r="U710" s="2005" t="n"/>
      <c r="V710" s="2005" t="n"/>
      <c r="W710" s="2005" t="n"/>
      <c r="X710" s="2005" t="n"/>
      <c r="Y710" s="2005" t="n"/>
      <c r="Z710" s="2005" t="n"/>
      <c r="AA710" s="2005" t="n"/>
      <c r="AB710" s="2005" t="n"/>
      <c r="AC710" s="2005" t="n"/>
      <c r="AD710" s="2005" t="n"/>
      <c r="AE710" s="2005" t="n"/>
      <c r="AF710" s="2005" t="n"/>
      <c r="AG710" s="2005" t="n"/>
      <c r="AH710" s="2005" t="n"/>
      <c r="AI710" s="2005" t="n"/>
      <c r="AJ710" s="2005" t="n"/>
      <c r="AK710" s="2005" t="n"/>
      <c r="AL710" s="2005" t="n"/>
      <c r="AM710" s="2005" t="n"/>
      <c r="AN710" s="2005" t="n"/>
      <c r="AO710" s="2005" t="n"/>
      <c r="AP710" s="2005" t="n"/>
      <c r="AQ710" s="2005" t="n"/>
      <c r="AR710" s="2005" t="n"/>
      <c r="AS710" s="2005" t="n"/>
      <c r="AT710" s="2005" t="n"/>
      <c r="AU710" s="2005" t="n"/>
      <c r="AV710" s="2005" t="n"/>
      <c r="AW710" s="2005" t="n"/>
      <c r="AX710" s="2005" t="n"/>
      <c r="AY710" s="2005" t="n"/>
      <c r="AZ710" s="2005" t="n"/>
      <c r="BA710" s="2005" t="n"/>
      <c r="BB710" s="2005" t="n"/>
      <c r="BC710" s="2005" t="n"/>
      <c r="BD710" s="2005" t="n"/>
      <c r="BE710" s="2005" t="n"/>
      <c r="BF710" s="2005" t="n"/>
      <c r="BG710" s="2005" t="n"/>
      <c r="BH710" s="2005" t="n"/>
      <c r="BI710" s="2005" t="n"/>
      <c r="BJ710" s="2005" t="n"/>
      <c r="BK710" s="2005" t="n"/>
      <c r="BL710" s="2005" t="n"/>
      <c r="BM710" s="2005" t="n"/>
      <c r="BN710" s="2005" t="n"/>
      <c r="BO710" s="2006" t="n"/>
      <c r="BP710" s="2005" t="n"/>
      <c r="BQ710" s="2005" t="n"/>
      <c r="BR710" s="2005" t="n"/>
      <c r="BS710" s="2005" t="n"/>
      <c r="BT710" s="2005" t="n"/>
      <c r="BU710" s="2005" t="n"/>
      <c r="BV710" s="2005" t="n"/>
      <c r="BW710" s="2005" t="n"/>
      <c r="BX710" s="2005" t="n"/>
      <c r="BY710" s="2005" t="n"/>
      <c r="BZ710" s="2005" t="n"/>
      <c r="CA710" s="2005" t="n"/>
      <c r="CB710" s="2005" t="n"/>
      <c r="CC710" s="1564" t="n"/>
    </row>
    <row r="711" ht="15" customFormat="1" customHeight="1" s="1561">
      <c r="A711" s="2008" t="n"/>
      <c r="B711" s="1562" t="n"/>
      <c r="C711" s="2009" t="n"/>
      <c r="D711" s="2009" t="n"/>
      <c r="E711" s="1562" t="n"/>
      <c r="F711" s="1562" t="n"/>
      <c r="G711" s="1562" t="n"/>
      <c r="H711" s="1562" t="n"/>
      <c r="I711" s="1562" t="n"/>
      <c r="J711" s="1562" t="n"/>
      <c r="K711" s="1562" t="n"/>
      <c r="L711" s="1562" t="n"/>
      <c r="M711" s="1562" t="n"/>
      <c r="N711" s="1562" t="n"/>
      <c r="O711" s="1562" t="n"/>
      <c r="P711" s="1562" t="n"/>
      <c r="Q711" s="1562" t="n"/>
      <c r="R711" s="1562" t="n"/>
      <c r="S711" s="1562" t="n"/>
      <c r="T711" s="1562" t="n"/>
      <c r="U711" s="1562" t="n"/>
      <c r="V711" s="1562" t="n"/>
      <c r="W711" s="1562" t="n"/>
      <c r="X711" s="1562" t="n"/>
      <c r="Y711" s="1562" t="n"/>
      <c r="Z711" s="1562" t="n"/>
      <c r="AA711" s="1562" t="n"/>
      <c r="AB711" s="1562" t="n"/>
      <c r="AC711" s="1562" t="n"/>
      <c r="AD711" s="1562" t="n"/>
      <c r="AE711" s="1562" t="n"/>
      <c r="AF711" s="1562" t="n"/>
      <c r="AG711" s="1562" t="n"/>
      <c r="AH711" s="1562" t="n"/>
      <c r="AI711" s="1562" t="n"/>
      <c r="AJ711" s="1562" t="n"/>
      <c r="AK711" s="1562" t="n"/>
      <c r="AL711" s="1562" t="n"/>
      <c r="AM711" s="1562" t="n"/>
      <c r="AN711" s="1562" t="n"/>
      <c r="AO711" s="1562" t="n"/>
      <c r="AP711" s="1562" t="n"/>
      <c r="AQ711" s="1562" t="n"/>
      <c r="AR711" s="1562" t="n"/>
      <c r="AS711" s="1562" t="n"/>
      <c r="AT711" s="1562" t="n"/>
      <c r="AU711" s="1562" t="n"/>
      <c r="AV711" s="1562" t="n"/>
      <c r="AW711" s="1562" t="n"/>
      <c r="AX711" s="1562" t="n"/>
      <c r="AY711" s="1562" t="n"/>
      <c r="AZ711" s="1562" t="n"/>
      <c r="BA711" s="1562" t="n"/>
      <c r="BB711" s="1562" t="n"/>
      <c r="BC711" s="1562" t="n"/>
      <c r="BD711" s="1562" t="n"/>
      <c r="BE711" s="1562" t="n"/>
      <c r="BF711" s="1562" t="n"/>
      <c r="BG711" s="1562" t="n"/>
      <c r="BH711" s="1562" t="n"/>
      <c r="BI711" s="1562" t="n"/>
      <c r="BJ711" s="1562" t="n"/>
      <c r="BK711" s="1562" t="n"/>
      <c r="BL711" s="1562" t="n"/>
      <c r="BM711" s="1562" t="n"/>
      <c r="BN711" s="1562" t="n"/>
      <c r="BO711" s="1563" t="n"/>
      <c r="BP711" s="1562" t="n"/>
      <c r="BQ711" s="1562" t="n"/>
      <c r="BR711" s="1562" t="n"/>
      <c r="BS711" s="1562" t="n"/>
      <c r="BT711" s="1562" t="n"/>
      <c r="BU711" s="1562" t="n"/>
      <c r="BV711" s="1562" t="n"/>
      <c r="BW711" s="1562" t="n"/>
      <c r="BX711" s="1562" t="n"/>
      <c r="BY711" s="1562" t="n"/>
      <c r="BZ711" s="1562" t="n"/>
      <c r="CA711" s="1562" t="n"/>
      <c r="CB711" s="1562" t="n"/>
      <c r="CC711" s="1564" t="n"/>
    </row>
    <row r="712" ht="15" customFormat="1" customHeight="1" s="1574">
      <c r="A712" s="2010" t="inlineStr">
        <is>
          <t>Ticker Symbol</t>
        </is>
      </c>
      <c r="B712" s="2011" t="n"/>
      <c r="C712" s="2012" t="n"/>
      <c r="D712" s="2012" t="n"/>
      <c r="E712" s="1675" t="n"/>
      <c r="F712" s="1675" t="n"/>
      <c r="G712" s="1675" t="n"/>
      <c r="H712" s="1675" t="n"/>
      <c r="I712" s="1675" t="n"/>
      <c r="J712" s="1675" t="n"/>
      <c r="K712" s="1675" t="n"/>
      <c r="L712" s="1675" t="n"/>
      <c r="M712" s="1675" t="n"/>
      <c r="N712" s="1675" t="n"/>
      <c r="O712" s="1675" t="n"/>
      <c r="P712" s="1675" t="n"/>
      <c r="Q712" s="1675" t="n"/>
      <c r="R712" s="1675" t="n"/>
      <c r="S712" s="1675" t="n"/>
      <c r="T712" s="1675" t="n"/>
      <c r="U712" s="1675" t="n"/>
      <c r="V712" s="1675" t="n"/>
      <c r="W712" s="1675" t="n"/>
      <c r="X712" s="1675" t="n"/>
      <c r="Y712" s="1675" t="n"/>
      <c r="Z712" s="1675" t="n"/>
      <c r="AA712" s="1675" t="n"/>
      <c r="AB712" s="1675" t="n"/>
      <c r="AC712" s="1675" t="n"/>
      <c r="AD712" s="1675" t="n"/>
      <c r="AE712" s="1675" t="n"/>
      <c r="AF712" s="1675" t="n"/>
      <c r="AG712" s="1675" t="n"/>
      <c r="AH712" s="1675" t="n"/>
      <c r="AI712" s="1675" t="n"/>
      <c r="AJ712" s="1675" t="n"/>
      <c r="AK712" s="1675" t="n"/>
      <c r="AL712" s="1675" t="n"/>
      <c r="AM712" s="1675" t="n"/>
      <c r="AN712" s="1675" t="n"/>
      <c r="AO712" s="1675" t="n"/>
      <c r="AP712" s="1675" t="n"/>
      <c r="AQ712" s="1675" t="n"/>
      <c r="AR712" s="1675" t="n"/>
      <c r="AS712" s="1675" t="n"/>
      <c r="AT712" s="1675" t="n"/>
      <c r="AU712" s="1675" t="n"/>
      <c r="AV712" s="1675" t="n"/>
      <c r="AW712" s="1675" t="n"/>
      <c r="AX712" s="1675" t="n"/>
      <c r="AY712" s="1675" t="n"/>
      <c r="AZ712" s="1675" t="n"/>
      <c r="BA712" s="1675" t="n"/>
      <c r="BB712" s="1675" t="n"/>
      <c r="BC712" s="1675" t="n"/>
      <c r="BD712" s="1675" t="n"/>
      <c r="BE712" s="1675" t="n"/>
      <c r="BF712" s="1675" t="n"/>
      <c r="BG712" s="1675" t="n"/>
      <c r="BH712" s="1675" t="n"/>
      <c r="BI712" s="1675" t="n"/>
      <c r="BJ712" s="1675" t="n"/>
      <c r="BK712" s="1675" t="n"/>
      <c r="BL712" s="1675" t="n"/>
      <c r="BM712" s="1675" t="n"/>
      <c r="BN712" s="1675" t="n"/>
      <c r="BO712" s="2013" t="n"/>
      <c r="BP712" s="1675" t="n"/>
      <c r="BQ712" s="1675" t="n"/>
      <c r="BR712" s="1675" t="n"/>
      <c r="BS712" s="1675" t="n"/>
      <c r="BT712" s="1675" t="n"/>
      <c r="BU712" s="1675" t="n"/>
      <c r="BV712" s="1675" t="n"/>
      <c r="BW712" s="1675" t="n"/>
      <c r="BX712" s="1675" t="n"/>
      <c r="BY712" s="1675" t="n"/>
      <c r="BZ712" s="1675" t="n"/>
      <c r="CA712" s="1675" t="n"/>
      <c r="CB712" s="1675" t="n"/>
      <c r="CC712" s="1582" t="n"/>
    </row>
    <row r="713" ht="15" customFormat="1" customHeight="1" s="1574">
      <c r="A713" s="2014" t="inlineStr">
        <is>
          <t>ASML_NL</t>
        </is>
      </c>
      <c r="B713" s="2011" t="n"/>
      <c r="C713" s="2012" t="n"/>
      <c r="D713" s="2012" t="n"/>
      <c r="E713" s="1675" t="n"/>
      <c r="F713" s="1675" t="n"/>
      <c r="G713" s="1675" t="n"/>
      <c r="H713" s="1675" t="n"/>
      <c r="I713" s="1675" t="n"/>
      <c r="J713" s="1675" t="n"/>
      <c r="K713" s="1675" t="n"/>
      <c r="L713" s="1675" t="n"/>
      <c r="M713" s="1675" t="n"/>
      <c r="N713" s="1675" t="n"/>
      <c r="O713" s="1675" t="n"/>
      <c r="P713" s="1675" t="n"/>
      <c r="Q713" s="1675" t="n"/>
      <c r="R713" s="1675" t="n"/>
      <c r="S713" s="1675" t="n"/>
      <c r="T713" s="1675" t="n"/>
      <c r="U713" s="1675" t="n"/>
      <c r="V713" s="1675" t="n"/>
      <c r="W713" s="1675" t="n"/>
      <c r="X713" s="1675" t="n"/>
      <c r="Y713" s="1675" t="n"/>
      <c r="Z713" s="1675" t="n"/>
      <c r="AA713" s="1675" t="n"/>
      <c r="AB713" s="1675" t="n"/>
      <c r="AC713" s="1675" t="n"/>
      <c r="AD713" s="1675" t="n"/>
      <c r="AE713" s="1675" t="n"/>
      <c r="AF713" s="1675" t="n"/>
      <c r="AG713" s="1675" t="n"/>
      <c r="AH713" s="1675" t="n"/>
      <c r="AI713" s="1675" t="n"/>
      <c r="AJ713" s="1675" t="n"/>
      <c r="AK713" s="1675" t="n"/>
      <c r="AL713" s="1675" t="n"/>
      <c r="AM713" s="1675" t="n"/>
      <c r="AN713" s="1675" t="n"/>
      <c r="AO713" s="1675" t="n"/>
      <c r="AP713" s="1675" t="n"/>
      <c r="AQ713" s="1675" t="n"/>
      <c r="AR713" s="1675" t="n"/>
      <c r="AS713" s="1675" t="n"/>
      <c r="AT713" s="1675" t="n"/>
      <c r="AU713" s="1675" t="n"/>
      <c r="AV713" s="1675" t="n"/>
      <c r="AW713" s="1675" t="n"/>
      <c r="AX713" s="1675" t="n"/>
      <c r="AY713" s="1675" t="n"/>
      <c r="AZ713" s="1675" t="n"/>
      <c r="BA713" s="1675" t="n"/>
      <c r="BB713" s="1675" t="n"/>
      <c r="BC713" s="1675" t="n"/>
      <c r="BD713" s="1675" t="n"/>
      <c r="BE713" s="1675" t="n"/>
      <c r="BF713" s="1675" t="n"/>
      <c r="BG713" s="1675" t="n"/>
      <c r="BH713" s="1675" t="n"/>
      <c r="BI713" s="1675" t="n"/>
      <c r="BJ713" s="1675" t="n"/>
      <c r="BK713" s="1675" t="n"/>
      <c r="BL713" s="1675" t="n"/>
      <c r="BM713" s="1675" t="n"/>
      <c r="BN713" s="1675" t="n"/>
      <c r="BO713" s="2013" t="n"/>
      <c r="BP713" s="1675" t="n"/>
      <c r="BQ713" s="1675" t="n"/>
      <c r="BR713" s="1675" t="n"/>
      <c r="BS713" s="1675" t="n"/>
      <c r="BT713" s="1675" t="n"/>
      <c r="BU713" s="1675" t="n"/>
      <c r="BV713" s="1675" t="n"/>
      <c r="BW713" s="1675" t="n"/>
      <c r="BX713" s="1675" t="n"/>
      <c r="BY713" s="1675" t="n"/>
      <c r="BZ713" s="1675" t="n"/>
      <c r="CA713" s="1675" t="n"/>
      <c r="CB713" s="1675" t="n"/>
      <c r="CC713" s="1582" t="n"/>
    </row>
    <row r="714" ht="15" customFormat="1" customHeight="1" s="1574">
      <c r="A714" s="2015" t="inlineStr">
        <is>
          <t>ASML NA</t>
        </is>
      </c>
      <c r="B714" s="2011" t="n"/>
      <c r="C714" s="2012" t="n"/>
      <c r="D714" s="2012" t="n"/>
      <c r="E714" s="1675" t="n"/>
      <c r="F714" s="1675" t="n"/>
      <c r="G714" s="1675" t="n"/>
      <c r="H714" s="1675" t="n"/>
      <c r="I714" s="1675" t="n"/>
      <c r="J714" s="1675" t="n"/>
      <c r="K714" s="1675" t="n"/>
      <c r="L714" s="1675" t="n"/>
      <c r="M714" s="1675" t="n"/>
      <c r="N714" s="1675" t="n"/>
      <c r="O714" s="1675" t="n"/>
      <c r="P714" s="1675" t="n"/>
      <c r="Q714" s="1675" t="n"/>
      <c r="R714" s="1675" t="n"/>
      <c r="S714" s="1675" t="n"/>
      <c r="T714" s="1675" t="n"/>
      <c r="U714" s="1675" t="n"/>
      <c r="V714" s="1675" t="n"/>
      <c r="W714" s="1675" t="n"/>
      <c r="X714" s="1675" t="n"/>
      <c r="Y714" s="1675" t="n"/>
      <c r="Z714" s="1675" t="n"/>
      <c r="AA714" s="1675" t="n"/>
      <c r="AB714" s="1675" t="n"/>
      <c r="AC714" s="1675" t="n"/>
      <c r="AD714" s="1675" t="n"/>
      <c r="AE714" s="1675" t="n"/>
      <c r="AF714" s="1675" t="n"/>
      <c r="AG714" s="1675" t="n"/>
      <c r="AH714" s="1675" t="n"/>
      <c r="AI714" s="1675" t="n"/>
      <c r="AJ714" s="1675" t="n"/>
      <c r="AK714" s="1675" t="n"/>
      <c r="AL714" s="1675" t="n"/>
      <c r="AM714" s="1675" t="n"/>
      <c r="AN714" s="1675" t="n"/>
      <c r="AO714" s="1675" t="n"/>
      <c r="AP714" s="1675" t="n"/>
      <c r="AQ714" s="1675" t="n"/>
      <c r="AR714" s="1675" t="n"/>
      <c r="AS714" s="1675" t="n"/>
      <c r="AT714" s="1675" t="n"/>
      <c r="AU714" s="1675" t="n"/>
      <c r="AV714" s="1675" t="n"/>
      <c r="AW714" s="1675" t="n"/>
      <c r="AX714" s="1675" t="n"/>
      <c r="AY714" s="1675" t="n"/>
      <c r="AZ714" s="1675" t="n"/>
      <c r="BA714" s="1675" t="n"/>
      <c r="BB714" s="1675" t="n"/>
      <c r="BC714" s="1675" t="n"/>
      <c r="BD714" s="1675" t="n"/>
      <c r="BE714" s="1675" t="n"/>
      <c r="BF714" s="1675" t="n"/>
      <c r="BG714" s="1675" t="n"/>
      <c r="BH714" s="1675" t="n"/>
      <c r="BI714" s="1675" t="n"/>
      <c r="BJ714" s="1675" t="n"/>
      <c r="BK714" s="1675" t="n"/>
      <c r="BL714" s="1675" t="n"/>
      <c r="BM714" s="1675" t="n"/>
      <c r="BN714" s="1675" t="n"/>
      <c r="BO714" s="2013" t="n"/>
      <c r="BP714" s="1675" t="n"/>
      <c r="BQ714" s="1675" t="n"/>
      <c r="BR714" s="1675" t="n"/>
      <c r="BS714" s="1675" t="n"/>
      <c r="BT714" s="1675" t="n"/>
      <c r="BU714" s="1675" t="n"/>
      <c r="BV714" s="1675" t="n"/>
      <c r="BW714" s="1675" t="n"/>
      <c r="BX714" s="1675" t="n"/>
      <c r="BY714" s="1675" t="n"/>
      <c r="BZ714" s="1675" t="n"/>
      <c r="CA714" s="1675" t="n"/>
      <c r="CB714" s="1675" t="n"/>
      <c r="CC714" s="1582" t="n"/>
    </row>
    <row r="715" ht="15" customFormat="1" customHeight="1" s="1574">
      <c r="A715" s="2016" t="inlineStr">
        <is>
          <t>EN:ASML</t>
        </is>
      </c>
      <c r="B715" s="2011" t="n"/>
      <c r="C715" s="2012" t="n"/>
      <c r="D715" s="2012" t="n"/>
      <c r="E715" s="1675" t="n"/>
      <c r="F715" s="1675" t="n"/>
      <c r="G715" s="1675" t="n"/>
      <c r="H715" s="1675" t="n"/>
      <c r="I715" s="1675" t="n"/>
      <c r="J715" s="1675" t="n"/>
      <c r="K715" s="1675" t="n"/>
      <c r="L715" s="1675" t="n"/>
      <c r="M715" s="1675" t="n"/>
      <c r="N715" s="1675" t="n"/>
      <c r="O715" s="1675" t="n"/>
      <c r="P715" s="1675" t="n"/>
      <c r="Q715" s="1675" t="n"/>
      <c r="R715" s="1675" t="n"/>
      <c r="S715" s="1675" t="n"/>
      <c r="T715" s="1675" t="n"/>
      <c r="U715" s="1675" t="n"/>
      <c r="V715" s="1675" t="n"/>
      <c r="W715" s="1675" t="n"/>
      <c r="X715" s="1675" t="n"/>
      <c r="Y715" s="1675" t="n"/>
      <c r="Z715" s="1675" t="n"/>
      <c r="AA715" s="1675" t="n"/>
      <c r="AB715" s="1675" t="n"/>
      <c r="AC715" s="1675" t="n"/>
      <c r="AD715" s="1675" t="n"/>
      <c r="AE715" s="1675" t="n"/>
      <c r="AF715" s="1675" t="n"/>
      <c r="AG715" s="1675" t="n"/>
      <c r="AH715" s="1675" t="n"/>
      <c r="AI715" s="1675" t="n"/>
      <c r="AJ715" s="1675" t="n"/>
      <c r="AK715" s="1675" t="n"/>
      <c r="AL715" s="1675" t="n"/>
      <c r="AM715" s="1675" t="n"/>
      <c r="AN715" s="1675" t="n"/>
      <c r="AO715" s="1675" t="n"/>
      <c r="AP715" s="1675" t="n"/>
      <c r="AQ715" s="1675" t="n"/>
      <c r="AR715" s="1675" t="n"/>
      <c r="AS715" s="1675" t="n"/>
      <c r="AT715" s="1675" t="n"/>
      <c r="AU715" s="1675" t="n"/>
      <c r="AV715" s="1675" t="n"/>
      <c r="AW715" s="1675" t="n"/>
      <c r="AX715" s="1675" t="n"/>
      <c r="AY715" s="1675" t="n"/>
      <c r="AZ715" s="1675" t="n"/>
      <c r="BA715" s="1675" t="n"/>
      <c r="BB715" s="1675" t="n"/>
      <c r="BC715" s="1675" t="n"/>
      <c r="BD715" s="1675" t="n"/>
      <c r="BE715" s="1675" t="n"/>
      <c r="BF715" s="1675" t="n"/>
      <c r="BG715" s="1675" t="n"/>
      <c r="BH715" s="1675" t="n"/>
      <c r="BI715" s="1675" t="n"/>
      <c r="BJ715" s="1675" t="n"/>
      <c r="BK715" s="1675" t="n"/>
      <c r="BL715" s="1675" t="n"/>
      <c r="BM715" s="1675" t="n"/>
      <c r="BN715" s="1675" t="n"/>
      <c r="BO715" s="2013" t="n"/>
      <c r="BP715" s="1675" t="n"/>
      <c r="BQ715" s="1675" t="n"/>
      <c r="BR715" s="1675" t="n"/>
      <c r="BS715" s="1675" t="n"/>
      <c r="BT715" s="1675" t="n"/>
      <c r="BU715" s="1675" t="n"/>
      <c r="BV715" s="1675" t="n"/>
      <c r="BW715" s="1675" t="n"/>
      <c r="BX715" s="1675" t="n"/>
      <c r="BY715" s="1675" t="n"/>
      <c r="BZ715" s="1675" t="n"/>
      <c r="CA715" s="1675" t="n"/>
      <c r="CB715" s="1675" t="n"/>
      <c r="CC715" s="1582" t="n"/>
    </row>
    <row r="716" ht="15" customFormat="1" customHeight="1" s="1574">
      <c r="A716" s="2017" t="inlineStr">
        <is>
          <t>ASML-NL</t>
        </is>
      </c>
      <c r="B716" s="2011" t="n"/>
      <c r="C716" s="2012" t="n"/>
      <c r="D716" s="2012" t="n"/>
      <c r="E716" s="1675" t="n"/>
      <c r="F716" s="1675" t="n"/>
      <c r="G716" s="1675" t="n"/>
      <c r="H716" s="1675" t="n"/>
      <c r="I716" s="1675" t="n"/>
      <c r="J716" s="1675" t="n"/>
      <c r="K716" s="1675" t="n"/>
      <c r="L716" s="1675" t="n"/>
      <c r="M716" s="1675" t="n"/>
      <c r="N716" s="1675" t="n"/>
      <c r="O716" s="1675" t="n"/>
      <c r="P716" s="1675" t="n"/>
      <c r="Q716" s="1675" t="n"/>
      <c r="R716" s="1675" t="n"/>
      <c r="S716" s="1675" t="n"/>
      <c r="T716" s="1675" t="n"/>
      <c r="U716" s="1675" t="n"/>
      <c r="V716" s="1675" t="n"/>
      <c r="W716" s="1675" t="n"/>
      <c r="X716" s="1675" t="n"/>
      <c r="Y716" s="1675" t="n"/>
      <c r="Z716" s="1675" t="n"/>
      <c r="AA716" s="1675" t="n"/>
      <c r="AB716" s="1675" t="n"/>
      <c r="AC716" s="1675" t="n"/>
      <c r="AD716" s="1675" t="n"/>
      <c r="AE716" s="1675" t="n"/>
      <c r="AF716" s="1675" t="n"/>
      <c r="AG716" s="1675" t="n"/>
      <c r="AH716" s="1675" t="n"/>
      <c r="AI716" s="1675" t="n"/>
      <c r="AJ716" s="1675" t="n"/>
      <c r="AK716" s="1675" t="n"/>
      <c r="AL716" s="1675" t="n"/>
      <c r="AM716" s="1675" t="n"/>
      <c r="AN716" s="1675" t="n"/>
      <c r="AO716" s="1675" t="n"/>
      <c r="AP716" s="1675" t="n"/>
      <c r="AQ716" s="1675" t="n"/>
      <c r="AR716" s="1675" t="n"/>
      <c r="AS716" s="1675" t="n"/>
      <c r="AT716" s="1675" t="n"/>
      <c r="AU716" s="1675" t="n"/>
      <c r="AV716" s="1675" t="n"/>
      <c r="AW716" s="1675" t="n"/>
      <c r="AX716" s="1675" t="n"/>
      <c r="AY716" s="1675" t="n"/>
      <c r="AZ716" s="1675" t="n"/>
      <c r="BA716" s="1675" t="n"/>
      <c r="BB716" s="1675" t="n"/>
      <c r="BC716" s="1675" t="n"/>
      <c r="BD716" s="1675" t="n"/>
      <c r="BE716" s="1675" t="n"/>
      <c r="BF716" s="1675" t="n"/>
      <c r="BG716" s="1675" t="n"/>
      <c r="BH716" s="1675" t="n"/>
      <c r="BI716" s="1675" t="n"/>
      <c r="BJ716" s="1675" t="n"/>
      <c r="BK716" s="1675" t="n"/>
      <c r="BL716" s="1675" t="n"/>
      <c r="BM716" s="1675" t="n"/>
      <c r="BN716" s="1675" t="n"/>
      <c r="BO716" s="2013" t="n"/>
      <c r="BP716" s="1675" t="n"/>
      <c r="BQ716" s="1675" t="n"/>
      <c r="BR716" s="1675" t="n"/>
      <c r="BS716" s="1675" t="n"/>
      <c r="BT716" s="1675" t="n"/>
      <c r="BU716" s="1675" t="n"/>
      <c r="BV716" s="1675" t="n"/>
      <c r="BW716" s="1675" t="n"/>
      <c r="BX716" s="1675" t="n"/>
      <c r="BY716" s="1675" t="n"/>
      <c r="BZ716" s="1675" t="n"/>
      <c r="CA716" s="1675" t="n"/>
      <c r="CB716" s="1675" t="n"/>
      <c r="CC716" s="1582" t="n"/>
    </row>
    <row r="717" ht="15" customFormat="1" customHeight="1" s="1574">
      <c r="A717" s="2018" t="inlineStr">
        <is>
          <t>ASML.AS</t>
        </is>
      </c>
      <c r="B717" s="2011" t="n"/>
      <c r="C717" s="2012" t="n"/>
      <c r="D717" s="2012" t="n"/>
      <c r="E717" s="1675" t="n"/>
      <c r="F717" s="1675" t="n"/>
      <c r="G717" s="1675" t="n"/>
      <c r="H717" s="1675" t="n"/>
      <c r="I717" s="1675" t="n"/>
      <c r="J717" s="1675" t="n"/>
      <c r="K717" s="1675" t="n"/>
      <c r="L717" s="1675" t="n"/>
      <c r="M717" s="1675" t="n"/>
      <c r="N717" s="1675" t="n"/>
      <c r="O717" s="1675" t="n"/>
      <c r="P717" s="1675" t="n"/>
      <c r="Q717" s="1675" t="n"/>
      <c r="R717" s="1675" t="n"/>
      <c r="S717" s="1675" t="n"/>
      <c r="T717" s="1675" t="n"/>
      <c r="U717" s="1675" t="n"/>
      <c r="V717" s="1675" t="n"/>
      <c r="W717" s="1675" t="n"/>
      <c r="X717" s="1675" t="n"/>
      <c r="Y717" s="1675" t="n"/>
      <c r="Z717" s="1675" t="n"/>
      <c r="AA717" s="1675" t="n"/>
      <c r="AB717" s="1675" t="n"/>
      <c r="AC717" s="1675" t="n"/>
      <c r="AD717" s="1675" t="n"/>
      <c r="AE717" s="1675" t="n"/>
      <c r="AF717" s="1675" t="n"/>
      <c r="AG717" s="1675" t="n"/>
      <c r="AH717" s="1675" t="n"/>
      <c r="AI717" s="1675" t="n"/>
      <c r="AJ717" s="1675" t="n"/>
      <c r="AK717" s="1675" t="n"/>
      <c r="AL717" s="1675" t="n"/>
      <c r="AM717" s="1675" t="n"/>
      <c r="AN717" s="1675" t="n"/>
      <c r="AO717" s="1675" t="n"/>
      <c r="AP717" s="1675" t="n"/>
      <c r="AQ717" s="1675" t="n"/>
      <c r="AR717" s="1675" t="n"/>
      <c r="AS717" s="1675" t="n"/>
      <c r="AT717" s="1675" t="n"/>
      <c r="AU717" s="1675" t="n"/>
      <c r="AV717" s="1675" t="n"/>
      <c r="AW717" s="1675" t="n"/>
      <c r="AX717" s="1675" t="n"/>
      <c r="AY717" s="1675" t="n"/>
      <c r="AZ717" s="1675" t="n"/>
      <c r="BA717" s="1675" t="n"/>
      <c r="BB717" s="1675" t="n"/>
      <c r="BC717" s="1675" t="n"/>
      <c r="BD717" s="1675" t="n"/>
      <c r="BE717" s="1675" t="n"/>
      <c r="BF717" s="1675" t="n"/>
      <c r="BG717" s="1675" t="n"/>
      <c r="BH717" s="1675" t="n"/>
      <c r="BI717" s="1675" t="n"/>
      <c r="BJ717" s="1675" t="n"/>
      <c r="BK717" s="1675" t="n"/>
      <c r="BL717" s="1675" t="n"/>
      <c r="BM717" s="1675" t="n"/>
      <c r="BN717" s="1675" t="n"/>
      <c r="BO717" s="2013" t="n"/>
      <c r="BP717" s="1675" t="n"/>
      <c r="BQ717" s="1675" t="n"/>
      <c r="BR717" s="1675" t="n"/>
      <c r="BS717" s="1675" t="n"/>
      <c r="BT717" s="1675" t="n"/>
      <c r="BU717" s="1675" t="n"/>
      <c r="BV717" s="1675" t="n"/>
      <c r="BW717" s="1675" t="n"/>
      <c r="BX717" s="1675" t="n"/>
      <c r="BY717" s="1675" t="n"/>
      <c r="BZ717" s="1675" t="n"/>
      <c r="CA717" s="1675" t="n"/>
      <c r="CB717" s="1675" t="n"/>
      <c r="CC717" s="1582" t="n"/>
    </row>
    <row r="718" ht="15" customFormat="1" customHeight="1" s="1574">
      <c r="A718" s="2019" t="n"/>
      <c r="B718" s="2020" t="n"/>
      <c r="C718" s="2012" t="n"/>
      <c r="D718" s="2012" t="n"/>
      <c r="E718" s="1675" t="n"/>
      <c r="F718" s="1675" t="n"/>
      <c r="G718" s="1675" t="n"/>
      <c r="H718" s="1675" t="n"/>
      <c r="I718" s="1675" t="n"/>
      <c r="J718" s="1675" t="n"/>
      <c r="K718" s="1675" t="n"/>
      <c r="L718" s="1675" t="n"/>
      <c r="M718" s="1675" t="n"/>
      <c r="N718" s="1675" t="n"/>
      <c r="O718" s="1675" t="n"/>
      <c r="P718" s="1675" t="n"/>
      <c r="Q718" s="1675" t="n"/>
      <c r="R718" s="1675" t="n"/>
      <c r="S718" s="1675" t="n"/>
      <c r="T718" s="1675" t="n"/>
      <c r="U718" s="1675" t="n"/>
      <c r="V718" s="1675" t="n"/>
      <c r="W718" s="1675" t="n"/>
      <c r="X718" s="1675" t="n"/>
      <c r="Y718" s="1675" t="n"/>
      <c r="Z718" s="1675" t="n"/>
      <c r="AA718" s="1675" t="n"/>
      <c r="AB718" s="1675" t="n"/>
      <c r="AC718" s="1675" t="n"/>
      <c r="AD718" s="1675" t="n"/>
      <c r="AE718" s="1675" t="n"/>
      <c r="AF718" s="1675" t="n"/>
      <c r="AG718" s="1675" t="n"/>
      <c r="AH718" s="1675" t="n"/>
      <c r="AI718" s="1675" t="n"/>
      <c r="AJ718" s="1675" t="n"/>
      <c r="AK718" s="1675" t="n"/>
      <c r="AL718" s="1675" t="n"/>
      <c r="AM718" s="1675" t="n"/>
      <c r="AN718" s="1675" t="n"/>
      <c r="AO718" s="1675" t="n"/>
      <c r="AP718" s="1675" t="n"/>
      <c r="AQ718" s="1675" t="n"/>
      <c r="AR718" s="1675" t="n"/>
      <c r="AS718" s="1675" t="n"/>
      <c r="AT718" s="1675" t="n"/>
      <c r="AU718" s="1675" t="n"/>
      <c r="AV718" s="1675" t="n"/>
      <c r="AW718" s="1675" t="n"/>
      <c r="AX718" s="1675" t="n"/>
      <c r="AY718" s="1675" t="n"/>
      <c r="AZ718" s="1675" t="n"/>
      <c r="BA718" s="1675" t="n"/>
      <c r="BB718" s="1675" t="n"/>
      <c r="BC718" s="1675" t="n"/>
      <c r="BD718" s="1675" t="n"/>
      <c r="BE718" s="1675" t="n"/>
      <c r="BF718" s="1675" t="n"/>
      <c r="BG718" s="1675" t="n"/>
      <c r="BH718" s="1675" t="n"/>
      <c r="BI718" s="1675" t="n"/>
      <c r="BJ718" s="1675" t="n"/>
      <c r="BK718" s="1675" t="n"/>
      <c r="BL718" s="1675" t="n"/>
      <c r="BM718" s="1675" t="n"/>
      <c r="BN718" s="1675" t="n"/>
      <c r="BO718" s="2013" t="n"/>
      <c r="BP718" s="1675" t="n"/>
      <c r="BQ718" s="1675" t="n"/>
      <c r="BR718" s="1675" t="n"/>
      <c r="BS718" s="1675" t="n"/>
      <c r="BT718" s="1675" t="n"/>
      <c r="BU718" s="1675" t="n"/>
      <c r="BV718" s="1675" t="n"/>
      <c r="BW718" s="1675" t="n"/>
      <c r="BX718" s="1675" t="n"/>
      <c r="BY718" s="1675" t="n"/>
      <c r="BZ718" s="1675" t="n"/>
      <c r="CA718" s="1675" t="n"/>
      <c r="CB718" s="1675" t="n"/>
      <c r="CC718" s="1582" t="n"/>
    </row>
    <row r="719" ht="15" customHeight="1" s="595">
      <c r="A719" s="2021" t="inlineStr">
        <is>
          <t>Valuation Toggle Table</t>
        </is>
      </c>
      <c r="B719" s="347" t="n"/>
      <c r="C719" s="652" t="n"/>
      <c r="D719" s="652" t="n"/>
      <c r="E719" s="652" t="n"/>
      <c r="F719" s="652" t="n"/>
      <c r="G719" s="652" t="n"/>
      <c r="H719" s="652" t="n"/>
      <c r="I719" s="652" t="n"/>
      <c r="J719" s="652" t="n"/>
      <c r="K719" s="652" t="n"/>
      <c r="L719" s="652" t="n"/>
      <c r="M719" s="652" t="n"/>
      <c r="N719" s="652" t="n"/>
      <c r="O719" s="652" t="n"/>
      <c r="P719" s="652" t="n"/>
      <c r="Q719" s="652" t="n"/>
      <c r="R719" s="652" t="n"/>
      <c r="S719" s="652" t="n"/>
      <c r="T719" s="652" t="n"/>
      <c r="U719" s="652" t="n"/>
      <c r="V719" s="652" t="n"/>
      <c r="W719" s="652" t="n"/>
      <c r="X719" s="652" t="n"/>
      <c r="Y719" s="652" t="n"/>
      <c r="Z719" s="652" t="n"/>
      <c r="AA719" s="652" t="n"/>
      <c r="AB719" s="652" t="n"/>
      <c r="AC719" s="652" t="n"/>
      <c r="AD719" s="652" t="n"/>
      <c r="AE719" s="652" t="n"/>
      <c r="AF719" s="652" t="n"/>
      <c r="AG719" s="652" t="n"/>
      <c r="AH719" s="652" t="n"/>
      <c r="AI719" s="652" t="n"/>
      <c r="AJ719" s="652" t="n"/>
      <c r="AK719" s="652" t="n"/>
      <c r="AL719" s="652" t="n"/>
      <c r="AM719" s="652" t="n"/>
      <c r="AN719" s="652" t="n"/>
      <c r="AO719" s="652" t="n"/>
      <c r="AP719" s="652" t="n"/>
      <c r="AQ719" s="652" t="n"/>
      <c r="AR719" s="652" t="n"/>
      <c r="AS719" s="652" t="n"/>
      <c r="AT719" s="652" t="n"/>
      <c r="AU719" s="652" t="n"/>
      <c r="AV719" s="652" t="n"/>
      <c r="AW719" s="652" t="n"/>
      <c r="AX719" s="652" t="n"/>
      <c r="AY719" s="652" t="n"/>
      <c r="AZ719" s="652" t="n"/>
      <c r="BA719" s="652" t="n"/>
      <c r="BB719" s="652" t="n"/>
      <c r="BC719" s="652" t="n"/>
      <c r="BD719" s="652" t="n"/>
      <c r="BE719" s="652" t="n"/>
      <c r="BF719" s="652" t="n"/>
      <c r="BG719" s="652" t="n"/>
      <c r="BH719" s="652" t="n"/>
      <c r="BI719" s="652" t="n"/>
      <c r="BJ719" s="652" t="n"/>
      <c r="BK719" s="652" t="n"/>
      <c r="BL719" s="652" t="n"/>
      <c r="BM719" s="652" t="n"/>
      <c r="BN719" s="652" t="n"/>
      <c r="BO719" s="350" t="n"/>
      <c r="BP719" s="652" t="n"/>
      <c r="BQ719" s="652" t="n"/>
      <c r="BR719" s="652" t="n"/>
      <c r="BS719" s="652" t="n"/>
      <c r="BT719" s="652" t="n"/>
      <c r="BU719" s="652" t="n"/>
      <c r="BV719" s="652" t="n"/>
      <c r="BW719" s="652" t="n"/>
      <c r="BX719" s="652" t="n"/>
      <c r="BY719" s="652" t="n"/>
      <c r="BZ719" s="652" t="n"/>
      <c r="CA719" s="652" t="n"/>
      <c r="CB719" s="652" t="n"/>
      <c r="CC719" s="768" t="n"/>
    </row>
    <row r="720" ht="15" customFormat="1" customHeight="1" s="1574">
      <c r="A720" s="2022" t="inlineStr">
        <is>
          <t>High</t>
        </is>
      </c>
      <c r="B720" s="2023" t="n">
        <v>1</v>
      </c>
      <c r="C720" s="1675" t="n"/>
      <c r="D720" s="2012" t="n"/>
      <c r="E720" s="1675" t="n"/>
      <c r="F720" s="1675" t="n"/>
      <c r="G720" s="1675" t="n"/>
      <c r="H720" s="1675" t="n"/>
      <c r="I720" s="1675" t="n"/>
      <c r="J720" s="1675" t="n"/>
      <c r="K720" s="1675" t="n"/>
      <c r="L720" s="1675" t="n"/>
      <c r="M720" s="1675" t="n"/>
      <c r="N720" s="1675" t="n"/>
      <c r="O720" s="1675" t="n"/>
      <c r="P720" s="1675" t="n"/>
      <c r="Q720" s="1675" t="n"/>
      <c r="R720" s="1675" t="n"/>
      <c r="S720" s="1675" t="n"/>
      <c r="T720" s="1675" t="n"/>
      <c r="U720" s="1675" t="n"/>
      <c r="V720" s="1675" t="n"/>
      <c r="W720" s="1675" t="n"/>
      <c r="X720" s="1675" t="n"/>
      <c r="Y720" s="1675" t="n"/>
      <c r="Z720" s="1675" t="n"/>
      <c r="AA720" s="1675" t="n"/>
      <c r="AB720" s="1675" t="n"/>
      <c r="AC720" s="1675" t="n"/>
      <c r="AD720" s="1675" t="n"/>
      <c r="AE720" s="1675" t="n"/>
      <c r="AF720" s="1675" t="n"/>
      <c r="AG720" s="1675" t="n"/>
      <c r="AH720" s="1675" t="n"/>
      <c r="AI720" s="1675" t="n"/>
      <c r="AJ720" s="1675" t="n"/>
      <c r="AK720" s="1675" t="n"/>
      <c r="AL720" s="1675" t="n"/>
      <c r="AM720" s="1675" t="n"/>
      <c r="AN720" s="1675" t="n"/>
      <c r="AO720" s="1675" t="n"/>
      <c r="AP720" s="1675" t="n"/>
      <c r="AQ720" s="1675" t="n"/>
      <c r="AR720" s="1675" t="n"/>
      <c r="AS720" s="1675" t="n"/>
      <c r="AT720" s="1675" t="n"/>
      <c r="AU720" s="1675" t="n"/>
      <c r="AV720" s="1675" t="n"/>
      <c r="AW720" s="1675" t="n"/>
      <c r="AX720" s="1675" t="n"/>
      <c r="AY720" s="1675" t="n"/>
      <c r="AZ720" s="1675" t="n"/>
      <c r="BA720" s="1675" t="n"/>
      <c r="BB720" s="1675" t="n"/>
      <c r="BC720" s="1675" t="n"/>
      <c r="BD720" s="1675" t="n"/>
      <c r="BE720" s="1675" t="n"/>
      <c r="BF720" s="1675" t="n"/>
      <c r="BG720" s="1675" t="n"/>
      <c r="BH720" s="1675" t="n"/>
      <c r="BI720" s="1675" t="n"/>
      <c r="BJ720" s="1675" t="n"/>
      <c r="BK720" s="1675" t="n"/>
      <c r="BL720" s="1675" t="n"/>
      <c r="BM720" s="1675" t="n"/>
      <c r="BN720" s="1675" t="n"/>
      <c r="BO720" s="2013" t="n"/>
      <c r="BP720" s="1675" t="n"/>
      <c r="BQ720" s="1675" t="n"/>
      <c r="BR720" s="1675" t="n"/>
      <c r="BS720" s="1675" t="n"/>
      <c r="BT720" s="1675" t="n"/>
      <c r="BU720" s="1675" t="n"/>
      <c r="BV720" s="1675" t="n"/>
      <c r="BW720" s="1675" t="n"/>
      <c r="BX720" s="1675" t="n"/>
      <c r="BY720" s="1675" t="n"/>
      <c r="BZ720" s="1675" t="n"/>
      <c r="CA720" s="1675" t="n"/>
      <c r="CB720" s="1675" t="n"/>
      <c r="CC720" s="1582" t="n"/>
    </row>
    <row r="721" ht="15" customFormat="1" customHeight="1" s="1574">
      <c r="A721" s="2022" t="inlineStr">
        <is>
          <t>Low</t>
        </is>
      </c>
      <c r="B721" s="2023" t="n">
        <v>2</v>
      </c>
      <c r="C721" s="1675" t="n"/>
      <c r="D721" s="2012" t="n"/>
      <c r="E721" s="1675" t="n"/>
      <c r="F721" s="1675" t="n"/>
      <c r="G721" s="1675" t="n"/>
      <c r="H721" s="1675" t="n"/>
      <c r="I721" s="1675" t="n"/>
      <c r="J721" s="1675" t="n"/>
      <c r="K721" s="1675" t="n"/>
      <c r="L721" s="1675" t="n"/>
      <c r="M721" s="1675" t="n"/>
      <c r="N721" s="1675" t="n"/>
      <c r="O721" s="1675" t="n"/>
      <c r="P721" s="1675" t="n"/>
      <c r="Q721" s="1675" t="n"/>
      <c r="R721" s="1675" t="n"/>
      <c r="S721" s="1675" t="n"/>
      <c r="T721" s="1675" t="n"/>
      <c r="U721" s="1675" t="n"/>
      <c r="V721" s="1675" t="n"/>
      <c r="W721" s="1675" t="n"/>
      <c r="X721" s="1675" t="n"/>
      <c r="Y721" s="1675" t="n"/>
      <c r="Z721" s="1675" t="n"/>
      <c r="AA721" s="1675" t="n"/>
      <c r="AB721" s="1675" t="n"/>
      <c r="AC721" s="1675" t="n"/>
      <c r="AD721" s="1675" t="n"/>
      <c r="AE721" s="1675" t="n"/>
      <c r="AF721" s="1675" t="n"/>
      <c r="AG721" s="1675" t="n"/>
      <c r="AH721" s="1675" t="n"/>
      <c r="AI721" s="1675" t="n"/>
      <c r="AJ721" s="1675" t="n"/>
      <c r="AK721" s="1675" t="n"/>
      <c r="AL721" s="1675" t="n"/>
      <c r="AM721" s="1675" t="n"/>
      <c r="AN721" s="1675" t="n"/>
      <c r="AO721" s="1675" t="n"/>
      <c r="AP721" s="1675" t="n"/>
      <c r="AQ721" s="1675" t="n"/>
      <c r="AR721" s="1675" t="n"/>
      <c r="AS721" s="1675" t="n"/>
      <c r="AT721" s="1675" t="n"/>
      <c r="AU721" s="1675" t="n"/>
      <c r="AV721" s="1675" t="n"/>
      <c r="AW721" s="1675" t="n"/>
      <c r="AX721" s="1675" t="n"/>
      <c r="AY721" s="1675" t="n"/>
      <c r="AZ721" s="1675" t="n"/>
      <c r="BA721" s="1675" t="n"/>
      <c r="BB721" s="1675" t="n"/>
      <c r="BC721" s="1675" t="n"/>
      <c r="BD721" s="1675" t="n"/>
      <c r="BE721" s="1675" t="n"/>
      <c r="BF721" s="1675" t="n"/>
      <c r="BG721" s="1675" t="n"/>
      <c r="BH721" s="1675" t="n"/>
      <c r="BI721" s="1675" t="n"/>
      <c r="BJ721" s="1675" t="n"/>
      <c r="BK721" s="1675" t="n"/>
      <c r="BL721" s="1675" t="n"/>
      <c r="BM721" s="1675" t="n"/>
      <c r="BN721" s="1675" t="n"/>
      <c r="BO721" s="2013" t="n"/>
      <c r="BP721" s="1675" t="n"/>
      <c r="BQ721" s="1675" t="n"/>
      <c r="BR721" s="1675" t="n"/>
      <c r="BS721" s="1675" t="n"/>
      <c r="BT721" s="1675" t="n"/>
      <c r="BU721" s="1675" t="n"/>
      <c r="BV721" s="1675" t="n"/>
      <c r="BW721" s="1675" t="n"/>
      <c r="BX721" s="1675" t="n"/>
      <c r="BY721" s="1675" t="n"/>
      <c r="BZ721" s="1675" t="n"/>
      <c r="CA721" s="1675" t="n"/>
      <c r="CB721" s="1675" t="n"/>
      <c r="CC721" s="1582" t="n"/>
    </row>
    <row r="722" ht="15" customFormat="1" customHeight="1" s="1574">
      <c r="A722" s="2022" t="inlineStr">
        <is>
          <t>Avg</t>
        </is>
      </c>
      <c r="B722" s="2023" t="n">
        <v>3</v>
      </c>
      <c r="C722" s="1675" t="n"/>
      <c r="D722" s="2012" t="n"/>
      <c r="E722" s="1675" t="n"/>
      <c r="F722" s="1675" t="n"/>
      <c r="G722" s="1675" t="n"/>
      <c r="H722" s="1675" t="n"/>
      <c r="I722" s="1675" t="n"/>
      <c r="J722" s="1675" t="n"/>
      <c r="K722" s="1675" t="n"/>
      <c r="L722" s="1675" t="n"/>
      <c r="M722" s="1675" t="n"/>
      <c r="N722" s="1675" t="n"/>
      <c r="O722" s="1675" t="n"/>
      <c r="P722" s="1675" t="n"/>
      <c r="Q722" s="1675" t="n"/>
      <c r="R722" s="1675" t="n"/>
      <c r="S722" s="1675" t="n"/>
      <c r="T722" s="1675" t="n"/>
      <c r="U722" s="1675" t="n"/>
      <c r="V722" s="1675" t="n"/>
      <c r="W722" s="1675" t="n"/>
      <c r="X722" s="1675" t="n"/>
      <c r="Y722" s="1675" t="n"/>
      <c r="Z722" s="1675" t="n"/>
      <c r="AA722" s="1675" t="n"/>
      <c r="AB722" s="1675" t="n"/>
      <c r="AC722" s="1675" t="n"/>
      <c r="AD722" s="1675" t="n"/>
      <c r="AE722" s="1675" t="n"/>
      <c r="AF722" s="1675" t="n"/>
      <c r="AG722" s="1675" t="n"/>
      <c r="AH722" s="1675" t="n"/>
      <c r="AI722" s="1675" t="n"/>
      <c r="AJ722" s="1675" t="n"/>
      <c r="AK722" s="1675" t="n"/>
      <c r="AL722" s="1675" t="n"/>
      <c r="AM722" s="1675" t="n"/>
      <c r="AN722" s="1675" t="n"/>
      <c r="AO722" s="1675" t="n"/>
      <c r="AP722" s="1675" t="n"/>
      <c r="AQ722" s="1675" t="n"/>
      <c r="AR722" s="1675" t="n"/>
      <c r="AS722" s="1675" t="n"/>
      <c r="AT722" s="1675" t="n"/>
      <c r="AU722" s="1675" t="n"/>
      <c r="AV722" s="1675" t="n"/>
      <c r="AW722" s="1675" t="n"/>
      <c r="AX722" s="1675" t="n"/>
      <c r="AY722" s="1675" t="n"/>
      <c r="AZ722" s="1675" t="n"/>
      <c r="BA722" s="1675" t="n"/>
      <c r="BB722" s="1675" t="n"/>
      <c r="BC722" s="1675" t="n"/>
      <c r="BD722" s="1675" t="n"/>
      <c r="BE722" s="1675" t="n"/>
      <c r="BF722" s="1675" t="n"/>
      <c r="BG722" s="1675" t="n"/>
      <c r="BH722" s="1675" t="n"/>
      <c r="BI722" s="1675" t="n"/>
      <c r="BJ722" s="1675" t="n"/>
      <c r="BK722" s="1675" t="n"/>
      <c r="BL722" s="1675" t="n"/>
      <c r="BM722" s="1675" t="n"/>
      <c r="BN722" s="1675" t="n"/>
      <c r="BO722" s="2013" t="n"/>
      <c r="BP722" s="1675" t="n"/>
      <c r="BQ722" s="1675" t="n"/>
      <c r="BR722" s="1675" t="n"/>
      <c r="BS722" s="1675" t="n"/>
      <c r="BT722" s="1675" t="n"/>
      <c r="BU722" s="1675" t="n"/>
      <c r="BV722" s="1675" t="n"/>
      <c r="BW722" s="1675" t="n"/>
      <c r="BX722" s="1675" t="n"/>
      <c r="BY722" s="1675" t="n"/>
      <c r="BZ722" s="1675" t="n"/>
      <c r="CA722" s="1675" t="n"/>
      <c r="CB722" s="1675" t="n"/>
      <c r="CC722" s="1582" t="n"/>
    </row>
    <row r="723" ht="15" customFormat="1" customHeight="1" s="1574">
      <c r="A723" s="2024" t="inlineStr">
        <is>
          <t>EoP</t>
        </is>
      </c>
      <c r="B723" s="2025" t="n">
        <v>4</v>
      </c>
      <c r="C723" s="1675" t="n"/>
      <c r="D723" s="2012" t="n"/>
      <c r="E723" s="1675" t="n"/>
      <c r="F723" s="1675" t="n"/>
      <c r="G723" s="1675" t="n"/>
      <c r="H723" s="1675" t="n"/>
      <c r="I723" s="1675" t="n"/>
      <c r="J723" s="1675" t="n"/>
      <c r="K723" s="1675" t="n"/>
      <c r="L723" s="1675" t="n"/>
      <c r="M723" s="1675" t="n"/>
      <c r="N723" s="1675" t="n"/>
      <c r="O723" s="1675" t="n"/>
      <c r="P723" s="1675" t="n"/>
      <c r="Q723" s="1675" t="n"/>
      <c r="R723" s="1675" t="n"/>
      <c r="S723" s="1675" t="n"/>
      <c r="T723" s="1675" t="n"/>
      <c r="U723" s="1675" t="n"/>
      <c r="V723" s="1675" t="n"/>
      <c r="W723" s="1675" t="n"/>
      <c r="X723" s="1675" t="n"/>
      <c r="Y723" s="1675" t="n"/>
      <c r="Z723" s="1675" t="n"/>
      <c r="AA723" s="1675" t="n"/>
      <c r="AB723" s="1675" t="n"/>
      <c r="AC723" s="1675" t="n"/>
      <c r="AD723" s="1675" t="n"/>
      <c r="AE723" s="1675" t="n"/>
      <c r="AF723" s="1675" t="n"/>
      <c r="AG723" s="1675" t="n"/>
      <c r="AH723" s="1675" t="n"/>
      <c r="AI723" s="1675" t="n"/>
      <c r="AJ723" s="1675" t="n"/>
      <c r="AK723" s="1675" t="n"/>
      <c r="AL723" s="1675" t="n"/>
      <c r="AM723" s="1675" t="n"/>
      <c r="AN723" s="1675" t="n"/>
      <c r="AO723" s="1675" t="n"/>
      <c r="AP723" s="1675" t="n"/>
      <c r="AQ723" s="1675" t="n"/>
      <c r="AR723" s="1675" t="n"/>
      <c r="AS723" s="1675" t="n"/>
      <c r="AT723" s="1675" t="n"/>
      <c r="AU723" s="1675" t="n"/>
      <c r="AV723" s="1675" t="n"/>
      <c r="AW723" s="1675" t="n"/>
      <c r="AX723" s="1675" t="n"/>
      <c r="AY723" s="1675" t="n"/>
      <c r="AZ723" s="1675" t="n"/>
      <c r="BA723" s="1675" t="n"/>
      <c r="BB723" s="1675" t="n"/>
      <c r="BC723" s="1675" t="n"/>
      <c r="BD723" s="1675" t="n"/>
      <c r="BE723" s="1675" t="n"/>
      <c r="BF723" s="1675" t="n"/>
      <c r="BG723" s="1675" t="n"/>
      <c r="BH723" s="1675" t="n"/>
      <c r="BI723" s="1675" t="n"/>
      <c r="BJ723" s="1675" t="n"/>
      <c r="BK723" s="1675" t="n"/>
      <c r="BL723" s="1675" t="n"/>
      <c r="BM723" s="1675" t="n"/>
      <c r="BN723" s="1675" t="n"/>
      <c r="BO723" s="2013" t="n"/>
      <c r="BP723" s="1675" t="n"/>
      <c r="BQ723" s="1675" t="n"/>
      <c r="BR723" s="1675" t="n"/>
      <c r="BS723" s="1675" t="n"/>
      <c r="BT723" s="1675" t="n"/>
      <c r="BU723" s="1675" t="n"/>
      <c r="BV723" s="1675" t="n"/>
      <c r="BW723" s="1675" t="n"/>
      <c r="BX723" s="1675" t="n"/>
      <c r="BY723" s="1675" t="n"/>
      <c r="BZ723" s="1675" t="n"/>
      <c r="CA723" s="1675" t="n"/>
      <c r="CB723" s="1675" t="n"/>
      <c r="CC723" s="1582" t="n"/>
    </row>
    <row r="724" ht="15" customFormat="1" customHeight="1" s="1574">
      <c r="A724" s="2026" t="n"/>
      <c r="B724" s="2027" t="n"/>
      <c r="C724" s="2012" t="n"/>
      <c r="D724" s="2012" t="n"/>
      <c r="E724" s="1675" t="n"/>
      <c r="F724" s="1675" t="n"/>
      <c r="G724" s="1675" t="n"/>
      <c r="H724" s="1675" t="n"/>
      <c r="I724" s="1675" t="n"/>
      <c r="J724" s="1675" t="n"/>
      <c r="K724" s="1675" t="n"/>
      <c r="L724" s="1675" t="n"/>
      <c r="M724" s="1675" t="n"/>
      <c r="N724" s="1675" t="n"/>
      <c r="O724" s="1675" t="n"/>
      <c r="P724" s="1675" t="n"/>
      <c r="Q724" s="1675" t="n"/>
      <c r="R724" s="1675" t="n"/>
      <c r="S724" s="1675" t="n"/>
      <c r="T724" s="1675" t="n"/>
      <c r="U724" s="1675" t="n"/>
      <c r="V724" s="1675" t="n"/>
      <c r="W724" s="1675" t="n"/>
      <c r="X724" s="1675" t="n"/>
      <c r="Y724" s="1675" t="n"/>
      <c r="Z724" s="1675" t="n"/>
      <c r="AA724" s="1675" t="n"/>
      <c r="AB724" s="1675" t="n"/>
      <c r="AC724" s="1675" t="n"/>
      <c r="AD724" s="1675" t="n"/>
      <c r="AE724" s="1675" t="n"/>
      <c r="AF724" s="1675" t="n"/>
      <c r="AG724" s="1675" t="n"/>
      <c r="AH724" s="1675" t="n"/>
      <c r="AI724" s="1675" t="n"/>
      <c r="AJ724" s="1675" t="n"/>
      <c r="AK724" s="1675" t="n"/>
      <c r="AL724" s="1675" t="n"/>
      <c r="AM724" s="1675" t="n"/>
      <c r="AN724" s="1675" t="n"/>
      <c r="AO724" s="1675" t="n"/>
      <c r="AP724" s="1675" t="n"/>
      <c r="AQ724" s="1675" t="n"/>
      <c r="AR724" s="1675" t="n"/>
      <c r="AS724" s="1675" t="n"/>
      <c r="AT724" s="1675" t="n"/>
      <c r="AU724" s="1675" t="n"/>
      <c r="AV724" s="1675" t="n"/>
      <c r="AW724" s="1675" t="n"/>
      <c r="AX724" s="1675" t="n"/>
      <c r="AY724" s="1675" t="n"/>
      <c r="AZ724" s="1675" t="n"/>
      <c r="BA724" s="1675" t="n"/>
      <c r="BB724" s="1675" t="n"/>
      <c r="BC724" s="1675" t="n"/>
      <c r="BD724" s="1675" t="n"/>
      <c r="BE724" s="1675" t="n"/>
      <c r="BF724" s="1675" t="n"/>
      <c r="BG724" s="1675" t="n"/>
      <c r="BH724" s="1675" t="n"/>
      <c r="BI724" s="1675" t="n"/>
      <c r="BJ724" s="1675" t="n"/>
      <c r="BK724" s="1675" t="n"/>
      <c r="BL724" s="1675" t="n"/>
      <c r="BM724" s="1675" t="n"/>
      <c r="BN724" s="1675" t="n"/>
      <c r="BO724" s="2013" t="n"/>
      <c r="BP724" s="1675" t="n"/>
      <c r="BQ724" s="1675" t="n"/>
      <c r="BR724" s="1675" t="n"/>
      <c r="BS724" s="1675" t="n"/>
      <c r="BT724" s="1675" t="n"/>
      <c r="BU724" s="1675" t="n"/>
      <c r="BV724" s="1675" t="n"/>
      <c r="BW724" s="1675" t="n"/>
      <c r="BX724" s="1675" t="n"/>
      <c r="BY724" s="1675" t="n"/>
      <c r="BZ724" s="1675" t="n"/>
      <c r="CA724" s="1675" t="n"/>
      <c r="CB724" s="1675" t="n"/>
      <c r="CC724" s="1582" t="n"/>
    </row>
    <row r="725" ht="15" customFormat="1" customHeight="1" s="1574">
      <c r="A725" s="2028" t="inlineStr">
        <is>
          <t>Key Outputs</t>
        </is>
      </c>
      <c r="B725" s="1675" t="n"/>
      <c r="C725" s="2012" t="n"/>
      <c r="D725" s="2012" t="n"/>
      <c r="E725" s="1675" t="n"/>
      <c r="F725" s="1675" t="n"/>
      <c r="G725" s="1675" t="n"/>
      <c r="H725" s="1675" t="n"/>
      <c r="I725" s="1675" t="n"/>
      <c r="J725" s="1675" t="n"/>
      <c r="K725" s="1675" t="n"/>
      <c r="L725" s="1675" t="n"/>
      <c r="M725" s="1675" t="n"/>
      <c r="N725" s="1675" t="n"/>
      <c r="O725" s="1675" t="n"/>
      <c r="P725" s="1675" t="n"/>
      <c r="Q725" s="1675" t="n"/>
      <c r="R725" s="1675" t="n"/>
      <c r="S725" s="1675" t="n"/>
      <c r="T725" s="1675" t="n"/>
      <c r="U725" s="1675" t="n"/>
      <c r="V725" s="1675" t="n"/>
      <c r="W725" s="1675" t="n"/>
      <c r="X725" s="1675" t="n"/>
      <c r="Y725" s="1675" t="n"/>
      <c r="Z725" s="1675" t="n"/>
      <c r="AA725" s="1675" t="n"/>
      <c r="AB725" s="1675" t="n"/>
      <c r="AC725" s="1675" t="n"/>
      <c r="AD725" s="1675" t="n"/>
      <c r="AE725" s="1675" t="n"/>
      <c r="AF725" s="1675" t="n"/>
      <c r="AG725" s="1675" t="n"/>
      <c r="AH725" s="1675" t="n"/>
      <c r="AI725" s="1675" t="n"/>
      <c r="AJ725" s="1675" t="n"/>
      <c r="AK725" s="1675" t="n"/>
      <c r="AL725" s="1675" t="n"/>
      <c r="AM725" s="1675" t="n"/>
      <c r="AN725" s="1675" t="n"/>
      <c r="AO725" s="1675" t="n"/>
      <c r="AP725" s="1675" t="n"/>
      <c r="AQ725" s="1675" t="n"/>
      <c r="AR725" s="1675" t="n"/>
      <c r="AS725" s="1675" t="n"/>
      <c r="AT725" s="1675" t="n"/>
      <c r="AU725" s="1675" t="n"/>
      <c r="AV725" s="1675" t="n"/>
      <c r="AW725" s="1675" t="n"/>
      <c r="AX725" s="1675" t="n"/>
      <c r="AY725" s="1675" t="n"/>
      <c r="AZ725" s="1675" t="n"/>
      <c r="BA725" s="1675" t="n"/>
      <c r="BB725" s="1675" t="n"/>
      <c r="BC725" s="1675" t="n"/>
      <c r="BD725" s="1675" t="n"/>
      <c r="BE725" s="1675" t="n"/>
      <c r="BF725" s="1675" t="n"/>
      <c r="BG725" s="1675" t="n"/>
      <c r="BH725" s="1675" t="n"/>
      <c r="BI725" s="1675" t="n"/>
      <c r="BJ725" s="1675" t="n"/>
      <c r="BK725" s="1675" t="n"/>
      <c r="BL725" s="1675" t="n"/>
      <c r="BM725" s="1675" t="n"/>
      <c r="BN725" s="1675" t="n"/>
      <c r="BO725" s="2013" t="n"/>
      <c r="BP725" s="1675" t="n"/>
      <c r="BQ725" s="1675" t="n"/>
      <c r="BR725" s="1675" t="n"/>
      <c r="BS725" s="1675" t="n"/>
      <c r="BT725" s="1675" t="n"/>
      <c r="BU725" s="1675" t="n"/>
      <c r="BV725" s="1675" t="n"/>
      <c r="BW725" s="1675" t="n"/>
      <c r="BX725" s="1675" t="n"/>
      <c r="BY725" s="1675" t="n"/>
      <c r="BZ725" s="1675" t="n"/>
      <c r="CA725" s="1675" t="n"/>
      <c r="CB725" s="1675" t="n"/>
      <c r="CC725" s="1582" t="n"/>
    </row>
    <row r="726" ht="15" customFormat="1" customHeight="1" s="1574">
      <c r="A726" s="2029">
        <f>MO_RIS_REV</f>
        <v/>
      </c>
      <c r="B726" s="1675" t="n"/>
      <c r="C726" s="2012" t="n"/>
      <c r="D726" s="2012" t="n"/>
      <c r="E726" s="1675" t="n"/>
      <c r="F726" s="1675" t="n"/>
      <c r="G726" s="1675" t="n"/>
      <c r="H726" s="1675" t="n"/>
      <c r="I726" s="1675" t="n"/>
      <c r="J726" s="1675" t="n"/>
      <c r="K726" s="1675" t="n"/>
      <c r="L726" s="1675" t="n"/>
      <c r="M726" s="1675" t="n"/>
      <c r="N726" s="1675" t="n"/>
      <c r="O726" s="1675" t="n"/>
      <c r="P726" s="1675" t="n"/>
      <c r="Q726" s="1675" t="n"/>
      <c r="R726" s="1675" t="n"/>
      <c r="S726" s="1675" t="n"/>
      <c r="T726" s="1675" t="n"/>
      <c r="U726" s="1675" t="n"/>
      <c r="V726" s="1675" t="n"/>
      <c r="W726" s="1675" t="n"/>
      <c r="X726" s="1675" t="n"/>
      <c r="Y726" s="1675" t="n"/>
      <c r="Z726" s="1675" t="n"/>
      <c r="AA726" s="1675" t="n"/>
      <c r="AB726" s="1675" t="n"/>
      <c r="AC726" s="1675" t="n"/>
      <c r="AD726" s="1675" t="n"/>
      <c r="AE726" s="1675" t="n"/>
      <c r="AF726" s="1675" t="n"/>
      <c r="AG726" s="1675" t="n"/>
      <c r="AH726" s="1675" t="n"/>
      <c r="AI726" s="1675" t="n"/>
      <c r="AJ726" s="1675" t="n"/>
      <c r="AK726" s="1675" t="n"/>
      <c r="AL726" s="1675" t="n"/>
      <c r="AM726" s="1675" t="n"/>
      <c r="AN726" s="1675" t="n"/>
      <c r="AO726" s="1675" t="n"/>
      <c r="AP726" s="1675" t="n"/>
      <c r="AQ726" s="1675" t="n"/>
      <c r="AR726" s="1675" t="n"/>
      <c r="AS726" s="1675" t="n"/>
      <c r="AT726" s="1675" t="n"/>
      <c r="AU726" s="1675" t="n"/>
      <c r="AV726" s="1675" t="n"/>
      <c r="AW726" s="1675" t="n"/>
      <c r="AX726" s="1675" t="n"/>
      <c r="AY726" s="1675" t="n"/>
      <c r="AZ726" s="1675" t="n"/>
      <c r="BA726" s="1675" t="n"/>
      <c r="BB726" s="1675" t="n"/>
      <c r="BC726" s="1675" t="n"/>
      <c r="BD726" s="1675" t="n"/>
      <c r="BE726" s="1675" t="n"/>
      <c r="BF726" s="1675" t="n"/>
      <c r="BG726" s="1675" t="n"/>
      <c r="BH726" s="1675" t="n"/>
      <c r="BI726" s="1675" t="n"/>
      <c r="BJ726" s="1675" t="n"/>
      <c r="BK726" s="1675" t="n"/>
      <c r="BL726" s="1675" t="n"/>
      <c r="BM726" s="1675" t="n"/>
      <c r="BN726" s="1675" t="n"/>
      <c r="BO726" s="2013" t="n"/>
      <c r="BP726" s="1675" t="n"/>
      <c r="BQ726" s="1675" t="n"/>
      <c r="BR726" s="1675" t="n"/>
      <c r="BS726" s="1675" t="n"/>
      <c r="BT726" s="1675" t="n"/>
      <c r="BU726" s="1675" t="n"/>
      <c r="BV726" s="1675" t="n"/>
      <c r="BW726" s="1675" t="n"/>
      <c r="BX726" s="1675" t="n"/>
      <c r="BY726" s="1675" t="n"/>
      <c r="BZ726" s="1675" t="n"/>
      <c r="CA726" s="1675" t="n"/>
      <c r="CB726" s="1675" t="n"/>
      <c r="CC726" s="1582" t="n"/>
    </row>
    <row r="727" ht="15" customFormat="1" customHeight="1" s="1574">
      <c r="A727" s="2029">
        <f>MO_RIS_EBITDA_Adj</f>
        <v/>
      </c>
      <c r="B727" s="1675" t="n"/>
      <c r="C727" s="2012" t="n"/>
      <c r="D727" s="2012" t="n"/>
      <c r="E727" s="1675" t="n"/>
      <c r="F727" s="1675" t="n"/>
      <c r="G727" s="1675" t="n"/>
      <c r="H727" s="1675" t="n"/>
      <c r="I727" s="1675" t="n"/>
      <c r="J727" s="1675" t="n"/>
      <c r="K727" s="1675" t="n"/>
      <c r="L727" s="1675" t="n"/>
      <c r="M727" s="1675" t="n"/>
      <c r="N727" s="1675" t="n"/>
      <c r="O727" s="1675" t="n"/>
      <c r="P727" s="1675" t="n"/>
      <c r="Q727" s="1675" t="n"/>
      <c r="R727" s="1675" t="n"/>
      <c r="S727" s="1675" t="n"/>
      <c r="T727" s="1675" t="n"/>
      <c r="U727" s="1675" t="n"/>
      <c r="V727" s="1675" t="n"/>
      <c r="W727" s="1675" t="n"/>
      <c r="X727" s="1675" t="n"/>
      <c r="Y727" s="1675" t="n"/>
      <c r="Z727" s="1675" t="n"/>
      <c r="AA727" s="1675" t="n"/>
      <c r="AB727" s="1675" t="n"/>
      <c r="AC727" s="1675" t="n"/>
      <c r="AD727" s="1675" t="n"/>
      <c r="AE727" s="1675" t="n"/>
      <c r="AF727" s="1675" t="n"/>
      <c r="AG727" s="1675" t="n"/>
      <c r="AH727" s="1675" t="n"/>
      <c r="AI727" s="1675" t="n"/>
      <c r="AJ727" s="1675" t="n"/>
      <c r="AK727" s="1675" t="n"/>
      <c r="AL727" s="1675" t="n"/>
      <c r="AM727" s="1675" t="n"/>
      <c r="AN727" s="1675" t="n"/>
      <c r="AO727" s="1675" t="n"/>
      <c r="AP727" s="1675" t="n"/>
      <c r="AQ727" s="1675" t="n"/>
      <c r="AR727" s="1675" t="n"/>
      <c r="AS727" s="1675" t="n"/>
      <c r="AT727" s="1675" t="n"/>
      <c r="AU727" s="1675" t="n"/>
      <c r="AV727" s="1675" t="n"/>
      <c r="AW727" s="1675" t="n"/>
      <c r="AX727" s="1675" t="n"/>
      <c r="AY727" s="1675" t="n"/>
      <c r="AZ727" s="1675" t="n"/>
      <c r="BA727" s="1675" t="n"/>
      <c r="BB727" s="1675" t="n"/>
      <c r="BC727" s="1675" t="n"/>
      <c r="BD727" s="1675" t="n"/>
      <c r="BE727" s="1675" t="n"/>
      <c r="BF727" s="1675" t="n"/>
      <c r="BG727" s="1675" t="n"/>
      <c r="BH727" s="1675" t="n"/>
      <c r="BI727" s="1675" t="n"/>
      <c r="BJ727" s="1675" t="n"/>
      <c r="BK727" s="1675" t="n"/>
      <c r="BL727" s="1675" t="n"/>
      <c r="BM727" s="1675" t="n"/>
      <c r="BN727" s="1675" t="n"/>
      <c r="BO727" s="2013" t="n"/>
      <c r="BP727" s="1675" t="n"/>
      <c r="BQ727" s="1675" t="n"/>
      <c r="BR727" s="1675" t="n"/>
      <c r="BS727" s="1675" t="n"/>
      <c r="BT727" s="1675" t="n"/>
      <c r="BU727" s="1675" t="n"/>
      <c r="BV727" s="1675" t="n"/>
      <c r="BW727" s="1675" t="n"/>
      <c r="BX727" s="1675" t="n"/>
      <c r="BY727" s="1675" t="n"/>
      <c r="BZ727" s="1675" t="n"/>
      <c r="CA727" s="1675" t="n"/>
      <c r="CB727" s="1675" t="n"/>
      <c r="CC727" s="1582" t="n"/>
    </row>
    <row r="728" ht="15" customFormat="1" customHeight="1" s="1574">
      <c r="A728" s="2029">
        <f>MO_RIS_EBIT_Adj</f>
        <v/>
      </c>
      <c r="B728" s="1675" t="n"/>
      <c r="C728" s="2012" t="n"/>
      <c r="D728" s="2012" t="n"/>
      <c r="E728" s="1675" t="n"/>
      <c r="F728" s="1675" t="n"/>
      <c r="G728" s="1675" t="n"/>
      <c r="H728" s="1675" t="n"/>
      <c r="I728" s="1675" t="n"/>
      <c r="J728" s="1675" t="n"/>
      <c r="K728" s="1675" t="n"/>
      <c r="L728" s="1675" t="n"/>
      <c r="M728" s="1675" t="n"/>
      <c r="N728" s="1675" t="n"/>
      <c r="O728" s="1675" t="n"/>
      <c r="P728" s="1675" t="n"/>
      <c r="Q728" s="1675" t="n"/>
      <c r="R728" s="1675" t="n"/>
      <c r="S728" s="1675" t="n"/>
      <c r="T728" s="1675" t="n"/>
      <c r="U728" s="1675" t="n"/>
      <c r="V728" s="1675" t="n"/>
      <c r="W728" s="1675" t="n"/>
      <c r="X728" s="1675" t="n"/>
      <c r="Y728" s="1675" t="n"/>
      <c r="Z728" s="1675" t="n"/>
      <c r="AA728" s="1675" t="n"/>
      <c r="AB728" s="1675" t="n"/>
      <c r="AC728" s="1675" t="n"/>
      <c r="AD728" s="1675" t="n"/>
      <c r="AE728" s="1675" t="n"/>
      <c r="AF728" s="1675" t="n"/>
      <c r="AG728" s="1675" t="n"/>
      <c r="AH728" s="1675" t="n"/>
      <c r="AI728" s="1675" t="n"/>
      <c r="AJ728" s="1675" t="n"/>
      <c r="AK728" s="1675" t="n"/>
      <c r="AL728" s="1675" t="n"/>
      <c r="AM728" s="1675" t="n"/>
      <c r="AN728" s="1675" t="n"/>
      <c r="AO728" s="1675" t="n"/>
      <c r="AP728" s="1675" t="n"/>
      <c r="AQ728" s="1675" t="n"/>
      <c r="AR728" s="1675" t="n"/>
      <c r="AS728" s="1675" t="n"/>
      <c r="AT728" s="1675" t="n"/>
      <c r="AU728" s="1675" t="n"/>
      <c r="AV728" s="1675" t="n"/>
      <c r="AW728" s="1675" t="n"/>
      <c r="AX728" s="1675" t="n"/>
      <c r="AY728" s="1675" t="n"/>
      <c r="AZ728" s="1675" t="n"/>
      <c r="BA728" s="1675" t="n"/>
      <c r="BB728" s="1675" t="n"/>
      <c r="BC728" s="1675" t="n"/>
      <c r="BD728" s="1675" t="n"/>
      <c r="BE728" s="1675" t="n"/>
      <c r="BF728" s="1675" t="n"/>
      <c r="BG728" s="1675" t="n"/>
      <c r="BH728" s="1675" t="n"/>
      <c r="BI728" s="1675" t="n"/>
      <c r="BJ728" s="1675" t="n"/>
      <c r="BK728" s="1675" t="n"/>
      <c r="BL728" s="1675" t="n"/>
      <c r="BM728" s="1675" t="n"/>
      <c r="BN728" s="1675" t="n"/>
      <c r="BO728" s="2013" t="n"/>
      <c r="BP728" s="1675" t="n"/>
      <c r="BQ728" s="1675" t="n"/>
      <c r="BR728" s="1675" t="n"/>
      <c r="BS728" s="1675" t="n"/>
      <c r="BT728" s="1675" t="n"/>
      <c r="BU728" s="1675" t="n"/>
      <c r="BV728" s="1675" t="n"/>
      <c r="BW728" s="1675" t="n"/>
      <c r="BX728" s="1675" t="n"/>
      <c r="BY728" s="1675" t="n"/>
      <c r="BZ728" s="1675" t="n"/>
      <c r="CA728" s="1675" t="n"/>
      <c r="CB728" s="1675" t="n"/>
      <c r="CC728" s="1582" t="n"/>
    </row>
    <row r="729" ht="15" customFormat="1" customHeight="1" s="1574">
      <c r="A729" s="2029">
        <f>MO_RIS_EPS_WAD_Adj</f>
        <v/>
      </c>
      <c r="B729" s="1675" t="n"/>
      <c r="C729" s="2012" t="n"/>
      <c r="D729" s="2012" t="n"/>
      <c r="E729" s="1675" t="n"/>
      <c r="F729" s="1675" t="n"/>
      <c r="G729" s="1675" t="n"/>
      <c r="H729" s="1675" t="n"/>
      <c r="I729" s="1675" t="n"/>
      <c r="J729" s="1675" t="n"/>
      <c r="K729" s="1675" t="n"/>
      <c r="L729" s="1675" t="n"/>
      <c r="M729" s="1675" t="n"/>
      <c r="N729" s="1675" t="n"/>
      <c r="O729" s="1675" t="n"/>
      <c r="P729" s="1675" t="n"/>
      <c r="Q729" s="1675" t="n"/>
      <c r="R729" s="1675" t="n"/>
      <c r="S729" s="1675" t="n"/>
      <c r="T729" s="1675" t="n"/>
      <c r="U729" s="1675" t="n"/>
      <c r="V729" s="1675" t="n"/>
      <c r="W729" s="1675" t="n"/>
      <c r="X729" s="1675" t="n"/>
      <c r="Y729" s="1675" t="n"/>
      <c r="Z729" s="1675" t="n"/>
      <c r="AA729" s="1675" t="n"/>
      <c r="AB729" s="1675" t="n"/>
      <c r="AC729" s="1675" t="n"/>
      <c r="AD729" s="1675" t="n"/>
      <c r="AE729" s="1675" t="n"/>
      <c r="AF729" s="1675" t="n"/>
      <c r="AG729" s="1675" t="n"/>
      <c r="AH729" s="1675" t="n"/>
      <c r="AI729" s="1675" t="n"/>
      <c r="AJ729" s="1675" t="n"/>
      <c r="AK729" s="1675" t="n"/>
      <c r="AL729" s="1675" t="n"/>
      <c r="AM729" s="1675" t="n"/>
      <c r="AN729" s="1675" t="n"/>
      <c r="AO729" s="1675" t="n"/>
      <c r="AP729" s="1675" t="n"/>
      <c r="AQ729" s="1675" t="n"/>
      <c r="AR729" s="1675" t="n"/>
      <c r="AS729" s="1675" t="n"/>
      <c r="AT729" s="1675" t="n"/>
      <c r="AU729" s="1675" t="n"/>
      <c r="AV729" s="1675" t="n"/>
      <c r="AW729" s="1675" t="n"/>
      <c r="AX729" s="1675" t="n"/>
      <c r="AY729" s="1675" t="n"/>
      <c r="AZ729" s="1675" t="n"/>
      <c r="BA729" s="1675" t="n"/>
      <c r="BB729" s="1675" t="n"/>
      <c r="BC729" s="1675" t="n"/>
      <c r="BD729" s="1675" t="n"/>
      <c r="BE729" s="1675" t="n"/>
      <c r="BF729" s="1675" t="n"/>
      <c r="BG729" s="1675" t="n"/>
      <c r="BH729" s="1675" t="n"/>
      <c r="BI729" s="1675" t="n"/>
      <c r="BJ729" s="1675" t="n"/>
      <c r="BK729" s="1675" t="n"/>
      <c r="BL729" s="1675" t="n"/>
      <c r="BM729" s="1675" t="n"/>
      <c r="BN729" s="1675" t="n"/>
      <c r="BO729" s="2013" t="n"/>
      <c r="BP729" s="1675" t="n"/>
      <c r="BQ729" s="1675" t="n"/>
      <c r="BR729" s="1675" t="n"/>
      <c r="BS729" s="1675" t="n"/>
      <c r="BT729" s="1675" t="n"/>
      <c r="BU729" s="1675" t="n"/>
      <c r="BV729" s="1675" t="n"/>
      <c r="BW729" s="1675" t="n"/>
      <c r="BX729" s="1675" t="n"/>
      <c r="BY729" s="1675" t="n"/>
      <c r="BZ729" s="1675" t="n"/>
      <c r="CA729" s="1675" t="n"/>
      <c r="CB729" s="1675" t="n"/>
      <c r="CC729" s="1582" t="n"/>
    </row>
    <row r="730" ht="15" customFormat="1" customHeight="1" s="1574">
      <c r="A730" s="2029">
        <f>MO_VA_EV_ToEBITDA</f>
        <v/>
      </c>
      <c r="B730" s="1675" t="n"/>
      <c r="C730" s="2012" t="n"/>
      <c r="D730" s="2012" t="n"/>
      <c r="E730" s="1675" t="n"/>
      <c r="F730" s="1675" t="n"/>
      <c r="G730" s="1675" t="n"/>
      <c r="H730" s="1675" t="n"/>
      <c r="I730" s="1675" t="n"/>
      <c r="J730" s="1675" t="n"/>
      <c r="K730" s="1675" t="n"/>
      <c r="L730" s="1675" t="n"/>
      <c r="M730" s="1675" t="n"/>
      <c r="N730" s="1675" t="n"/>
      <c r="O730" s="1675" t="n"/>
      <c r="P730" s="1675" t="n"/>
      <c r="Q730" s="1675" t="n"/>
      <c r="R730" s="1675" t="n"/>
      <c r="S730" s="1675" t="n"/>
      <c r="T730" s="1675" t="n"/>
      <c r="U730" s="1675" t="n"/>
      <c r="V730" s="1675" t="n"/>
      <c r="W730" s="1675" t="n"/>
      <c r="X730" s="1675" t="n"/>
      <c r="Y730" s="1675" t="n"/>
      <c r="Z730" s="1675" t="n"/>
      <c r="AA730" s="1675" t="n"/>
      <c r="AB730" s="1675" t="n"/>
      <c r="AC730" s="1675" t="n"/>
      <c r="AD730" s="1675" t="n"/>
      <c r="AE730" s="1675" t="n"/>
      <c r="AF730" s="1675" t="n"/>
      <c r="AG730" s="1675" t="n"/>
      <c r="AH730" s="1675" t="n"/>
      <c r="AI730" s="1675" t="n"/>
      <c r="AJ730" s="1675" t="n"/>
      <c r="AK730" s="1675" t="n"/>
      <c r="AL730" s="1675" t="n"/>
      <c r="AM730" s="1675" t="n"/>
      <c r="AN730" s="1675" t="n"/>
      <c r="AO730" s="1675" t="n"/>
      <c r="AP730" s="1675" t="n"/>
      <c r="AQ730" s="1675" t="n"/>
      <c r="AR730" s="1675" t="n"/>
      <c r="AS730" s="1675" t="n"/>
      <c r="AT730" s="1675" t="n"/>
      <c r="AU730" s="1675" t="n"/>
      <c r="AV730" s="1675" t="n"/>
      <c r="AW730" s="1675" t="n"/>
      <c r="AX730" s="1675" t="n"/>
      <c r="AY730" s="1675" t="n"/>
      <c r="AZ730" s="1675" t="n"/>
      <c r="BA730" s="1675" t="n"/>
      <c r="BB730" s="1675" t="n"/>
      <c r="BC730" s="1675" t="n"/>
      <c r="BD730" s="1675" t="n"/>
      <c r="BE730" s="1675" t="n"/>
      <c r="BF730" s="1675" t="n"/>
      <c r="BG730" s="1675" t="n"/>
      <c r="BH730" s="1675" t="n"/>
      <c r="BI730" s="1675" t="n"/>
      <c r="BJ730" s="1675" t="n"/>
      <c r="BK730" s="1675" t="n"/>
      <c r="BL730" s="1675" t="n"/>
      <c r="BM730" s="1675" t="n"/>
      <c r="BN730" s="1675" t="n"/>
      <c r="BO730" s="2013" t="n"/>
      <c r="BP730" s="1675" t="n"/>
      <c r="BQ730" s="1675" t="n"/>
      <c r="BR730" s="1675" t="n"/>
      <c r="BS730" s="1675" t="n"/>
      <c r="BT730" s="1675" t="n"/>
      <c r="BU730" s="1675" t="n"/>
      <c r="BV730" s="1675" t="n"/>
      <c r="BW730" s="1675" t="n"/>
      <c r="BX730" s="1675" t="n"/>
      <c r="BY730" s="1675" t="n"/>
      <c r="BZ730" s="1675" t="n"/>
      <c r="CA730" s="1675" t="n"/>
      <c r="CB730" s="1675" t="n"/>
      <c r="CC730" s="1582" t="n"/>
    </row>
    <row r="731" ht="15" customFormat="1" customHeight="1" s="1574">
      <c r="A731" s="2029">
        <f>MO_VA_P_ToE</f>
        <v/>
      </c>
      <c r="B731" s="1675" t="n"/>
      <c r="C731" s="2012" t="n"/>
      <c r="D731" s="2012" t="n"/>
      <c r="E731" s="1675" t="n"/>
      <c r="F731" s="1675" t="n"/>
      <c r="G731" s="1675" t="n"/>
      <c r="H731" s="1675" t="n"/>
      <c r="I731" s="1675" t="n"/>
      <c r="J731" s="1675" t="n"/>
      <c r="K731" s="1675" t="n"/>
      <c r="L731" s="1675" t="n"/>
      <c r="M731" s="1675" t="n"/>
      <c r="N731" s="1675" t="n"/>
      <c r="O731" s="1675" t="n"/>
      <c r="P731" s="1675" t="n"/>
      <c r="Q731" s="1675" t="n"/>
      <c r="R731" s="1675" t="n"/>
      <c r="S731" s="1675" t="n"/>
      <c r="T731" s="1675" t="n"/>
      <c r="U731" s="1675" t="n"/>
      <c r="V731" s="1675" t="n"/>
      <c r="W731" s="1675" t="n"/>
      <c r="X731" s="1675" t="n"/>
      <c r="Y731" s="1675" t="n"/>
      <c r="Z731" s="1675" t="n"/>
      <c r="AA731" s="1675" t="n"/>
      <c r="AB731" s="1675" t="n"/>
      <c r="AC731" s="1675" t="n"/>
      <c r="AD731" s="1675" t="n"/>
      <c r="AE731" s="1675" t="n"/>
      <c r="AF731" s="1675" t="n"/>
      <c r="AG731" s="1675" t="n"/>
      <c r="AH731" s="1675" t="n"/>
      <c r="AI731" s="1675" t="n"/>
      <c r="AJ731" s="1675" t="n"/>
      <c r="AK731" s="1675" t="n"/>
      <c r="AL731" s="1675" t="n"/>
      <c r="AM731" s="1675" t="n"/>
      <c r="AN731" s="1675" t="n"/>
      <c r="AO731" s="1675" t="n"/>
      <c r="AP731" s="1675" t="n"/>
      <c r="AQ731" s="1675" t="n"/>
      <c r="AR731" s="1675" t="n"/>
      <c r="AS731" s="1675" t="n"/>
      <c r="AT731" s="1675" t="n"/>
      <c r="AU731" s="1675" t="n"/>
      <c r="AV731" s="1675" t="n"/>
      <c r="AW731" s="1675" t="n"/>
      <c r="AX731" s="1675" t="n"/>
      <c r="AY731" s="1675" t="n"/>
      <c r="AZ731" s="1675" t="n"/>
      <c r="BA731" s="1675" t="n"/>
      <c r="BB731" s="1675" t="n"/>
      <c r="BC731" s="1675" t="n"/>
      <c r="BD731" s="1675" t="n"/>
      <c r="BE731" s="1675" t="n"/>
      <c r="BF731" s="1675" t="n"/>
      <c r="BG731" s="1675" t="n"/>
      <c r="BH731" s="1675" t="n"/>
      <c r="BI731" s="1675" t="n"/>
      <c r="BJ731" s="1675" t="n"/>
      <c r="BK731" s="1675" t="n"/>
      <c r="BL731" s="1675" t="n"/>
      <c r="BM731" s="1675" t="n"/>
      <c r="BN731" s="1675" t="n"/>
      <c r="BO731" s="2013" t="n"/>
      <c r="BP731" s="1675" t="n"/>
      <c r="BQ731" s="1675" t="n"/>
      <c r="BR731" s="1675" t="n"/>
      <c r="BS731" s="1675" t="n"/>
      <c r="BT731" s="1675" t="n"/>
      <c r="BU731" s="1675" t="n"/>
      <c r="BV731" s="1675" t="n"/>
      <c r="BW731" s="1675" t="n"/>
      <c r="BX731" s="1675" t="n"/>
      <c r="BY731" s="1675" t="n"/>
      <c r="BZ731" s="1675" t="n"/>
      <c r="CA731" s="1675" t="n"/>
      <c r="CB731" s="1675" t="n"/>
      <c r="CC731" s="1582" t="n"/>
    </row>
    <row r="732" ht="15" customFormat="1" customHeight="1" s="1574">
      <c r="A732" s="2030" t="n"/>
      <c r="B732" s="1675" t="n"/>
      <c r="C732" s="2012" t="n"/>
      <c r="D732" s="2012" t="n"/>
      <c r="E732" s="1675" t="n"/>
      <c r="F732" s="1675" t="n"/>
      <c r="G732" s="1675" t="n"/>
      <c r="H732" s="1675" t="n"/>
      <c r="I732" s="1675" t="n"/>
      <c r="J732" s="1675" t="n"/>
      <c r="K732" s="1675" t="n"/>
      <c r="L732" s="1675" t="n"/>
      <c r="M732" s="1675" t="n"/>
      <c r="N732" s="1675" t="n"/>
      <c r="O732" s="1675" t="n"/>
      <c r="P732" s="1675" t="n"/>
      <c r="Q732" s="1675" t="n"/>
      <c r="R732" s="1675" t="n"/>
      <c r="S732" s="1675" t="n"/>
      <c r="T732" s="1675" t="n"/>
      <c r="U732" s="1675" t="n"/>
      <c r="V732" s="1675" t="n"/>
      <c r="W732" s="1675" t="n"/>
      <c r="X732" s="1675" t="n"/>
      <c r="Y732" s="1675" t="n"/>
      <c r="Z732" s="1675" t="n"/>
      <c r="AA732" s="1675" t="n"/>
      <c r="AB732" s="1675" t="n"/>
      <c r="AC732" s="1675" t="n"/>
      <c r="AD732" s="1675" t="n"/>
      <c r="AE732" s="1675" t="n"/>
      <c r="AF732" s="1675" t="n"/>
      <c r="AG732" s="1675" t="n"/>
      <c r="AH732" s="1675" t="n"/>
      <c r="AI732" s="1675" t="n"/>
      <c r="AJ732" s="1675" t="n"/>
      <c r="AK732" s="1675" t="n"/>
      <c r="AL732" s="1675" t="n"/>
      <c r="AM732" s="1675" t="n"/>
      <c r="AN732" s="1675" t="n"/>
      <c r="AO732" s="1675" t="n"/>
      <c r="AP732" s="1675" t="n"/>
      <c r="AQ732" s="1675" t="n"/>
      <c r="AR732" s="1675" t="n"/>
      <c r="AS732" s="1675" t="n"/>
      <c r="AT732" s="1675" t="n"/>
      <c r="AU732" s="1675" t="n"/>
      <c r="AV732" s="1675" t="n"/>
      <c r="AW732" s="1675" t="n"/>
      <c r="AX732" s="1675" t="n"/>
      <c r="AY732" s="1675" t="n"/>
      <c r="AZ732" s="1675" t="n"/>
      <c r="BA732" s="1675" t="n"/>
      <c r="BB732" s="1675" t="n"/>
      <c r="BC732" s="1675" t="n"/>
      <c r="BD732" s="1675" t="n"/>
      <c r="BE732" s="1675" t="n"/>
      <c r="BF732" s="1675" t="n"/>
      <c r="BG732" s="1675" t="n"/>
      <c r="BH732" s="1675" t="n"/>
      <c r="BI732" s="1675" t="n"/>
      <c r="BJ732" s="1675" t="n"/>
      <c r="BK732" s="1675" t="n"/>
      <c r="BL732" s="1675" t="n"/>
      <c r="BM732" s="1675" t="n"/>
      <c r="BN732" s="1675" t="n"/>
      <c r="BO732" s="2013" t="n"/>
      <c r="BP732" s="1675" t="n"/>
      <c r="BQ732" s="1675" t="n"/>
      <c r="BR732" s="1675" t="n"/>
      <c r="BS732" s="1675" t="n"/>
      <c r="BT732" s="1675" t="n"/>
      <c r="BU732" s="1675" t="n"/>
      <c r="BV732" s="1675" t="n"/>
      <c r="BW732" s="1675" t="n"/>
      <c r="BX732" s="1675" t="n"/>
      <c r="BY732" s="1675" t="n"/>
      <c r="BZ732" s="1675" t="n"/>
      <c r="CA732" s="1675" t="n"/>
      <c r="CB732" s="1675" t="n"/>
      <c r="CC732" s="1582" t="n"/>
    </row>
    <row r="733" ht="15" customFormat="1" customHeight="1" s="1574">
      <c r="A733" s="2031" t="n"/>
      <c r="B733" s="1675" t="n"/>
      <c r="C733" s="2012" t="n"/>
      <c r="D733" s="2012" t="n"/>
      <c r="E733" s="1675" t="n"/>
      <c r="F733" s="1675" t="n"/>
      <c r="G733" s="1675" t="n"/>
      <c r="H733" s="1675" t="n"/>
      <c r="I733" s="1675" t="n"/>
      <c r="J733" s="1675" t="n"/>
      <c r="K733" s="1675" t="n"/>
      <c r="L733" s="1675" t="n"/>
      <c r="M733" s="1675" t="n"/>
      <c r="N733" s="1675" t="n"/>
      <c r="O733" s="1675" t="n"/>
      <c r="P733" s="1675" t="n"/>
      <c r="Q733" s="1675" t="n"/>
      <c r="R733" s="1675" t="n"/>
      <c r="S733" s="1675" t="n"/>
      <c r="T733" s="1675" t="n"/>
      <c r="U733" s="1675" t="n"/>
      <c r="V733" s="1675" t="n"/>
      <c r="W733" s="1675" t="n"/>
      <c r="X733" s="1675" t="n"/>
      <c r="Y733" s="1675" t="n"/>
      <c r="Z733" s="1675" t="n"/>
      <c r="AA733" s="1675" t="n"/>
      <c r="AB733" s="1675" t="n"/>
      <c r="AC733" s="1675" t="n"/>
      <c r="AD733" s="1675" t="n"/>
      <c r="AE733" s="1675" t="n"/>
      <c r="AF733" s="1675" t="n"/>
      <c r="AG733" s="1675" t="n"/>
      <c r="AH733" s="1675" t="n"/>
      <c r="AI733" s="1675" t="n"/>
      <c r="AJ733" s="1675" t="n"/>
      <c r="AK733" s="1675" t="n"/>
      <c r="AL733" s="1675" t="n"/>
      <c r="AM733" s="1675" t="n"/>
      <c r="AN733" s="1675" t="n"/>
      <c r="AO733" s="1675" t="n"/>
      <c r="AP733" s="1675" t="n"/>
      <c r="AQ733" s="1675" t="n"/>
      <c r="AR733" s="1675" t="n"/>
      <c r="AS733" s="1675" t="n"/>
      <c r="AT733" s="1675" t="n"/>
      <c r="AU733" s="1675" t="n"/>
      <c r="AV733" s="1675" t="n"/>
      <c r="AW733" s="1675" t="n"/>
      <c r="AX733" s="1675" t="n"/>
      <c r="AY733" s="1675" t="n"/>
      <c r="AZ733" s="1675" t="n"/>
      <c r="BA733" s="1675" t="n"/>
      <c r="BB733" s="1675" t="n"/>
      <c r="BC733" s="1675" t="n"/>
      <c r="BD733" s="1675" t="n"/>
      <c r="BE733" s="1675" t="n"/>
      <c r="BF733" s="1675" t="n"/>
      <c r="BG733" s="1675" t="n"/>
      <c r="BH733" s="1675" t="n"/>
      <c r="BI733" s="1675" t="n"/>
      <c r="BJ733" s="1675" t="n"/>
      <c r="BK733" s="1675" t="n"/>
      <c r="BL733" s="1675" t="n"/>
      <c r="BM733" s="1675" t="n"/>
      <c r="BN733" s="1675" t="n"/>
      <c r="BO733" s="2013" t="n"/>
      <c r="BP733" s="1675" t="n"/>
      <c r="BQ733" s="1675" t="n"/>
      <c r="BR733" s="1675" t="n"/>
      <c r="BS733" s="1675" t="n"/>
      <c r="BT733" s="1675" t="n"/>
      <c r="BU733" s="1675" t="n"/>
      <c r="BV733" s="1675" t="n"/>
      <c r="BW733" s="1675" t="n"/>
      <c r="BX733" s="1675" t="n"/>
      <c r="BY733" s="1675" t="n"/>
      <c r="BZ733" s="1675" t="n"/>
      <c r="CA733" s="1675" t="n"/>
      <c r="CB733" s="1675" t="n"/>
      <c r="CC733" s="1582" t="n"/>
    </row>
    <row r="734" ht="15" customFormat="1" customHeight="1" s="1574">
      <c r="A734" s="2032" t="inlineStr">
        <is>
          <t>KPI Data</t>
        </is>
      </c>
      <c r="B734" s="1675" t="n"/>
      <c r="C734" s="2012" t="n"/>
      <c r="D734" s="2012" t="n"/>
      <c r="E734" s="1675" t="n"/>
      <c r="F734" s="1675" t="n"/>
      <c r="G734" s="1675" t="n"/>
      <c r="H734" s="1675" t="n"/>
      <c r="I734" s="1675" t="n"/>
      <c r="J734" s="1675" t="n"/>
      <c r="K734" s="1675" t="n"/>
      <c r="L734" s="1675" t="n"/>
      <c r="M734" s="1675" t="n"/>
      <c r="N734" s="1675" t="n"/>
      <c r="O734" s="1675" t="n"/>
      <c r="P734" s="1675" t="n"/>
      <c r="Q734" s="1675" t="n"/>
      <c r="R734" s="1675" t="n"/>
      <c r="S734" s="1675" t="n"/>
      <c r="T734" s="1675" t="n"/>
      <c r="U734" s="1675" t="n"/>
      <c r="V734" s="1675" t="n"/>
      <c r="W734" s="1675" t="n"/>
      <c r="X734" s="1675" t="n"/>
      <c r="Y734" s="1675" t="n"/>
      <c r="Z734" s="1675" t="n"/>
      <c r="AA734" s="1675" t="n"/>
      <c r="AB734" s="1675" t="n"/>
      <c r="AC734" s="1675" t="n"/>
      <c r="AD734" s="1675" t="n"/>
      <c r="AE734" s="1675" t="n"/>
      <c r="AF734" s="1675" t="n"/>
      <c r="AG734" s="1675" t="n"/>
      <c r="AH734" s="1675" t="n"/>
      <c r="AI734" s="1675" t="n"/>
      <c r="AJ734" s="1675" t="n"/>
      <c r="AK734" s="1675" t="n"/>
      <c r="AL734" s="1675" t="n"/>
      <c r="AM734" s="1675" t="n"/>
      <c r="AN734" s="1675" t="n"/>
      <c r="AO734" s="1675" t="n"/>
      <c r="AP734" s="1675" t="n"/>
      <c r="AQ734" s="1675" t="n"/>
      <c r="AR734" s="1675" t="n"/>
      <c r="AS734" s="1675" t="n"/>
      <c r="AT734" s="1675" t="n"/>
      <c r="AU734" s="1675" t="n"/>
      <c r="AV734" s="1675" t="n"/>
      <c r="AW734" s="1675" t="n"/>
      <c r="AX734" s="1675" t="n"/>
      <c r="AY734" s="1675" t="n"/>
      <c r="AZ734" s="1675" t="n"/>
      <c r="BA734" s="1675" t="n"/>
      <c r="BB734" s="1675" t="n"/>
      <c r="BC734" s="1675" t="n"/>
      <c r="BD734" s="1675" t="n"/>
      <c r="BE734" s="1675" t="n"/>
      <c r="BF734" s="1675" t="n"/>
      <c r="BG734" s="1675" t="n"/>
      <c r="BH734" s="1675" t="n"/>
      <c r="BI734" s="1675" t="n"/>
      <c r="BJ734" s="1675" t="n"/>
      <c r="BK734" s="1675" t="n"/>
      <c r="BL734" s="1675" t="n"/>
      <c r="BM734" s="1675" t="n"/>
      <c r="BN734" s="1675" t="n"/>
      <c r="BO734" s="2013" t="n"/>
      <c r="BP734" s="1675" t="n"/>
      <c r="BQ734" s="1675" t="n"/>
      <c r="BR734" s="1675" t="n"/>
      <c r="BS734" s="1675" t="n"/>
      <c r="BT734" s="1675" t="n"/>
      <c r="BU734" s="1675" t="n"/>
      <c r="BV734" s="1675" t="n"/>
      <c r="BW734" s="1675" t="n"/>
      <c r="BX734" s="1675" t="n"/>
      <c r="BY734" s="1675" t="n"/>
      <c r="BZ734" s="1675" t="n"/>
      <c r="CA734" s="1675" t="n"/>
      <c r="CB734" s="1675" t="n"/>
      <c r="CC734" s="1582" t="n"/>
    </row>
    <row r="735" ht="15" customFormat="1" customHeight="1" s="1574">
      <c r="A735" s="2033" t="inlineStr">
        <is>
          <t>MO_RIS_REV</t>
        </is>
      </c>
      <c r="B735" s="1675" t="n"/>
      <c r="C735" s="2012" t="n"/>
      <c r="D735" s="2012" t="n"/>
      <c r="E735" s="1675" t="n"/>
      <c r="F735" s="1675" t="n"/>
      <c r="G735" s="1675" t="n"/>
      <c r="H735" s="1675" t="n"/>
      <c r="I735" s="1675" t="n"/>
      <c r="J735" s="1675" t="n"/>
      <c r="K735" s="1675" t="n"/>
      <c r="L735" s="1675" t="n"/>
      <c r="M735" s="1675" t="n"/>
      <c r="N735" s="1675" t="n"/>
      <c r="O735" s="1675" t="n"/>
      <c r="P735" s="1675" t="n"/>
      <c r="Q735" s="1675" t="n"/>
      <c r="R735" s="1675" t="n"/>
      <c r="S735" s="1675" t="n"/>
      <c r="T735" s="1675" t="n"/>
      <c r="U735" s="1675" t="n"/>
      <c r="V735" s="1675" t="n"/>
      <c r="W735" s="1675" t="n"/>
      <c r="X735" s="1675" t="n"/>
      <c r="Y735" s="1675" t="n"/>
      <c r="Z735" s="1675" t="n"/>
      <c r="AA735" s="1675" t="n"/>
      <c r="AB735" s="1675" t="n"/>
      <c r="AC735" s="1675" t="n"/>
      <c r="AD735" s="1675" t="n"/>
      <c r="AE735" s="1675" t="n"/>
      <c r="AF735" s="1675" t="n"/>
      <c r="AG735" s="1675" t="n"/>
      <c r="AH735" s="1675" t="n"/>
      <c r="AI735" s="1675" t="n"/>
      <c r="AJ735" s="1675" t="n"/>
      <c r="AK735" s="1675" t="n"/>
      <c r="AL735" s="1675" t="n"/>
      <c r="AM735" s="1675" t="n"/>
      <c r="AN735" s="1675" t="n"/>
      <c r="AO735" s="1675" t="n"/>
      <c r="AP735" s="1675" t="n"/>
      <c r="AQ735" s="1675" t="n"/>
      <c r="AR735" s="1675" t="n"/>
      <c r="AS735" s="1675" t="n"/>
      <c r="AT735" s="1675" t="n"/>
      <c r="AU735" s="1675" t="n"/>
      <c r="AV735" s="1675" t="n"/>
      <c r="AW735" s="1675" t="n"/>
      <c r="AX735" s="1675" t="n"/>
      <c r="AY735" s="1675" t="n"/>
      <c r="AZ735" s="1675" t="n"/>
      <c r="BA735" s="1675" t="n"/>
      <c r="BB735" s="1675" t="n"/>
      <c r="BC735" s="1675" t="n"/>
      <c r="BD735" s="1675" t="n"/>
      <c r="BE735" s="1675" t="n"/>
      <c r="BF735" s="1675" t="n"/>
      <c r="BG735" s="1675" t="n"/>
      <c r="BH735" s="1675" t="n"/>
      <c r="BI735" s="1675" t="n"/>
      <c r="BJ735" s="1675" t="n"/>
      <c r="BK735" s="1675" t="n"/>
      <c r="BL735" s="1675" t="n"/>
      <c r="BM735" s="1675" t="n"/>
      <c r="BN735" s="1675" t="n"/>
      <c r="BO735" s="2013" t="n"/>
      <c r="BP735" s="1675" t="n"/>
      <c r="BQ735" s="1675" t="n"/>
      <c r="BR735" s="1675" t="n"/>
      <c r="BS735" s="1675" t="n"/>
      <c r="BT735" s="1675" t="n"/>
      <c r="BU735" s="1675" t="n"/>
      <c r="BV735" s="1675" t="n"/>
      <c r="BW735" s="1675" t="n"/>
      <c r="BX735" s="1675" t="n"/>
      <c r="BY735" s="1675" t="n"/>
      <c r="BZ735" s="1675" t="n"/>
      <c r="CA735" s="1675" t="n"/>
      <c r="CB735" s="1675" t="n"/>
      <c r="CC735" s="1582" t="n"/>
    </row>
    <row r="736" ht="15" customFormat="1" customHeight="1" s="1574">
      <c r="A736" s="2033" t="inlineStr">
        <is>
          <t>MO_RIS_NI_NONGAAP_Diluted</t>
        </is>
      </c>
      <c r="B736" s="1675" t="n"/>
      <c r="C736" s="2012" t="n"/>
      <c r="D736" s="2012" t="n"/>
      <c r="E736" s="1675" t="n"/>
      <c r="F736" s="1675" t="n"/>
      <c r="G736" s="1675" t="n"/>
      <c r="H736" s="1675" t="n"/>
      <c r="I736" s="1675" t="n"/>
      <c r="J736" s="1675" t="n"/>
      <c r="K736" s="1675" t="n"/>
      <c r="L736" s="1675" t="n"/>
      <c r="M736" s="1675" t="n"/>
      <c r="N736" s="1675" t="n"/>
      <c r="O736" s="1675" t="n"/>
      <c r="P736" s="1675" t="n"/>
      <c r="Q736" s="1675" t="n"/>
      <c r="R736" s="1675" t="n"/>
      <c r="S736" s="1675" t="n"/>
      <c r="T736" s="1675" t="n"/>
      <c r="U736" s="1675" t="n"/>
      <c r="V736" s="1675" t="n"/>
      <c r="W736" s="1675" t="n"/>
      <c r="X736" s="1675" t="n"/>
      <c r="Y736" s="1675" t="n"/>
      <c r="Z736" s="1675" t="n"/>
      <c r="AA736" s="1675" t="n"/>
      <c r="AB736" s="1675" t="n"/>
      <c r="AC736" s="1675" t="n"/>
      <c r="AD736" s="1675" t="n"/>
      <c r="AE736" s="1675" t="n"/>
      <c r="AF736" s="1675" t="n"/>
      <c r="AG736" s="1675" t="n"/>
      <c r="AH736" s="1675" t="n"/>
      <c r="AI736" s="1675" t="n"/>
      <c r="AJ736" s="1675" t="n"/>
      <c r="AK736" s="1675" t="n"/>
      <c r="AL736" s="1675" t="n"/>
      <c r="AM736" s="1675" t="n"/>
      <c r="AN736" s="1675" t="n"/>
      <c r="AO736" s="1675" t="n"/>
      <c r="AP736" s="1675" t="n"/>
      <c r="AQ736" s="1675" t="n"/>
      <c r="AR736" s="1675" t="n"/>
      <c r="AS736" s="1675" t="n"/>
      <c r="AT736" s="1675" t="n"/>
      <c r="AU736" s="1675" t="n"/>
      <c r="AV736" s="1675" t="n"/>
      <c r="AW736" s="1675" t="n"/>
      <c r="AX736" s="1675" t="n"/>
      <c r="AY736" s="1675" t="n"/>
      <c r="AZ736" s="1675" t="n"/>
      <c r="BA736" s="1675" t="n"/>
      <c r="BB736" s="1675" t="n"/>
      <c r="BC736" s="1675" t="n"/>
      <c r="BD736" s="1675" t="n"/>
      <c r="BE736" s="1675" t="n"/>
      <c r="BF736" s="1675" t="n"/>
      <c r="BG736" s="1675" t="n"/>
      <c r="BH736" s="1675" t="n"/>
      <c r="BI736" s="1675" t="n"/>
      <c r="BJ736" s="1675" t="n"/>
      <c r="BK736" s="1675" t="n"/>
      <c r="BL736" s="1675" t="n"/>
      <c r="BM736" s="1675" t="n"/>
      <c r="BN736" s="1675" t="n"/>
      <c r="BO736" s="2013" t="n"/>
      <c r="BP736" s="1675" t="n"/>
      <c r="BQ736" s="1675" t="n"/>
      <c r="BR736" s="1675" t="n"/>
      <c r="BS736" s="1675" t="n"/>
      <c r="BT736" s="1675" t="n"/>
      <c r="BU736" s="1675" t="n"/>
      <c r="BV736" s="1675" t="n"/>
      <c r="BW736" s="1675" t="n"/>
      <c r="BX736" s="1675" t="n"/>
      <c r="BY736" s="1675" t="n"/>
      <c r="BZ736" s="1675" t="n"/>
      <c r="CA736" s="1675" t="n"/>
      <c r="CB736" s="1675" t="n"/>
      <c r="CC736" s="1582" t="n"/>
    </row>
    <row r="737" ht="15" customFormat="1" customHeight="1" s="1574">
      <c r="A737" s="2033" t="inlineStr">
        <is>
          <t>MO_RIS_EPS_WAD_Adj</t>
        </is>
      </c>
      <c r="B737" s="1675" t="n"/>
      <c r="C737" s="2012" t="n"/>
      <c r="D737" s="2012" t="n"/>
      <c r="E737" s="1675" t="n"/>
      <c r="F737" s="1675" t="n"/>
      <c r="G737" s="1675" t="n"/>
      <c r="H737" s="1675" t="n"/>
      <c r="I737" s="1675" t="n"/>
      <c r="J737" s="1675" t="n"/>
      <c r="K737" s="1675" t="n"/>
      <c r="L737" s="1675" t="n"/>
      <c r="M737" s="1675" t="n"/>
      <c r="N737" s="1675" t="n"/>
      <c r="O737" s="1675" t="n"/>
      <c r="P737" s="1675" t="n"/>
      <c r="Q737" s="1675" t="n"/>
      <c r="R737" s="1675" t="n"/>
      <c r="S737" s="1675" t="n"/>
      <c r="T737" s="1675" t="n"/>
      <c r="U737" s="1675" t="n"/>
      <c r="V737" s="1675" t="n"/>
      <c r="W737" s="1675" t="n"/>
      <c r="X737" s="1675" t="n"/>
      <c r="Y737" s="1675" t="n"/>
      <c r="Z737" s="1675" t="n"/>
      <c r="AA737" s="1675" t="n"/>
      <c r="AB737" s="1675" t="n"/>
      <c r="AC737" s="1675" t="n"/>
      <c r="AD737" s="1675" t="n"/>
      <c r="AE737" s="1675" t="n"/>
      <c r="AF737" s="1675" t="n"/>
      <c r="AG737" s="1675" t="n"/>
      <c r="AH737" s="1675" t="n"/>
      <c r="AI737" s="1675" t="n"/>
      <c r="AJ737" s="1675" t="n"/>
      <c r="AK737" s="1675" t="n"/>
      <c r="AL737" s="1675" t="n"/>
      <c r="AM737" s="1675" t="n"/>
      <c r="AN737" s="1675" t="n"/>
      <c r="AO737" s="1675" t="n"/>
      <c r="AP737" s="1675" t="n"/>
      <c r="AQ737" s="1675" t="n"/>
      <c r="AR737" s="1675" t="n"/>
      <c r="AS737" s="1675" t="n"/>
      <c r="AT737" s="1675" t="n"/>
      <c r="AU737" s="1675" t="n"/>
      <c r="AV737" s="1675" t="n"/>
      <c r="AW737" s="1675" t="n"/>
      <c r="AX737" s="1675" t="n"/>
      <c r="AY737" s="1675" t="n"/>
      <c r="AZ737" s="1675" t="n"/>
      <c r="BA737" s="1675" t="n"/>
      <c r="BB737" s="1675" t="n"/>
      <c r="BC737" s="1675" t="n"/>
      <c r="BD737" s="1675" t="n"/>
      <c r="BE737" s="1675" t="n"/>
      <c r="BF737" s="1675" t="n"/>
      <c r="BG737" s="1675" t="n"/>
      <c r="BH737" s="1675" t="n"/>
      <c r="BI737" s="1675" t="n"/>
      <c r="BJ737" s="1675" t="n"/>
      <c r="BK737" s="1675" t="n"/>
      <c r="BL737" s="1675" t="n"/>
      <c r="BM737" s="1675" t="n"/>
      <c r="BN737" s="1675" t="n"/>
      <c r="BO737" s="2013" t="n"/>
      <c r="BP737" s="1675" t="n"/>
      <c r="BQ737" s="1675" t="n"/>
      <c r="BR737" s="1675" t="n"/>
      <c r="BS737" s="1675" t="n"/>
      <c r="BT737" s="1675" t="n"/>
      <c r="BU737" s="1675" t="n"/>
      <c r="BV737" s="1675" t="n"/>
      <c r="BW737" s="1675" t="n"/>
      <c r="BX737" s="1675" t="n"/>
      <c r="BY737" s="1675" t="n"/>
      <c r="BZ737" s="1675" t="n"/>
      <c r="CA737" s="1675" t="n"/>
      <c r="CB737" s="1675" t="n"/>
      <c r="CC737" s="1582" t="n"/>
    </row>
    <row r="738" ht="15" customFormat="1" customHeight="1" s="1574">
      <c r="A738" s="2033" t="inlineStr">
        <is>
          <t>MO_RIS_EBITDA_Adj</t>
        </is>
      </c>
      <c r="B738" s="1675" t="n"/>
      <c r="C738" s="2012" t="n"/>
      <c r="D738" s="2012" t="n"/>
      <c r="E738" s="1675" t="n"/>
      <c r="F738" s="1675" t="n"/>
      <c r="G738" s="1675" t="n"/>
      <c r="H738" s="1675" t="n"/>
      <c r="I738" s="1675" t="n"/>
      <c r="J738" s="1675" t="n"/>
      <c r="K738" s="1675" t="n"/>
      <c r="L738" s="1675" t="n"/>
      <c r="M738" s="1675" t="n"/>
      <c r="N738" s="1675" t="n"/>
      <c r="O738" s="1675" t="n"/>
      <c r="P738" s="1675" t="n"/>
      <c r="Q738" s="1675" t="n"/>
      <c r="R738" s="1675" t="n"/>
      <c r="S738" s="1675" t="n"/>
      <c r="T738" s="1675" t="n"/>
      <c r="U738" s="1675" t="n"/>
      <c r="V738" s="1675" t="n"/>
      <c r="W738" s="1675" t="n"/>
      <c r="X738" s="1675" t="n"/>
      <c r="Y738" s="1675" t="n"/>
      <c r="Z738" s="1675" t="n"/>
      <c r="AA738" s="1675" t="n"/>
      <c r="AB738" s="1675" t="n"/>
      <c r="AC738" s="1675" t="n"/>
      <c r="AD738" s="1675" t="n"/>
      <c r="AE738" s="1675" t="n"/>
      <c r="AF738" s="1675" t="n"/>
      <c r="AG738" s="1675" t="n"/>
      <c r="AH738" s="1675" t="n"/>
      <c r="AI738" s="1675" t="n"/>
      <c r="AJ738" s="1675" t="n"/>
      <c r="AK738" s="1675" t="n"/>
      <c r="AL738" s="1675" t="n"/>
      <c r="AM738" s="1675" t="n"/>
      <c r="AN738" s="1675" t="n"/>
      <c r="AO738" s="1675" t="n"/>
      <c r="AP738" s="1675" t="n"/>
      <c r="AQ738" s="1675" t="n"/>
      <c r="AR738" s="1675" t="n"/>
      <c r="AS738" s="1675" t="n"/>
      <c r="AT738" s="1675" t="n"/>
      <c r="AU738" s="1675" t="n"/>
      <c r="AV738" s="1675" t="n"/>
      <c r="AW738" s="1675" t="n"/>
      <c r="AX738" s="1675" t="n"/>
      <c r="AY738" s="1675" t="n"/>
      <c r="AZ738" s="1675" t="n"/>
      <c r="BA738" s="1675" t="n"/>
      <c r="BB738" s="1675" t="n"/>
      <c r="BC738" s="1675" t="n"/>
      <c r="BD738" s="1675" t="n"/>
      <c r="BE738" s="1675" t="n"/>
      <c r="BF738" s="1675" t="n"/>
      <c r="BG738" s="1675" t="n"/>
      <c r="BH738" s="1675" t="n"/>
      <c r="BI738" s="1675" t="n"/>
      <c r="BJ738" s="1675" t="n"/>
      <c r="BK738" s="1675" t="n"/>
      <c r="BL738" s="1675" t="n"/>
      <c r="BM738" s="1675" t="n"/>
      <c r="BN738" s="1675" t="n"/>
      <c r="BO738" s="2013" t="n"/>
      <c r="BP738" s="1675" t="n"/>
      <c r="BQ738" s="1675" t="n"/>
      <c r="BR738" s="1675" t="n"/>
      <c r="BS738" s="1675" t="n"/>
      <c r="BT738" s="1675" t="n"/>
      <c r="BU738" s="1675" t="n"/>
      <c r="BV738" s="1675" t="n"/>
      <c r="BW738" s="1675" t="n"/>
      <c r="BX738" s="1675" t="n"/>
      <c r="BY738" s="1675" t="n"/>
      <c r="BZ738" s="1675" t="n"/>
      <c r="CA738" s="1675" t="n"/>
      <c r="CB738" s="1675" t="n"/>
      <c r="CC738" s="1582" t="n"/>
    </row>
    <row r="739" ht="15" customFormat="1" customHeight="1" s="1574">
      <c r="A739" s="2033" t="inlineStr">
        <is>
          <t>MO_MA_EBITDA_Adj</t>
        </is>
      </c>
      <c r="B739" s="1675" t="n"/>
      <c r="C739" s="2012" t="n"/>
      <c r="D739" s="2012" t="n"/>
      <c r="E739" s="1675" t="n"/>
      <c r="F739" s="1675" t="n"/>
      <c r="G739" s="1675" t="n"/>
      <c r="H739" s="1675" t="n"/>
      <c r="I739" s="1675" t="n"/>
      <c r="J739" s="1675" t="n"/>
      <c r="K739" s="1675" t="n"/>
      <c r="L739" s="1675" t="n"/>
      <c r="M739" s="1675" t="n"/>
      <c r="N739" s="1675" t="n"/>
      <c r="O739" s="1675" t="n"/>
      <c r="P739" s="1675" t="n"/>
      <c r="Q739" s="1675" t="n"/>
      <c r="R739" s="1675" t="n"/>
      <c r="S739" s="1675" t="n"/>
      <c r="T739" s="1675" t="n"/>
      <c r="U739" s="1675" t="n"/>
      <c r="V739" s="1675" t="n"/>
      <c r="W739" s="1675" t="n"/>
      <c r="X739" s="1675" t="n"/>
      <c r="Y739" s="1675" t="n"/>
      <c r="Z739" s="1675" t="n"/>
      <c r="AA739" s="1675" t="n"/>
      <c r="AB739" s="1675" t="n"/>
      <c r="AC739" s="1675" t="n"/>
      <c r="AD739" s="1675" t="n"/>
      <c r="AE739" s="1675" t="n"/>
      <c r="AF739" s="1675" t="n"/>
      <c r="AG739" s="1675" t="n"/>
      <c r="AH739" s="1675" t="n"/>
      <c r="AI739" s="1675" t="n"/>
      <c r="AJ739" s="1675" t="n"/>
      <c r="AK739" s="1675" t="n"/>
      <c r="AL739" s="1675" t="n"/>
      <c r="AM739" s="1675" t="n"/>
      <c r="AN739" s="1675" t="n"/>
      <c r="AO739" s="1675" t="n"/>
      <c r="AP739" s="1675" t="n"/>
      <c r="AQ739" s="1675" t="n"/>
      <c r="AR739" s="1675" t="n"/>
      <c r="AS739" s="1675" t="n"/>
      <c r="AT739" s="1675" t="n"/>
      <c r="AU739" s="1675" t="n"/>
      <c r="AV739" s="1675" t="n"/>
      <c r="AW739" s="1675" t="n"/>
      <c r="AX739" s="1675" t="n"/>
      <c r="AY739" s="1675" t="n"/>
      <c r="AZ739" s="1675" t="n"/>
      <c r="BA739" s="1675" t="n"/>
      <c r="BB739" s="1675" t="n"/>
      <c r="BC739" s="1675" t="n"/>
      <c r="BD739" s="1675" t="n"/>
      <c r="BE739" s="1675" t="n"/>
      <c r="BF739" s="1675" t="n"/>
      <c r="BG739" s="1675" t="n"/>
      <c r="BH739" s="1675" t="n"/>
      <c r="BI739" s="1675" t="n"/>
      <c r="BJ739" s="1675" t="n"/>
      <c r="BK739" s="1675" t="n"/>
      <c r="BL739" s="1675" t="n"/>
      <c r="BM739" s="1675" t="n"/>
      <c r="BN739" s="1675" t="n"/>
      <c r="BO739" s="2013" t="n"/>
      <c r="BP739" s="1675" t="n"/>
      <c r="BQ739" s="1675" t="n"/>
      <c r="BR739" s="1675" t="n"/>
      <c r="BS739" s="1675" t="n"/>
      <c r="BT739" s="1675" t="n"/>
      <c r="BU739" s="1675" t="n"/>
      <c r="BV739" s="1675" t="n"/>
      <c r="BW739" s="1675" t="n"/>
      <c r="BX739" s="1675" t="n"/>
      <c r="BY739" s="1675" t="n"/>
      <c r="BZ739" s="1675" t="n"/>
      <c r="CA739" s="1675" t="n"/>
      <c r="CB739" s="1675" t="n"/>
      <c r="CC739" s="1582" t="n"/>
    </row>
    <row r="740" ht="15" customFormat="1" customHeight="1" s="1574">
      <c r="A740" s="2033" t="inlineStr">
        <is>
          <t>MO_OS_EmployeeCount</t>
        </is>
      </c>
      <c r="B740" s="1675" t="n"/>
      <c r="C740" s="2012" t="n"/>
      <c r="D740" s="2012" t="n"/>
      <c r="E740" s="1675" t="n"/>
      <c r="F740" s="1675" t="n"/>
      <c r="G740" s="1675" t="n"/>
      <c r="H740" s="1675" t="n"/>
      <c r="I740" s="1675" t="n"/>
      <c r="J740" s="1675" t="n"/>
      <c r="K740" s="1675" t="n"/>
      <c r="L740" s="1675" t="n"/>
      <c r="M740" s="1675" t="n"/>
      <c r="N740" s="1675" t="n"/>
      <c r="O740" s="1675" t="n"/>
      <c r="P740" s="1675" t="n"/>
      <c r="Q740" s="1675" t="n"/>
      <c r="R740" s="1675" t="n"/>
      <c r="S740" s="1675" t="n"/>
      <c r="T740" s="1675" t="n"/>
      <c r="U740" s="1675" t="n"/>
      <c r="V740" s="1675" t="n"/>
      <c r="W740" s="1675" t="n"/>
      <c r="X740" s="1675" t="n"/>
      <c r="Y740" s="1675" t="n"/>
      <c r="Z740" s="1675" t="n"/>
      <c r="AA740" s="1675" t="n"/>
      <c r="AB740" s="1675" t="n"/>
      <c r="AC740" s="1675" t="n"/>
      <c r="AD740" s="1675" t="n"/>
      <c r="AE740" s="1675" t="n"/>
      <c r="AF740" s="1675" t="n"/>
      <c r="AG740" s="1675" t="n"/>
      <c r="AH740" s="1675" t="n"/>
      <c r="AI740" s="1675" t="n"/>
      <c r="AJ740" s="1675" t="n"/>
      <c r="AK740" s="1675" t="n"/>
      <c r="AL740" s="1675" t="n"/>
      <c r="AM740" s="1675" t="n"/>
      <c r="AN740" s="1675" t="n"/>
      <c r="AO740" s="1675" t="n"/>
      <c r="AP740" s="1675" t="n"/>
      <c r="AQ740" s="1675" t="n"/>
      <c r="AR740" s="1675" t="n"/>
      <c r="AS740" s="1675" t="n"/>
      <c r="AT740" s="1675" t="n"/>
      <c r="AU740" s="1675" t="n"/>
      <c r="AV740" s="1675" t="n"/>
      <c r="AW740" s="1675" t="n"/>
      <c r="AX740" s="1675" t="n"/>
      <c r="AY740" s="1675" t="n"/>
      <c r="AZ740" s="1675" t="n"/>
      <c r="BA740" s="1675" t="n"/>
      <c r="BB740" s="1675" t="n"/>
      <c r="BC740" s="1675" t="n"/>
      <c r="BD740" s="1675" t="n"/>
      <c r="BE740" s="1675" t="n"/>
      <c r="BF740" s="1675" t="n"/>
      <c r="BG740" s="1675" t="n"/>
      <c r="BH740" s="1675" t="n"/>
      <c r="BI740" s="1675" t="n"/>
      <c r="BJ740" s="1675" t="n"/>
      <c r="BK740" s="1675" t="n"/>
      <c r="BL740" s="1675" t="n"/>
      <c r="BM740" s="1675" t="n"/>
      <c r="BN740" s="1675" t="n"/>
      <c r="BO740" s="2013" t="n"/>
      <c r="BP740" s="1675" t="n"/>
      <c r="BQ740" s="1675" t="n"/>
      <c r="BR740" s="1675" t="n"/>
      <c r="BS740" s="1675" t="n"/>
      <c r="BT740" s="1675" t="n"/>
      <c r="BU740" s="1675" t="n"/>
      <c r="BV740" s="1675" t="n"/>
      <c r="BW740" s="1675" t="n"/>
      <c r="BX740" s="1675" t="n"/>
      <c r="BY740" s="1675" t="n"/>
      <c r="BZ740" s="1675" t="n"/>
      <c r="CA740" s="1675" t="n"/>
      <c r="CB740" s="1675" t="n"/>
      <c r="CC740" s="1582" t="n"/>
    </row>
    <row r="741" ht="15" customFormat="1" customHeight="1" s="1574">
      <c r="A741" s="2033" t="inlineStr">
        <is>
          <t>MO_KPI_REV_Systems</t>
        </is>
      </c>
      <c r="B741" s="1675" t="n"/>
      <c r="C741" s="2012" t="n"/>
      <c r="D741" s="2012" t="n"/>
      <c r="E741" s="1675" t="n"/>
      <c r="F741" s="1675" t="n"/>
      <c r="G741" s="1675" t="n"/>
      <c r="H741" s="1675" t="n"/>
      <c r="I741" s="1675" t="n"/>
      <c r="J741" s="1675" t="n"/>
      <c r="K741" s="1675" t="n"/>
      <c r="L741" s="1675" t="n"/>
      <c r="M741" s="1675" t="n"/>
      <c r="N741" s="1675" t="n"/>
      <c r="O741" s="1675" t="n"/>
      <c r="P741" s="1675" t="n"/>
      <c r="Q741" s="1675" t="n"/>
      <c r="R741" s="1675" t="n"/>
      <c r="S741" s="1675" t="n"/>
      <c r="T741" s="1675" t="n"/>
      <c r="U741" s="1675" t="n"/>
      <c r="V741" s="1675" t="n"/>
      <c r="W741" s="1675" t="n"/>
      <c r="X741" s="1675" t="n"/>
      <c r="Y741" s="1675" t="n"/>
      <c r="Z741" s="1675" t="n"/>
      <c r="AA741" s="1675" t="n"/>
      <c r="AB741" s="1675" t="n"/>
      <c r="AC741" s="1675" t="n"/>
      <c r="AD741" s="1675" t="n"/>
      <c r="AE741" s="1675" t="n"/>
      <c r="AF741" s="1675" t="n"/>
      <c r="AG741" s="1675" t="n"/>
      <c r="AH741" s="1675" t="n"/>
      <c r="AI741" s="1675" t="n"/>
      <c r="AJ741" s="1675" t="n"/>
      <c r="AK741" s="1675" t="n"/>
      <c r="AL741" s="1675" t="n"/>
      <c r="AM741" s="1675" t="n"/>
      <c r="AN741" s="1675" t="n"/>
      <c r="AO741" s="1675" t="n"/>
      <c r="AP741" s="1675" t="n"/>
      <c r="AQ741" s="1675" t="n"/>
      <c r="AR741" s="1675" t="n"/>
      <c r="AS741" s="1675" t="n"/>
      <c r="AT741" s="1675" t="n"/>
      <c r="AU741" s="1675" t="n"/>
      <c r="AV741" s="1675" t="n"/>
      <c r="AW741" s="1675" t="n"/>
      <c r="AX741" s="1675" t="n"/>
      <c r="AY741" s="1675" t="n"/>
      <c r="AZ741" s="1675" t="n"/>
      <c r="BA741" s="1675" t="n"/>
      <c r="BB741" s="1675" t="n"/>
      <c r="BC741" s="1675" t="n"/>
      <c r="BD741" s="1675" t="n"/>
      <c r="BE741" s="1675" t="n"/>
      <c r="BF741" s="1675" t="n"/>
      <c r="BG741" s="1675" t="n"/>
      <c r="BH741" s="1675" t="n"/>
      <c r="BI741" s="1675" t="n"/>
      <c r="BJ741" s="1675" t="n"/>
      <c r="BK741" s="1675" t="n"/>
      <c r="BL741" s="1675" t="n"/>
      <c r="BM741" s="1675" t="n"/>
      <c r="BN741" s="1675" t="n"/>
      <c r="BO741" s="2013" t="n"/>
      <c r="BP741" s="1675" t="n"/>
      <c r="BQ741" s="1675" t="n"/>
      <c r="BR741" s="1675" t="n"/>
      <c r="BS741" s="1675" t="n"/>
      <c r="BT741" s="1675" t="n"/>
      <c r="BU741" s="1675" t="n"/>
      <c r="BV741" s="1675" t="n"/>
      <c r="BW741" s="1675" t="n"/>
      <c r="BX741" s="1675" t="n"/>
      <c r="BY741" s="1675" t="n"/>
      <c r="BZ741" s="1675" t="n"/>
      <c r="CA741" s="1675" t="n"/>
      <c r="CB741" s="1675" t="n"/>
      <c r="CC741" s="1582" t="n"/>
    </row>
    <row r="742" ht="15" customFormat="1" customHeight="1" s="1574">
      <c r="A742" s="2033" t="inlineStr">
        <is>
          <t>MO_KPI_REV_SVCandSpares</t>
        </is>
      </c>
      <c r="B742" s="1675" t="n"/>
      <c r="C742" s="2012" t="n"/>
      <c r="D742" s="2012" t="n"/>
      <c r="E742" s="1675" t="n"/>
      <c r="F742" s="1675" t="n"/>
      <c r="G742" s="1675" t="n"/>
      <c r="H742" s="1675" t="n"/>
      <c r="I742" s="1675" t="n"/>
      <c r="J742" s="1675" t="n"/>
      <c r="K742" s="1675" t="n"/>
      <c r="L742" s="1675" t="n"/>
      <c r="M742" s="1675" t="n"/>
      <c r="N742" s="1675" t="n"/>
      <c r="O742" s="1675" t="n"/>
      <c r="P742" s="1675" t="n"/>
      <c r="Q742" s="1675" t="n"/>
      <c r="R742" s="1675" t="n"/>
      <c r="S742" s="1675" t="n"/>
      <c r="T742" s="1675" t="n"/>
      <c r="U742" s="1675" t="n"/>
      <c r="V742" s="1675" t="n"/>
      <c r="W742" s="1675" t="n"/>
      <c r="X742" s="1675" t="n"/>
      <c r="Y742" s="1675" t="n"/>
      <c r="Z742" s="1675" t="n"/>
      <c r="AA742" s="1675" t="n"/>
      <c r="AB742" s="1675" t="n"/>
      <c r="AC742" s="1675" t="n"/>
      <c r="AD742" s="1675" t="n"/>
      <c r="AE742" s="1675" t="n"/>
      <c r="AF742" s="1675" t="n"/>
      <c r="AG742" s="1675" t="n"/>
      <c r="AH742" s="1675" t="n"/>
      <c r="AI742" s="1675" t="n"/>
      <c r="AJ742" s="1675" t="n"/>
      <c r="AK742" s="1675" t="n"/>
      <c r="AL742" s="1675" t="n"/>
      <c r="AM742" s="1675" t="n"/>
      <c r="AN742" s="1675" t="n"/>
      <c r="AO742" s="1675" t="n"/>
      <c r="AP742" s="1675" t="n"/>
      <c r="AQ742" s="1675" t="n"/>
      <c r="AR742" s="1675" t="n"/>
      <c r="AS742" s="1675" t="n"/>
      <c r="AT742" s="1675" t="n"/>
      <c r="AU742" s="1675" t="n"/>
      <c r="AV742" s="1675" t="n"/>
      <c r="AW742" s="1675" t="n"/>
      <c r="AX742" s="1675" t="n"/>
      <c r="AY742" s="1675" t="n"/>
      <c r="AZ742" s="1675" t="n"/>
      <c r="BA742" s="1675" t="n"/>
      <c r="BB742" s="1675" t="n"/>
      <c r="BC742" s="1675" t="n"/>
      <c r="BD742" s="1675" t="n"/>
      <c r="BE742" s="1675" t="n"/>
      <c r="BF742" s="1675" t="n"/>
      <c r="BG742" s="1675" t="n"/>
      <c r="BH742" s="1675" t="n"/>
      <c r="BI742" s="1675" t="n"/>
      <c r="BJ742" s="1675" t="n"/>
      <c r="BK742" s="1675" t="n"/>
      <c r="BL742" s="1675" t="n"/>
      <c r="BM742" s="1675" t="n"/>
      <c r="BN742" s="1675" t="n"/>
      <c r="BO742" s="2013" t="n"/>
      <c r="BP742" s="1675" t="n"/>
      <c r="BQ742" s="1675" t="n"/>
      <c r="BR742" s="1675" t="n"/>
      <c r="BS742" s="1675" t="n"/>
      <c r="BT742" s="1675" t="n"/>
      <c r="BU742" s="1675" t="n"/>
      <c r="BV742" s="1675" t="n"/>
      <c r="BW742" s="1675" t="n"/>
      <c r="BX742" s="1675" t="n"/>
      <c r="BY742" s="1675" t="n"/>
      <c r="BZ742" s="1675" t="n"/>
      <c r="CA742" s="1675" t="n"/>
      <c r="CB742" s="1675" t="n"/>
      <c r="CC742" s="1582" t="n"/>
    </row>
    <row r="743" ht="15" customFormat="1" customHeight="1" s="1574">
      <c r="A743" s="2033" t="inlineStr">
        <is>
          <t>MO_KPI_REV_Semi_Equipment</t>
        </is>
      </c>
      <c r="B743" s="1675" t="n"/>
      <c r="C743" s="2012" t="n"/>
      <c r="D743" s="2012" t="n"/>
      <c r="E743" s="1675" t="n"/>
      <c r="F743" s="1675" t="n"/>
      <c r="G743" s="1675" t="n"/>
      <c r="H743" s="1675" t="n"/>
      <c r="I743" s="1675" t="n"/>
      <c r="J743" s="1675" t="n"/>
      <c r="K743" s="1675" t="n"/>
      <c r="L743" s="1675" t="n"/>
      <c r="M743" s="1675" t="n"/>
      <c r="N743" s="1675" t="n"/>
      <c r="O743" s="1675" t="n"/>
      <c r="P743" s="1675" t="n"/>
      <c r="Q743" s="1675" t="n"/>
      <c r="R743" s="1675" t="n"/>
      <c r="S743" s="1675" t="n"/>
      <c r="T743" s="1675" t="n"/>
      <c r="U743" s="1675" t="n"/>
      <c r="V743" s="1675" t="n"/>
      <c r="W743" s="1675" t="n"/>
      <c r="X743" s="1675" t="n"/>
      <c r="Y743" s="1675" t="n"/>
      <c r="Z743" s="1675" t="n"/>
      <c r="AA743" s="1675" t="n"/>
      <c r="AB743" s="1675" t="n"/>
      <c r="AC743" s="1675" t="n"/>
      <c r="AD743" s="1675" t="n"/>
      <c r="AE743" s="1675" t="n"/>
      <c r="AF743" s="1675" t="n"/>
      <c r="AG743" s="1675" t="n"/>
      <c r="AH743" s="1675" t="n"/>
      <c r="AI743" s="1675" t="n"/>
      <c r="AJ743" s="1675" t="n"/>
      <c r="AK743" s="1675" t="n"/>
      <c r="AL743" s="1675" t="n"/>
      <c r="AM743" s="1675" t="n"/>
      <c r="AN743" s="1675" t="n"/>
      <c r="AO743" s="1675" t="n"/>
      <c r="AP743" s="1675" t="n"/>
      <c r="AQ743" s="1675" t="n"/>
      <c r="AR743" s="1675" t="n"/>
      <c r="AS743" s="1675" t="n"/>
      <c r="AT743" s="1675" t="n"/>
      <c r="AU743" s="1675" t="n"/>
      <c r="AV743" s="1675" t="n"/>
      <c r="AW743" s="1675" t="n"/>
      <c r="AX743" s="1675" t="n"/>
      <c r="AY743" s="1675" t="n"/>
      <c r="AZ743" s="1675" t="n"/>
      <c r="BA743" s="1675" t="n"/>
      <c r="BB743" s="1675" t="n"/>
      <c r="BC743" s="1675" t="n"/>
      <c r="BD743" s="1675" t="n"/>
      <c r="BE743" s="1675" t="n"/>
      <c r="BF743" s="1675" t="n"/>
      <c r="BG743" s="1675" t="n"/>
      <c r="BH743" s="1675" t="n"/>
      <c r="BI743" s="1675" t="n"/>
      <c r="BJ743" s="1675" t="n"/>
      <c r="BK743" s="1675" t="n"/>
      <c r="BL743" s="1675" t="n"/>
      <c r="BM743" s="1675" t="n"/>
      <c r="BN743" s="1675" t="n"/>
      <c r="BO743" s="2013" t="n"/>
      <c r="BP743" s="1675" t="n"/>
      <c r="BQ743" s="1675" t="n"/>
      <c r="BR743" s="1675" t="n"/>
      <c r="BS743" s="1675" t="n"/>
      <c r="BT743" s="1675" t="n"/>
      <c r="BU743" s="1675" t="n"/>
      <c r="BV743" s="1675" t="n"/>
      <c r="BW743" s="1675" t="n"/>
      <c r="BX743" s="1675" t="n"/>
      <c r="BY743" s="1675" t="n"/>
      <c r="BZ743" s="1675" t="n"/>
      <c r="CA743" s="1675" t="n"/>
      <c r="CB743" s="1675" t="n"/>
      <c r="CC743" s="1582" t="n"/>
    </row>
    <row r="744" ht="15" customFormat="1" customHeight="1" s="1574">
      <c r="A744" s="2033" t="inlineStr">
        <is>
          <t>MO_KPI_Backlog_EOP</t>
        </is>
      </c>
      <c r="B744" s="1675" t="n"/>
      <c r="C744" s="2012" t="n"/>
      <c r="D744" s="2012" t="n"/>
      <c r="E744" s="1675" t="n"/>
      <c r="F744" s="1675" t="n"/>
      <c r="G744" s="1675" t="n"/>
      <c r="H744" s="1675" t="n"/>
      <c r="I744" s="1675" t="n"/>
      <c r="J744" s="1675" t="n"/>
      <c r="K744" s="1675" t="n"/>
      <c r="L744" s="1675" t="n"/>
      <c r="M744" s="1675" t="n"/>
      <c r="N744" s="1675" t="n"/>
      <c r="O744" s="1675" t="n"/>
      <c r="P744" s="1675" t="n"/>
      <c r="Q744" s="1675" t="n"/>
      <c r="R744" s="1675" t="n"/>
      <c r="S744" s="1675" t="n"/>
      <c r="T744" s="1675" t="n"/>
      <c r="U744" s="1675" t="n"/>
      <c r="V744" s="1675" t="n"/>
      <c r="W744" s="1675" t="n"/>
      <c r="X744" s="1675" t="n"/>
      <c r="Y744" s="1675" t="n"/>
      <c r="Z744" s="1675" t="n"/>
      <c r="AA744" s="1675" t="n"/>
      <c r="AB744" s="1675" t="n"/>
      <c r="AC744" s="1675" t="n"/>
      <c r="AD744" s="1675" t="n"/>
      <c r="AE744" s="1675" t="n"/>
      <c r="AF744" s="1675" t="n"/>
      <c r="AG744" s="1675" t="n"/>
      <c r="AH744" s="1675" t="n"/>
      <c r="AI744" s="1675" t="n"/>
      <c r="AJ744" s="1675" t="n"/>
      <c r="AK744" s="1675" t="n"/>
      <c r="AL744" s="1675" t="n"/>
      <c r="AM744" s="1675" t="n"/>
      <c r="AN744" s="1675" t="n"/>
      <c r="AO744" s="1675" t="n"/>
      <c r="AP744" s="1675" t="n"/>
      <c r="AQ744" s="1675" t="n"/>
      <c r="AR744" s="1675" t="n"/>
      <c r="AS744" s="1675" t="n"/>
      <c r="AT744" s="1675" t="n"/>
      <c r="AU744" s="1675" t="n"/>
      <c r="AV744" s="1675" t="n"/>
      <c r="AW744" s="1675" t="n"/>
      <c r="AX744" s="1675" t="n"/>
      <c r="AY744" s="1675" t="n"/>
      <c r="AZ744" s="1675" t="n"/>
      <c r="BA744" s="1675" t="n"/>
      <c r="BB744" s="1675" t="n"/>
      <c r="BC744" s="1675" t="n"/>
      <c r="BD744" s="1675" t="n"/>
      <c r="BE744" s="1675" t="n"/>
      <c r="BF744" s="1675" t="n"/>
      <c r="BG744" s="1675" t="n"/>
      <c r="BH744" s="1675" t="n"/>
      <c r="BI744" s="1675" t="n"/>
      <c r="BJ744" s="1675" t="n"/>
      <c r="BK744" s="1675" t="n"/>
      <c r="BL744" s="1675" t="n"/>
      <c r="BM744" s="1675" t="n"/>
      <c r="BN744" s="1675" t="n"/>
      <c r="BO744" s="2013" t="n"/>
      <c r="BP744" s="1675" t="n"/>
      <c r="BQ744" s="1675" t="n"/>
      <c r="BR744" s="1675" t="n"/>
      <c r="BS744" s="1675" t="n"/>
      <c r="BT744" s="1675" t="n"/>
      <c r="BU744" s="1675" t="n"/>
      <c r="BV744" s="1675" t="n"/>
      <c r="BW744" s="1675" t="n"/>
      <c r="BX744" s="1675" t="n"/>
      <c r="BY744" s="1675" t="n"/>
      <c r="BZ744" s="1675" t="n"/>
      <c r="CA744" s="1675" t="n"/>
      <c r="CB744" s="1675" t="n"/>
      <c r="CC744" s="1582" t="n"/>
    </row>
    <row r="745" ht="15" customFormat="1" customHeight="1" s="1574">
      <c r="A745" s="2033" t="inlineStr">
        <is>
          <t>MO_KPI_RPO</t>
        </is>
      </c>
      <c r="B745" s="1675" t="n"/>
      <c r="C745" s="2012" t="n"/>
      <c r="D745" s="2012" t="n"/>
      <c r="E745" s="1675" t="n"/>
      <c r="F745" s="1675" t="n"/>
      <c r="G745" s="1675" t="n"/>
      <c r="H745" s="1675" t="n"/>
      <c r="I745" s="1675" t="n"/>
      <c r="J745" s="1675" t="n"/>
      <c r="K745" s="1675" t="n"/>
      <c r="L745" s="1675" t="n"/>
      <c r="M745" s="1675" t="n"/>
      <c r="N745" s="1675" t="n"/>
      <c r="O745" s="1675" t="n"/>
      <c r="P745" s="1675" t="n"/>
      <c r="Q745" s="1675" t="n"/>
      <c r="R745" s="1675" t="n"/>
      <c r="S745" s="1675" t="n"/>
      <c r="T745" s="1675" t="n"/>
      <c r="U745" s="1675" t="n"/>
      <c r="V745" s="1675" t="n"/>
      <c r="W745" s="1675" t="n"/>
      <c r="X745" s="1675" t="n"/>
      <c r="Y745" s="1675" t="n"/>
      <c r="Z745" s="1675" t="n"/>
      <c r="AA745" s="1675" t="n"/>
      <c r="AB745" s="1675" t="n"/>
      <c r="AC745" s="1675" t="n"/>
      <c r="AD745" s="1675" t="n"/>
      <c r="AE745" s="1675" t="n"/>
      <c r="AF745" s="1675" t="n"/>
      <c r="AG745" s="1675" t="n"/>
      <c r="AH745" s="1675" t="n"/>
      <c r="AI745" s="1675" t="n"/>
      <c r="AJ745" s="1675" t="n"/>
      <c r="AK745" s="1675" t="n"/>
      <c r="AL745" s="1675" t="n"/>
      <c r="AM745" s="1675" t="n"/>
      <c r="AN745" s="1675" t="n"/>
      <c r="AO745" s="1675" t="n"/>
      <c r="AP745" s="1675" t="n"/>
      <c r="AQ745" s="1675" t="n"/>
      <c r="AR745" s="1675" t="n"/>
      <c r="AS745" s="1675" t="n"/>
      <c r="AT745" s="1675" t="n"/>
      <c r="AU745" s="1675" t="n"/>
      <c r="AV745" s="1675" t="n"/>
      <c r="AW745" s="1675" t="n"/>
      <c r="AX745" s="1675" t="n"/>
      <c r="AY745" s="1675" t="n"/>
      <c r="AZ745" s="1675" t="n"/>
      <c r="BA745" s="1675" t="n"/>
      <c r="BB745" s="1675" t="n"/>
      <c r="BC745" s="1675" t="n"/>
      <c r="BD745" s="1675" t="n"/>
      <c r="BE745" s="1675" t="n"/>
      <c r="BF745" s="1675" t="n"/>
      <c r="BG745" s="1675" t="n"/>
      <c r="BH745" s="1675" t="n"/>
      <c r="BI745" s="1675" t="n"/>
      <c r="BJ745" s="1675" t="n"/>
      <c r="BK745" s="1675" t="n"/>
      <c r="BL745" s="1675" t="n"/>
      <c r="BM745" s="1675" t="n"/>
      <c r="BN745" s="1675" t="n"/>
      <c r="BO745" s="2013" t="n"/>
      <c r="BP745" s="1675" t="n"/>
      <c r="BQ745" s="1675" t="n"/>
      <c r="BR745" s="1675" t="n"/>
      <c r="BS745" s="1675" t="n"/>
      <c r="BT745" s="1675" t="n"/>
      <c r="BU745" s="1675" t="n"/>
      <c r="BV745" s="1675" t="n"/>
      <c r="BW745" s="1675" t="n"/>
      <c r="BX745" s="1675" t="n"/>
      <c r="BY745" s="1675" t="n"/>
      <c r="BZ745" s="1675" t="n"/>
      <c r="CA745" s="1675" t="n"/>
      <c r="CB745" s="1675" t="n"/>
      <c r="CC745" s="1582" t="n"/>
    </row>
    <row r="746" ht="15" customFormat="1" customHeight="1" s="1574">
      <c r="A746" s="2033" t="inlineStr">
        <is>
          <t>MO_KPI_Orders_Value</t>
        </is>
      </c>
      <c r="B746" s="1675" t="n"/>
      <c r="C746" s="2012" t="n"/>
      <c r="D746" s="2012" t="n"/>
      <c r="E746" s="1675" t="n"/>
      <c r="F746" s="1675" t="n"/>
      <c r="G746" s="1675" t="n"/>
      <c r="H746" s="1675" t="n"/>
      <c r="I746" s="1675" t="n"/>
      <c r="J746" s="1675" t="n"/>
      <c r="K746" s="1675" t="n"/>
      <c r="L746" s="1675" t="n"/>
      <c r="M746" s="1675" t="n"/>
      <c r="N746" s="1675" t="n"/>
      <c r="O746" s="1675" t="n"/>
      <c r="P746" s="1675" t="n"/>
      <c r="Q746" s="1675" t="n"/>
      <c r="R746" s="1675" t="n"/>
      <c r="S746" s="1675" t="n"/>
      <c r="T746" s="1675" t="n"/>
      <c r="U746" s="1675" t="n"/>
      <c r="V746" s="1675" t="n"/>
      <c r="W746" s="1675" t="n"/>
      <c r="X746" s="1675" t="n"/>
      <c r="Y746" s="1675" t="n"/>
      <c r="Z746" s="1675" t="n"/>
      <c r="AA746" s="1675" t="n"/>
      <c r="AB746" s="1675" t="n"/>
      <c r="AC746" s="1675" t="n"/>
      <c r="AD746" s="1675" t="n"/>
      <c r="AE746" s="1675" t="n"/>
      <c r="AF746" s="1675" t="n"/>
      <c r="AG746" s="1675" t="n"/>
      <c r="AH746" s="1675" t="n"/>
      <c r="AI746" s="1675" t="n"/>
      <c r="AJ746" s="1675" t="n"/>
      <c r="AK746" s="1675" t="n"/>
      <c r="AL746" s="1675" t="n"/>
      <c r="AM746" s="1675" t="n"/>
      <c r="AN746" s="1675" t="n"/>
      <c r="AO746" s="1675" t="n"/>
      <c r="AP746" s="1675" t="n"/>
      <c r="AQ746" s="1675" t="n"/>
      <c r="AR746" s="1675" t="n"/>
      <c r="AS746" s="1675" t="n"/>
      <c r="AT746" s="1675" t="n"/>
      <c r="AU746" s="1675" t="n"/>
      <c r="AV746" s="1675" t="n"/>
      <c r="AW746" s="1675" t="n"/>
      <c r="AX746" s="1675" t="n"/>
      <c r="AY746" s="1675" t="n"/>
      <c r="AZ746" s="1675" t="n"/>
      <c r="BA746" s="1675" t="n"/>
      <c r="BB746" s="1675" t="n"/>
      <c r="BC746" s="1675" t="n"/>
      <c r="BD746" s="1675" t="n"/>
      <c r="BE746" s="1675" t="n"/>
      <c r="BF746" s="1675" t="n"/>
      <c r="BG746" s="1675" t="n"/>
      <c r="BH746" s="1675" t="n"/>
      <c r="BI746" s="1675" t="n"/>
      <c r="BJ746" s="1675" t="n"/>
      <c r="BK746" s="1675" t="n"/>
      <c r="BL746" s="1675" t="n"/>
      <c r="BM746" s="1675" t="n"/>
      <c r="BN746" s="1675" t="n"/>
      <c r="BO746" s="2013" t="n"/>
      <c r="BP746" s="1675" t="n"/>
      <c r="BQ746" s="1675" t="n"/>
      <c r="BR746" s="1675" t="n"/>
      <c r="BS746" s="1675" t="n"/>
      <c r="BT746" s="1675" t="n"/>
      <c r="BU746" s="1675" t="n"/>
      <c r="BV746" s="1675" t="n"/>
      <c r="BW746" s="1675" t="n"/>
      <c r="BX746" s="1675" t="n"/>
      <c r="BY746" s="1675" t="n"/>
      <c r="BZ746" s="1675" t="n"/>
      <c r="CA746" s="1675" t="n"/>
      <c r="CB746" s="1675" t="n"/>
      <c r="CC746" s="1582" t="n"/>
    </row>
    <row r="747" ht="15" customFormat="1" customHeight="1" s="1574">
      <c r="A747" s="2033" t="inlineStr">
        <is>
          <t>MO_KPI_RevenueContribution_LargestClient</t>
        </is>
      </c>
      <c r="B747" s="1675" t="n"/>
      <c r="C747" s="2012" t="n"/>
      <c r="D747" s="2012" t="n"/>
      <c r="E747" s="1675" t="n"/>
      <c r="F747" s="1675" t="n"/>
      <c r="G747" s="1675" t="n"/>
      <c r="H747" s="1675" t="n"/>
      <c r="I747" s="1675" t="n"/>
      <c r="J747" s="1675" t="n"/>
      <c r="K747" s="1675" t="n"/>
      <c r="L747" s="1675" t="n"/>
      <c r="M747" s="1675" t="n"/>
      <c r="N747" s="1675" t="n"/>
      <c r="O747" s="1675" t="n"/>
      <c r="P747" s="1675" t="n"/>
      <c r="Q747" s="1675" t="n"/>
      <c r="R747" s="1675" t="n"/>
      <c r="S747" s="1675" t="n"/>
      <c r="T747" s="1675" t="n"/>
      <c r="U747" s="1675" t="n"/>
      <c r="V747" s="1675" t="n"/>
      <c r="W747" s="1675" t="n"/>
      <c r="X747" s="1675" t="n"/>
      <c r="Y747" s="1675" t="n"/>
      <c r="Z747" s="1675" t="n"/>
      <c r="AA747" s="1675" t="n"/>
      <c r="AB747" s="1675" t="n"/>
      <c r="AC747" s="1675" t="n"/>
      <c r="AD747" s="1675" t="n"/>
      <c r="AE747" s="1675" t="n"/>
      <c r="AF747" s="1675" t="n"/>
      <c r="AG747" s="1675" t="n"/>
      <c r="AH747" s="1675" t="n"/>
      <c r="AI747" s="1675" t="n"/>
      <c r="AJ747" s="1675" t="n"/>
      <c r="AK747" s="1675" t="n"/>
      <c r="AL747" s="1675" t="n"/>
      <c r="AM747" s="1675" t="n"/>
      <c r="AN747" s="1675" t="n"/>
      <c r="AO747" s="1675" t="n"/>
      <c r="AP747" s="1675" t="n"/>
      <c r="AQ747" s="1675" t="n"/>
      <c r="AR747" s="1675" t="n"/>
      <c r="AS747" s="1675" t="n"/>
      <c r="AT747" s="1675" t="n"/>
      <c r="AU747" s="1675" t="n"/>
      <c r="AV747" s="1675" t="n"/>
      <c r="AW747" s="1675" t="n"/>
      <c r="AX747" s="1675" t="n"/>
      <c r="AY747" s="1675" t="n"/>
      <c r="AZ747" s="1675" t="n"/>
      <c r="BA747" s="1675" t="n"/>
      <c r="BB747" s="1675" t="n"/>
      <c r="BC747" s="1675" t="n"/>
      <c r="BD747" s="1675" t="n"/>
      <c r="BE747" s="1675" t="n"/>
      <c r="BF747" s="1675" t="n"/>
      <c r="BG747" s="1675" t="n"/>
      <c r="BH747" s="1675" t="n"/>
      <c r="BI747" s="1675" t="n"/>
      <c r="BJ747" s="1675" t="n"/>
      <c r="BK747" s="1675" t="n"/>
      <c r="BL747" s="1675" t="n"/>
      <c r="BM747" s="1675" t="n"/>
      <c r="BN747" s="1675" t="n"/>
      <c r="BO747" s="2013" t="n"/>
      <c r="BP747" s="1675" t="n"/>
      <c r="BQ747" s="1675" t="n"/>
      <c r="BR747" s="1675" t="n"/>
      <c r="BS747" s="1675" t="n"/>
      <c r="BT747" s="1675" t="n"/>
      <c r="BU747" s="1675" t="n"/>
      <c r="BV747" s="1675" t="n"/>
      <c r="BW747" s="1675" t="n"/>
      <c r="BX747" s="1675" t="n"/>
      <c r="BY747" s="1675" t="n"/>
      <c r="BZ747" s="1675" t="n"/>
      <c r="CA747" s="1675" t="n"/>
      <c r="CB747" s="1675" t="n"/>
      <c r="CC747" s="1582" t="n"/>
    </row>
    <row r="748" ht="15" customFormat="1" customHeight="1" s="1574">
      <c r="A748" s="2033" t="inlineStr">
        <is>
          <t>MO_KPI_RevenueContribution_SecondLargestClient</t>
        </is>
      </c>
      <c r="B748" s="1675" t="n"/>
      <c r="C748" s="2012" t="n"/>
      <c r="D748" s="2012" t="n"/>
      <c r="E748" s="1675" t="n"/>
      <c r="F748" s="1675" t="n"/>
      <c r="G748" s="1675" t="n"/>
      <c r="H748" s="1675" t="n"/>
      <c r="I748" s="1675" t="n"/>
      <c r="J748" s="1675" t="n"/>
      <c r="K748" s="1675" t="n"/>
      <c r="L748" s="1675" t="n"/>
      <c r="M748" s="1675" t="n"/>
      <c r="N748" s="1675" t="n"/>
      <c r="O748" s="1675" t="n"/>
      <c r="P748" s="1675" t="n"/>
      <c r="Q748" s="1675" t="n"/>
      <c r="R748" s="1675" t="n"/>
      <c r="S748" s="1675" t="n"/>
      <c r="T748" s="1675" t="n"/>
      <c r="U748" s="1675" t="n"/>
      <c r="V748" s="1675" t="n"/>
      <c r="W748" s="1675" t="n"/>
      <c r="X748" s="1675" t="n"/>
      <c r="Y748" s="1675" t="n"/>
      <c r="Z748" s="1675" t="n"/>
      <c r="AA748" s="1675" t="n"/>
      <c r="AB748" s="1675" t="n"/>
      <c r="AC748" s="1675" t="n"/>
      <c r="AD748" s="1675" t="n"/>
      <c r="AE748" s="1675" t="n"/>
      <c r="AF748" s="1675" t="n"/>
      <c r="AG748" s="1675" t="n"/>
      <c r="AH748" s="1675" t="n"/>
      <c r="AI748" s="1675" t="n"/>
      <c r="AJ748" s="1675" t="n"/>
      <c r="AK748" s="1675" t="n"/>
      <c r="AL748" s="1675" t="n"/>
      <c r="AM748" s="1675" t="n"/>
      <c r="AN748" s="1675" t="n"/>
      <c r="AO748" s="1675" t="n"/>
      <c r="AP748" s="1675" t="n"/>
      <c r="AQ748" s="1675" t="n"/>
      <c r="AR748" s="1675" t="n"/>
      <c r="AS748" s="1675" t="n"/>
      <c r="AT748" s="1675" t="n"/>
      <c r="AU748" s="1675" t="n"/>
      <c r="AV748" s="1675" t="n"/>
      <c r="AW748" s="1675" t="n"/>
      <c r="AX748" s="1675" t="n"/>
      <c r="AY748" s="1675" t="n"/>
      <c r="AZ748" s="1675" t="n"/>
      <c r="BA748" s="1675" t="n"/>
      <c r="BB748" s="1675" t="n"/>
      <c r="BC748" s="1675" t="n"/>
      <c r="BD748" s="1675" t="n"/>
      <c r="BE748" s="1675" t="n"/>
      <c r="BF748" s="1675" t="n"/>
      <c r="BG748" s="1675" t="n"/>
      <c r="BH748" s="1675" t="n"/>
      <c r="BI748" s="1675" t="n"/>
      <c r="BJ748" s="1675" t="n"/>
      <c r="BK748" s="1675" t="n"/>
      <c r="BL748" s="1675" t="n"/>
      <c r="BM748" s="1675" t="n"/>
      <c r="BN748" s="1675" t="n"/>
      <c r="BO748" s="2013" t="n"/>
      <c r="BP748" s="1675" t="n"/>
      <c r="BQ748" s="1675" t="n"/>
      <c r="BR748" s="1675" t="n"/>
      <c r="BS748" s="1675" t="n"/>
      <c r="BT748" s="1675" t="n"/>
      <c r="BU748" s="1675" t="n"/>
      <c r="BV748" s="1675" t="n"/>
      <c r="BW748" s="1675" t="n"/>
      <c r="BX748" s="1675" t="n"/>
      <c r="BY748" s="1675" t="n"/>
      <c r="BZ748" s="1675" t="n"/>
      <c r="CA748" s="1675" t="n"/>
      <c r="CB748" s="1675" t="n"/>
      <c r="CC748" s="1582" t="n"/>
    </row>
    <row r="749" ht="15" customFormat="1" customHeight="1" s="1574">
      <c r="A749" s="2033" t="inlineStr">
        <is>
          <t>MO_KPI_REV_Geo_US</t>
        </is>
      </c>
      <c r="B749" s="1675" t="n"/>
      <c r="C749" s="2012" t="n"/>
      <c r="D749" s="2012" t="n"/>
      <c r="E749" s="1675" t="n"/>
      <c r="F749" s="1675" t="n"/>
      <c r="G749" s="1675" t="n"/>
      <c r="H749" s="1675" t="n"/>
      <c r="I749" s="1675" t="n"/>
      <c r="J749" s="1675" t="n"/>
      <c r="K749" s="1675" t="n"/>
      <c r="L749" s="1675" t="n"/>
      <c r="M749" s="1675" t="n"/>
      <c r="N749" s="1675" t="n"/>
      <c r="O749" s="1675" t="n"/>
      <c r="P749" s="1675" t="n"/>
      <c r="Q749" s="1675" t="n"/>
      <c r="R749" s="1675" t="n"/>
      <c r="S749" s="1675" t="n"/>
      <c r="T749" s="1675" t="n"/>
      <c r="U749" s="1675" t="n"/>
      <c r="V749" s="1675" t="n"/>
      <c r="W749" s="1675" t="n"/>
      <c r="X749" s="1675" t="n"/>
      <c r="Y749" s="1675" t="n"/>
      <c r="Z749" s="1675" t="n"/>
      <c r="AA749" s="1675" t="n"/>
      <c r="AB749" s="1675" t="n"/>
      <c r="AC749" s="1675" t="n"/>
      <c r="AD749" s="1675" t="n"/>
      <c r="AE749" s="1675" t="n"/>
      <c r="AF749" s="1675" t="n"/>
      <c r="AG749" s="1675" t="n"/>
      <c r="AH749" s="1675" t="n"/>
      <c r="AI749" s="1675" t="n"/>
      <c r="AJ749" s="1675" t="n"/>
      <c r="AK749" s="1675" t="n"/>
      <c r="AL749" s="1675" t="n"/>
      <c r="AM749" s="1675" t="n"/>
      <c r="AN749" s="1675" t="n"/>
      <c r="AO749" s="1675" t="n"/>
      <c r="AP749" s="1675" t="n"/>
      <c r="AQ749" s="1675" t="n"/>
      <c r="AR749" s="1675" t="n"/>
      <c r="AS749" s="1675" t="n"/>
      <c r="AT749" s="1675" t="n"/>
      <c r="AU749" s="1675" t="n"/>
      <c r="AV749" s="1675" t="n"/>
      <c r="AW749" s="1675" t="n"/>
      <c r="AX749" s="1675" t="n"/>
      <c r="AY749" s="1675" t="n"/>
      <c r="AZ749" s="1675" t="n"/>
      <c r="BA749" s="1675" t="n"/>
      <c r="BB749" s="1675" t="n"/>
      <c r="BC749" s="1675" t="n"/>
      <c r="BD749" s="1675" t="n"/>
      <c r="BE749" s="1675" t="n"/>
      <c r="BF749" s="1675" t="n"/>
      <c r="BG749" s="1675" t="n"/>
      <c r="BH749" s="1675" t="n"/>
      <c r="BI749" s="1675" t="n"/>
      <c r="BJ749" s="1675" t="n"/>
      <c r="BK749" s="1675" t="n"/>
      <c r="BL749" s="1675" t="n"/>
      <c r="BM749" s="1675" t="n"/>
      <c r="BN749" s="1675" t="n"/>
      <c r="BO749" s="2013" t="n"/>
      <c r="BP749" s="1675" t="n"/>
      <c r="BQ749" s="1675" t="n"/>
      <c r="BR749" s="1675" t="n"/>
      <c r="BS749" s="1675" t="n"/>
      <c r="BT749" s="1675" t="n"/>
      <c r="BU749" s="1675" t="n"/>
      <c r="BV749" s="1675" t="n"/>
      <c r="BW749" s="1675" t="n"/>
      <c r="BX749" s="1675" t="n"/>
      <c r="BY749" s="1675" t="n"/>
      <c r="BZ749" s="1675" t="n"/>
      <c r="CA749" s="1675" t="n"/>
      <c r="CB749" s="1675" t="n"/>
      <c r="CC749" s="1582" t="n"/>
    </row>
    <row r="750" ht="15" customFormat="1" customHeight="1" s="1574">
      <c r="A750" s="2033" t="inlineStr">
        <is>
          <t>MO_KPI_REV_Geo_Taiwan</t>
        </is>
      </c>
      <c r="B750" s="1675" t="n"/>
      <c r="C750" s="2012" t="n"/>
      <c r="D750" s="2012" t="n"/>
      <c r="E750" s="1675" t="n"/>
      <c r="F750" s="1675" t="n"/>
      <c r="G750" s="1675" t="n"/>
      <c r="H750" s="1675" t="n"/>
      <c r="I750" s="1675" t="n"/>
      <c r="J750" s="1675" t="n"/>
      <c r="K750" s="1675" t="n"/>
      <c r="L750" s="1675" t="n"/>
      <c r="M750" s="1675" t="n"/>
      <c r="N750" s="1675" t="n"/>
      <c r="O750" s="1675" t="n"/>
      <c r="P750" s="1675" t="n"/>
      <c r="Q750" s="1675" t="n"/>
      <c r="R750" s="1675" t="n"/>
      <c r="S750" s="1675" t="n"/>
      <c r="T750" s="1675" t="n"/>
      <c r="U750" s="1675" t="n"/>
      <c r="V750" s="1675" t="n"/>
      <c r="W750" s="1675" t="n"/>
      <c r="X750" s="1675" t="n"/>
      <c r="Y750" s="1675" t="n"/>
      <c r="Z750" s="1675" t="n"/>
      <c r="AA750" s="1675" t="n"/>
      <c r="AB750" s="1675" t="n"/>
      <c r="AC750" s="1675" t="n"/>
      <c r="AD750" s="1675" t="n"/>
      <c r="AE750" s="1675" t="n"/>
      <c r="AF750" s="1675" t="n"/>
      <c r="AG750" s="1675" t="n"/>
      <c r="AH750" s="1675" t="n"/>
      <c r="AI750" s="1675" t="n"/>
      <c r="AJ750" s="1675" t="n"/>
      <c r="AK750" s="1675" t="n"/>
      <c r="AL750" s="1675" t="n"/>
      <c r="AM750" s="1675" t="n"/>
      <c r="AN750" s="1675" t="n"/>
      <c r="AO750" s="1675" t="n"/>
      <c r="AP750" s="1675" t="n"/>
      <c r="AQ750" s="1675" t="n"/>
      <c r="AR750" s="1675" t="n"/>
      <c r="AS750" s="1675" t="n"/>
      <c r="AT750" s="1675" t="n"/>
      <c r="AU750" s="1675" t="n"/>
      <c r="AV750" s="1675" t="n"/>
      <c r="AW750" s="1675" t="n"/>
      <c r="AX750" s="1675" t="n"/>
      <c r="AY750" s="1675" t="n"/>
      <c r="AZ750" s="1675" t="n"/>
      <c r="BA750" s="1675" t="n"/>
      <c r="BB750" s="1675" t="n"/>
      <c r="BC750" s="1675" t="n"/>
      <c r="BD750" s="1675" t="n"/>
      <c r="BE750" s="1675" t="n"/>
      <c r="BF750" s="1675" t="n"/>
      <c r="BG750" s="1675" t="n"/>
      <c r="BH750" s="1675" t="n"/>
      <c r="BI750" s="1675" t="n"/>
      <c r="BJ750" s="1675" t="n"/>
      <c r="BK750" s="1675" t="n"/>
      <c r="BL750" s="1675" t="n"/>
      <c r="BM750" s="1675" t="n"/>
      <c r="BN750" s="1675" t="n"/>
      <c r="BO750" s="2013" t="n"/>
      <c r="BP750" s="1675" t="n"/>
      <c r="BQ750" s="1675" t="n"/>
      <c r="BR750" s="1675" t="n"/>
      <c r="BS750" s="1675" t="n"/>
      <c r="BT750" s="1675" t="n"/>
      <c r="BU750" s="1675" t="n"/>
      <c r="BV750" s="1675" t="n"/>
      <c r="BW750" s="1675" t="n"/>
      <c r="BX750" s="1675" t="n"/>
      <c r="BY750" s="1675" t="n"/>
      <c r="BZ750" s="1675" t="n"/>
      <c r="CA750" s="1675" t="n"/>
      <c r="CB750" s="1675" t="n"/>
      <c r="CC750" s="1582" t="n"/>
    </row>
    <row r="751" ht="15" customFormat="1" customHeight="1" s="1574">
      <c r="A751" s="2033" t="inlineStr">
        <is>
          <t>MO_KPI_REV_Geo_China</t>
        </is>
      </c>
      <c r="B751" s="1675" t="n"/>
      <c r="C751" s="2012" t="n"/>
      <c r="D751" s="2012" t="n"/>
      <c r="E751" s="1675" t="n"/>
      <c r="F751" s="1675" t="n"/>
      <c r="G751" s="1675" t="n"/>
      <c r="H751" s="1675" t="n"/>
      <c r="I751" s="1675" t="n"/>
      <c r="J751" s="1675" t="n"/>
      <c r="K751" s="1675" t="n"/>
      <c r="L751" s="1675" t="n"/>
      <c r="M751" s="1675" t="n"/>
      <c r="N751" s="1675" t="n"/>
      <c r="O751" s="1675" t="n"/>
      <c r="P751" s="1675" t="n"/>
      <c r="Q751" s="1675" t="n"/>
      <c r="R751" s="1675" t="n"/>
      <c r="S751" s="1675" t="n"/>
      <c r="T751" s="1675" t="n"/>
      <c r="U751" s="1675" t="n"/>
      <c r="V751" s="1675" t="n"/>
      <c r="W751" s="1675" t="n"/>
      <c r="X751" s="1675" t="n"/>
      <c r="Y751" s="1675" t="n"/>
      <c r="Z751" s="1675" t="n"/>
      <c r="AA751" s="1675" t="n"/>
      <c r="AB751" s="1675" t="n"/>
      <c r="AC751" s="1675" t="n"/>
      <c r="AD751" s="1675" t="n"/>
      <c r="AE751" s="1675" t="n"/>
      <c r="AF751" s="1675" t="n"/>
      <c r="AG751" s="1675" t="n"/>
      <c r="AH751" s="1675" t="n"/>
      <c r="AI751" s="1675" t="n"/>
      <c r="AJ751" s="1675" t="n"/>
      <c r="AK751" s="1675" t="n"/>
      <c r="AL751" s="1675" t="n"/>
      <c r="AM751" s="1675" t="n"/>
      <c r="AN751" s="1675" t="n"/>
      <c r="AO751" s="1675" t="n"/>
      <c r="AP751" s="1675" t="n"/>
      <c r="AQ751" s="1675" t="n"/>
      <c r="AR751" s="1675" t="n"/>
      <c r="AS751" s="1675" t="n"/>
      <c r="AT751" s="1675" t="n"/>
      <c r="AU751" s="1675" t="n"/>
      <c r="AV751" s="1675" t="n"/>
      <c r="AW751" s="1675" t="n"/>
      <c r="AX751" s="1675" t="n"/>
      <c r="AY751" s="1675" t="n"/>
      <c r="AZ751" s="1675" t="n"/>
      <c r="BA751" s="1675" t="n"/>
      <c r="BB751" s="1675" t="n"/>
      <c r="BC751" s="1675" t="n"/>
      <c r="BD751" s="1675" t="n"/>
      <c r="BE751" s="1675" t="n"/>
      <c r="BF751" s="1675" t="n"/>
      <c r="BG751" s="1675" t="n"/>
      <c r="BH751" s="1675" t="n"/>
      <c r="BI751" s="1675" t="n"/>
      <c r="BJ751" s="1675" t="n"/>
      <c r="BK751" s="1675" t="n"/>
      <c r="BL751" s="1675" t="n"/>
      <c r="BM751" s="1675" t="n"/>
      <c r="BN751" s="1675" t="n"/>
      <c r="BO751" s="2013" t="n"/>
      <c r="BP751" s="1675" t="n"/>
      <c r="BQ751" s="1675" t="n"/>
      <c r="BR751" s="1675" t="n"/>
      <c r="BS751" s="1675" t="n"/>
      <c r="BT751" s="1675" t="n"/>
      <c r="BU751" s="1675" t="n"/>
      <c r="BV751" s="1675" t="n"/>
      <c r="BW751" s="1675" t="n"/>
      <c r="BX751" s="1675" t="n"/>
      <c r="BY751" s="1675" t="n"/>
      <c r="BZ751" s="1675" t="n"/>
      <c r="CA751" s="1675" t="n"/>
      <c r="CB751" s="1675" t="n"/>
      <c r="CC751" s="1582" t="n"/>
    </row>
    <row r="752" ht="15" customFormat="1" customHeight="1" s="1574">
      <c r="A752" s="2033" t="inlineStr">
        <is>
          <t>MO_KPI_REV_Geo_Japan</t>
        </is>
      </c>
      <c r="B752" s="1675" t="n"/>
      <c r="C752" s="2012" t="n"/>
      <c r="D752" s="2012" t="n"/>
      <c r="E752" s="1675" t="n"/>
      <c r="F752" s="1675" t="n"/>
      <c r="G752" s="1675" t="n"/>
      <c r="H752" s="1675" t="n"/>
      <c r="I752" s="1675" t="n"/>
      <c r="J752" s="1675" t="n"/>
      <c r="K752" s="1675" t="n"/>
      <c r="L752" s="1675" t="n"/>
      <c r="M752" s="1675" t="n"/>
      <c r="N752" s="1675" t="n"/>
      <c r="O752" s="1675" t="n"/>
      <c r="P752" s="1675" t="n"/>
      <c r="Q752" s="1675" t="n"/>
      <c r="R752" s="1675" t="n"/>
      <c r="S752" s="1675" t="n"/>
      <c r="T752" s="1675" t="n"/>
      <c r="U752" s="1675" t="n"/>
      <c r="V752" s="1675" t="n"/>
      <c r="W752" s="1675" t="n"/>
      <c r="X752" s="1675" t="n"/>
      <c r="Y752" s="1675" t="n"/>
      <c r="Z752" s="1675" t="n"/>
      <c r="AA752" s="1675" t="n"/>
      <c r="AB752" s="1675" t="n"/>
      <c r="AC752" s="1675" t="n"/>
      <c r="AD752" s="1675" t="n"/>
      <c r="AE752" s="1675" t="n"/>
      <c r="AF752" s="1675" t="n"/>
      <c r="AG752" s="1675" t="n"/>
      <c r="AH752" s="1675" t="n"/>
      <c r="AI752" s="1675" t="n"/>
      <c r="AJ752" s="1675" t="n"/>
      <c r="AK752" s="1675" t="n"/>
      <c r="AL752" s="1675" t="n"/>
      <c r="AM752" s="1675" t="n"/>
      <c r="AN752" s="1675" t="n"/>
      <c r="AO752" s="1675" t="n"/>
      <c r="AP752" s="1675" t="n"/>
      <c r="AQ752" s="1675" t="n"/>
      <c r="AR752" s="1675" t="n"/>
      <c r="AS752" s="1675" t="n"/>
      <c r="AT752" s="1675" t="n"/>
      <c r="AU752" s="1675" t="n"/>
      <c r="AV752" s="1675" t="n"/>
      <c r="AW752" s="1675" t="n"/>
      <c r="AX752" s="1675" t="n"/>
      <c r="AY752" s="1675" t="n"/>
      <c r="AZ752" s="1675" t="n"/>
      <c r="BA752" s="1675" t="n"/>
      <c r="BB752" s="1675" t="n"/>
      <c r="BC752" s="1675" t="n"/>
      <c r="BD752" s="1675" t="n"/>
      <c r="BE752" s="1675" t="n"/>
      <c r="BF752" s="1675" t="n"/>
      <c r="BG752" s="1675" t="n"/>
      <c r="BH752" s="1675" t="n"/>
      <c r="BI752" s="1675" t="n"/>
      <c r="BJ752" s="1675" t="n"/>
      <c r="BK752" s="1675" t="n"/>
      <c r="BL752" s="1675" t="n"/>
      <c r="BM752" s="1675" t="n"/>
      <c r="BN752" s="1675" t="n"/>
      <c r="BO752" s="2013" t="n"/>
      <c r="BP752" s="1675" t="n"/>
      <c r="BQ752" s="1675" t="n"/>
      <c r="BR752" s="1675" t="n"/>
      <c r="BS752" s="1675" t="n"/>
      <c r="BT752" s="1675" t="n"/>
      <c r="BU752" s="1675" t="n"/>
      <c r="BV752" s="1675" t="n"/>
      <c r="BW752" s="1675" t="n"/>
      <c r="BX752" s="1675" t="n"/>
      <c r="BY752" s="1675" t="n"/>
      <c r="BZ752" s="1675" t="n"/>
      <c r="CA752" s="1675" t="n"/>
      <c r="CB752" s="1675" t="n"/>
      <c r="CC752" s="1582" t="n"/>
    </row>
    <row r="753" ht="15" customFormat="1" customHeight="1" s="1574">
      <c r="A753" s="2033" t="inlineStr">
        <is>
          <t>MO_KPI_REV_Geo_Singapore</t>
        </is>
      </c>
      <c r="B753" s="1675" t="n"/>
      <c r="C753" s="2012" t="n"/>
      <c r="D753" s="2012" t="n"/>
      <c r="E753" s="1675" t="n"/>
      <c r="F753" s="1675" t="n"/>
      <c r="G753" s="1675" t="n"/>
      <c r="H753" s="1675" t="n"/>
      <c r="I753" s="1675" t="n"/>
      <c r="J753" s="1675" t="n"/>
      <c r="K753" s="1675" t="n"/>
      <c r="L753" s="1675" t="n"/>
      <c r="M753" s="1675" t="n"/>
      <c r="N753" s="1675" t="n"/>
      <c r="O753" s="1675" t="n"/>
      <c r="P753" s="1675" t="n"/>
      <c r="Q753" s="1675" t="n"/>
      <c r="R753" s="1675" t="n"/>
      <c r="S753" s="1675" t="n"/>
      <c r="T753" s="1675" t="n"/>
      <c r="U753" s="1675" t="n"/>
      <c r="V753" s="1675" t="n"/>
      <c r="W753" s="1675" t="n"/>
      <c r="X753" s="1675" t="n"/>
      <c r="Y753" s="1675" t="n"/>
      <c r="Z753" s="1675" t="n"/>
      <c r="AA753" s="1675" t="n"/>
      <c r="AB753" s="1675" t="n"/>
      <c r="AC753" s="1675" t="n"/>
      <c r="AD753" s="1675" t="n"/>
      <c r="AE753" s="1675" t="n"/>
      <c r="AF753" s="1675" t="n"/>
      <c r="AG753" s="1675" t="n"/>
      <c r="AH753" s="1675" t="n"/>
      <c r="AI753" s="1675" t="n"/>
      <c r="AJ753" s="1675" t="n"/>
      <c r="AK753" s="1675" t="n"/>
      <c r="AL753" s="1675" t="n"/>
      <c r="AM753" s="1675" t="n"/>
      <c r="AN753" s="1675" t="n"/>
      <c r="AO753" s="1675" t="n"/>
      <c r="AP753" s="1675" t="n"/>
      <c r="AQ753" s="1675" t="n"/>
      <c r="AR753" s="1675" t="n"/>
      <c r="AS753" s="1675" t="n"/>
      <c r="AT753" s="1675" t="n"/>
      <c r="AU753" s="1675" t="n"/>
      <c r="AV753" s="1675" t="n"/>
      <c r="AW753" s="1675" t="n"/>
      <c r="AX753" s="1675" t="n"/>
      <c r="AY753" s="1675" t="n"/>
      <c r="AZ753" s="1675" t="n"/>
      <c r="BA753" s="1675" t="n"/>
      <c r="BB753" s="1675" t="n"/>
      <c r="BC753" s="1675" t="n"/>
      <c r="BD753" s="1675" t="n"/>
      <c r="BE753" s="1675" t="n"/>
      <c r="BF753" s="1675" t="n"/>
      <c r="BG753" s="1675" t="n"/>
      <c r="BH753" s="1675" t="n"/>
      <c r="BI753" s="1675" t="n"/>
      <c r="BJ753" s="1675" t="n"/>
      <c r="BK753" s="1675" t="n"/>
      <c r="BL753" s="1675" t="n"/>
      <c r="BM753" s="1675" t="n"/>
      <c r="BN753" s="1675" t="n"/>
      <c r="BO753" s="2013" t="n"/>
      <c r="BP753" s="1675" t="n"/>
      <c r="BQ753" s="1675" t="n"/>
      <c r="BR753" s="1675" t="n"/>
      <c r="BS753" s="1675" t="n"/>
      <c r="BT753" s="1675" t="n"/>
      <c r="BU753" s="1675" t="n"/>
      <c r="BV753" s="1675" t="n"/>
      <c r="BW753" s="1675" t="n"/>
      <c r="BX753" s="1675" t="n"/>
      <c r="BY753" s="1675" t="n"/>
      <c r="BZ753" s="1675" t="n"/>
      <c r="CA753" s="1675" t="n"/>
      <c r="CB753" s="1675" t="n"/>
      <c r="CC753" s="1582" t="n"/>
    </row>
    <row r="754" ht="15" customFormat="1" customHeight="1" s="1574">
      <c r="A754" s="2033" t="inlineStr">
        <is>
          <t>MO_KPI_REV_Geo_Malaysia</t>
        </is>
      </c>
      <c r="B754" s="1675" t="n"/>
      <c r="C754" s="2012" t="n"/>
      <c r="D754" s="2012" t="n"/>
      <c r="E754" s="1675" t="n"/>
      <c r="F754" s="1675" t="n"/>
      <c r="G754" s="1675" t="n"/>
      <c r="H754" s="1675" t="n"/>
      <c r="I754" s="1675" t="n"/>
      <c r="J754" s="1675" t="n"/>
      <c r="K754" s="1675" t="n"/>
      <c r="L754" s="1675" t="n"/>
      <c r="M754" s="1675" t="n"/>
      <c r="N754" s="1675" t="n"/>
      <c r="O754" s="1675" t="n"/>
      <c r="P754" s="1675" t="n"/>
      <c r="Q754" s="1675" t="n"/>
      <c r="R754" s="1675" t="n"/>
      <c r="S754" s="1675" t="n"/>
      <c r="T754" s="1675" t="n"/>
      <c r="U754" s="1675" t="n"/>
      <c r="V754" s="1675" t="n"/>
      <c r="W754" s="1675" t="n"/>
      <c r="X754" s="1675" t="n"/>
      <c r="Y754" s="1675" t="n"/>
      <c r="Z754" s="1675" t="n"/>
      <c r="AA754" s="1675" t="n"/>
      <c r="AB754" s="1675" t="n"/>
      <c r="AC754" s="1675" t="n"/>
      <c r="AD754" s="1675" t="n"/>
      <c r="AE754" s="1675" t="n"/>
      <c r="AF754" s="1675" t="n"/>
      <c r="AG754" s="1675" t="n"/>
      <c r="AH754" s="1675" t="n"/>
      <c r="AI754" s="1675" t="n"/>
      <c r="AJ754" s="1675" t="n"/>
      <c r="AK754" s="1675" t="n"/>
      <c r="AL754" s="1675" t="n"/>
      <c r="AM754" s="1675" t="n"/>
      <c r="AN754" s="1675" t="n"/>
      <c r="AO754" s="1675" t="n"/>
      <c r="AP754" s="1675" t="n"/>
      <c r="AQ754" s="1675" t="n"/>
      <c r="AR754" s="1675" t="n"/>
      <c r="AS754" s="1675" t="n"/>
      <c r="AT754" s="1675" t="n"/>
      <c r="AU754" s="1675" t="n"/>
      <c r="AV754" s="1675" t="n"/>
      <c r="AW754" s="1675" t="n"/>
      <c r="AX754" s="1675" t="n"/>
      <c r="AY754" s="1675" t="n"/>
      <c r="AZ754" s="1675" t="n"/>
      <c r="BA754" s="1675" t="n"/>
      <c r="BB754" s="1675" t="n"/>
      <c r="BC754" s="1675" t="n"/>
      <c r="BD754" s="1675" t="n"/>
      <c r="BE754" s="1675" t="n"/>
      <c r="BF754" s="1675" t="n"/>
      <c r="BG754" s="1675" t="n"/>
      <c r="BH754" s="1675" t="n"/>
      <c r="BI754" s="1675" t="n"/>
      <c r="BJ754" s="1675" t="n"/>
      <c r="BK754" s="1675" t="n"/>
      <c r="BL754" s="1675" t="n"/>
      <c r="BM754" s="1675" t="n"/>
      <c r="BN754" s="1675" t="n"/>
      <c r="BO754" s="2013" t="n"/>
      <c r="BP754" s="1675" t="n"/>
      <c r="BQ754" s="1675" t="n"/>
      <c r="BR754" s="1675" t="n"/>
      <c r="BS754" s="1675" t="n"/>
      <c r="BT754" s="1675" t="n"/>
      <c r="BU754" s="1675" t="n"/>
      <c r="BV754" s="1675" t="n"/>
      <c r="BW754" s="1675" t="n"/>
      <c r="BX754" s="1675" t="n"/>
      <c r="BY754" s="1675" t="n"/>
      <c r="BZ754" s="1675" t="n"/>
      <c r="CA754" s="1675" t="n"/>
      <c r="CB754" s="1675" t="n"/>
      <c r="CC754" s="1582" t="n"/>
    </row>
    <row r="755" ht="15" customFormat="1" customHeight="1" s="1574">
      <c r="A755" s="2033" t="inlineStr">
        <is>
          <t>MO_KPI_REV_Geo_SouthKorea</t>
        </is>
      </c>
      <c r="B755" s="1675" t="n"/>
      <c r="C755" s="2012" t="n"/>
      <c r="D755" s="2012" t="n"/>
      <c r="E755" s="1675" t="n"/>
      <c r="F755" s="1675" t="n"/>
      <c r="G755" s="1675" t="n"/>
      <c r="H755" s="1675" t="n"/>
      <c r="I755" s="1675" t="n"/>
      <c r="J755" s="1675" t="n"/>
      <c r="K755" s="1675" t="n"/>
      <c r="L755" s="1675" t="n"/>
      <c r="M755" s="1675" t="n"/>
      <c r="N755" s="1675" t="n"/>
      <c r="O755" s="1675" t="n"/>
      <c r="P755" s="1675" t="n"/>
      <c r="Q755" s="1675" t="n"/>
      <c r="R755" s="1675" t="n"/>
      <c r="S755" s="1675" t="n"/>
      <c r="T755" s="1675" t="n"/>
      <c r="U755" s="1675" t="n"/>
      <c r="V755" s="1675" t="n"/>
      <c r="W755" s="1675" t="n"/>
      <c r="X755" s="1675" t="n"/>
      <c r="Y755" s="1675" t="n"/>
      <c r="Z755" s="1675" t="n"/>
      <c r="AA755" s="1675" t="n"/>
      <c r="AB755" s="1675" t="n"/>
      <c r="AC755" s="1675" t="n"/>
      <c r="AD755" s="1675" t="n"/>
      <c r="AE755" s="1675" t="n"/>
      <c r="AF755" s="1675" t="n"/>
      <c r="AG755" s="1675" t="n"/>
      <c r="AH755" s="1675" t="n"/>
      <c r="AI755" s="1675" t="n"/>
      <c r="AJ755" s="1675" t="n"/>
      <c r="AK755" s="1675" t="n"/>
      <c r="AL755" s="1675" t="n"/>
      <c r="AM755" s="1675" t="n"/>
      <c r="AN755" s="1675" t="n"/>
      <c r="AO755" s="1675" t="n"/>
      <c r="AP755" s="1675" t="n"/>
      <c r="AQ755" s="1675" t="n"/>
      <c r="AR755" s="1675" t="n"/>
      <c r="AS755" s="1675" t="n"/>
      <c r="AT755" s="1675" t="n"/>
      <c r="AU755" s="1675" t="n"/>
      <c r="AV755" s="1675" t="n"/>
      <c r="AW755" s="1675" t="n"/>
      <c r="AX755" s="1675" t="n"/>
      <c r="AY755" s="1675" t="n"/>
      <c r="AZ755" s="1675" t="n"/>
      <c r="BA755" s="1675" t="n"/>
      <c r="BB755" s="1675" t="n"/>
      <c r="BC755" s="1675" t="n"/>
      <c r="BD755" s="1675" t="n"/>
      <c r="BE755" s="1675" t="n"/>
      <c r="BF755" s="1675" t="n"/>
      <c r="BG755" s="1675" t="n"/>
      <c r="BH755" s="1675" t="n"/>
      <c r="BI755" s="1675" t="n"/>
      <c r="BJ755" s="1675" t="n"/>
      <c r="BK755" s="1675" t="n"/>
      <c r="BL755" s="1675" t="n"/>
      <c r="BM755" s="1675" t="n"/>
      <c r="BN755" s="1675" t="n"/>
      <c r="BO755" s="2013" t="n"/>
      <c r="BP755" s="1675" t="n"/>
      <c r="BQ755" s="1675" t="n"/>
      <c r="BR755" s="1675" t="n"/>
      <c r="BS755" s="1675" t="n"/>
      <c r="BT755" s="1675" t="n"/>
      <c r="BU755" s="1675" t="n"/>
      <c r="BV755" s="1675" t="n"/>
      <c r="BW755" s="1675" t="n"/>
      <c r="BX755" s="1675" t="n"/>
      <c r="BY755" s="1675" t="n"/>
      <c r="BZ755" s="1675" t="n"/>
      <c r="CA755" s="1675" t="n"/>
      <c r="CB755" s="1675" t="n"/>
      <c r="CC755" s="1582" t="n"/>
    </row>
    <row r="756" ht="15" customFormat="1" customHeight="1" s="1574">
      <c r="A756" s="2033" t="inlineStr">
        <is>
          <t>MO_KPI_REV_Geo_Europe</t>
        </is>
      </c>
      <c r="B756" s="1675" t="n"/>
      <c r="C756" s="2012" t="n"/>
      <c r="D756" s="2012" t="n"/>
      <c r="E756" s="1675" t="n"/>
      <c r="F756" s="1675" t="n"/>
      <c r="G756" s="1675" t="n"/>
      <c r="H756" s="1675" t="n"/>
      <c r="I756" s="1675" t="n"/>
      <c r="J756" s="1675" t="n"/>
      <c r="K756" s="1675" t="n"/>
      <c r="L756" s="1675" t="n"/>
      <c r="M756" s="1675" t="n"/>
      <c r="N756" s="1675" t="n"/>
      <c r="O756" s="1675" t="n"/>
      <c r="P756" s="1675" t="n"/>
      <c r="Q756" s="1675" t="n"/>
      <c r="R756" s="1675" t="n"/>
      <c r="S756" s="1675" t="n"/>
      <c r="T756" s="1675" t="n"/>
      <c r="U756" s="1675" t="n"/>
      <c r="V756" s="1675" t="n"/>
      <c r="W756" s="1675" t="n"/>
      <c r="X756" s="1675" t="n"/>
      <c r="Y756" s="1675" t="n"/>
      <c r="Z756" s="1675" t="n"/>
      <c r="AA756" s="1675" t="n"/>
      <c r="AB756" s="1675" t="n"/>
      <c r="AC756" s="1675" t="n"/>
      <c r="AD756" s="1675" t="n"/>
      <c r="AE756" s="1675" t="n"/>
      <c r="AF756" s="1675" t="n"/>
      <c r="AG756" s="1675" t="n"/>
      <c r="AH756" s="1675" t="n"/>
      <c r="AI756" s="1675" t="n"/>
      <c r="AJ756" s="1675" t="n"/>
      <c r="AK756" s="1675" t="n"/>
      <c r="AL756" s="1675" t="n"/>
      <c r="AM756" s="1675" t="n"/>
      <c r="AN756" s="1675" t="n"/>
      <c r="AO756" s="1675" t="n"/>
      <c r="AP756" s="1675" t="n"/>
      <c r="AQ756" s="1675" t="n"/>
      <c r="AR756" s="1675" t="n"/>
      <c r="AS756" s="1675" t="n"/>
      <c r="AT756" s="1675" t="n"/>
      <c r="AU756" s="1675" t="n"/>
      <c r="AV756" s="1675" t="n"/>
      <c r="AW756" s="1675" t="n"/>
      <c r="AX756" s="1675" t="n"/>
      <c r="AY756" s="1675" t="n"/>
      <c r="AZ756" s="1675" t="n"/>
      <c r="BA756" s="1675" t="n"/>
      <c r="BB756" s="1675" t="n"/>
      <c r="BC756" s="1675" t="n"/>
      <c r="BD756" s="1675" t="n"/>
      <c r="BE756" s="1675" t="n"/>
      <c r="BF756" s="1675" t="n"/>
      <c r="BG756" s="1675" t="n"/>
      <c r="BH756" s="1675" t="n"/>
      <c r="BI756" s="1675" t="n"/>
      <c r="BJ756" s="1675" t="n"/>
      <c r="BK756" s="1675" t="n"/>
      <c r="BL756" s="1675" t="n"/>
      <c r="BM756" s="1675" t="n"/>
      <c r="BN756" s="1675" t="n"/>
      <c r="BO756" s="2013" t="n"/>
      <c r="BP756" s="1675" t="n"/>
      <c r="BQ756" s="1675" t="n"/>
      <c r="BR756" s="1675" t="n"/>
      <c r="BS756" s="1675" t="n"/>
      <c r="BT756" s="1675" t="n"/>
      <c r="BU756" s="1675" t="n"/>
      <c r="BV756" s="1675" t="n"/>
      <c r="BW756" s="1675" t="n"/>
      <c r="BX756" s="1675" t="n"/>
      <c r="BY756" s="1675" t="n"/>
      <c r="BZ756" s="1675" t="n"/>
      <c r="CA756" s="1675" t="n"/>
      <c r="CB756" s="1675" t="n"/>
      <c r="CC756" s="1582" t="n"/>
    </row>
    <row r="757" ht="15" customFormat="1" customHeight="1" s="1574">
      <c r="A757" s="2030" t="n"/>
      <c r="B757" s="1675" t="n"/>
      <c r="C757" s="2012" t="n"/>
      <c r="D757" s="2012" t="n"/>
      <c r="E757" s="1675" t="n"/>
      <c r="F757" s="1675" t="n"/>
      <c r="G757" s="1675" t="n"/>
      <c r="H757" s="1675" t="n"/>
      <c r="I757" s="1675" t="n"/>
      <c r="J757" s="1675" t="n"/>
      <c r="K757" s="1675" t="n"/>
      <c r="L757" s="1675" t="n"/>
      <c r="M757" s="1675" t="n"/>
      <c r="N757" s="1675" t="n"/>
      <c r="O757" s="1675" t="n"/>
      <c r="P757" s="1675" t="n"/>
      <c r="Q757" s="1675" t="n"/>
      <c r="R757" s="1675" t="n"/>
      <c r="S757" s="1675" t="n"/>
      <c r="T757" s="1675" t="n"/>
      <c r="U757" s="1675" t="n"/>
      <c r="V757" s="1675" t="n"/>
      <c r="W757" s="1675" t="n"/>
      <c r="X757" s="1675" t="n"/>
      <c r="Y757" s="1675" t="n"/>
      <c r="Z757" s="1675" t="n"/>
      <c r="AA757" s="1675" t="n"/>
      <c r="AB757" s="1675" t="n"/>
      <c r="AC757" s="1675" t="n"/>
      <c r="AD757" s="1675" t="n"/>
      <c r="AE757" s="1675" t="n"/>
      <c r="AF757" s="1675" t="n"/>
      <c r="AG757" s="1675" t="n"/>
      <c r="AH757" s="1675" t="n"/>
      <c r="AI757" s="1675" t="n"/>
      <c r="AJ757" s="1675" t="n"/>
      <c r="AK757" s="1675" t="n"/>
      <c r="AL757" s="1675" t="n"/>
      <c r="AM757" s="1675" t="n"/>
      <c r="AN757" s="1675" t="n"/>
      <c r="AO757" s="1675" t="n"/>
      <c r="AP757" s="1675" t="n"/>
      <c r="AQ757" s="1675" t="n"/>
      <c r="AR757" s="1675" t="n"/>
      <c r="AS757" s="1675" t="n"/>
      <c r="AT757" s="1675" t="n"/>
      <c r="AU757" s="1675" t="n"/>
      <c r="AV757" s="1675" t="n"/>
      <c r="AW757" s="1675" t="n"/>
      <c r="AX757" s="1675" t="n"/>
      <c r="AY757" s="1675" t="n"/>
      <c r="AZ757" s="1675" t="n"/>
      <c r="BA757" s="1675" t="n"/>
      <c r="BB757" s="1675" t="n"/>
      <c r="BC757" s="1675" t="n"/>
      <c r="BD757" s="1675" t="n"/>
      <c r="BE757" s="1675" t="n"/>
      <c r="BF757" s="1675" t="n"/>
      <c r="BG757" s="1675" t="n"/>
      <c r="BH757" s="1675" t="n"/>
      <c r="BI757" s="1675" t="n"/>
      <c r="BJ757" s="1675" t="n"/>
      <c r="BK757" s="1675" t="n"/>
      <c r="BL757" s="1675" t="n"/>
      <c r="BM757" s="1675" t="n"/>
      <c r="BN757" s="1675" t="n"/>
      <c r="BO757" s="2013" t="n"/>
      <c r="BP757" s="1675" t="n"/>
      <c r="BQ757" s="1675" t="n"/>
      <c r="BR757" s="1675" t="n"/>
      <c r="BS757" s="1675" t="n"/>
      <c r="BT757" s="1675" t="n"/>
      <c r="BU757" s="1675" t="n"/>
      <c r="BV757" s="1675" t="n"/>
      <c r="BW757" s="1675" t="n"/>
      <c r="BX757" s="1675" t="n"/>
      <c r="BY757" s="1675" t="n"/>
      <c r="BZ757" s="1675" t="n"/>
      <c r="CA757" s="1675" t="n"/>
      <c r="CB757" s="1675" t="n"/>
      <c r="CC757" s="1582" t="n"/>
    </row>
    <row r="758" ht="15" customFormat="1" customHeight="1" s="1574">
      <c r="A758" s="2008" t="n"/>
      <c r="B758" s="2020" t="n"/>
      <c r="C758" s="2034" t="n"/>
      <c r="D758" s="2034" t="n"/>
      <c r="E758" s="2020" t="n"/>
      <c r="F758" s="2020" t="n"/>
      <c r="G758" s="2020" t="n"/>
      <c r="H758" s="2020" t="n"/>
      <c r="I758" s="2020" t="n"/>
      <c r="J758" s="2020" t="n"/>
      <c r="K758" s="2020" t="n"/>
      <c r="L758" s="2020" t="n"/>
      <c r="M758" s="2020" t="n"/>
      <c r="N758" s="2020" t="n"/>
      <c r="O758" s="2020" t="n"/>
      <c r="P758" s="2020" t="n"/>
      <c r="Q758" s="2020" t="n"/>
      <c r="R758" s="2020" t="n"/>
      <c r="S758" s="2020" t="n"/>
      <c r="T758" s="2020" t="n"/>
      <c r="U758" s="2020" t="n"/>
      <c r="V758" s="2020" t="n"/>
      <c r="W758" s="2020" t="n"/>
      <c r="X758" s="2020" t="n"/>
      <c r="Y758" s="2020" t="n"/>
      <c r="Z758" s="2020" t="n"/>
      <c r="AA758" s="2020" t="n"/>
      <c r="AB758" s="2020" t="n"/>
      <c r="AC758" s="2020" t="n"/>
      <c r="AD758" s="2020" t="n"/>
      <c r="AE758" s="2020" t="n"/>
      <c r="AF758" s="2020" t="n"/>
      <c r="AG758" s="2020" t="n"/>
      <c r="AH758" s="2020" t="n"/>
      <c r="AI758" s="2020" t="n"/>
      <c r="AJ758" s="2020" t="n"/>
      <c r="AK758" s="2020" t="n"/>
      <c r="AL758" s="2020" t="n"/>
      <c r="AM758" s="2020" t="n"/>
      <c r="AN758" s="2020" t="n"/>
      <c r="AO758" s="2020" t="n"/>
      <c r="AP758" s="2020" t="n"/>
      <c r="AQ758" s="2020" t="n"/>
      <c r="AR758" s="2020" t="n"/>
      <c r="AS758" s="2020" t="n"/>
      <c r="AT758" s="2020" t="n"/>
      <c r="AU758" s="2020" t="n"/>
      <c r="AV758" s="2020" t="n"/>
      <c r="AW758" s="2020" t="n"/>
      <c r="AX758" s="2020" t="n"/>
      <c r="AY758" s="2020" t="n"/>
      <c r="AZ758" s="2020" t="n"/>
      <c r="BA758" s="2020" t="n"/>
      <c r="BB758" s="2020" t="n"/>
      <c r="BC758" s="2020" t="n"/>
      <c r="BD758" s="2020" t="n"/>
      <c r="BE758" s="2020" t="n"/>
      <c r="BF758" s="2020" t="n"/>
      <c r="BG758" s="2020" t="n"/>
      <c r="BH758" s="2020" t="n"/>
      <c r="BI758" s="2020" t="n"/>
      <c r="BJ758" s="2020" t="n"/>
      <c r="BK758" s="2020" t="n"/>
      <c r="BL758" s="2020" t="n"/>
      <c r="BM758" s="2020" t="n"/>
      <c r="BN758" s="2020" t="n"/>
      <c r="BO758" s="2035" t="n"/>
      <c r="BP758" s="2020" t="n"/>
      <c r="BQ758" s="2020" t="n"/>
      <c r="BR758" s="2020" t="n"/>
      <c r="BS758" s="2020" t="n"/>
      <c r="BT758" s="2020" t="n"/>
      <c r="BU758" s="2020" t="n"/>
      <c r="BV758" s="2020" t="n"/>
      <c r="BW758" s="2020" t="n"/>
      <c r="BX758" s="2020" t="n"/>
      <c r="BY758" s="2020" t="n"/>
      <c r="BZ758" s="2020" t="n"/>
      <c r="CA758" s="2020" t="n"/>
      <c r="CB758" s="2020" t="n"/>
      <c r="CC758" s="1582" t="n"/>
    </row>
    <row r="759" ht="15" customFormat="1" customHeight="1" s="1574">
      <c r="A759" s="2036" t="inlineStr">
        <is>
          <t>Quarterly Guidance Table</t>
        </is>
      </c>
      <c r="B759" s="2037" t="n"/>
      <c r="C759" s="2038" t="n"/>
      <c r="D759" s="2038" t="n"/>
      <c r="E759" s="2037" t="n"/>
      <c r="F759" s="2037" t="n"/>
      <c r="G759" s="2037" t="n"/>
      <c r="H759" s="2037" t="n"/>
      <c r="I759" s="2037" t="n"/>
      <c r="J759" s="2037" t="n"/>
      <c r="K759" s="2037" t="n"/>
      <c r="L759" s="2037" t="n"/>
      <c r="M759" s="2037" t="n"/>
      <c r="N759" s="2037" t="n"/>
      <c r="O759" s="2037" t="n"/>
      <c r="P759" s="2037" t="n"/>
      <c r="Q759" s="2037" t="n"/>
      <c r="R759" s="2037" t="n"/>
      <c r="S759" s="2037" t="n"/>
      <c r="T759" s="2037" t="n"/>
      <c r="U759" s="2037" t="n"/>
      <c r="V759" s="2037" t="n"/>
      <c r="W759" s="2037" t="n"/>
      <c r="X759" s="2037" t="n"/>
      <c r="Y759" s="2037" t="n"/>
      <c r="Z759" s="2037" t="n"/>
      <c r="AA759" s="2037" t="n"/>
      <c r="AB759" s="2037" t="n"/>
      <c r="AC759" s="2037" t="n"/>
      <c r="AD759" s="2037" t="n"/>
      <c r="AE759" s="2037" t="n"/>
      <c r="AF759" s="2037" t="n"/>
      <c r="AG759" s="2037" t="n"/>
      <c r="AH759" s="2037" t="n"/>
      <c r="AI759" s="2037" t="n"/>
      <c r="AJ759" s="2037" t="n"/>
      <c r="AK759" s="2037" t="n"/>
      <c r="AL759" s="2037" t="n"/>
      <c r="AM759" s="2037" t="n"/>
      <c r="AN759" s="2037" t="n"/>
      <c r="AO759" s="2037" t="n"/>
      <c r="AP759" s="2037" t="n"/>
      <c r="AQ759" s="2037" t="n"/>
      <c r="AR759" s="2037" t="n"/>
      <c r="AS759" s="2037" t="n"/>
      <c r="AT759" s="2037" t="n"/>
      <c r="AU759" s="2037" t="n"/>
      <c r="AV759" s="2037" t="n"/>
      <c r="AW759" s="2037" t="n"/>
      <c r="AX759" s="2037" t="n"/>
      <c r="AY759" s="2037" t="n"/>
      <c r="AZ759" s="2037" t="n"/>
      <c r="BA759" s="2037" t="n"/>
      <c r="BB759" s="2037" t="n"/>
      <c r="BC759" s="2037" t="n"/>
      <c r="BD759" s="2037" t="n"/>
      <c r="BE759" s="2037" t="n"/>
      <c r="BF759" s="2037" t="n"/>
      <c r="BG759" s="2037" t="n"/>
      <c r="BH759" s="2037" t="n"/>
      <c r="BI759" s="2037" t="n"/>
      <c r="BJ759" s="2037" t="n"/>
      <c r="BK759" s="2037" t="n"/>
      <c r="BL759" s="2037" t="n"/>
      <c r="BM759" s="2037" t="n"/>
      <c r="BN759" s="2037" t="n"/>
      <c r="BO759" s="2039" t="n"/>
      <c r="BP759" s="2037" t="n"/>
      <c r="BQ759" s="2037" t="n"/>
      <c r="BR759" s="2037" t="n"/>
      <c r="BS759" s="2037" t="n"/>
      <c r="BT759" s="2037" t="n"/>
      <c r="BU759" s="2037" t="n"/>
      <c r="BV759" s="2037" t="n"/>
      <c r="BW759" s="2037" t="n"/>
      <c r="BX759" s="2037" t="n"/>
      <c r="BY759" s="2037" t="n"/>
      <c r="BZ759" s="2037" t="n"/>
      <c r="CA759" s="2037" t="n"/>
      <c r="CB759" s="2040" t="n"/>
      <c r="CC759" s="1582" t="n"/>
    </row>
    <row r="760" ht="15" customFormat="1" customHeight="1" s="1574">
      <c r="A760" s="2041" t="inlineStr">
        <is>
          <t>Reporting Date</t>
        </is>
      </c>
      <c r="B760" s="1675" t="n"/>
      <c r="C760" s="2042" t="n"/>
      <c r="D760" s="2042" t="n"/>
      <c r="E760" s="2043" t="n"/>
      <c r="F760" s="2043" t="n"/>
      <c r="G760" s="2043" t="n"/>
      <c r="H760" s="2043" t="n"/>
      <c r="I760" s="2043" t="n"/>
      <c r="J760" s="2043" t="n"/>
      <c r="K760" s="2043" t="n"/>
      <c r="L760" s="2043" t="n"/>
      <c r="M760" s="2043" t="n"/>
      <c r="N760" s="2043" t="n"/>
      <c r="O760" s="2043" t="n"/>
      <c r="P760" s="2043" t="n"/>
      <c r="Q760" s="2043" t="n"/>
      <c r="R760" s="2043" t="n"/>
      <c r="S760" s="2043" t="n"/>
      <c r="T760" s="2043" t="n"/>
      <c r="U760" s="2043" t="n"/>
      <c r="V760" s="2043" t="n"/>
      <c r="W760" s="2043" t="n"/>
      <c r="X760" s="2043" t="n"/>
      <c r="Y760" s="2043" t="n"/>
      <c r="Z760" s="2043" t="n"/>
      <c r="AA760" s="2043" t="n"/>
      <c r="AB760" s="2044" t="n">
        <v>43208</v>
      </c>
      <c r="AC760" s="2044" t="n">
        <v>43299</v>
      </c>
      <c r="AD760" s="2044" t="n">
        <v>43390</v>
      </c>
      <c r="AE760" s="2044" t="n">
        <v>43488</v>
      </c>
      <c r="AF760" s="2044" t="n">
        <v>43488</v>
      </c>
      <c r="AG760" s="2044" t="n">
        <v>43572</v>
      </c>
      <c r="AH760" s="2044" t="n">
        <v>43663</v>
      </c>
      <c r="AI760" s="2044" t="n">
        <v>43754</v>
      </c>
      <c r="AJ760" s="2044" t="n">
        <v>43852</v>
      </c>
      <c r="AK760" s="2044" t="n">
        <v>43852</v>
      </c>
      <c r="AL760" s="2044" t="n">
        <v>43920</v>
      </c>
      <c r="AM760" s="2044" t="n">
        <v>44027</v>
      </c>
      <c r="AN760" s="2044" t="n">
        <v>44118</v>
      </c>
      <c r="AO760" s="2044" t="n">
        <v>44215</v>
      </c>
      <c r="AP760" s="2044" t="n">
        <v>44215</v>
      </c>
      <c r="AQ760" s="2044" t="n">
        <v>44306</v>
      </c>
      <c r="AR760" s="2044" t="n">
        <v>44397</v>
      </c>
      <c r="AS760" s="2044" t="n">
        <v>44488</v>
      </c>
      <c r="AT760" s="2044" t="n">
        <v>44580</v>
      </c>
      <c r="AU760" s="2044" t="n">
        <v>44580</v>
      </c>
      <c r="AV760" s="2044" t="n">
        <v>44671</v>
      </c>
      <c r="AW760" s="2044" t="n">
        <v>44762</v>
      </c>
      <c r="AX760" s="2044" t="n">
        <v>44852</v>
      </c>
      <c r="AY760" s="2044" t="n">
        <v>44951</v>
      </c>
      <c r="AZ760" s="2044" t="n">
        <v>44951</v>
      </c>
      <c r="BA760" s="2044" t="n">
        <v>45034</v>
      </c>
      <c r="BB760" s="2044" t="n">
        <v>45126</v>
      </c>
      <c r="BC760" s="2044" t="n">
        <v>45217</v>
      </c>
      <c r="BD760" s="2044" t="n">
        <v>45315</v>
      </c>
      <c r="BE760" s="2044" t="n">
        <v>45315</v>
      </c>
      <c r="BF760" s="2044" t="n">
        <v>45399</v>
      </c>
      <c r="BG760" s="2044" t="n">
        <v>45490</v>
      </c>
      <c r="BH760" s="2044" t="n">
        <v>45580</v>
      </c>
      <c r="BI760" s="2044" t="n">
        <v>45686</v>
      </c>
      <c r="BJ760" s="2044" t="n">
        <v>45686</v>
      </c>
      <c r="BK760" s="2044" t="n">
        <v>45762</v>
      </c>
      <c r="BL760" s="2044" t="n">
        <v>45853</v>
      </c>
      <c r="BM760" s="2044" t="n">
        <v>45945</v>
      </c>
      <c r="BN760" s="2044" t="n">
        <v>46050</v>
      </c>
      <c r="BO760" s="2045" t="n">
        <v>46050</v>
      </c>
      <c r="BP760" s="2043" t="n"/>
      <c r="BQ760" s="2043" t="n"/>
      <c r="BR760" s="2043" t="n"/>
      <c r="BS760" s="2043" t="n"/>
      <c r="BT760" s="2043" t="n"/>
      <c r="BU760" s="2043" t="n"/>
      <c r="BV760" s="2043" t="n"/>
      <c r="BW760" s="2043" t="n"/>
      <c r="BX760" s="2043" t="n"/>
      <c r="BY760" s="2043" t="n"/>
      <c r="BZ760" s="2043" t="n"/>
      <c r="CA760" s="2043" t="n"/>
      <c r="CB760" s="2046" t="n"/>
      <c r="CC760" s="1582" t="n"/>
    </row>
    <row r="761" ht="15" customFormat="1" customHeight="1" s="1574">
      <c r="A761" s="2041" t="inlineStr">
        <is>
          <t>Applicable Period</t>
        </is>
      </c>
      <c r="B761" s="1675" t="n"/>
      <c r="C761" s="758" t="n"/>
      <c r="D761" s="758" t="n"/>
      <c r="E761" s="759" t="n"/>
      <c r="F761" s="759" t="n"/>
      <c r="G761" s="759" t="n"/>
      <c r="H761" s="759" t="n"/>
      <c r="I761" s="759" t="n"/>
      <c r="J761" s="759" t="n"/>
      <c r="K761" s="759" t="n"/>
      <c r="L761" s="759" t="n"/>
      <c r="M761" s="759" t="n"/>
      <c r="N761" s="759" t="n"/>
      <c r="O761" s="759" t="n"/>
      <c r="P761" s="759" t="n"/>
      <c r="Q761" s="759" t="n"/>
      <c r="R761" s="759" t="n"/>
      <c r="S761" s="759" t="n"/>
      <c r="T761" s="759" t="n"/>
      <c r="U761" s="759" t="n"/>
      <c r="V761" s="759" t="n"/>
      <c r="W761" s="759" t="n"/>
      <c r="X761" s="759" t="n"/>
      <c r="Y761" s="759" t="n"/>
      <c r="Z761" s="759" t="n"/>
      <c r="AA761" s="759" t="n"/>
      <c r="AB761" s="759">
        <f>AC$5</f>
        <v/>
      </c>
      <c r="AC761" s="759">
        <f>AD$5</f>
        <v/>
      </c>
      <c r="AD761" s="759">
        <f>AE$5</f>
        <v/>
      </c>
      <c r="AE761" s="759">
        <f>AG$5</f>
        <v/>
      </c>
      <c r="AF761" s="759">
        <f>AG$5</f>
        <v/>
      </c>
      <c r="AG761" s="759">
        <f>AH$5</f>
        <v/>
      </c>
      <c r="AH761" s="759">
        <f>AI$5</f>
        <v/>
      </c>
      <c r="AI761" s="759">
        <f>AJ$5</f>
        <v/>
      </c>
      <c r="AJ761" s="759">
        <f>AL$5</f>
        <v/>
      </c>
      <c r="AK761" s="759">
        <f>AL$5</f>
        <v/>
      </c>
      <c r="AL761" s="759">
        <f>AM$5</f>
        <v/>
      </c>
      <c r="AM761" s="759">
        <f>AN$5</f>
        <v/>
      </c>
      <c r="AN761" s="759">
        <f>AO$5</f>
        <v/>
      </c>
      <c r="AO761" s="759">
        <f>AQ$5</f>
        <v/>
      </c>
      <c r="AP761" s="759">
        <f>AQ$5</f>
        <v/>
      </c>
      <c r="AQ761" s="759">
        <f>AR$5</f>
        <v/>
      </c>
      <c r="AR761" s="759">
        <f>AS$5</f>
        <v/>
      </c>
      <c r="AS761" s="759">
        <f>AT$5</f>
        <v/>
      </c>
      <c r="AT761" s="759">
        <f>AV$5</f>
        <v/>
      </c>
      <c r="AU761" s="759">
        <f>AV$5</f>
        <v/>
      </c>
      <c r="AV761" s="759">
        <f>AW$5</f>
        <v/>
      </c>
      <c r="AW761" s="759">
        <f>AX$5</f>
        <v/>
      </c>
      <c r="AX761" s="759">
        <f>AY$5</f>
        <v/>
      </c>
      <c r="AY761" s="759">
        <f>BA$5</f>
        <v/>
      </c>
      <c r="AZ761" s="759">
        <f>BA$5</f>
        <v/>
      </c>
      <c r="BA761" s="759">
        <f>BB$5</f>
        <v/>
      </c>
      <c r="BB761" s="759">
        <f>BC$5</f>
        <v/>
      </c>
      <c r="BC761" s="759">
        <f>BD$5</f>
        <v/>
      </c>
      <c r="BD761" s="759">
        <f>BF$5</f>
        <v/>
      </c>
      <c r="BE761" s="759">
        <f>BF$5</f>
        <v/>
      </c>
      <c r="BF761" s="759">
        <f>BG$5</f>
        <v/>
      </c>
      <c r="BG761" s="759">
        <f>BH$5</f>
        <v/>
      </c>
      <c r="BH761" s="759">
        <f>BI$5</f>
        <v/>
      </c>
      <c r="BI761" s="759">
        <f>BK$5</f>
        <v/>
      </c>
      <c r="BJ761" s="759">
        <f>BK$5</f>
        <v/>
      </c>
      <c r="BK761" s="759">
        <f>BL$5</f>
        <v/>
      </c>
      <c r="BL761" s="759">
        <f>BM$5</f>
        <v/>
      </c>
      <c r="BM761" s="759">
        <f>BN$5</f>
        <v/>
      </c>
      <c r="BN761" s="759">
        <f>BP$5</f>
        <v/>
      </c>
      <c r="BO761" s="593">
        <f>BP$5</f>
        <v/>
      </c>
      <c r="BP761" s="759" t="n"/>
      <c r="BQ761" s="759" t="n"/>
      <c r="BR761" s="759" t="n"/>
      <c r="BS761" s="759" t="n"/>
      <c r="BT761" s="759" t="n"/>
      <c r="BU761" s="759" t="n"/>
      <c r="BV761" s="759" t="n"/>
      <c r="BW761" s="759" t="n"/>
      <c r="BX761" s="759" t="n"/>
      <c r="BY761" s="759" t="n"/>
      <c r="BZ761" s="759" t="n"/>
      <c r="CA761" s="759" t="n"/>
      <c r="CB761" s="521" t="n"/>
      <c r="CC761" s="1582" t="n"/>
    </row>
    <row r="762" ht="15" customFormat="1" customHeight="1" s="1574">
      <c r="A762" s="2047" t="n"/>
      <c r="B762" s="2048" t="n"/>
      <c r="C762" s="2049" t="n"/>
      <c r="D762" s="2049" t="n"/>
      <c r="E762" s="2048" t="n"/>
      <c r="F762" s="2048" t="n"/>
      <c r="G762" s="2048" t="n"/>
      <c r="H762" s="2048" t="n"/>
      <c r="I762" s="2048" t="n"/>
      <c r="J762" s="2048" t="n"/>
      <c r="K762" s="2048" t="n"/>
      <c r="L762" s="2048" t="n"/>
      <c r="M762" s="2048" t="n"/>
      <c r="N762" s="2048" t="n"/>
      <c r="O762" s="2048" t="n"/>
      <c r="P762" s="2048" t="n"/>
      <c r="Q762" s="2048" t="n"/>
      <c r="R762" s="2048" t="n"/>
      <c r="S762" s="2048" t="n"/>
      <c r="T762" s="2048" t="n"/>
      <c r="U762" s="2048" t="n"/>
      <c r="V762" s="2048" t="n"/>
      <c r="W762" s="2048" t="n"/>
      <c r="X762" s="2048" t="n"/>
      <c r="Y762" s="2048" t="n"/>
      <c r="Z762" s="2048" t="n"/>
      <c r="AA762" s="2048" t="n"/>
      <c r="AB762" s="2048" t="n"/>
      <c r="AC762" s="2048" t="n"/>
      <c r="AD762" s="2048" t="n"/>
      <c r="AE762" s="2048" t="n"/>
      <c r="AF762" s="2048" t="n"/>
      <c r="AG762" s="2048" t="n"/>
      <c r="AH762" s="2048" t="n"/>
      <c r="AI762" s="2048" t="n"/>
      <c r="AJ762" s="2048" t="n"/>
      <c r="AK762" s="2048" t="n"/>
      <c r="AL762" s="2048" t="n"/>
      <c r="AM762" s="2048" t="n"/>
      <c r="AN762" s="2048" t="n"/>
      <c r="AO762" s="2048" t="n"/>
      <c r="AP762" s="2048" t="n"/>
      <c r="AQ762" s="2048" t="n"/>
      <c r="AR762" s="2048" t="n"/>
      <c r="AS762" s="2048" t="n"/>
      <c r="AT762" s="2048" t="n"/>
      <c r="AU762" s="2048" t="n"/>
      <c r="AV762" s="2048" t="n"/>
      <c r="AW762" s="2048" t="n"/>
      <c r="AX762" s="2048" t="n"/>
      <c r="AY762" s="2048" t="n"/>
      <c r="AZ762" s="2048" t="n"/>
      <c r="BA762" s="2048" t="n"/>
      <c r="BB762" s="2048" t="n"/>
      <c r="BC762" s="2048" t="n"/>
      <c r="BD762" s="2048" t="n"/>
      <c r="BE762" s="2048" t="n"/>
      <c r="BF762" s="2048" t="n"/>
      <c r="BG762" s="2048" t="n"/>
      <c r="BH762" s="2048" t="n"/>
      <c r="BI762" s="2048" t="n"/>
      <c r="BJ762" s="2048" t="n"/>
      <c r="BK762" s="2048" t="n"/>
      <c r="BL762" s="2048" t="n"/>
      <c r="BM762" s="2048" t="n"/>
      <c r="BN762" s="2048" t="n"/>
      <c r="BO762" s="2050" t="n"/>
      <c r="BP762" s="2048" t="n"/>
      <c r="BQ762" s="2048" t="n"/>
      <c r="BR762" s="2048" t="n"/>
      <c r="BS762" s="2048" t="n"/>
      <c r="BT762" s="2048" t="n"/>
      <c r="BU762" s="2048" t="n"/>
      <c r="BV762" s="2048" t="n"/>
      <c r="BW762" s="2048" t="n"/>
      <c r="BX762" s="2048" t="n"/>
      <c r="BY762" s="2048" t="n"/>
      <c r="BZ762" s="2048" t="n"/>
      <c r="CA762" s="2048" t="n"/>
      <c r="CB762" s="2051" t="n"/>
      <c r="CC762" s="1582" t="n"/>
    </row>
    <row r="763" ht="15" customFormat="1" customHeight="1" s="1574">
      <c r="A763" s="2008" t="n"/>
      <c r="B763" s="2020" t="n"/>
      <c r="C763" s="2034" t="n"/>
      <c r="D763" s="2034" t="n"/>
      <c r="E763" s="2020" t="n"/>
      <c r="F763" s="2020" t="n"/>
      <c r="G763" s="2020" t="n"/>
      <c r="H763" s="2020" t="n"/>
      <c r="I763" s="2020" t="n"/>
      <c r="J763" s="2020" t="n"/>
      <c r="K763" s="2020" t="n"/>
      <c r="L763" s="2020" t="n"/>
      <c r="M763" s="2020" t="n"/>
      <c r="N763" s="2020" t="n"/>
      <c r="O763" s="2020" t="n"/>
      <c r="P763" s="2020" t="n"/>
      <c r="Q763" s="2020" t="n"/>
      <c r="R763" s="2020" t="n"/>
      <c r="S763" s="2020" t="n"/>
      <c r="T763" s="2020" t="n"/>
      <c r="U763" s="2020" t="n"/>
      <c r="V763" s="2020" t="n"/>
      <c r="W763" s="2020" t="n"/>
      <c r="X763" s="2020" t="n"/>
      <c r="Y763" s="2020" t="n"/>
      <c r="Z763" s="2020" t="n"/>
      <c r="AA763" s="2020" t="n"/>
      <c r="AB763" s="2020" t="n"/>
      <c r="AC763" s="2020" t="n"/>
      <c r="AD763" s="2020" t="n"/>
      <c r="AE763" s="2020" t="n"/>
      <c r="AF763" s="2020" t="n"/>
      <c r="AG763" s="2020" t="n"/>
      <c r="AH763" s="2020" t="n"/>
      <c r="AI763" s="2020" t="n"/>
      <c r="AJ763" s="2020" t="n"/>
      <c r="AK763" s="2020" t="n"/>
      <c r="AL763" s="2020" t="n"/>
      <c r="AM763" s="2020" t="n"/>
      <c r="AN763" s="2020" t="n"/>
      <c r="AO763" s="2020" t="n"/>
      <c r="AP763" s="2020" t="n"/>
      <c r="AQ763" s="2020" t="n"/>
      <c r="AR763" s="2020" t="n"/>
      <c r="AS763" s="2020" t="n"/>
      <c r="AT763" s="2020" t="n"/>
      <c r="AU763" s="2020" t="n"/>
      <c r="AV763" s="2020" t="n"/>
      <c r="AW763" s="2020" t="n"/>
      <c r="AX763" s="2020" t="n"/>
      <c r="AY763" s="2020" t="n"/>
      <c r="AZ763" s="2020" t="n"/>
      <c r="BA763" s="2020" t="n"/>
      <c r="BB763" s="2020" t="n"/>
      <c r="BC763" s="2020" t="n"/>
      <c r="BD763" s="2020" t="n"/>
      <c r="BE763" s="2020" t="n"/>
      <c r="BF763" s="2020" t="n"/>
      <c r="BG763" s="2020" t="n"/>
      <c r="BH763" s="2020" t="n"/>
      <c r="BI763" s="2020" t="n"/>
      <c r="BJ763" s="2020" t="n"/>
      <c r="BK763" s="2020" t="n"/>
      <c r="BL763" s="2020" t="n"/>
      <c r="BM763" s="2020" t="n"/>
      <c r="BN763" s="2020" t="n"/>
      <c r="BO763" s="2035" t="n"/>
      <c r="BP763" s="2020" t="n"/>
      <c r="BQ763" s="2020" t="n"/>
      <c r="BR763" s="2020" t="n"/>
      <c r="BS763" s="2020" t="n"/>
      <c r="BT763" s="2020" t="n"/>
      <c r="BU763" s="2020" t="n"/>
      <c r="BV763" s="2020" t="n"/>
      <c r="BW763" s="2020" t="n"/>
      <c r="BX763" s="2020" t="n"/>
      <c r="BY763" s="2020" t="n"/>
      <c r="BZ763" s="2020" t="n"/>
      <c r="CA763" s="2020" t="n"/>
      <c r="CB763" s="2020" t="n"/>
      <c r="CC763" s="1582" t="n"/>
    </row>
    <row r="764" ht="15" customFormat="1" customHeight="1" s="1574">
      <c r="A764" s="2036" t="inlineStr">
        <is>
          <t>Annual Guidance Table</t>
        </is>
      </c>
      <c r="B764" s="2037" t="n"/>
      <c r="C764" s="2038" t="n"/>
      <c r="D764" s="2038" t="n"/>
      <c r="E764" s="2037" t="n"/>
      <c r="F764" s="2037" t="n"/>
      <c r="G764" s="2037" t="n"/>
      <c r="H764" s="2037" t="n"/>
      <c r="I764" s="2037" t="n"/>
      <c r="J764" s="2037" t="n"/>
      <c r="K764" s="2037" t="n"/>
      <c r="L764" s="2037" t="n"/>
      <c r="M764" s="2037" t="n"/>
      <c r="N764" s="2037" t="n"/>
      <c r="O764" s="2037" t="n"/>
      <c r="P764" s="2037" t="n"/>
      <c r="Q764" s="2037" t="n"/>
      <c r="R764" s="2037" t="n"/>
      <c r="S764" s="2037" t="n"/>
      <c r="T764" s="2037" t="n"/>
      <c r="U764" s="2037" t="n"/>
      <c r="V764" s="2037" t="n"/>
      <c r="W764" s="2037" t="n"/>
      <c r="X764" s="2037" t="n"/>
      <c r="Y764" s="2037" t="n"/>
      <c r="Z764" s="2037" t="n"/>
      <c r="AA764" s="2037" t="n"/>
      <c r="AB764" s="2037" t="n"/>
      <c r="AC764" s="2037" t="n"/>
      <c r="AD764" s="2037" t="n"/>
      <c r="AE764" s="2037" t="n"/>
      <c r="AF764" s="2037" t="n"/>
      <c r="AG764" s="2037" t="n"/>
      <c r="AH764" s="2037" t="n"/>
      <c r="AI764" s="2037" t="n"/>
      <c r="AJ764" s="2037" t="n"/>
      <c r="AK764" s="2037" t="n"/>
      <c r="AL764" s="2037" t="n"/>
      <c r="AM764" s="2037" t="n"/>
      <c r="AN764" s="2037" t="n"/>
      <c r="AO764" s="2037" t="n"/>
      <c r="AP764" s="2037" t="n"/>
      <c r="AQ764" s="2037" t="n"/>
      <c r="AR764" s="2037" t="n"/>
      <c r="AS764" s="2037" t="n"/>
      <c r="AT764" s="2037" t="n"/>
      <c r="AU764" s="2037" t="n"/>
      <c r="AV764" s="2037" t="n"/>
      <c r="AW764" s="2037" t="n"/>
      <c r="AX764" s="2037" t="n"/>
      <c r="AY764" s="2037" t="n"/>
      <c r="AZ764" s="2037" t="n"/>
      <c r="BA764" s="2037" t="n"/>
      <c r="BB764" s="2037" t="n"/>
      <c r="BC764" s="2037" t="n"/>
      <c r="BD764" s="2037" t="n"/>
      <c r="BE764" s="2037" t="n"/>
      <c r="BF764" s="2037" t="n"/>
      <c r="BG764" s="2037" t="n"/>
      <c r="BH764" s="2037" t="n"/>
      <c r="BI764" s="2037" t="n"/>
      <c r="BJ764" s="2037" t="n"/>
      <c r="BK764" s="2037" t="n"/>
      <c r="BL764" s="2037" t="n"/>
      <c r="BM764" s="2037" t="n"/>
      <c r="BN764" s="2037" t="n"/>
      <c r="BO764" s="2039" t="n"/>
      <c r="BP764" s="2037" t="n"/>
      <c r="BQ764" s="2037" t="n"/>
      <c r="BR764" s="2037" t="n"/>
      <c r="BS764" s="2037" t="n"/>
      <c r="BT764" s="2037" t="n"/>
      <c r="BU764" s="2037" t="n"/>
      <c r="BV764" s="2037" t="n"/>
      <c r="BW764" s="2037" t="n"/>
      <c r="BX764" s="2037" t="n"/>
      <c r="BY764" s="2037" t="n"/>
      <c r="BZ764" s="2037" t="n"/>
      <c r="CA764" s="2037" t="n"/>
      <c r="CB764" s="2040" t="n"/>
      <c r="CC764" s="1582" t="n"/>
    </row>
    <row r="765" ht="15" customFormat="1" customHeight="1" s="1574">
      <c r="A765" s="2041" t="inlineStr">
        <is>
          <t>Reporting Date</t>
        </is>
      </c>
      <c r="B765" s="1675" t="n"/>
      <c r="C765" s="2042" t="n"/>
      <c r="D765" s="2042" t="n"/>
      <c r="E765" s="2043" t="n"/>
      <c r="F765" s="2043" t="n"/>
      <c r="G765" s="2043" t="n"/>
      <c r="H765" s="2043" t="n"/>
      <c r="I765" s="2043" t="n"/>
      <c r="J765" s="2043" t="n"/>
      <c r="K765" s="2043" t="n"/>
      <c r="L765" s="2043" t="n"/>
      <c r="M765" s="2043" t="n"/>
      <c r="N765" s="2043" t="n"/>
      <c r="O765" s="2043" t="n"/>
      <c r="P765" s="2043" t="n"/>
      <c r="Q765" s="2043" t="n"/>
      <c r="R765" s="2043" t="n"/>
      <c r="S765" s="2043" t="n"/>
      <c r="T765" s="2043" t="n"/>
      <c r="U765" s="2043" t="n"/>
      <c r="V765" s="2043" t="n"/>
      <c r="W765" s="2043" t="n"/>
      <c r="X765" s="2043" t="n"/>
      <c r="Y765" s="2043" t="n"/>
      <c r="Z765" s="2043" t="n"/>
      <c r="AA765" s="2043" t="n"/>
      <c r="AB765" s="2043">
        <f>AB760</f>
        <v/>
      </c>
      <c r="AC765" s="2043">
        <f>AC760</f>
        <v/>
      </c>
      <c r="AD765" s="2043">
        <f>AD760</f>
        <v/>
      </c>
      <c r="AE765" s="2043">
        <f>AE760</f>
        <v/>
      </c>
      <c r="AF765" s="2043">
        <f>AF760</f>
        <v/>
      </c>
      <c r="AG765" s="2043">
        <f>AG760</f>
        <v/>
      </c>
      <c r="AH765" s="2043">
        <f>AH760</f>
        <v/>
      </c>
      <c r="AI765" s="2043">
        <f>AI760</f>
        <v/>
      </c>
      <c r="AJ765" s="2043">
        <f>AJ760</f>
        <v/>
      </c>
      <c r="AK765" s="2043">
        <f>AK760</f>
        <v/>
      </c>
      <c r="AL765" s="2043">
        <f>AL760</f>
        <v/>
      </c>
      <c r="AM765" s="2043">
        <f>AM760</f>
        <v/>
      </c>
      <c r="AN765" s="2043">
        <f>AN760</f>
        <v/>
      </c>
      <c r="AO765" s="2043">
        <f>AO760</f>
        <v/>
      </c>
      <c r="AP765" s="2043">
        <f>AP760</f>
        <v/>
      </c>
      <c r="AQ765" s="2043">
        <f>AQ760</f>
        <v/>
      </c>
      <c r="AR765" s="2043">
        <f>AR760</f>
        <v/>
      </c>
      <c r="AS765" s="2043">
        <f>AS760</f>
        <v/>
      </c>
      <c r="AT765" s="2043">
        <f>AT760</f>
        <v/>
      </c>
      <c r="AU765" s="2043">
        <f>AU760</f>
        <v/>
      </c>
      <c r="AV765" s="2043">
        <f>AV760</f>
        <v/>
      </c>
      <c r="AW765" s="2043">
        <f>AW760</f>
        <v/>
      </c>
      <c r="AX765" s="2043">
        <f>AX760</f>
        <v/>
      </c>
      <c r="AY765" s="2043">
        <f>AY760</f>
        <v/>
      </c>
      <c r="AZ765" s="2043">
        <f>AZ760</f>
        <v/>
      </c>
      <c r="BA765" s="2043">
        <f>BA760</f>
        <v/>
      </c>
      <c r="BB765" s="2043">
        <f>BB760</f>
        <v/>
      </c>
      <c r="BC765" s="2043">
        <f>BC760</f>
        <v/>
      </c>
      <c r="BD765" s="2043">
        <f>BD760</f>
        <v/>
      </c>
      <c r="BE765" s="2043">
        <f>BE760</f>
        <v/>
      </c>
      <c r="BF765" s="2043">
        <f>BF760</f>
        <v/>
      </c>
      <c r="BG765" s="2043">
        <f>BG760</f>
        <v/>
      </c>
      <c r="BH765" s="2043">
        <f>BH760</f>
        <v/>
      </c>
      <c r="BI765" s="2043">
        <f>BI760</f>
        <v/>
      </c>
      <c r="BJ765" s="2043">
        <f>BJ760</f>
        <v/>
      </c>
      <c r="BK765" s="2043">
        <f>BK760</f>
        <v/>
      </c>
      <c r="BL765" s="2043">
        <f>BL760</f>
        <v/>
      </c>
      <c r="BM765" s="2043">
        <f>BM760</f>
        <v/>
      </c>
      <c r="BN765" s="2043">
        <f>BN760</f>
        <v/>
      </c>
      <c r="BO765" s="2052">
        <f>BO760</f>
        <v/>
      </c>
      <c r="BP765" s="2043" t="n"/>
      <c r="BQ765" s="2043" t="n"/>
      <c r="BR765" s="2043" t="n"/>
      <c r="BS765" s="2043" t="n"/>
      <c r="BT765" s="2043" t="n"/>
      <c r="BU765" s="2043" t="n"/>
      <c r="BV765" s="2043" t="n"/>
      <c r="BW765" s="2043" t="n"/>
      <c r="BX765" s="2043" t="n"/>
      <c r="BY765" s="2043" t="n"/>
      <c r="BZ765" s="2043" t="n"/>
      <c r="CA765" s="2043" t="n"/>
      <c r="CB765" s="2046" t="n"/>
      <c r="CC765" s="1582" t="n"/>
    </row>
    <row r="766" ht="15" customFormat="1" customHeight="1" s="1574">
      <c r="A766" s="2041" t="inlineStr">
        <is>
          <t>Is Latest</t>
        </is>
      </c>
      <c r="B766" s="1675" t="n"/>
      <c r="C766" s="758" t="n"/>
      <c r="D766" s="758" t="n"/>
      <c r="E766" s="759" t="n"/>
      <c r="F766" s="759" t="n"/>
      <c r="G766" s="759" t="n"/>
      <c r="H766" s="759" t="n"/>
      <c r="I766" s="759" t="n"/>
      <c r="J766" s="759" t="n"/>
      <c r="K766" s="759" t="n"/>
      <c r="L766" s="759" t="n"/>
      <c r="M766" s="759" t="n"/>
      <c r="N766" s="759" t="n"/>
      <c r="O766" s="759" t="n"/>
      <c r="P766" s="759" t="n"/>
      <c r="Q766" s="759" t="n"/>
      <c r="R766" s="759" t="n"/>
      <c r="S766" s="759" t="n"/>
      <c r="T766" s="759" t="n"/>
      <c r="U766" s="759" t="n"/>
      <c r="V766" s="759" t="n"/>
      <c r="W766" s="759" t="n"/>
      <c r="X766" s="759" t="n"/>
      <c r="Y766" s="759" t="n"/>
      <c r="Z766" s="759" t="n"/>
      <c r="AA766" s="759" t="n"/>
      <c r="AB766" s="759">
        <f>IF(AB767=AC767,"",AB767)</f>
        <v/>
      </c>
      <c r="AC766" s="759">
        <f>IF(AC767=AD767,"",AC767)</f>
        <v/>
      </c>
      <c r="AD766" s="759">
        <f>IF(AD767=AE767,"",AD767)</f>
        <v/>
      </c>
      <c r="AE766" s="759">
        <f>IF(AE767=AF767,"",AE767)</f>
        <v/>
      </c>
      <c r="AF766" s="759">
        <f>IF(AF767=AG767,"",AF767)</f>
        <v/>
      </c>
      <c r="AG766" s="759">
        <f>IF(AG767=AH767,"",AG767)</f>
        <v/>
      </c>
      <c r="AH766" s="759">
        <f>IF(AH767=AI767,"",AH767)</f>
        <v/>
      </c>
      <c r="AI766" s="759">
        <f>IF(AI767=AJ767,"",AI767)</f>
        <v/>
      </c>
      <c r="AJ766" s="759">
        <f>IF(AJ767=AK767,"",AJ767)</f>
        <v/>
      </c>
      <c r="AK766" s="759">
        <f>IF(AK767=AL767,"",AK767)</f>
        <v/>
      </c>
      <c r="AL766" s="759">
        <f>IF(AL767=AM767,"",AL767)</f>
        <v/>
      </c>
      <c r="AM766" s="759">
        <f>IF(AM767=AN767,"",AM767)</f>
        <v/>
      </c>
      <c r="AN766" s="759">
        <f>IF(AN767=AO767,"",AN767)</f>
        <v/>
      </c>
      <c r="AO766" s="759">
        <f>IF(AO767=AP767,"",AO767)</f>
        <v/>
      </c>
      <c r="AP766" s="759">
        <f>IF(AP767=AQ767,"",AP767)</f>
        <v/>
      </c>
      <c r="AQ766" s="759">
        <f>IF(AQ767=AR767,"",AQ767)</f>
        <v/>
      </c>
      <c r="AR766" s="759">
        <f>IF(AR767=AS767,"",AR767)</f>
        <v/>
      </c>
      <c r="AS766" s="759">
        <f>IF(AS767=AT767,"",AS767)</f>
        <v/>
      </c>
      <c r="AT766" s="759">
        <f>IF(AT767=AU767,"",AT767)</f>
        <v/>
      </c>
      <c r="AU766" s="759">
        <f>IF(AU767=AV767,"",AU767)</f>
        <v/>
      </c>
      <c r="AV766" s="759">
        <f>IF(AV767=AW767,"",AV767)</f>
        <v/>
      </c>
      <c r="AW766" s="759">
        <f>IF(AW767=AX767,"",AW767)</f>
        <v/>
      </c>
      <c r="AX766" s="759">
        <f>IF(AX767=AY767,"",AX767)</f>
        <v/>
      </c>
      <c r="AY766" s="759">
        <f>IF(AY767=AZ767,"",AY767)</f>
        <v/>
      </c>
      <c r="AZ766" s="759">
        <f>IF(AZ767=BA767,"",AZ767)</f>
        <v/>
      </c>
      <c r="BA766" s="759">
        <f>IF(BA767=BB767,"",BA767)</f>
        <v/>
      </c>
      <c r="BB766" s="759">
        <f>IF(BB767=BC767,"",BB767)</f>
        <v/>
      </c>
      <c r="BC766" s="759">
        <f>IF(BC767=BD767,"",BC767)</f>
        <v/>
      </c>
      <c r="BD766" s="759">
        <f>IF(BD767=BE767,"",BD767)</f>
        <v/>
      </c>
      <c r="BE766" s="759">
        <f>IF(BE767=BF767,"",BE767)</f>
        <v/>
      </c>
      <c r="BF766" s="759">
        <f>IF(BF767=BG767,"",BF767)</f>
        <v/>
      </c>
      <c r="BG766" s="759">
        <f>IF(BG767=BH767,"",BG767)</f>
        <v/>
      </c>
      <c r="BH766" s="759">
        <f>IF(BH767=BI767,"",BH767)</f>
        <v/>
      </c>
      <c r="BI766" s="759">
        <f>IF(BI767=BJ767,"",BI767)</f>
        <v/>
      </c>
      <c r="BJ766" s="759">
        <f>IF(BJ767=BK767,"",BJ767)</f>
        <v/>
      </c>
      <c r="BK766" s="759">
        <f>IF(BK767=BL767,"",BK767)</f>
        <v/>
      </c>
      <c r="BL766" s="759">
        <f>IF(BL767=BM767,"",BL767)</f>
        <v/>
      </c>
      <c r="BM766" s="759">
        <f>IF(BM767=BN767,"",BM767)</f>
        <v/>
      </c>
      <c r="BN766" s="759">
        <f>IF(BN767=BO767,"",BN767)</f>
        <v/>
      </c>
      <c r="BO766" s="593">
        <f>IF(BO767=BP767,"",BO767)</f>
        <v/>
      </c>
      <c r="BP766" s="759" t="n"/>
      <c r="BQ766" s="759" t="n"/>
      <c r="BR766" s="759" t="n"/>
      <c r="BS766" s="759" t="n"/>
      <c r="BT766" s="759" t="n"/>
      <c r="BU766" s="759" t="n"/>
      <c r="BV766" s="759" t="n"/>
      <c r="BW766" s="759" t="n"/>
      <c r="BX766" s="759" t="n"/>
      <c r="BY766" s="759" t="n"/>
      <c r="BZ766" s="759" t="n"/>
      <c r="CA766" s="759" t="n"/>
      <c r="CB766" s="521" t="n"/>
      <c r="CC766" s="1582" t="n"/>
    </row>
    <row r="767" ht="15" customFormat="1" customHeight="1" s="1574">
      <c r="A767" s="2041" t="inlineStr">
        <is>
          <t>Applicable Period</t>
        </is>
      </c>
      <c r="B767" s="1675" t="n"/>
      <c r="C767" s="758" t="n"/>
      <c r="D767" s="758" t="n"/>
      <c r="E767" s="759" t="n"/>
      <c r="F767" s="759" t="n"/>
      <c r="G767" s="759" t="n"/>
      <c r="H767" s="759" t="n"/>
      <c r="I767" s="759" t="n"/>
      <c r="J767" s="759" t="n"/>
      <c r="K767" s="759" t="n"/>
      <c r="L767" s="759" t="n"/>
      <c r="M767" s="759" t="n"/>
      <c r="N767" s="759" t="n"/>
      <c r="O767" s="759" t="n"/>
      <c r="P767" s="759" t="n"/>
      <c r="Q767" s="759" t="n"/>
      <c r="R767" s="759" t="n"/>
      <c r="S767" s="759" t="n"/>
      <c r="T767" s="759" t="n"/>
      <c r="U767" s="759" t="n"/>
      <c r="V767" s="759" t="n"/>
      <c r="W767" s="759" t="n"/>
      <c r="X767" s="759" t="n"/>
      <c r="Y767" s="759" t="n"/>
      <c r="Z767" s="759" t="n"/>
      <c r="AA767" s="759" t="n"/>
      <c r="AB767" s="759">
        <f>AF$5</f>
        <v/>
      </c>
      <c r="AC767" s="759">
        <f>AF$5</f>
        <v/>
      </c>
      <c r="AD767" s="759">
        <f>AF$5</f>
        <v/>
      </c>
      <c r="AE767" s="759">
        <f>AK$5</f>
        <v/>
      </c>
      <c r="AF767" s="759">
        <f>AK$5</f>
        <v/>
      </c>
      <c r="AG767" s="759">
        <f>AK$5</f>
        <v/>
      </c>
      <c r="AH767" s="759">
        <f>AK$5</f>
        <v/>
      </c>
      <c r="AI767" s="759">
        <f>AK$5</f>
        <v/>
      </c>
      <c r="AJ767" s="759">
        <f>AP$5</f>
        <v/>
      </c>
      <c r="AK767" s="759">
        <f>AP$5</f>
        <v/>
      </c>
      <c r="AL767" s="759">
        <f>AP$5</f>
        <v/>
      </c>
      <c r="AM767" s="759">
        <f>AP$5</f>
        <v/>
      </c>
      <c r="AN767" s="759">
        <f>AP$5</f>
        <v/>
      </c>
      <c r="AO767" s="759">
        <f>AU$5</f>
        <v/>
      </c>
      <c r="AP767" s="759">
        <f>AU$5</f>
        <v/>
      </c>
      <c r="AQ767" s="759">
        <f>AU$5</f>
        <v/>
      </c>
      <c r="AR767" s="759">
        <f>AU$5</f>
        <v/>
      </c>
      <c r="AS767" s="759">
        <f>AU$5</f>
        <v/>
      </c>
      <c r="AT767" s="759">
        <f>AZ$5</f>
        <v/>
      </c>
      <c r="AU767" s="759">
        <f>AZ$5</f>
        <v/>
      </c>
      <c r="AV767" s="759">
        <f>AZ$5</f>
        <v/>
      </c>
      <c r="AW767" s="759">
        <f>AZ$5</f>
        <v/>
      </c>
      <c r="AX767" s="759">
        <f>AZ$5</f>
        <v/>
      </c>
      <c r="AY767" s="759">
        <f>BE$5</f>
        <v/>
      </c>
      <c r="AZ767" s="759">
        <f>BE$5</f>
        <v/>
      </c>
      <c r="BA767" s="759">
        <f>BE$5</f>
        <v/>
      </c>
      <c r="BB767" s="759">
        <f>BE$5</f>
        <v/>
      </c>
      <c r="BC767" s="759">
        <f>BE$5</f>
        <v/>
      </c>
      <c r="BD767" s="759">
        <f>BJ$5</f>
        <v/>
      </c>
      <c r="BE767" s="759">
        <f>BJ$5</f>
        <v/>
      </c>
      <c r="BF767" s="759">
        <f>BJ$5</f>
        <v/>
      </c>
      <c r="BG767" s="759">
        <f>BJ$5</f>
        <v/>
      </c>
      <c r="BH767" s="759">
        <f>BJ$5</f>
        <v/>
      </c>
      <c r="BI767" s="759">
        <f>BO$5</f>
        <v/>
      </c>
      <c r="BJ767" s="759">
        <f>BO$5</f>
        <v/>
      </c>
      <c r="BK767" s="759">
        <f>BO$5</f>
        <v/>
      </c>
      <c r="BL767" s="759">
        <f>BO$5</f>
        <v/>
      </c>
      <c r="BM767" s="759">
        <f>BO$5</f>
        <v/>
      </c>
      <c r="BN767" s="759">
        <f>BT$5</f>
        <v/>
      </c>
      <c r="BO767" s="593">
        <f>BT$5</f>
        <v/>
      </c>
      <c r="BP767" s="759" t="n"/>
      <c r="BQ767" s="759" t="n"/>
      <c r="BR767" s="759" t="n"/>
      <c r="BS767" s="759" t="n"/>
      <c r="BT767" s="759" t="n"/>
      <c r="BU767" s="759" t="n"/>
      <c r="BV767" s="759" t="n"/>
      <c r="BW767" s="759" t="n"/>
      <c r="BX767" s="759" t="n"/>
      <c r="BY767" s="759" t="n"/>
      <c r="BZ767" s="759" t="n"/>
      <c r="CA767" s="759" t="n"/>
      <c r="CB767" s="521" t="n"/>
      <c r="CC767" s="1582" t="n"/>
    </row>
    <row r="768" ht="15" customFormat="1" customHeight="1" s="1574">
      <c r="A768" s="2047" t="n"/>
      <c r="B768" s="2048" t="n"/>
      <c r="C768" s="2049" t="n"/>
      <c r="D768" s="2049" t="n"/>
      <c r="E768" s="2048" t="n"/>
      <c r="F768" s="2048" t="n"/>
      <c r="G768" s="2048" t="n"/>
      <c r="H768" s="2048" t="n"/>
      <c r="I768" s="2048" t="n"/>
      <c r="J768" s="2048" t="n"/>
      <c r="K768" s="2048" t="n"/>
      <c r="L768" s="2048" t="n"/>
      <c r="M768" s="2048" t="n"/>
      <c r="N768" s="2048" t="n"/>
      <c r="O768" s="2048" t="n"/>
      <c r="P768" s="2048" t="n"/>
      <c r="Q768" s="2048" t="n"/>
      <c r="R768" s="2048" t="n"/>
      <c r="S768" s="2048" t="n"/>
      <c r="T768" s="2048" t="n"/>
      <c r="U768" s="2048" t="n"/>
      <c r="V768" s="2048" t="n"/>
      <c r="W768" s="2048" t="n"/>
      <c r="X768" s="2048" t="n"/>
      <c r="Y768" s="2048" t="n"/>
      <c r="Z768" s="2048" t="n"/>
      <c r="AA768" s="2048" t="n"/>
      <c r="AB768" s="2048" t="n"/>
      <c r="AC768" s="2048" t="n"/>
      <c r="AD768" s="2048" t="n"/>
      <c r="AE768" s="2048" t="n"/>
      <c r="AF768" s="2048" t="n"/>
      <c r="AG768" s="2048" t="n"/>
      <c r="AH768" s="2048" t="n"/>
      <c r="AI768" s="2048" t="n"/>
      <c r="AJ768" s="2048" t="n"/>
      <c r="AK768" s="2048" t="n"/>
      <c r="AL768" s="2048" t="n"/>
      <c r="AM768" s="2048" t="n"/>
      <c r="AN768" s="2048" t="n"/>
      <c r="AO768" s="2048" t="n"/>
      <c r="AP768" s="2048" t="n"/>
      <c r="AQ768" s="2048" t="n"/>
      <c r="AR768" s="2048" t="n"/>
      <c r="AS768" s="2048" t="n"/>
      <c r="AT768" s="2048" t="n"/>
      <c r="AU768" s="2048" t="n"/>
      <c r="AV768" s="2048" t="n"/>
      <c r="AW768" s="2048" t="n"/>
      <c r="AX768" s="2048" t="n"/>
      <c r="AY768" s="2048" t="n"/>
      <c r="AZ768" s="2048" t="n"/>
      <c r="BA768" s="2048" t="n"/>
      <c r="BB768" s="2048" t="n"/>
      <c r="BC768" s="2048" t="n"/>
      <c r="BD768" s="2048" t="n"/>
      <c r="BE768" s="2048" t="n"/>
      <c r="BF768" s="2048" t="n"/>
      <c r="BG768" s="2048" t="n"/>
      <c r="BH768" s="2048" t="n"/>
      <c r="BI768" s="2048" t="n"/>
      <c r="BJ768" s="2048" t="n"/>
      <c r="BK768" s="2048" t="n"/>
      <c r="BL768" s="2048" t="n"/>
      <c r="BM768" s="2048" t="n"/>
      <c r="BN768" s="2048" t="n"/>
      <c r="BO768" s="2050" t="n"/>
      <c r="BP768" s="2048" t="n"/>
      <c r="BQ768" s="2048" t="n"/>
      <c r="BR768" s="2048" t="n"/>
      <c r="BS768" s="2048" t="n"/>
      <c r="BT768" s="2048" t="n"/>
      <c r="BU768" s="2048" t="n"/>
      <c r="BV768" s="2048" t="n"/>
      <c r="BW768" s="2048" t="n"/>
      <c r="BX768" s="2048" t="n"/>
      <c r="BY768" s="2048" t="n"/>
      <c r="BZ768" s="2048" t="n"/>
      <c r="CA768" s="2048" t="n"/>
      <c r="CB768" s="2051" t="n"/>
      <c r="CC768" s="1582" t="n"/>
    </row>
    <row r="769" ht="15" customFormat="1" customHeight="1" s="1574">
      <c r="A769" s="2008" t="n"/>
      <c r="B769" s="2020" t="n"/>
      <c r="C769" s="2034" t="n"/>
      <c r="D769" s="2034" t="n"/>
      <c r="E769" s="2020" t="n"/>
      <c r="F769" s="2020" t="n"/>
      <c r="G769" s="2020" t="n"/>
      <c r="H769" s="2020" t="n"/>
      <c r="I769" s="2020" t="n"/>
      <c r="J769" s="2020" t="n"/>
      <c r="K769" s="2020" t="n"/>
      <c r="L769" s="2020" t="n"/>
      <c r="M769" s="2020" t="n"/>
      <c r="N769" s="2020" t="n"/>
      <c r="O769" s="2020" t="n"/>
      <c r="P769" s="2020" t="n"/>
      <c r="Q769" s="2020" t="n"/>
      <c r="R769" s="2020" t="n"/>
      <c r="S769" s="2020" t="n"/>
      <c r="T769" s="2020" t="n"/>
      <c r="U769" s="2020" t="n"/>
      <c r="V769" s="2020" t="n"/>
      <c r="W769" s="2020" t="n"/>
      <c r="X769" s="2020" t="n"/>
      <c r="Y769" s="2020" t="n"/>
      <c r="Z769" s="2020" t="n"/>
      <c r="AA769" s="2020" t="n"/>
      <c r="AB769" s="2020" t="n"/>
      <c r="AC769" s="2020" t="n"/>
      <c r="AD769" s="2020" t="n"/>
      <c r="AE769" s="2020" t="n"/>
      <c r="AF769" s="2020" t="n"/>
      <c r="AG769" s="2020" t="n"/>
      <c r="AH769" s="2020" t="n"/>
      <c r="AI769" s="2020" t="n"/>
      <c r="AJ769" s="2020" t="n"/>
      <c r="AK769" s="2020" t="n"/>
      <c r="AL769" s="2020" t="n"/>
      <c r="AM769" s="2020" t="n"/>
      <c r="AN769" s="2020" t="n"/>
      <c r="AO769" s="2020" t="n"/>
      <c r="AP769" s="2020" t="n"/>
      <c r="AQ769" s="2020" t="n"/>
      <c r="AR769" s="2020" t="n"/>
      <c r="AS769" s="2020" t="n"/>
      <c r="AT769" s="2020" t="n"/>
      <c r="AU769" s="2020" t="n"/>
      <c r="AV769" s="2020" t="n"/>
      <c r="AW769" s="2020" t="n"/>
      <c r="AX769" s="2020" t="n"/>
      <c r="AY769" s="2020" t="n"/>
      <c r="AZ769" s="2020" t="n"/>
      <c r="BA769" s="2020" t="n"/>
      <c r="BB769" s="2020" t="n"/>
      <c r="BC769" s="2020" t="n"/>
      <c r="BD769" s="2020" t="n"/>
      <c r="BE769" s="2020" t="n"/>
      <c r="BF769" s="2020" t="n"/>
      <c r="BG769" s="2020" t="n"/>
      <c r="BH769" s="2020" t="n"/>
      <c r="BI769" s="2020" t="n"/>
      <c r="BJ769" s="2020" t="n"/>
      <c r="BK769" s="2020" t="n"/>
      <c r="BL769" s="2020" t="n"/>
      <c r="BM769" s="2020" t="n"/>
      <c r="BN769" s="2020" t="n"/>
      <c r="BO769" s="2035" t="n"/>
      <c r="BP769" s="2020" t="n"/>
      <c r="BQ769" s="2020" t="n"/>
      <c r="BR769" s="2020" t="n"/>
      <c r="BS769" s="2020" t="n"/>
      <c r="BT769" s="2020" t="n"/>
      <c r="BU769" s="2020" t="n"/>
      <c r="BV769" s="2020" t="n"/>
      <c r="BW769" s="2020" t="n"/>
      <c r="BX769" s="2020" t="n"/>
      <c r="BY769" s="2020" t="n"/>
      <c r="BZ769" s="2020" t="n"/>
      <c r="CA769" s="2020" t="n"/>
      <c r="CB769" s="2020" t="n"/>
      <c r="CC769" s="1582" t="n"/>
    </row>
    <row r="770" ht="15" customFormat="1" customHeight="1" s="1561">
      <c r="A770" s="2053" t="inlineStr">
        <is>
          <t>Consensus Estimate Table</t>
        </is>
      </c>
      <c r="B770" s="1642" t="n"/>
      <c r="C770" s="1642" t="n"/>
      <c r="D770" s="1642" t="n"/>
      <c r="E770" s="1642" t="n"/>
      <c r="F770" s="1642" t="n"/>
      <c r="G770" s="1642" t="n"/>
      <c r="H770" s="1642" t="n"/>
      <c r="I770" s="1642" t="n"/>
      <c r="J770" s="1642" t="n"/>
      <c r="K770" s="1642" t="n"/>
      <c r="L770" s="1642" t="n"/>
      <c r="M770" s="1642" t="n"/>
      <c r="N770" s="1642" t="n"/>
      <c r="O770" s="1642" t="n"/>
      <c r="P770" s="1642" t="n"/>
      <c r="Q770" s="1642" t="n"/>
      <c r="R770" s="1642" t="n"/>
      <c r="S770" s="1642" t="n"/>
      <c r="T770" s="1642" t="n"/>
      <c r="U770" s="1642" t="n"/>
      <c r="V770" s="1642" t="n"/>
      <c r="W770" s="1642" t="n"/>
      <c r="X770" s="1642" t="n"/>
      <c r="Y770" s="1642" t="n"/>
      <c r="Z770" s="1642" t="n"/>
      <c r="AA770" s="1642" t="n"/>
      <c r="AB770" s="1642" t="n"/>
      <c r="AC770" s="1642" t="n"/>
      <c r="AD770" s="1642" t="n"/>
      <c r="AE770" s="1642" t="n"/>
      <c r="AF770" s="1642" t="n"/>
      <c r="AG770" s="1642" t="n"/>
      <c r="AH770" s="1642" t="n"/>
      <c r="AI770" s="1642" t="n"/>
      <c r="AJ770" s="1642" t="n"/>
      <c r="AK770" s="1642" t="n"/>
      <c r="AL770" s="1642" t="n"/>
      <c r="AM770" s="1642" t="n"/>
      <c r="AN770" s="1642" t="n"/>
      <c r="AO770" s="1642" t="n"/>
      <c r="AP770" s="1642" t="n"/>
      <c r="AQ770" s="1642" t="n"/>
      <c r="AR770" s="1642" t="n"/>
      <c r="AS770" s="1642" t="n"/>
      <c r="AT770" s="1642" t="n"/>
      <c r="AU770" s="1642" t="n"/>
      <c r="AV770" s="1642" t="n"/>
      <c r="AW770" s="1642" t="n"/>
      <c r="AX770" s="1642" t="n"/>
      <c r="AY770" s="1642" t="n"/>
      <c r="AZ770" s="1642" t="n"/>
      <c r="BA770" s="1642" t="n"/>
      <c r="BB770" s="1642" t="n"/>
      <c r="BC770" s="1642" t="n"/>
      <c r="BD770" s="1642" t="n"/>
      <c r="BE770" s="1642" t="n"/>
      <c r="BF770" s="1642" t="n"/>
      <c r="BG770" s="1642" t="n"/>
      <c r="BH770" s="1642" t="n"/>
      <c r="BI770" s="1642" t="n"/>
      <c r="BJ770" s="1642" t="n"/>
      <c r="BK770" s="1642" t="n"/>
      <c r="BL770" s="1642" t="n"/>
      <c r="BM770" s="1642" t="n"/>
      <c r="BN770" s="1642" t="n"/>
      <c r="BO770" s="2054" t="n"/>
      <c r="BP770" s="1642">
        <f>BP5</f>
        <v/>
      </c>
      <c r="BQ770" s="1642">
        <f>BQ5</f>
        <v/>
      </c>
      <c r="BR770" s="1642">
        <f>BR5</f>
        <v/>
      </c>
      <c r="BS770" s="1642">
        <f>BS5</f>
        <v/>
      </c>
      <c r="BT770" s="1642">
        <f>BT5</f>
        <v/>
      </c>
      <c r="BU770" s="1642">
        <f>BU5</f>
        <v/>
      </c>
      <c r="BV770" s="1642">
        <f>BV5</f>
        <v/>
      </c>
      <c r="BW770" s="1642">
        <f>BW5</f>
        <v/>
      </c>
      <c r="BX770" s="1642">
        <f>BX5</f>
        <v/>
      </c>
      <c r="BY770" s="1642">
        <f>BY5</f>
        <v/>
      </c>
      <c r="BZ770" s="1642">
        <f>BZ5</f>
        <v/>
      </c>
      <c r="CA770" s="1642">
        <f>CA5</f>
        <v/>
      </c>
      <c r="CB770" s="2055">
        <f>CB5</f>
        <v/>
      </c>
      <c r="CC770" s="2056" t="n"/>
    </row>
    <row r="771" ht="15" customFormat="1" customHeight="1" s="1561">
      <c r="A771" s="2057" t="inlineStr">
        <is>
          <t>FY or FQ</t>
        </is>
      </c>
      <c r="B771" s="1719" t="n"/>
      <c r="C771" s="1719" t="n"/>
      <c r="D771" s="1719" t="n"/>
      <c r="E771" s="1719" t="n"/>
      <c r="F771" s="1719" t="n"/>
      <c r="G771" s="1719" t="n"/>
      <c r="H771" s="1719" t="n"/>
      <c r="I771" s="1719" t="n"/>
      <c r="J771" s="1719" t="n"/>
      <c r="K771" s="1719" t="n"/>
      <c r="L771" s="1719" t="n"/>
      <c r="M771" s="1719" t="n"/>
      <c r="N771" s="1719" t="n"/>
      <c r="O771" s="1719" t="n"/>
      <c r="P771" s="1719" t="n"/>
      <c r="Q771" s="1719" t="n"/>
      <c r="R771" s="1719" t="n"/>
      <c r="S771" s="1719" t="n"/>
      <c r="T771" s="1719" t="n"/>
      <c r="U771" s="1719" t="n"/>
      <c r="V771" s="1719" t="n"/>
      <c r="W771" s="1719" t="n"/>
      <c r="X771" s="1719" t="n"/>
      <c r="Y771" s="1719" t="n"/>
      <c r="Z771" s="1719" t="n"/>
      <c r="AA771" s="1719" t="n"/>
      <c r="AB771" s="1719" t="n"/>
      <c r="AC771" s="1719" t="n"/>
      <c r="AD771" s="1719" t="n"/>
      <c r="AE771" s="1719" t="n"/>
      <c r="AF771" s="1719" t="n"/>
      <c r="AG771" s="1719" t="n"/>
      <c r="AH771" s="1719" t="n"/>
      <c r="AI771" s="1719" t="n"/>
      <c r="AJ771" s="1719" t="n"/>
      <c r="AK771" s="1719" t="n"/>
      <c r="AL771" s="1719" t="n"/>
      <c r="AM771" s="1719" t="n"/>
      <c r="AN771" s="1719" t="n"/>
      <c r="AO771" s="1719" t="n"/>
      <c r="AP771" s="1719" t="n"/>
      <c r="AQ771" s="1719" t="n"/>
      <c r="AR771" s="1719" t="n"/>
      <c r="AS771" s="1719" t="n"/>
      <c r="AT771" s="1719" t="n"/>
      <c r="AU771" s="1719" t="n"/>
      <c r="AV771" s="1719" t="n"/>
      <c r="AW771" s="1719" t="n"/>
      <c r="AX771" s="1719" t="n"/>
      <c r="AY771" s="1719" t="n"/>
      <c r="AZ771" s="1719" t="n"/>
      <c r="BA771" s="1719" t="n"/>
      <c r="BB771" s="1719" t="n"/>
      <c r="BC771" s="1719" t="n"/>
      <c r="BD771" s="1719" t="n"/>
      <c r="BE771" s="1719" t="n"/>
      <c r="BF771" s="1719" t="n"/>
      <c r="BG771" s="1719" t="n"/>
      <c r="BH771" s="1719" t="n"/>
      <c r="BI771" s="1719" t="n"/>
      <c r="BJ771" s="1719" t="n"/>
      <c r="BK771" s="1719" t="n"/>
      <c r="BL771" s="1719" t="n"/>
      <c r="BM771" s="1719" t="n"/>
      <c r="BN771" s="1719" t="n"/>
      <c r="BO771" s="2058" t="n"/>
      <c r="BP771" s="1719">
        <f>IF(MO.DataSourceIndex=3,IF(LEFT(INDIRECT(ADDRESS(ROW()-1,COLUMN())),2)="FY","ANNUAL",IF(LEFT(INDIRECT(ADDRESS(ROW()-1,COLUMN())),1)="Q","QUARTERLY","")),IF(LEFT(INDIRECT(ADDRESS(ROW()-1,COLUMN())),2)="FY","FY",IF(LEFT(INDIRECT(ADDRESS(ROW()-1,COLUMN())),1)="Q","FQ","FS")))</f>
        <v/>
      </c>
      <c r="BQ771" s="1719">
        <f>IF(MO.DataSourceIndex=3,IF(LEFT(INDIRECT(ADDRESS(ROW()-1,COLUMN())),2)="FY","ANNUAL",IF(LEFT(INDIRECT(ADDRESS(ROW()-1,COLUMN())),1)="Q","QUARTERLY","")),IF(LEFT(INDIRECT(ADDRESS(ROW()-1,COLUMN())),2)="FY","FY",IF(LEFT(INDIRECT(ADDRESS(ROW()-1,COLUMN())),1)="Q","FQ","FS")))</f>
        <v/>
      </c>
      <c r="BR771" s="1719">
        <f>IF(MO.DataSourceIndex=3,IF(LEFT(INDIRECT(ADDRESS(ROW()-1,COLUMN())),2)="FY","ANNUAL",IF(LEFT(INDIRECT(ADDRESS(ROW()-1,COLUMN())),1)="Q","QUARTERLY","")),IF(LEFT(INDIRECT(ADDRESS(ROW()-1,COLUMN())),2)="FY","FY",IF(LEFT(INDIRECT(ADDRESS(ROW()-1,COLUMN())),1)="Q","FQ","FS")))</f>
        <v/>
      </c>
      <c r="BS771" s="1719">
        <f>IF(MO.DataSourceIndex=3,IF(LEFT(INDIRECT(ADDRESS(ROW()-1,COLUMN())),2)="FY","ANNUAL",IF(LEFT(INDIRECT(ADDRESS(ROW()-1,COLUMN())),1)="Q","QUARTERLY","")),IF(LEFT(INDIRECT(ADDRESS(ROW()-1,COLUMN())),2)="FY","FY",IF(LEFT(INDIRECT(ADDRESS(ROW()-1,COLUMN())),1)="Q","FQ","FS")))</f>
        <v/>
      </c>
      <c r="BT771" s="1719">
        <f>IF(MO.DataSourceIndex=3,IF(LEFT(INDIRECT(ADDRESS(ROW()-1,COLUMN())),2)="FY","ANNUAL",IF(LEFT(INDIRECT(ADDRESS(ROW()-1,COLUMN())),1)="Q","QUARTERLY","")),IF(LEFT(INDIRECT(ADDRESS(ROW()-1,COLUMN())),2)="FY","FY",IF(LEFT(INDIRECT(ADDRESS(ROW()-1,COLUMN())),1)="Q","FQ","FS")))</f>
        <v/>
      </c>
      <c r="BU771" s="1719">
        <f>IF(MO.DataSourceIndex=3,IF(LEFT(INDIRECT(ADDRESS(ROW()-1,COLUMN())),2)="FY","ANNUAL",IF(LEFT(INDIRECT(ADDRESS(ROW()-1,COLUMN())),1)="Q","QUARTERLY","")),IF(LEFT(INDIRECT(ADDRESS(ROW()-1,COLUMN())),2)="FY","FY",IF(LEFT(INDIRECT(ADDRESS(ROW()-1,COLUMN())),1)="Q","FQ","FS")))</f>
        <v/>
      </c>
      <c r="BV771" s="1719">
        <f>IF(MO.DataSourceIndex=3,IF(LEFT(INDIRECT(ADDRESS(ROW()-1,COLUMN())),2)="FY","ANNUAL",IF(LEFT(INDIRECT(ADDRESS(ROW()-1,COLUMN())),1)="Q","QUARTERLY","")),IF(LEFT(INDIRECT(ADDRESS(ROW()-1,COLUMN())),2)="FY","FY",IF(LEFT(INDIRECT(ADDRESS(ROW()-1,COLUMN())),1)="Q","FQ","FS")))</f>
        <v/>
      </c>
      <c r="BW771" s="1719">
        <f>IF(MO.DataSourceIndex=3,IF(LEFT(INDIRECT(ADDRESS(ROW()-1,COLUMN())),2)="FY","ANNUAL",IF(LEFT(INDIRECT(ADDRESS(ROW()-1,COLUMN())),1)="Q","QUARTERLY","")),IF(LEFT(INDIRECT(ADDRESS(ROW()-1,COLUMN())),2)="FY","FY",IF(LEFT(INDIRECT(ADDRESS(ROW()-1,COLUMN())),1)="Q","FQ","FS")))</f>
        <v/>
      </c>
      <c r="BX771" s="1719">
        <f>IF(MO.DataSourceIndex=3,IF(LEFT(INDIRECT(ADDRESS(ROW()-1,COLUMN())),2)="FY","ANNUAL",IF(LEFT(INDIRECT(ADDRESS(ROW()-1,COLUMN())),1)="Q","QUARTERLY","")),IF(LEFT(INDIRECT(ADDRESS(ROW()-1,COLUMN())),2)="FY","FY",IF(LEFT(INDIRECT(ADDRESS(ROW()-1,COLUMN())),1)="Q","FQ","FS")))</f>
        <v/>
      </c>
      <c r="BY771" s="1719">
        <f>IF(MO.DataSourceIndex=3,IF(LEFT(INDIRECT(ADDRESS(ROW()-1,COLUMN())),2)="FY","ANNUAL",IF(LEFT(INDIRECT(ADDRESS(ROW()-1,COLUMN())),1)="Q","QUARTERLY","")),IF(LEFT(INDIRECT(ADDRESS(ROW()-1,COLUMN())),2)="FY","FY",IF(LEFT(INDIRECT(ADDRESS(ROW()-1,COLUMN())),1)="Q","FQ","FS")))</f>
        <v/>
      </c>
      <c r="BZ771" s="1719">
        <f>IF(MO.DataSourceIndex=3,IF(LEFT(INDIRECT(ADDRESS(ROW()-1,COLUMN())),2)="FY","ANNUAL",IF(LEFT(INDIRECT(ADDRESS(ROW()-1,COLUMN())),1)="Q","QUARTERLY","")),IF(LEFT(INDIRECT(ADDRESS(ROW()-1,COLUMN())),2)="FY","FY",IF(LEFT(INDIRECT(ADDRESS(ROW()-1,COLUMN())),1)="Q","FQ","FS")))</f>
        <v/>
      </c>
      <c r="CA771" s="1719">
        <f>IF(MO.DataSourceIndex=3,IF(LEFT(INDIRECT(ADDRESS(ROW()-1,COLUMN())),2)="FY","ANNUAL",IF(LEFT(INDIRECT(ADDRESS(ROW()-1,COLUMN())),1)="Q","QUARTERLY","")),IF(LEFT(INDIRECT(ADDRESS(ROW()-1,COLUMN())),2)="FY","FY",IF(LEFT(INDIRECT(ADDRESS(ROW()-1,COLUMN())),1)="Q","FQ","FS")))</f>
        <v/>
      </c>
      <c r="CB771" s="2059">
        <f>IF(MO.DataSourceIndex=3,IF(LEFT(INDIRECT(ADDRESS(ROW()-1,COLUMN())),2)="FY","ANNUAL",IF(LEFT(INDIRECT(ADDRESS(ROW()-1,COLUMN())),1)="Q","QUARTERLY","")),IF(LEFT(INDIRECT(ADDRESS(ROW()-1,COLUMN())),2)="FY","FY",IF(LEFT(INDIRECT(ADDRESS(ROW()-1,COLUMN())),1)="Q","FQ","FS")))</f>
        <v/>
      </c>
      <c r="CC771" s="2056" t="n"/>
    </row>
    <row r="772" ht="15" customFormat="1" customHeight="1" s="1561">
      <c r="A772" s="2057" t="inlineStr">
        <is>
          <t>Period</t>
        </is>
      </c>
      <c r="B772" s="1719" t="n"/>
      <c r="C772" s="1719" t="n"/>
      <c r="D772" s="1719" t="n"/>
      <c r="E772" s="1719" t="n"/>
      <c r="F772" s="1719" t="n"/>
      <c r="G772" s="1719" t="n"/>
      <c r="H772" s="1719" t="n"/>
      <c r="I772" s="1719" t="n"/>
      <c r="J772" s="1719" t="n"/>
      <c r="K772" s="1719" t="n"/>
      <c r="L772" s="1719" t="n"/>
      <c r="M772" s="1719" t="n"/>
      <c r="N772" s="1719" t="n"/>
      <c r="O772" s="1719" t="n"/>
      <c r="P772" s="1719" t="n"/>
      <c r="Q772" s="1719" t="n"/>
      <c r="R772" s="1719" t="n"/>
      <c r="S772" s="1719" t="n"/>
      <c r="T772" s="1719" t="n"/>
      <c r="U772" s="1719" t="n"/>
      <c r="V772" s="1719" t="n"/>
      <c r="W772" s="1719" t="n"/>
      <c r="X772" s="1719" t="n"/>
      <c r="Y772" s="1719" t="n"/>
      <c r="Z772" s="1719" t="n"/>
      <c r="AA772" s="1719" t="n"/>
      <c r="AB772" s="1719" t="n"/>
      <c r="AC772" s="1719" t="n"/>
      <c r="AD772" s="1719" t="n"/>
      <c r="AE772" s="1719" t="n"/>
      <c r="AF772" s="1719" t="n"/>
      <c r="AG772" s="1719" t="n"/>
      <c r="AH772" s="1719" t="n"/>
      <c r="AI772" s="1719" t="n"/>
      <c r="AJ772" s="1719" t="n"/>
      <c r="AK772" s="1719" t="n"/>
      <c r="AL772" s="1719" t="n"/>
      <c r="AM772" s="1719" t="n"/>
      <c r="AN772" s="1719" t="n"/>
      <c r="AO772" s="1719" t="n"/>
      <c r="AP772" s="1719" t="n"/>
      <c r="AQ772" s="1719" t="n"/>
      <c r="AR772" s="1719" t="n"/>
      <c r="AS772" s="1719" t="n"/>
      <c r="AT772" s="1719" t="n"/>
      <c r="AU772" s="1719" t="n"/>
      <c r="AV772" s="1719" t="n"/>
      <c r="AW772" s="1719" t="n"/>
      <c r="AX772" s="1719" t="n"/>
      <c r="AY772" s="1719" t="n"/>
      <c r="AZ772" s="1719" t="n"/>
      <c r="BA772" s="1719" t="n"/>
      <c r="BB772" s="1719" t="n"/>
      <c r="BC772" s="1719" t="n"/>
      <c r="BD772" s="1719" t="n"/>
      <c r="BE772" s="1719" t="n"/>
      <c r="BF772" s="1719" t="n"/>
      <c r="BG772" s="1719" t="n"/>
      <c r="BH772" s="1719" t="n"/>
      <c r="BI772" s="1719" t="n"/>
      <c r="BJ772" s="1719" t="n"/>
      <c r="BK772" s="1719" t="n"/>
      <c r="BL772" s="1719" t="n"/>
      <c r="BM772" s="1719" t="n"/>
      <c r="BN772" s="1719" t="n"/>
      <c r="BO772" s="2058" t="n"/>
      <c r="BP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Q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R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S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T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U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V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W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X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Y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BZ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CA772" s="171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CB772" s="205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CC772" s="2056" t="n"/>
    </row>
    <row r="773" ht="15" customFormat="1" customHeight="1" s="1561">
      <c r="A773" s="2022">
        <f>$A$282</f>
        <v/>
      </c>
      <c r="B773" s="1562" t="n"/>
      <c r="C773" s="646" t="n"/>
      <c r="D773" s="647" t="n"/>
      <c r="E773" s="647" t="n"/>
      <c r="F773" s="647" t="n"/>
      <c r="G773" s="647" t="n"/>
      <c r="H773" s="647" t="n"/>
      <c r="I773" s="647" t="n"/>
      <c r="J773" s="646" t="n"/>
      <c r="K773" s="646" t="n"/>
      <c r="L773" s="646" t="n"/>
      <c r="M773" s="646" t="n"/>
      <c r="N773" s="646" t="n"/>
      <c r="O773" s="646" t="n"/>
      <c r="P773" s="1562" t="n"/>
      <c r="Q773" s="1562" t="n"/>
      <c r="R773" s="1562" t="n"/>
      <c r="S773" s="1562" t="n"/>
      <c r="T773" s="1562" t="n"/>
      <c r="U773" s="1562" t="n"/>
      <c r="V773" s="1562" t="n"/>
      <c r="W773" s="1562" t="n"/>
      <c r="X773" s="1562" t="n"/>
      <c r="Y773" s="1562" t="n"/>
      <c r="Z773" s="1562" t="n"/>
      <c r="AA773" s="1562" t="n"/>
      <c r="AB773" s="1562" t="n"/>
      <c r="AC773" s="1562" t="n"/>
      <c r="AD773" s="1562" t="n"/>
      <c r="AE773" s="1562" t="n"/>
      <c r="AF773" s="1562" t="n"/>
      <c r="AG773" s="1562" t="n"/>
      <c r="AH773" s="1562" t="n"/>
      <c r="AI773" s="1562" t="n"/>
      <c r="AJ773" s="1562" t="n"/>
      <c r="AK773" s="1562" t="n"/>
      <c r="AL773" s="1562" t="n"/>
      <c r="AM773" s="1562" t="n"/>
      <c r="AN773" s="1562" t="n"/>
      <c r="AO773" s="1562" t="n"/>
      <c r="AP773" s="1562" t="n"/>
      <c r="AQ773" s="1562" t="n"/>
      <c r="AR773" s="1562" t="n"/>
      <c r="AS773" s="1562" t="n"/>
      <c r="AT773" s="1562" t="n"/>
      <c r="AU773" s="1562" t="n"/>
      <c r="AV773" s="1562" t="n"/>
      <c r="AW773" s="1562" t="n"/>
      <c r="AX773" s="1562" t="n"/>
      <c r="AY773" s="1562" t="n"/>
      <c r="AZ773" s="1562" t="n"/>
      <c r="BA773" s="1562" t="n"/>
      <c r="BB773" s="1562" t="n"/>
      <c r="BC773" s="1562" t="n"/>
      <c r="BD773" s="1562" t="n"/>
      <c r="BE773" s="1562" t="n"/>
      <c r="BF773" s="1562" t="n"/>
      <c r="BG773" s="1562" t="n"/>
      <c r="BH773" s="1562" t="n"/>
      <c r="BI773" s="1562" t="n"/>
      <c r="BJ773" s="1562" t="n"/>
      <c r="BK773" s="1562" t="n"/>
      <c r="BL773" s="1562" t="n"/>
      <c r="BM773" s="1562" t="n"/>
      <c r="BN773" s="1562" t="n"/>
      <c r="BO773" s="1563" t="n"/>
      <c r="BP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Q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R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S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T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U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V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W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X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Y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BZ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CA773" s="646">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CB773" s="464">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CC773" s="2056" t="n"/>
    </row>
    <row r="774" ht="15" customFormat="1" customHeight="1" s="1561">
      <c r="A774" s="2022">
        <f>$A$330</f>
        <v/>
      </c>
      <c r="B774" s="1562" t="n"/>
      <c r="C774" s="1562" t="n"/>
      <c r="D774" s="2009" t="n"/>
      <c r="E774" s="2009" t="n"/>
      <c r="F774" s="2009" t="n"/>
      <c r="G774" s="2009" t="n"/>
      <c r="H774" s="2009" t="n"/>
      <c r="I774" s="2009" t="n"/>
      <c r="J774" s="1562" t="n"/>
      <c r="K774" s="1562" t="n"/>
      <c r="L774" s="1562" t="n"/>
      <c r="M774" s="1562" t="n"/>
      <c r="N774" s="1562" t="n"/>
      <c r="O774" s="1562" t="n"/>
      <c r="P774" s="1562" t="n"/>
      <c r="Q774" s="1562" t="n"/>
      <c r="R774" s="1562" t="n"/>
      <c r="S774" s="1562" t="n"/>
      <c r="T774" s="1562" t="n"/>
      <c r="U774" s="1562" t="n"/>
      <c r="V774" s="1562" t="n"/>
      <c r="W774" s="1562" t="n"/>
      <c r="X774" s="1562" t="n"/>
      <c r="Y774" s="1562" t="n"/>
      <c r="Z774" s="1562" t="n"/>
      <c r="AA774" s="1562" t="n"/>
      <c r="AB774" s="1562" t="n"/>
      <c r="AC774" s="1562" t="n"/>
      <c r="AD774" s="1562" t="n"/>
      <c r="AE774" s="1562" t="n"/>
      <c r="AF774" s="1562" t="n"/>
      <c r="AG774" s="1562" t="n"/>
      <c r="AH774" s="1562" t="n"/>
      <c r="AI774" s="1562" t="n"/>
      <c r="AJ774" s="1562" t="n"/>
      <c r="AK774" s="1562" t="n"/>
      <c r="AL774" s="1562" t="n"/>
      <c r="AM774" s="1562" t="n"/>
      <c r="AN774" s="1562" t="n"/>
      <c r="AO774" s="1562" t="n"/>
      <c r="AP774" s="1562" t="n"/>
      <c r="AQ774" s="1562" t="n"/>
      <c r="AR774" s="1562" t="n"/>
      <c r="AS774" s="1562" t="n"/>
      <c r="AT774" s="1562" t="n"/>
      <c r="AU774" s="1562" t="n"/>
      <c r="AV774" s="1562" t="n"/>
      <c r="AW774" s="1562" t="n"/>
      <c r="AX774" s="1562" t="n"/>
      <c r="AY774" s="1562" t="n"/>
      <c r="AZ774" s="1562" t="n"/>
      <c r="BA774" s="1562" t="n"/>
      <c r="BB774" s="1562" t="n"/>
      <c r="BC774" s="1562" t="n"/>
      <c r="BD774" s="1562" t="n"/>
      <c r="BE774" s="1562" t="n"/>
      <c r="BF774" s="1562" t="n"/>
      <c r="BG774" s="1562" t="n"/>
      <c r="BH774" s="1562" t="n"/>
      <c r="BI774" s="1562" t="n"/>
      <c r="BJ774" s="1562" t="n"/>
      <c r="BK774" s="1562" t="n"/>
      <c r="BL774" s="1562" t="n"/>
      <c r="BM774" s="1562" t="n"/>
      <c r="BN774" s="1562" t="n"/>
      <c r="BO774" s="1563" t="n"/>
      <c r="BP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Q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R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S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T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U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V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W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X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Y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BZ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CA774" s="1562">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CB774" s="2060">
        <f>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CC774" s="2056" t="n"/>
    </row>
    <row r="775" ht="15" customFormat="1" customHeight="1" s="1561">
      <c r="A775" s="2022">
        <f>$A$346</f>
        <v/>
      </c>
      <c r="B775" s="1562" t="n"/>
      <c r="C775" s="1562" t="n"/>
      <c r="D775" s="2009" t="n"/>
      <c r="E775" s="2009" t="n"/>
      <c r="F775" s="2009" t="n"/>
      <c r="G775" s="2009" t="n"/>
      <c r="H775" s="2009" t="n"/>
      <c r="I775" s="2009" t="n"/>
      <c r="J775" s="1562" t="n"/>
      <c r="K775" s="1562" t="n"/>
      <c r="L775" s="1562" t="n"/>
      <c r="M775" s="1562" t="n"/>
      <c r="N775" s="1562" t="n"/>
      <c r="O775" s="1562" t="n"/>
      <c r="P775" s="1562" t="n"/>
      <c r="Q775" s="1562" t="n"/>
      <c r="R775" s="1562" t="n"/>
      <c r="S775" s="1562" t="n"/>
      <c r="T775" s="1562" t="n"/>
      <c r="U775" s="1562" t="n"/>
      <c r="V775" s="1562" t="n"/>
      <c r="W775" s="1562" t="n"/>
      <c r="X775" s="1562" t="n"/>
      <c r="Y775" s="1562" t="n"/>
      <c r="Z775" s="1562" t="n"/>
      <c r="AA775" s="1562" t="n"/>
      <c r="AB775" s="1562" t="n"/>
      <c r="AC775" s="1562" t="n"/>
      <c r="AD775" s="1562" t="n"/>
      <c r="AE775" s="1562" t="n"/>
      <c r="AF775" s="1562" t="n"/>
      <c r="AG775" s="1562" t="n"/>
      <c r="AH775" s="1562" t="n"/>
      <c r="AI775" s="1562" t="n"/>
      <c r="AJ775" s="1562" t="n"/>
      <c r="AK775" s="1562" t="n"/>
      <c r="AL775" s="1562" t="n"/>
      <c r="AM775" s="1562" t="n"/>
      <c r="AN775" s="1562" t="n"/>
      <c r="AO775" s="1562" t="n"/>
      <c r="AP775" s="1562" t="n"/>
      <c r="AQ775" s="1562" t="n"/>
      <c r="AR775" s="1562" t="n"/>
      <c r="AS775" s="1562" t="n"/>
      <c r="AT775" s="1562" t="n"/>
      <c r="AU775" s="1562" t="n"/>
      <c r="AV775" s="1562" t="n"/>
      <c r="AW775" s="1562" t="n"/>
      <c r="AX775" s="1562" t="n"/>
      <c r="AY775" s="1562" t="n"/>
      <c r="AZ775" s="1562" t="n"/>
      <c r="BA775" s="1562" t="n"/>
      <c r="BB775" s="1562" t="n"/>
      <c r="BC775" s="1562" t="n"/>
      <c r="BD775" s="1562" t="n"/>
      <c r="BE775" s="1562" t="n"/>
      <c r="BF775" s="1562" t="n"/>
      <c r="BG775" s="1562" t="n"/>
      <c r="BH775" s="1562" t="n"/>
      <c r="BI775" s="1562" t="n"/>
      <c r="BJ775" s="1562" t="n"/>
      <c r="BK775" s="1562" t="n"/>
      <c r="BL775" s="1562" t="n"/>
      <c r="BM775" s="1562" t="n"/>
      <c r="BN775" s="1562" t="n"/>
      <c r="BO775" s="1563" t="n"/>
      <c r="BP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Q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R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S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T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U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V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W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X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Y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BZ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CA775" s="1562">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CB775" s="2060">
        <f>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CC775" s="2056" t="n"/>
    </row>
    <row r="776" ht="15" customFormat="1" customHeight="1" s="1561">
      <c r="A776" s="2022">
        <f>$A$340</f>
        <v/>
      </c>
      <c r="B776" s="1562" t="n"/>
      <c r="C776" s="1562" t="n"/>
      <c r="D776" s="2009" t="n"/>
      <c r="E776" s="2009" t="n"/>
      <c r="F776" s="2009" t="n"/>
      <c r="G776" s="2009" t="n"/>
      <c r="H776" s="2009" t="n"/>
      <c r="I776" s="2009" t="n"/>
      <c r="J776" s="1562" t="n"/>
      <c r="K776" s="1562" t="n"/>
      <c r="L776" s="1562" t="n"/>
      <c r="M776" s="1562" t="n"/>
      <c r="N776" s="1562" t="n"/>
      <c r="O776" s="1562" t="n"/>
      <c r="P776" s="1562" t="n"/>
      <c r="Q776" s="1562" t="n"/>
      <c r="R776" s="1562" t="n"/>
      <c r="S776" s="1562" t="n"/>
      <c r="T776" s="1562" t="n"/>
      <c r="U776" s="1562" t="n"/>
      <c r="V776" s="1562" t="n"/>
      <c r="W776" s="1562" t="n"/>
      <c r="X776" s="1562" t="n"/>
      <c r="Y776" s="1562" t="n"/>
      <c r="Z776" s="1562" t="n"/>
      <c r="AA776" s="1562" t="n"/>
      <c r="AB776" s="1562" t="n"/>
      <c r="AC776" s="1562" t="n"/>
      <c r="AD776" s="1562" t="n"/>
      <c r="AE776" s="1562" t="n"/>
      <c r="AF776" s="1562" t="n"/>
      <c r="AG776" s="1562" t="n"/>
      <c r="AH776" s="1562" t="n"/>
      <c r="AI776" s="1562" t="n"/>
      <c r="AJ776" s="1562" t="n"/>
      <c r="AK776" s="1562" t="n"/>
      <c r="AL776" s="1562" t="n"/>
      <c r="AM776" s="1562" t="n"/>
      <c r="AN776" s="1562" t="n"/>
      <c r="AO776" s="1562" t="n"/>
      <c r="AP776" s="1562" t="n"/>
      <c r="AQ776" s="1562" t="n"/>
      <c r="AR776" s="1562" t="n"/>
      <c r="AS776" s="1562" t="n"/>
      <c r="AT776" s="1562" t="n"/>
      <c r="AU776" s="1562" t="n"/>
      <c r="AV776" s="1562" t="n"/>
      <c r="AW776" s="1562" t="n"/>
      <c r="AX776" s="1562" t="n"/>
      <c r="AY776" s="1562" t="n"/>
      <c r="AZ776" s="1562" t="n"/>
      <c r="BA776" s="1562" t="n"/>
      <c r="BB776" s="1562" t="n"/>
      <c r="BC776" s="1562" t="n"/>
      <c r="BD776" s="1562" t="n"/>
      <c r="BE776" s="1562" t="n"/>
      <c r="BF776" s="1562" t="n"/>
      <c r="BG776" s="1562" t="n"/>
      <c r="BH776" s="1562" t="n"/>
      <c r="BI776" s="1562" t="n"/>
      <c r="BJ776" s="1562" t="n"/>
      <c r="BK776" s="1562" t="n"/>
      <c r="BL776" s="1562" t="n"/>
      <c r="BM776" s="1562" t="n"/>
      <c r="BN776" s="1562" t="n"/>
      <c r="BO776" s="1563" t="n"/>
      <c r="BP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Q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R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S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T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U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V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W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X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Y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BZ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CA776" s="1562">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CB776" s="2060">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CC776" s="2056" t="n"/>
    </row>
    <row r="777" ht="15" customFormat="1" customHeight="1" s="623">
      <c r="A777" s="255">
        <f>$A$373</f>
        <v/>
      </c>
      <c r="B777" s="649" t="n"/>
      <c r="C777" s="649" t="n"/>
      <c r="D777" s="650" t="n"/>
      <c r="E777" s="650" t="n"/>
      <c r="F777" s="650" t="n"/>
      <c r="G777" s="650" t="n"/>
      <c r="H777" s="650" t="n"/>
      <c r="I777" s="650" t="n"/>
      <c r="J777" s="649" t="n"/>
      <c r="K777" s="649" t="n"/>
      <c r="L777" s="649" t="n"/>
      <c r="M777" s="649" t="n"/>
      <c r="N777" s="649" t="n"/>
      <c r="O777" s="649" t="n"/>
      <c r="P777" s="649" t="n"/>
      <c r="Q777" s="649" t="n"/>
      <c r="R777" s="649" t="n"/>
      <c r="S777" s="649" t="n"/>
      <c r="T777" s="649" t="n"/>
      <c r="U777" s="649" t="n"/>
      <c r="V777" s="649" t="n"/>
      <c r="W777" s="649" t="n"/>
      <c r="X777" s="649" t="n"/>
      <c r="Y777" s="649" t="n"/>
      <c r="Z777" s="649" t="n"/>
      <c r="AA777" s="649" t="n"/>
      <c r="AB777" s="649" t="n"/>
      <c r="AC777" s="649" t="n"/>
      <c r="AD777" s="649" t="n"/>
      <c r="AE777" s="649" t="n"/>
      <c r="AF777" s="649" t="n"/>
      <c r="AG777" s="649" t="n"/>
      <c r="AH777" s="649" t="n"/>
      <c r="AI777" s="649" t="n"/>
      <c r="AJ777" s="649" t="n"/>
      <c r="AK777" s="649" t="n"/>
      <c r="AL777" s="649" t="n"/>
      <c r="AM777" s="649" t="n"/>
      <c r="AN777" s="649" t="n"/>
      <c r="AO777" s="649" t="n"/>
      <c r="AP777" s="649" t="n"/>
      <c r="AQ777" s="649" t="n"/>
      <c r="AR777" s="649" t="n"/>
      <c r="AS777" s="649" t="n"/>
      <c r="AT777" s="649" t="n"/>
      <c r="AU777" s="649" t="n"/>
      <c r="AV777" s="649" t="n"/>
      <c r="AW777" s="649" t="n"/>
      <c r="AX777" s="649" t="n"/>
      <c r="AY777" s="649" t="n"/>
      <c r="AZ777" s="649" t="n"/>
      <c r="BA777" s="649" t="n"/>
      <c r="BB777" s="649" t="n"/>
      <c r="BC777" s="649" t="n"/>
      <c r="BD777" s="649" t="n"/>
      <c r="BE777" s="649" t="n"/>
      <c r="BF777" s="649" t="n"/>
      <c r="BG777" s="649" t="n"/>
      <c r="BH777" s="649" t="n"/>
      <c r="BI777" s="649" t="n"/>
      <c r="BJ777" s="649" t="n"/>
      <c r="BK777" s="649" t="n"/>
      <c r="BL777" s="649" t="n"/>
      <c r="BM777" s="649" t="n"/>
      <c r="BN777" s="649" t="n"/>
      <c r="BO777" s="354" t="n"/>
      <c r="BP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Q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R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S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T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U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V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W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X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Y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BZ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CA777" s="649">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CB777" s="466">
        <f>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CC777" s="256" t="n"/>
    </row>
    <row r="778" ht="15" customFormat="1" customHeight="1" s="623">
      <c r="A778" s="255">
        <f>$A$402</f>
        <v/>
      </c>
      <c r="B778" s="649" t="n"/>
      <c r="C778" s="649" t="n"/>
      <c r="D778" s="650" t="n"/>
      <c r="E778" s="650" t="n"/>
      <c r="F778" s="650" t="n"/>
      <c r="G778" s="650" t="n"/>
      <c r="H778" s="650" t="n"/>
      <c r="I778" s="650" t="n"/>
      <c r="J778" s="649" t="n"/>
      <c r="K778" s="649" t="n"/>
      <c r="L778" s="649" t="n"/>
      <c r="M778" s="649" t="n"/>
      <c r="N778" s="649" t="n"/>
      <c r="O778" s="649" t="n"/>
      <c r="P778" s="649" t="n"/>
      <c r="Q778" s="649" t="n"/>
      <c r="R778" s="649" t="n"/>
      <c r="S778" s="649" t="n"/>
      <c r="T778" s="649" t="n"/>
      <c r="U778" s="649" t="n"/>
      <c r="V778" s="649" t="n"/>
      <c r="W778" s="649" t="n"/>
      <c r="X778" s="649" t="n"/>
      <c r="Y778" s="649" t="n"/>
      <c r="Z778" s="649" t="n"/>
      <c r="AA778" s="649" t="n"/>
      <c r="AB778" s="649" t="n"/>
      <c r="AC778" s="649" t="n"/>
      <c r="AD778" s="649" t="n"/>
      <c r="AE778" s="649" t="n"/>
      <c r="AF778" s="649" t="n"/>
      <c r="AG778" s="649" t="n"/>
      <c r="AH778" s="649" t="n"/>
      <c r="AI778" s="649" t="n"/>
      <c r="AJ778" s="649" t="n"/>
      <c r="AK778" s="649" t="n"/>
      <c r="AL778" s="649" t="n"/>
      <c r="AM778" s="649" t="n"/>
      <c r="AN778" s="649" t="n"/>
      <c r="AO778" s="649" t="n"/>
      <c r="AP778" s="649" t="n"/>
      <c r="AQ778" s="649" t="n"/>
      <c r="AR778" s="649" t="n"/>
      <c r="AS778" s="649" t="n"/>
      <c r="AT778" s="649" t="n"/>
      <c r="AU778" s="649" t="n"/>
      <c r="AV778" s="649" t="n"/>
      <c r="AW778" s="649" t="n"/>
      <c r="AX778" s="649" t="n"/>
      <c r="AY778" s="649" t="n"/>
      <c r="AZ778" s="649" t="n"/>
      <c r="BA778" s="649" t="n"/>
      <c r="BB778" s="649" t="n"/>
      <c r="BC778" s="649" t="n"/>
      <c r="BD778" s="649" t="n"/>
      <c r="BE778" s="649" t="n"/>
      <c r="BF778" s="649" t="n"/>
      <c r="BG778" s="649" t="n"/>
      <c r="BH778" s="649" t="n"/>
      <c r="BI778" s="649" t="n"/>
      <c r="BJ778" s="649" t="n"/>
      <c r="BK778" s="649" t="n"/>
      <c r="BL778" s="649" t="n"/>
      <c r="BM778" s="649" t="n"/>
      <c r="BN778" s="649" t="n"/>
      <c r="BO778" s="354" t="n"/>
      <c r="BP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Q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R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S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T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U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V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W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X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Y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BZ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CA778" s="649">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CB778" s="466">
        <f>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CC778" s="256" t="n"/>
    </row>
    <row r="779" ht="15" customFormat="1" customHeight="1" s="1561">
      <c r="A779" s="2022">
        <f>A404</f>
        <v/>
      </c>
      <c r="B779" s="1562" t="n"/>
      <c r="C779" s="1562" t="n"/>
      <c r="D779" s="2009" t="n"/>
      <c r="E779" s="2009" t="n"/>
      <c r="F779" s="2009" t="n"/>
      <c r="G779" s="2009" t="n"/>
      <c r="H779" s="2009" t="n"/>
      <c r="I779" s="2009" t="n"/>
      <c r="J779" s="1562" t="n"/>
      <c r="K779" s="1562" t="n"/>
      <c r="L779" s="1562" t="n"/>
      <c r="M779" s="1562" t="n"/>
      <c r="N779" s="1562" t="n"/>
      <c r="O779" s="1562" t="n"/>
      <c r="P779" s="1562" t="n"/>
      <c r="Q779" s="1562" t="n"/>
      <c r="R779" s="1562" t="n"/>
      <c r="S779" s="1562" t="n"/>
      <c r="T779" s="1562" t="n"/>
      <c r="U779" s="1562" t="n"/>
      <c r="V779" s="1562" t="n"/>
      <c r="W779" s="1562" t="n"/>
      <c r="X779" s="1562" t="n"/>
      <c r="Y779" s="1562" t="n"/>
      <c r="Z779" s="1562" t="n"/>
      <c r="AA779" s="1562" t="n"/>
      <c r="AB779" s="1562" t="n"/>
      <c r="AC779" s="1562" t="n"/>
      <c r="AD779" s="1562" t="n"/>
      <c r="AE779" s="1562" t="n"/>
      <c r="AF779" s="1562" t="n"/>
      <c r="AG779" s="1562" t="n"/>
      <c r="AH779" s="1562" t="n"/>
      <c r="AI779" s="1562" t="n"/>
      <c r="AJ779" s="1562" t="n"/>
      <c r="AK779" s="1562" t="n"/>
      <c r="AL779" s="1562" t="n"/>
      <c r="AM779" s="1562" t="n"/>
      <c r="AN779" s="1562" t="n"/>
      <c r="AO779" s="1562" t="n"/>
      <c r="AP779" s="1562" t="n"/>
      <c r="AQ779" s="1562" t="n"/>
      <c r="AR779" s="1562" t="n"/>
      <c r="AS779" s="1562" t="n"/>
      <c r="AT779" s="1562" t="n"/>
      <c r="AU779" s="1562" t="n"/>
      <c r="AV779" s="1562" t="n"/>
      <c r="AW779" s="1562" t="n"/>
      <c r="AX779" s="1562" t="n"/>
      <c r="AY779" s="1562" t="n"/>
      <c r="AZ779" s="1562" t="n"/>
      <c r="BA779" s="1562" t="n"/>
      <c r="BB779" s="1562" t="n"/>
      <c r="BC779" s="1562" t="n"/>
      <c r="BD779" s="1562" t="n"/>
      <c r="BE779" s="1562" t="n"/>
      <c r="BF779" s="1562" t="n"/>
      <c r="BG779" s="1562" t="n"/>
      <c r="BH779" s="1562" t="n"/>
      <c r="BI779" s="1562" t="n"/>
      <c r="BJ779" s="1562" t="n"/>
      <c r="BK779" s="1562" t="n"/>
      <c r="BL779" s="1562" t="n"/>
      <c r="BM779" s="1562" t="n"/>
      <c r="BN779" s="1562" t="n"/>
      <c r="BO779" s="1563" t="n"/>
      <c r="BP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Q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R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S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T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U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V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W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X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Y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BZ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CA779" s="1562">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CB779" s="2060">
        <f>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CC779" s="2056" t="n"/>
    </row>
    <row r="780" ht="15" customFormat="1" customHeight="1" s="1561">
      <c r="A780" s="2024" t="n"/>
      <c r="B780" s="1710" t="n"/>
      <c r="C780" s="2061" t="n"/>
      <c r="D780" s="2061" t="n"/>
      <c r="E780" s="1710" t="n"/>
      <c r="F780" s="1710" t="n"/>
      <c r="G780" s="1710" t="n"/>
      <c r="H780" s="1710" t="n"/>
      <c r="I780" s="1710" t="n"/>
      <c r="J780" s="1710" t="n"/>
      <c r="K780" s="1710" t="n"/>
      <c r="L780" s="1710" t="n"/>
      <c r="M780" s="1710" t="n"/>
      <c r="N780" s="1710" t="n"/>
      <c r="O780" s="1710" t="n"/>
      <c r="P780" s="1710" t="n"/>
      <c r="Q780" s="1710" t="n"/>
      <c r="R780" s="1710" t="n"/>
      <c r="S780" s="1710" t="n"/>
      <c r="T780" s="1710" t="n"/>
      <c r="U780" s="1710" t="n"/>
      <c r="V780" s="1710" t="n"/>
      <c r="W780" s="1710" t="n"/>
      <c r="X780" s="1710" t="n"/>
      <c r="Y780" s="1710" t="n"/>
      <c r="Z780" s="1710" t="n"/>
      <c r="AA780" s="1710" t="n"/>
      <c r="AB780" s="1710" t="n"/>
      <c r="AC780" s="1710" t="n"/>
      <c r="AD780" s="1710" t="n"/>
      <c r="AE780" s="1710" t="n"/>
      <c r="AF780" s="1710" t="n"/>
      <c r="AG780" s="1710" t="n"/>
      <c r="AH780" s="1710" t="n"/>
      <c r="AI780" s="1710" t="n"/>
      <c r="AJ780" s="1710" t="n"/>
      <c r="AK780" s="1710" t="n"/>
      <c r="AL780" s="1710" t="n"/>
      <c r="AM780" s="1710" t="n"/>
      <c r="AN780" s="1710" t="n"/>
      <c r="AO780" s="1710" t="n"/>
      <c r="AP780" s="1710" t="n"/>
      <c r="AQ780" s="1710" t="n"/>
      <c r="AR780" s="1710" t="n"/>
      <c r="AS780" s="1710" t="n"/>
      <c r="AT780" s="1710" t="n"/>
      <c r="AU780" s="1710" t="n"/>
      <c r="AV780" s="1710" t="n"/>
      <c r="AW780" s="1710" t="n"/>
      <c r="AX780" s="1710" t="n"/>
      <c r="AY780" s="1710" t="n"/>
      <c r="AZ780" s="1710" t="n"/>
      <c r="BA780" s="1710" t="n"/>
      <c r="BB780" s="1710" t="n"/>
      <c r="BC780" s="1710" t="n"/>
      <c r="BD780" s="1710" t="n"/>
      <c r="BE780" s="1710" t="n"/>
      <c r="BF780" s="1710" t="n"/>
      <c r="BG780" s="1710" t="n"/>
      <c r="BH780" s="1710" t="n"/>
      <c r="BI780" s="1710" t="n"/>
      <c r="BJ780" s="1710" t="n"/>
      <c r="BK780" s="1710" t="n"/>
      <c r="BL780" s="1710" t="n"/>
      <c r="BM780" s="1710" t="n"/>
      <c r="BN780" s="1710" t="n"/>
      <c r="BO780" s="2062" t="n"/>
      <c r="BP780" s="1710" t="n"/>
      <c r="BQ780" s="1710" t="n"/>
      <c r="BR780" s="1710" t="n"/>
      <c r="BS780" s="1710" t="n"/>
      <c r="BT780" s="1710" t="n"/>
      <c r="BU780" s="1710" t="n"/>
      <c r="BV780" s="1710" t="n"/>
      <c r="BW780" s="1710" t="n"/>
      <c r="BX780" s="1710" t="n"/>
      <c r="BY780" s="1710" t="n"/>
      <c r="BZ780" s="1710" t="n"/>
      <c r="CA780" s="1710" t="n"/>
      <c r="CB780" s="2063" t="n"/>
      <c r="CC780" s="2056" t="n"/>
    </row>
    <row r="781" ht="15" customFormat="1" customHeight="1" s="1561">
      <c r="A781" s="2019" t="n"/>
      <c r="B781" s="2064" t="n"/>
      <c r="C781" s="2065" t="n"/>
      <c r="D781" s="2065" t="n"/>
      <c r="E781" s="2064" t="n"/>
      <c r="F781" s="2064" t="n"/>
      <c r="G781" s="2064" t="n"/>
      <c r="H781" s="2064" t="n"/>
      <c r="I781" s="2064" t="n"/>
      <c r="J781" s="2064" t="n"/>
      <c r="K781" s="2064" t="n"/>
      <c r="L781" s="2064" t="n"/>
      <c r="M781" s="2064" t="n"/>
      <c r="N781" s="2064" t="n"/>
      <c r="O781" s="2064" t="n"/>
      <c r="P781" s="2064" t="n"/>
      <c r="Q781" s="2064" t="n"/>
      <c r="R781" s="2064" t="n"/>
      <c r="S781" s="2064" t="n"/>
      <c r="T781" s="2064" t="n"/>
      <c r="U781" s="2064" t="n"/>
      <c r="V781" s="2064" t="n"/>
      <c r="W781" s="2064" t="n"/>
      <c r="X781" s="2064" t="n"/>
      <c r="Y781" s="2064" t="n"/>
      <c r="Z781" s="2064" t="n"/>
      <c r="AA781" s="2064" t="n"/>
      <c r="AB781" s="2064" t="n"/>
      <c r="AC781" s="2064" t="n"/>
      <c r="AD781" s="2064" t="n"/>
      <c r="AE781" s="2064" t="n"/>
      <c r="AF781" s="2064" t="n"/>
      <c r="AG781" s="2064" t="n"/>
      <c r="AH781" s="2064" t="n"/>
      <c r="AI781" s="2064" t="n"/>
      <c r="AJ781" s="2064" t="n"/>
      <c r="AK781" s="2064" t="n"/>
      <c r="AL781" s="2064" t="n"/>
      <c r="AM781" s="2064" t="n"/>
      <c r="AN781" s="2064" t="n"/>
      <c r="AO781" s="2064" t="n"/>
      <c r="AP781" s="2064" t="n"/>
      <c r="AQ781" s="2064" t="n"/>
      <c r="AR781" s="2064" t="n"/>
      <c r="AS781" s="2064" t="n"/>
      <c r="AT781" s="2064" t="n"/>
      <c r="AU781" s="2064" t="n"/>
      <c r="AV781" s="2064" t="n"/>
      <c r="AW781" s="2064" t="n"/>
      <c r="AX781" s="2064" t="n"/>
      <c r="AY781" s="2064" t="n"/>
      <c r="AZ781" s="2064" t="n"/>
      <c r="BA781" s="2064" t="n"/>
      <c r="BB781" s="2064" t="n"/>
      <c r="BC781" s="2064" t="n"/>
      <c r="BD781" s="2064" t="n"/>
      <c r="BE781" s="2064" t="n"/>
      <c r="BF781" s="2064" t="n"/>
      <c r="BG781" s="2064" t="n"/>
      <c r="BH781" s="2064" t="n"/>
      <c r="BI781" s="2064" t="n"/>
      <c r="BJ781" s="2064" t="n"/>
      <c r="BK781" s="2064" t="n"/>
      <c r="BL781" s="2064" t="n"/>
      <c r="BM781" s="2064" t="n"/>
      <c r="BN781" s="2064" t="n"/>
      <c r="BO781" s="2066" t="n"/>
      <c r="BP781" s="2064" t="n"/>
      <c r="BQ781" s="2064" t="n"/>
      <c r="BR781" s="2064" t="n"/>
      <c r="BS781" s="2064" t="n"/>
      <c r="BT781" s="2064" t="n"/>
      <c r="BU781" s="2064" t="n"/>
      <c r="BV781" s="2064" t="n"/>
      <c r="BW781" s="2064" t="n"/>
      <c r="BX781" s="2064" t="n"/>
      <c r="BY781" s="2064" t="n"/>
      <c r="BZ781" s="2064" t="n"/>
      <c r="CA781" s="2064" t="n"/>
      <c r="CB781" s="2064" t="n"/>
      <c r="CC781" s="1564" t="n"/>
    </row>
    <row r="782" ht="15" customFormat="1" customHeight="1" s="1561">
      <c r="A782" s="2067" t="inlineStr">
        <is>
          <t>Stock Price Table</t>
        </is>
      </c>
      <c r="B782" s="2068" t="n"/>
      <c r="C782" s="2069" t="n"/>
      <c r="D782" s="2069" t="n"/>
      <c r="E782" s="2068" t="n"/>
      <c r="F782" s="2068" t="n"/>
      <c r="G782" s="2068" t="n"/>
      <c r="H782" s="2068" t="n"/>
      <c r="I782" s="2068" t="n"/>
      <c r="J782" s="2068" t="n"/>
      <c r="K782" s="2068" t="n"/>
      <c r="L782" s="2068" t="n"/>
      <c r="M782" s="2068" t="n"/>
      <c r="N782" s="2068" t="n"/>
      <c r="O782" s="2068" t="n"/>
      <c r="P782" s="2068" t="n"/>
      <c r="Q782" s="2068" t="n"/>
      <c r="R782" s="2068" t="n"/>
      <c r="S782" s="2068" t="n"/>
      <c r="T782" s="2068" t="n"/>
      <c r="U782" s="2068" t="n"/>
      <c r="V782" s="2068" t="n"/>
      <c r="W782" s="2068" t="n"/>
      <c r="X782" s="2068" t="n"/>
      <c r="Y782" s="2068" t="n"/>
      <c r="Z782" s="2068" t="n"/>
      <c r="AA782" s="2068" t="n"/>
      <c r="AB782" s="2068" t="n"/>
      <c r="AC782" s="2068" t="n"/>
      <c r="AD782" s="2068" t="n"/>
      <c r="AE782" s="2068" t="n"/>
      <c r="AF782" s="2068" t="n"/>
      <c r="AG782" s="2068" t="n"/>
      <c r="AH782" s="2068" t="n"/>
      <c r="AI782" s="2068" t="n"/>
      <c r="AJ782" s="2068" t="n"/>
      <c r="AK782" s="2068" t="n"/>
      <c r="AL782" s="2068" t="n"/>
      <c r="AM782" s="2068" t="n"/>
      <c r="AN782" s="2068" t="n"/>
      <c r="AO782" s="2068" t="n"/>
      <c r="AP782" s="2068" t="n"/>
      <c r="AQ782" s="2068" t="n"/>
      <c r="AR782" s="2068" t="n"/>
      <c r="AS782" s="2068" t="n"/>
      <c r="AT782" s="2068" t="n"/>
      <c r="AU782" s="2068" t="n"/>
      <c r="AV782" s="2068" t="n"/>
      <c r="AW782" s="2068" t="n"/>
      <c r="AX782" s="2068" t="n"/>
      <c r="AY782" s="2068" t="n"/>
      <c r="AZ782" s="2068" t="n"/>
      <c r="BA782" s="2068" t="n"/>
      <c r="BB782" s="2068" t="n"/>
      <c r="BC782" s="2068" t="n"/>
      <c r="BD782" s="2068" t="n"/>
      <c r="BE782" s="2068" t="n"/>
      <c r="BF782" s="2068" t="n"/>
      <c r="BG782" s="2068" t="n"/>
      <c r="BH782" s="2068" t="n"/>
      <c r="BI782" s="2068" t="n"/>
      <c r="BJ782" s="2068" t="n"/>
      <c r="BK782" s="2068" t="n"/>
      <c r="BL782" s="2068" t="n"/>
      <c r="BM782" s="2068" t="n"/>
      <c r="BN782" s="2068" t="n"/>
      <c r="BO782" s="2070" t="n"/>
      <c r="BP782" s="2068" t="n"/>
      <c r="BQ782" s="2068" t="n"/>
      <c r="BR782" s="2068" t="n"/>
      <c r="BS782" s="2068" t="n"/>
      <c r="BT782" s="2068" t="n"/>
      <c r="BU782" s="2068" t="n"/>
      <c r="BV782" s="2068" t="n"/>
      <c r="BW782" s="2068" t="n"/>
      <c r="BX782" s="2068" t="n"/>
      <c r="BY782" s="2068" t="n"/>
      <c r="BZ782" s="2068" t="n"/>
      <c r="CA782" s="2068" t="n"/>
      <c r="CB782" s="2071" t="n"/>
      <c r="CC782" s="2056" t="n"/>
    </row>
    <row r="783" ht="15" customFormat="1" customHeight="1" s="1561">
      <c r="A783" s="2072" t="inlineStr">
        <is>
          <t>Fiscal Period Start Date</t>
        </is>
      </c>
      <c r="B783" s="1562" t="n"/>
      <c r="C783" s="760">
        <f>INDEX(MO_Common_QEndDate,0,COLUMN())-INDEX(MO_Common_FPDays,0,COLUMN())+1</f>
        <v/>
      </c>
      <c r="D783" s="760">
        <f>INDEX(MO_Common_QEndDate,0,COLUMN())-INDEX(MO_Common_FPDays,0,COLUMN())+1</f>
        <v/>
      </c>
      <c r="E783" s="761">
        <f>INDEX(MO_Common_QEndDate,0,COLUMN())-INDEX(MO_Common_FPDays,0,COLUMN())+1</f>
        <v/>
      </c>
      <c r="F783" s="761">
        <f>INDEX(MO_Common_QEndDate,0,COLUMN())-INDEX(MO_Common_FPDays,0,COLUMN())+1</f>
        <v/>
      </c>
      <c r="G783" s="761">
        <f>INDEX(MO_Common_QEndDate,0,COLUMN())-INDEX(MO_Common_FPDays,0,COLUMN())+1</f>
        <v/>
      </c>
      <c r="H783" s="761">
        <f>INDEX(MO_Common_QEndDate,0,COLUMN())-INDEX(MO_Common_FPDays,0,COLUMN())+1</f>
        <v/>
      </c>
      <c r="I783" s="761">
        <f>INDEX(MO_Common_QEndDate,0,COLUMN())-INDEX(MO_Common_FPDays,0,COLUMN())+1</f>
        <v/>
      </c>
      <c r="J783" s="761">
        <f>INDEX(MO_Common_QEndDate,0,COLUMN())-INDEX(MO_Common_FPDays,0,COLUMN())+1</f>
        <v/>
      </c>
      <c r="K783" s="761">
        <f>INDEX(MO_Common_QEndDate,0,COLUMN())-INDEX(MO_Common_FPDays,0,COLUMN())+1</f>
        <v/>
      </c>
      <c r="L783" s="761">
        <f>INDEX(MO_Common_QEndDate,0,COLUMN())-INDEX(MO_Common_FPDays,0,COLUMN())+1</f>
        <v/>
      </c>
      <c r="M783" s="761">
        <f>INDEX(MO_Common_QEndDate,0,COLUMN())-INDEX(MO_Common_FPDays,0,COLUMN())+1</f>
        <v/>
      </c>
      <c r="N783" s="761">
        <f>INDEX(MO_Common_QEndDate,0,COLUMN())-INDEX(MO_Common_FPDays,0,COLUMN())+1</f>
        <v/>
      </c>
      <c r="O783" s="761">
        <f>INDEX(MO_Common_QEndDate,0,COLUMN())-INDEX(MO_Common_FPDays,0,COLUMN())+1</f>
        <v/>
      </c>
      <c r="P783" s="761">
        <f>INDEX(MO_Common_QEndDate,0,COLUMN())-INDEX(MO_Common_FPDays,0,COLUMN())+1</f>
        <v/>
      </c>
      <c r="Q783" s="761">
        <f>INDEX(MO_Common_QEndDate,0,COLUMN())-INDEX(MO_Common_FPDays,0,COLUMN())+1</f>
        <v/>
      </c>
      <c r="R783" s="761">
        <f>INDEX(MO_Common_QEndDate,0,COLUMN())-INDEX(MO_Common_FPDays,0,COLUMN())+1</f>
        <v/>
      </c>
      <c r="S783" s="761">
        <f>INDEX(MO_Common_QEndDate,0,COLUMN())-INDEX(MO_Common_FPDays,0,COLUMN())+1</f>
        <v/>
      </c>
      <c r="T783" s="761">
        <f>INDEX(MO_Common_QEndDate,0,COLUMN())-INDEX(MO_Common_FPDays,0,COLUMN())+1</f>
        <v/>
      </c>
      <c r="U783" s="761">
        <f>INDEX(MO_Common_QEndDate,0,COLUMN())-INDEX(MO_Common_FPDays,0,COLUMN())+1</f>
        <v/>
      </c>
      <c r="V783" s="761">
        <f>INDEX(MO_Common_QEndDate,0,COLUMN())-INDEX(MO_Common_FPDays,0,COLUMN())+1</f>
        <v/>
      </c>
      <c r="W783" s="761">
        <f>INDEX(MO_Common_QEndDate,0,COLUMN())-INDEX(MO_Common_FPDays,0,COLUMN())+1</f>
        <v/>
      </c>
      <c r="X783" s="761">
        <f>INDEX(MO_Common_QEndDate,0,COLUMN())-INDEX(MO_Common_FPDays,0,COLUMN())+1</f>
        <v/>
      </c>
      <c r="Y783" s="761">
        <f>INDEX(MO_Common_QEndDate,0,COLUMN())-INDEX(MO_Common_FPDays,0,COLUMN())+1</f>
        <v/>
      </c>
      <c r="Z783" s="761">
        <f>INDEX(MO_Common_QEndDate,0,COLUMN())-INDEX(MO_Common_FPDays,0,COLUMN())+1</f>
        <v/>
      </c>
      <c r="AA783" s="761">
        <f>INDEX(MO_Common_QEndDate,0,COLUMN())-INDEX(MO_Common_FPDays,0,COLUMN())+1</f>
        <v/>
      </c>
      <c r="AB783" s="761">
        <f>INDEX(MO_Common_QEndDate,0,COLUMN())-INDEX(MO_Common_FPDays,0,COLUMN())+1</f>
        <v/>
      </c>
      <c r="AC783" s="761">
        <f>INDEX(MO_Common_QEndDate,0,COLUMN())-INDEX(MO_Common_FPDays,0,COLUMN())+1</f>
        <v/>
      </c>
      <c r="AD783" s="761">
        <f>INDEX(MO_Common_QEndDate,0,COLUMN())-INDEX(MO_Common_FPDays,0,COLUMN())+1</f>
        <v/>
      </c>
      <c r="AE783" s="761">
        <f>INDEX(MO_Common_QEndDate,0,COLUMN())-INDEX(MO_Common_FPDays,0,COLUMN())+1</f>
        <v/>
      </c>
      <c r="AF783" s="761">
        <f>INDEX(MO_Common_QEndDate,0,COLUMN())-INDEX(MO_Common_FPDays,0,COLUMN())+1</f>
        <v/>
      </c>
      <c r="AG783" s="761">
        <f>INDEX(MO_Common_QEndDate,0,COLUMN())-INDEX(MO_Common_FPDays,0,COLUMN())+1</f>
        <v/>
      </c>
      <c r="AH783" s="761">
        <f>INDEX(MO_Common_QEndDate,0,COLUMN())-INDEX(MO_Common_FPDays,0,COLUMN())+1</f>
        <v/>
      </c>
      <c r="AI783" s="761">
        <f>INDEX(MO_Common_QEndDate,0,COLUMN())-INDEX(MO_Common_FPDays,0,COLUMN())+1</f>
        <v/>
      </c>
      <c r="AJ783" s="761">
        <f>INDEX(MO_Common_QEndDate,0,COLUMN())-INDEX(MO_Common_FPDays,0,COLUMN())+1</f>
        <v/>
      </c>
      <c r="AK783" s="761">
        <f>INDEX(MO_Common_QEndDate,0,COLUMN())-INDEX(MO_Common_FPDays,0,COLUMN())+1</f>
        <v/>
      </c>
      <c r="AL783" s="761">
        <f>INDEX(MO_Common_QEndDate,0,COLUMN())-INDEX(MO_Common_FPDays,0,COLUMN())+1</f>
        <v/>
      </c>
      <c r="AM783" s="761">
        <f>INDEX(MO_Common_QEndDate,0,COLUMN())-INDEX(MO_Common_FPDays,0,COLUMN())+1</f>
        <v/>
      </c>
      <c r="AN783" s="761">
        <f>INDEX(MO_Common_QEndDate,0,COLUMN())-INDEX(MO_Common_FPDays,0,COLUMN())+1</f>
        <v/>
      </c>
      <c r="AO783" s="761">
        <f>INDEX(MO_Common_QEndDate,0,COLUMN())-INDEX(MO_Common_FPDays,0,COLUMN())+1</f>
        <v/>
      </c>
      <c r="AP783" s="761">
        <f>INDEX(MO_Common_QEndDate,0,COLUMN())-INDEX(MO_Common_FPDays,0,COLUMN())+1</f>
        <v/>
      </c>
      <c r="AQ783" s="761">
        <f>INDEX(MO_Common_QEndDate,0,COLUMN())-INDEX(MO_Common_FPDays,0,COLUMN())+1</f>
        <v/>
      </c>
      <c r="AR783" s="761">
        <f>INDEX(MO_Common_QEndDate,0,COLUMN())-INDEX(MO_Common_FPDays,0,COLUMN())+1</f>
        <v/>
      </c>
      <c r="AS783" s="761">
        <f>INDEX(MO_Common_QEndDate,0,COLUMN())-INDEX(MO_Common_FPDays,0,COLUMN())+1</f>
        <v/>
      </c>
      <c r="AT783" s="761">
        <f>INDEX(MO_Common_QEndDate,0,COLUMN())-INDEX(MO_Common_FPDays,0,COLUMN())+1</f>
        <v/>
      </c>
      <c r="AU783" s="761">
        <f>INDEX(MO_Common_QEndDate,0,COLUMN())-INDEX(MO_Common_FPDays,0,COLUMN())+1</f>
        <v/>
      </c>
      <c r="AV783" s="761">
        <f>INDEX(MO_Common_QEndDate,0,COLUMN())-INDEX(MO_Common_FPDays,0,COLUMN())+1</f>
        <v/>
      </c>
      <c r="AW783" s="761">
        <f>INDEX(MO_Common_QEndDate,0,COLUMN())-INDEX(MO_Common_FPDays,0,COLUMN())+1</f>
        <v/>
      </c>
      <c r="AX783" s="761">
        <f>INDEX(MO_Common_QEndDate,0,COLUMN())-INDEX(MO_Common_FPDays,0,COLUMN())+1</f>
        <v/>
      </c>
      <c r="AY783" s="761">
        <f>INDEX(MO_Common_QEndDate,0,COLUMN())-INDEX(MO_Common_FPDays,0,COLUMN())+1</f>
        <v/>
      </c>
      <c r="AZ783" s="761">
        <f>INDEX(MO_Common_QEndDate,0,COLUMN())-INDEX(MO_Common_FPDays,0,COLUMN())+1</f>
        <v/>
      </c>
      <c r="BA783" s="761">
        <f>INDEX(MO_Common_QEndDate,0,COLUMN())-INDEX(MO_Common_FPDays,0,COLUMN())+1</f>
        <v/>
      </c>
      <c r="BB783" s="761">
        <f>INDEX(MO_Common_QEndDate,0,COLUMN())-INDEX(MO_Common_FPDays,0,COLUMN())+1</f>
        <v/>
      </c>
      <c r="BC783" s="761">
        <f>INDEX(MO_Common_QEndDate,0,COLUMN())-INDEX(MO_Common_FPDays,0,COLUMN())+1</f>
        <v/>
      </c>
      <c r="BD783" s="761">
        <f>INDEX(MO_Common_QEndDate,0,COLUMN())-INDEX(MO_Common_FPDays,0,COLUMN())+1</f>
        <v/>
      </c>
      <c r="BE783" s="761">
        <f>INDEX(MO_Common_QEndDate,0,COLUMN())-INDEX(MO_Common_FPDays,0,COLUMN())+1</f>
        <v/>
      </c>
      <c r="BF783" s="761">
        <f>INDEX(MO_Common_QEndDate,0,COLUMN())-INDEX(MO_Common_FPDays,0,COLUMN())+1</f>
        <v/>
      </c>
      <c r="BG783" s="761">
        <f>INDEX(MO_Common_QEndDate,0,COLUMN())-INDEX(MO_Common_FPDays,0,COLUMN())+1</f>
        <v/>
      </c>
      <c r="BH783" s="761">
        <f>INDEX(MO_Common_QEndDate,0,COLUMN())-INDEX(MO_Common_FPDays,0,COLUMN())+1</f>
        <v/>
      </c>
      <c r="BI783" s="761">
        <f>INDEX(MO_Common_QEndDate,0,COLUMN())-INDEX(MO_Common_FPDays,0,COLUMN())+1</f>
        <v/>
      </c>
      <c r="BJ783" s="761">
        <f>INDEX(MO_Common_QEndDate,0,COLUMN())-INDEX(MO_Common_FPDays,0,COLUMN())+1</f>
        <v/>
      </c>
      <c r="BK783" s="761">
        <f>INDEX(MO_Common_QEndDate,0,COLUMN())-INDEX(MO_Common_FPDays,0,COLUMN())+1</f>
        <v/>
      </c>
      <c r="BL783" s="761">
        <f>INDEX(MO_Common_QEndDate,0,COLUMN())-INDEX(MO_Common_FPDays,0,COLUMN())+1</f>
        <v/>
      </c>
      <c r="BM783" s="761">
        <f>INDEX(MO_Common_QEndDate,0,COLUMN())-INDEX(MO_Common_FPDays,0,COLUMN())+1</f>
        <v/>
      </c>
      <c r="BN783" s="761">
        <f>INDEX(MO_Common_QEndDate,0,COLUMN())-INDEX(MO_Common_FPDays,0,COLUMN())+1</f>
        <v/>
      </c>
      <c r="BO783" s="594">
        <f>INDEX(MO_Common_QEndDate,0,COLUMN())-INDEX(MO_Common_FPDays,0,COLUMN())+1</f>
        <v/>
      </c>
      <c r="BP783" s="761">
        <f>INDEX(MO_Common_QEndDate,0,COLUMN())-INDEX(MO_Common_FPDays,0,COLUMN())+1</f>
        <v/>
      </c>
      <c r="BQ783" s="761">
        <f>INDEX(MO_Common_QEndDate,0,COLUMN())-INDEX(MO_Common_FPDays,0,COLUMN())+1</f>
        <v/>
      </c>
      <c r="BR783" s="761">
        <f>INDEX(MO_Common_QEndDate,0,COLUMN())-INDEX(MO_Common_FPDays,0,COLUMN())+1</f>
        <v/>
      </c>
      <c r="BS783" s="761">
        <f>INDEX(MO_Common_QEndDate,0,COLUMN())-INDEX(MO_Common_FPDays,0,COLUMN())+1</f>
        <v/>
      </c>
      <c r="BT783" s="761">
        <f>INDEX(MO_Common_QEndDate,0,COLUMN())-INDEX(MO_Common_FPDays,0,COLUMN())+1</f>
        <v/>
      </c>
      <c r="BU783" s="761">
        <f>INDEX(MO_Common_QEndDate,0,COLUMN())-INDEX(MO_Common_FPDays,0,COLUMN())+1</f>
        <v/>
      </c>
      <c r="BV783" s="761">
        <f>INDEX(MO_Common_QEndDate,0,COLUMN())-INDEX(MO_Common_FPDays,0,COLUMN())+1</f>
        <v/>
      </c>
      <c r="BW783" s="761">
        <f>INDEX(MO_Common_QEndDate,0,COLUMN())-INDEX(MO_Common_FPDays,0,COLUMN())+1</f>
        <v/>
      </c>
      <c r="BX783" s="761">
        <f>INDEX(MO_Common_QEndDate,0,COLUMN())-INDEX(MO_Common_FPDays,0,COLUMN())+1</f>
        <v/>
      </c>
      <c r="BY783" s="761">
        <f>INDEX(MO_Common_QEndDate,0,COLUMN())-INDEX(MO_Common_FPDays,0,COLUMN())+1</f>
        <v/>
      </c>
      <c r="BZ783" s="761">
        <f>INDEX(MO_Common_QEndDate,0,COLUMN())-INDEX(MO_Common_FPDays,0,COLUMN())+1</f>
        <v/>
      </c>
      <c r="CA783" s="761">
        <f>INDEX(MO_Common_QEndDate,0,COLUMN())-INDEX(MO_Common_FPDays,0,COLUMN())+1</f>
        <v/>
      </c>
      <c r="CB783" s="468">
        <f>INDEX(MO_Common_QEndDate,0,COLUMN())-INDEX(MO_Common_FPDays,0,COLUMN())+1</f>
        <v/>
      </c>
      <c r="CC783" s="2056" t="n"/>
    </row>
    <row r="784" ht="15" customFormat="1" customHeight="1" s="1561">
      <c r="A784" s="2072" t="inlineStr">
        <is>
          <t>Is Historical Period</t>
        </is>
      </c>
      <c r="B784" s="1562" t="n"/>
      <c r="C784" s="760">
        <f>TRUE</f>
        <v/>
      </c>
      <c r="D784" s="760">
        <f>TRUE</f>
        <v/>
      </c>
      <c r="E784" s="761">
        <f>TRUE</f>
        <v/>
      </c>
      <c r="F784" s="761">
        <f>TRUE</f>
        <v/>
      </c>
      <c r="G784" s="761">
        <f>TRUE</f>
        <v/>
      </c>
      <c r="H784" s="761">
        <f>TRUE</f>
        <v/>
      </c>
      <c r="I784" s="761">
        <f>TRUE</f>
        <v/>
      </c>
      <c r="J784" s="761">
        <f>TRUE</f>
        <v/>
      </c>
      <c r="K784" s="761">
        <f>TRUE</f>
        <v/>
      </c>
      <c r="L784" s="761">
        <f>TRUE</f>
        <v/>
      </c>
      <c r="M784" s="761">
        <f>TRUE</f>
        <v/>
      </c>
      <c r="N784" s="761">
        <f>TRUE</f>
        <v/>
      </c>
      <c r="O784" s="761">
        <f>TRUE</f>
        <v/>
      </c>
      <c r="P784" s="761">
        <f>TRUE</f>
        <v/>
      </c>
      <c r="Q784" s="761">
        <f>TRUE</f>
        <v/>
      </c>
      <c r="R784" s="761">
        <f>TRUE</f>
        <v/>
      </c>
      <c r="S784" s="761">
        <f>TRUE</f>
        <v/>
      </c>
      <c r="T784" s="761">
        <f>TRUE</f>
        <v/>
      </c>
      <c r="U784" s="761">
        <f>TRUE</f>
        <v/>
      </c>
      <c r="V784" s="761">
        <f>TRUE</f>
        <v/>
      </c>
      <c r="W784" s="761">
        <f>TRUE</f>
        <v/>
      </c>
      <c r="X784" s="761">
        <f>TRUE</f>
        <v/>
      </c>
      <c r="Y784" s="761">
        <f>TRUE</f>
        <v/>
      </c>
      <c r="Z784" s="761">
        <f>TRUE</f>
        <v/>
      </c>
      <c r="AA784" s="761">
        <f>TRUE</f>
        <v/>
      </c>
      <c r="AB784" s="761">
        <f>TRUE</f>
        <v/>
      </c>
      <c r="AC784" s="761">
        <f>TRUE</f>
        <v/>
      </c>
      <c r="AD784" s="761">
        <f>TRUE</f>
        <v/>
      </c>
      <c r="AE784" s="761">
        <f>TRUE</f>
        <v/>
      </c>
      <c r="AF784" s="761">
        <f>TRUE</f>
        <v/>
      </c>
      <c r="AG784" s="761">
        <f>TRUE</f>
        <v/>
      </c>
      <c r="AH784" s="761">
        <f>TRUE</f>
        <v/>
      </c>
      <c r="AI784" s="761">
        <f>TRUE</f>
        <v/>
      </c>
      <c r="AJ784" s="761">
        <f>TRUE</f>
        <v/>
      </c>
      <c r="AK784" s="761">
        <f>TRUE</f>
        <v/>
      </c>
      <c r="AL784" s="761">
        <f>TRUE</f>
        <v/>
      </c>
      <c r="AM784" s="761">
        <f>TRUE</f>
        <v/>
      </c>
      <c r="AN784" s="761">
        <f>TRUE</f>
        <v/>
      </c>
      <c r="AO784" s="761">
        <f>TRUE</f>
        <v/>
      </c>
      <c r="AP784" s="761">
        <f>TRUE</f>
        <v/>
      </c>
      <c r="AQ784" s="761">
        <f>TRUE</f>
        <v/>
      </c>
      <c r="AR784" s="761">
        <f>TRUE</f>
        <v/>
      </c>
      <c r="AS784" s="761">
        <f>TRUE</f>
        <v/>
      </c>
      <c r="AT784" s="761">
        <f>TRUE</f>
        <v/>
      </c>
      <c r="AU784" s="761">
        <f>TRUE</f>
        <v/>
      </c>
      <c r="AV784" s="761">
        <f>TRUE</f>
        <v/>
      </c>
      <c r="AW784" s="761">
        <f>TRUE</f>
        <v/>
      </c>
      <c r="AX784" s="761">
        <f>TRUE</f>
        <v/>
      </c>
      <c r="AY784" s="761">
        <f>TRUE</f>
        <v/>
      </c>
      <c r="AZ784" s="761">
        <f>TRUE</f>
        <v/>
      </c>
      <c r="BA784" s="761">
        <f>TRUE</f>
        <v/>
      </c>
      <c r="BB784" s="761">
        <f>TRUE</f>
        <v/>
      </c>
      <c r="BC784" s="761">
        <f>TRUE</f>
        <v/>
      </c>
      <c r="BD784" s="761">
        <f>TRUE</f>
        <v/>
      </c>
      <c r="BE784" s="761">
        <f>TRUE</f>
        <v/>
      </c>
      <c r="BF784" s="761">
        <f>TRUE</f>
        <v/>
      </c>
      <c r="BG784" s="761">
        <f>TRUE</f>
        <v/>
      </c>
      <c r="BH784" s="761">
        <f>TRUE</f>
        <v/>
      </c>
      <c r="BI784" s="761">
        <f>TRUE</f>
        <v/>
      </c>
      <c r="BJ784" s="761">
        <f>TRUE</f>
        <v/>
      </c>
      <c r="BK784" s="761">
        <f>TRUE</f>
        <v/>
      </c>
      <c r="BL784" s="761">
        <f>TRUE</f>
        <v/>
      </c>
      <c r="BM784" s="761">
        <f>TRUE</f>
        <v/>
      </c>
      <c r="BN784" s="761">
        <f>TRUE</f>
        <v/>
      </c>
      <c r="BO784" s="594">
        <f>TRUE</f>
        <v/>
      </c>
      <c r="BP784" s="761">
        <f>FALSE</f>
        <v/>
      </c>
      <c r="BQ784" s="761">
        <f>FALSE</f>
        <v/>
      </c>
      <c r="BR784" s="761">
        <f>FALSE</f>
        <v/>
      </c>
      <c r="BS784" s="761">
        <f>FALSE</f>
        <v/>
      </c>
      <c r="BT784" s="761">
        <f>FALSE</f>
        <v/>
      </c>
      <c r="BU784" s="761">
        <f>FALSE</f>
        <v/>
      </c>
      <c r="BV784" s="761">
        <f>FALSE</f>
        <v/>
      </c>
      <c r="BW784" s="761">
        <f>FALSE</f>
        <v/>
      </c>
      <c r="BX784" s="761">
        <f>FALSE</f>
        <v/>
      </c>
      <c r="BY784" s="761">
        <f>FALSE</f>
        <v/>
      </c>
      <c r="BZ784" s="761">
        <f>FALSE</f>
        <v/>
      </c>
      <c r="CA784" s="761">
        <f>FALSE</f>
        <v/>
      </c>
      <c r="CB784" s="468">
        <f>FALSE</f>
        <v/>
      </c>
      <c r="CC784" s="2056" t="n"/>
    </row>
    <row r="785" ht="15" customFormat="1" customHeight="1" s="1945">
      <c r="A785" s="2073">
        <f>"Stock High: "&amp;IF(OR(MO.RealTimeStockPriceToggle=FALSE,VLOOKUP(MO.DataSourceName,MO_SPT_StockHigh_Sources,COLUMN()+2,FALSE)="N/A"),"Real-Time Off Source",MO.DataSourceName)</f>
        <v/>
      </c>
      <c r="B785" s="2074" t="n"/>
      <c r="C785" s="2075">
        <f>IF(OR(MO.RealTimeStockPriceToggle=FALSE,VLOOKUP(MO.DataSourceName,MO_SPT_StockHigh_Sources,COLUMN(),FALSE)="N/A"),VLOOKUP("Real-Time Off Source",MO_SPT_StockHigh_Sources,COLUMN(),FALSE),VLOOKUP(MO.DataSourceName,MO_SPT_StockHigh_Sources,COLUMN(),FALSE))</f>
        <v/>
      </c>
      <c r="D785" s="2075">
        <f>IF(OR(MO.RealTimeStockPriceToggle=FALSE,VLOOKUP(MO.DataSourceName,MO_SPT_StockHigh_Sources,COLUMN(),FALSE)="N/A"),VLOOKUP("Real-Time Off Source",MO_SPT_StockHigh_Sources,COLUMN(),FALSE),VLOOKUP(MO.DataSourceName,MO_SPT_StockHigh_Sources,COLUMN(),FALSE))</f>
        <v/>
      </c>
      <c r="E785" s="2074">
        <f>IF(OR(MO.RealTimeStockPriceToggle=FALSE,VLOOKUP(MO.DataSourceName,MO_SPT_StockHigh_Sources,COLUMN(),FALSE)="N/A"),VLOOKUP("Real-Time Off Source",MO_SPT_StockHigh_Sources,COLUMN(),FALSE),VLOOKUP(MO.DataSourceName,MO_SPT_StockHigh_Sources,COLUMN(),FALSE))</f>
        <v/>
      </c>
      <c r="F785" s="2074">
        <f>IF(OR(MO.RealTimeStockPriceToggle=FALSE,VLOOKUP(MO.DataSourceName,MO_SPT_StockHigh_Sources,COLUMN(),FALSE)="N/A"),VLOOKUP("Real-Time Off Source",MO_SPT_StockHigh_Sources,COLUMN(),FALSE),VLOOKUP(MO.DataSourceName,MO_SPT_StockHigh_Sources,COLUMN(),FALSE))</f>
        <v/>
      </c>
      <c r="G785" s="2074">
        <f>IF(OR(MO.RealTimeStockPriceToggle=FALSE,VLOOKUP(MO.DataSourceName,MO_SPT_StockHigh_Sources,COLUMN(),FALSE)="N/A"),VLOOKUP("Real-Time Off Source",MO_SPT_StockHigh_Sources,COLUMN(),FALSE),VLOOKUP(MO.DataSourceName,MO_SPT_StockHigh_Sources,COLUMN(),FALSE))</f>
        <v/>
      </c>
      <c r="H785" s="2074">
        <f>IF(OR(MO.RealTimeStockPriceToggle=FALSE,VLOOKUP(MO.DataSourceName,MO_SPT_StockHigh_Sources,COLUMN(),FALSE)="N/A"),VLOOKUP("Real-Time Off Source",MO_SPT_StockHigh_Sources,COLUMN(),FALSE),VLOOKUP(MO.DataSourceName,MO_SPT_StockHigh_Sources,COLUMN(),FALSE))</f>
        <v/>
      </c>
      <c r="I785" s="2074">
        <f>IF(OR(MO.RealTimeStockPriceToggle=FALSE,VLOOKUP(MO.DataSourceName,MO_SPT_StockHigh_Sources,COLUMN(),FALSE)="N/A"),VLOOKUP("Real-Time Off Source",MO_SPT_StockHigh_Sources,COLUMN(),FALSE),VLOOKUP(MO.DataSourceName,MO_SPT_StockHigh_Sources,COLUMN(),FALSE))</f>
        <v/>
      </c>
      <c r="J785" s="2074">
        <f>IF(OR(MO.RealTimeStockPriceToggle=FALSE,VLOOKUP(MO.DataSourceName,MO_SPT_StockHigh_Sources,COLUMN(),FALSE)="N/A"),VLOOKUP("Real-Time Off Source",MO_SPT_StockHigh_Sources,COLUMN(),FALSE),VLOOKUP(MO.DataSourceName,MO_SPT_StockHigh_Sources,COLUMN(),FALSE))</f>
        <v/>
      </c>
      <c r="K785" s="2074">
        <f>IF(OR(MO.RealTimeStockPriceToggle=FALSE,VLOOKUP(MO.DataSourceName,MO_SPT_StockHigh_Sources,COLUMN(),FALSE)="N/A"),VLOOKUP("Real-Time Off Source",MO_SPT_StockHigh_Sources,COLUMN(),FALSE),VLOOKUP(MO.DataSourceName,MO_SPT_StockHigh_Sources,COLUMN(),FALSE))</f>
        <v/>
      </c>
      <c r="L785" s="2074">
        <f>IF(OR(MO.RealTimeStockPriceToggle=FALSE,VLOOKUP(MO.DataSourceName,MO_SPT_StockHigh_Sources,COLUMN(),FALSE)="N/A"),VLOOKUP("Real-Time Off Source",MO_SPT_StockHigh_Sources,COLUMN(),FALSE),VLOOKUP(MO.DataSourceName,MO_SPT_StockHigh_Sources,COLUMN(),FALSE))</f>
        <v/>
      </c>
      <c r="M785" s="2074">
        <f>IF(OR(MO.RealTimeStockPriceToggle=FALSE,VLOOKUP(MO.DataSourceName,MO_SPT_StockHigh_Sources,COLUMN(),FALSE)="N/A"),VLOOKUP("Real-Time Off Source",MO_SPT_StockHigh_Sources,COLUMN(),FALSE),VLOOKUP(MO.DataSourceName,MO_SPT_StockHigh_Sources,COLUMN(),FALSE))</f>
        <v/>
      </c>
      <c r="N785" s="2074">
        <f>IF(OR(MO.RealTimeStockPriceToggle=FALSE,VLOOKUP(MO.DataSourceName,MO_SPT_StockHigh_Sources,COLUMN(),FALSE)="N/A"),VLOOKUP("Real-Time Off Source",MO_SPT_StockHigh_Sources,COLUMN(),FALSE),VLOOKUP(MO.DataSourceName,MO_SPT_StockHigh_Sources,COLUMN(),FALSE))</f>
        <v/>
      </c>
      <c r="O785" s="2074">
        <f>IF(OR(MO.RealTimeStockPriceToggle=FALSE,VLOOKUP(MO.DataSourceName,MO_SPT_StockHigh_Sources,COLUMN(),FALSE)="N/A"),VLOOKUP("Real-Time Off Source",MO_SPT_StockHigh_Sources,COLUMN(),FALSE),VLOOKUP(MO.DataSourceName,MO_SPT_StockHigh_Sources,COLUMN(),FALSE))</f>
        <v/>
      </c>
      <c r="P785" s="2074">
        <f>IF(OR(MO.RealTimeStockPriceToggle=FALSE,VLOOKUP(MO.DataSourceName,MO_SPT_StockHigh_Sources,COLUMN(),FALSE)="N/A"),VLOOKUP("Real-Time Off Source",MO_SPT_StockHigh_Sources,COLUMN(),FALSE),VLOOKUP(MO.DataSourceName,MO_SPT_StockHigh_Sources,COLUMN(),FALSE))</f>
        <v/>
      </c>
      <c r="Q785" s="2074">
        <f>IF(OR(MO.RealTimeStockPriceToggle=FALSE,VLOOKUP(MO.DataSourceName,MO_SPT_StockHigh_Sources,COLUMN(),FALSE)="N/A"),VLOOKUP("Real-Time Off Source",MO_SPT_StockHigh_Sources,COLUMN(),FALSE),VLOOKUP(MO.DataSourceName,MO_SPT_StockHigh_Sources,COLUMN(),FALSE))</f>
        <v/>
      </c>
      <c r="R785" s="2074">
        <f>IF(OR(MO.RealTimeStockPriceToggle=FALSE,VLOOKUP(MO.DataSourceName,MO_SPT_StockHigh_Sources,COLUMN(),FALSE)="N/A"),VLOOKUP("Real-Time Off Source",MO_SPT_StockHigh_Sources,COLUMN(),FALSE),VLOOKUP(MO.DataSourceName,MO_SPT_StockHigh_Sources,COLUMN(),FALSE))</f>
        <v/>
      </c>
      <c r="S785" s="2074">
        <f>IF(OR(MO.RealTimeStockPriceToggle=FALSE,VLOOKUP(MO.DataSourceName,MO_SPT_StockHigh_Sources,COLUMN(),FALSE)="N/A"),VLOOKUP("Real-Time Off Source",MO_SPT_StockHigh_Sources,COLUMN(),FALSE),VLOOKUP(MO.DataSourceName,MO_SPT_StockHigh_Sources,COLUMN(),FALSE))</f>
        <v/>
      </c>
      <c r="T785" s="2074">
        <f>IF(OR(MO.RealTimeStockPriceToggle=FALSE,VLOOKUP(MO.DataSourceName,MO_SPT_StockHigh_Sources,COLUMN(),FALSE)="N/A"),VLOOKUP("Real-Time Off Source",MO_SPT_StockHigh_Sources,COLUMN(),FALSE),VLOOKUP(MO.DataSourceName,MO_SPT_StockHigh_Sources,COLUMN(),FALSE))</f>
        <v/>
      </c>
      <c r="U785" s="2074">
        <f>IF(OR(MO.RealTimeStockPriceToggle=FALSE,VLOOKUP(MO.DataSourceName,MO_SPT_StockHigh_Sources,COLUMN(),FALSE)="N/A"),VLOOKUP("Real-Time Off Source",MO_SPT_StockHigh_Sources,COLUMN(),FALSE),VLOOKUP(MO.DataSourceName,MO_SPT_StockHigh_Sources,COLUMN(),FALSE))</f>
        <v/>
      </c>
      <c r="V785" s="2074">
        <f>IF(OR(MO.RealTimeStockPriceToggle=FALSE,VLOOKUP(MO.DataSourceName,MO_SPT_StockHigh_Sources,COLUMN(),FALSE)="N/A"),VLOOKUP("Real-Time Off Source",MO_SPT_StockHigh_Sources,COLUMN(),FALSE),VLOOKUP(MO.DataSourceName,MO_SPT_StockHigh_Sources,COLUMN(),FALSE))</f>
        <v/>
      </c>
      <c r="W785" s="2074">
        <f>IF(OR(MO.RealTimeStockPriceToggle=FALSE,VLOOKUP(MO.DataSourceName,MO_SPT_StockHigh_Sources,COLUMN(),FALSE)="N/A"),VLOOKUP("Real-Time Off Source",MO_SPT_StockHigh_Sources,COLUMN(),FALSE),VLOOKUP(MO.DataSourceName,MO_SPT_StockHigh_Sources,COLUMN(),FALSE))</f>
        <v/>
      </c>
      <c r="X785" s="2074">
        <f>IF(OR(MO.RealTimeStockPriceToggle=FALSE,VLOOKUP(MO.DataSourceName,MO_SPT_StockHigh_Sources,COLUMN(),FALSE)="N/A"),VLOOKUP("Real-Time Off Source",MO_SPT_StockHigh_Sources,COLUMN(),FALSE),VLOOKUP(MO.DataSourceName,MO_SPT_StockHigh_Sources,COLUMN(),FALSE))</f>
        <v/>
      </c>
      <c r="Y785" s="2074">
        <f>IF(OR(MO.RealTimeStockPriceToggle=FALSE,VLOOKUP(MO.DataSourceName,MO_SPT_StockHigh_Sources,COLUMN(),FALSE)="N/A"),VLOOKUP("Real-Time Off Source",MO_SPT_StockHigh_Sources,COLUMN(),FALSE),VLOOKUP(MO.DataSourceName,MO_SPT_StockHigh_Sources,COLUMN(),FALSE))</f>
        <v/>
      </c>
      <c r="Z785" s="2074">
        <f>IF(OR(MO.RealTimeStockPriceToggle=FALSE,VLOOKUP(MO.DataSourceName,MO_SPT_StockHigh_Sources,COLUMN(),FALSE)="N/A"),VLOOKUP("Real-Time Off Source",MO_SPT_StockHigh_Sources,COLUMN(),FALSE),VLOOKUP(MO.DataSourceName,MO_SPT_StockHigh_Sources,COLUMN(),FALSE))</f>
        <v/>
      </c>
      <c r="AA785" s="2074">
        <f>IF(OR(MO.RealTimeStockPriceToggle=FALSE,VLOOKUP(MO.DataSourceName,MO_SPT_StockHigh_Sources,COLUMN(),FALSE)="N/A"),VLOOKUP("Real-Time Off Source",MO_SPT_StockHigh_Sources,COLUMN(),FALSE),VLOOKUP(MO.DataSourceName,MO_SPT_StockHigh_Sources,COLUMN(),FALSE))</f>
        <v/>
      </c>
      <c r="AB785" s="2074">
        <f>IF(OR(MO.RealTimeStockPriceToggle=FALSE,VLOOKUP(MO.DataSourceName,MO_SPT_StockHigh_Sources,COLUMN(),FALSE)="N/A"),VLOOKUP("Real-Time Off Source",MO_SPT_StockHigh_Sources,COLUMN(),FALSE),VLOOKUP(MO.DataSourceName,MO_SPT_StockHigh_Sources,COLUMN(),FALSE))</f>
        <v/>
      </c>
      <c r="AC785" s="2074">
        <f>IF(OR(MO.RealTimeStockPriceToggle=FALSE,VLOOKUP(MO.DataSourceName,MO_SPT_StockHigh_Sources,COLUMN(),FALSE)="N/A"),VLOOKUP("Real-Time Off Source",MO_SPT_StockHigh_Sources,COLUMN(),FALSE),VLOOKUP(MO.DataSourceName,MO_SPT_StockHigh_Sources,COLUMN(),FALSE))</f>
        <v/>
      </c>
      <c r="AD785" s="2074">
        <f>IF(OR(MO.RealTimeStockPriceToggle=FALSE,VLOOKUP(MO.DataSourceName,MO_SPT_StockHigh_Sources,COLUMN(),FALSE)="N/A"),VLOOKUP("Real-Time Off Source",MO_SPT_StockHigh_Sources,COLUMN(),FALSE),VLOOKUP(MO.DataSourceName,MO_SPT_StockHigh_Sources,COLUMN(),FALSE))</f>
        <v/>
      </c>
      <c r="AE785" s="2074">
        <f>IF(OR(MO.RealTimeStockPriceToggle=FALSE,VLOOKUP(MO.DataSourceName,MO_SPT_StockHigh_Sources,COLUMN(),FALSE)="N/A"),VLOOKUP("Real-Time Off Source",MO_SPT_StockHigh_Sources,COLUMN(),FALSE),VLOOKUP(MO.DataSourceName,MO_SPT_StockHigh_Sources,COLUMN(),FALSE))</f>
        <v/>
      </c>
      <c r="AF785" s="2074">
        <f>IF(OR(MO.RealTimeStockPriceToggle=FALSE,VLOOKUP(MO.DataSourceName,MO_SPT_StockHigh_Sources,COLUMN(),FALSE)="N/A"),VLOOKUP("Real-Time Off Source",MO_SPT_StockHigh_Sources,COLUMN(),FALSE),VLOOKUP(MO.DataSourceName,MO_SPT_StockHigh_Sources,COLUMN(),FALSE))</f>
        <v/>
      </c>
      <c r="AG785" s="2074">
        <f>IF(OR(MO.RealTimeStockPriceToggle=FALSE,VLOOKUP(MO.DataSourceName,MO_SPT_StockHigh_Sources,COLUMN(),FALSE)="N/A"),VLOOKUP("Real-Time Off Source",MO_SPT_StockHigh_Sources,COLUMN(),FALSE),VLOOKUP(MO.DataSourceName,MO_SPT_StockHigh_Sources,COLUMN(),FALSE))</f>
        <v/>
      </c>
      <c r="AH785" s="2074">
        <f>IF(OR(MO.RealTimeStockPriceToggle=FALSE,VLOOKUP(MO.DataSourceName,MO_SPT_StockHigh_Sources,COLUMN(),FALSE)="N/A"),VLOOKUP("Real-Time Off Source",MO_SPT_StockHigh_Sources,COLUMN(),FALSE),VLOOKUP(MO.DataSourceName,MO_SPT_StockHigh_Sources,COLUMN(),FALSE))</f>
        <v/>
      </c>
      <c r="AI785" s="2074">
        <f>IF(OR(MO.RealTimeStockPriceToggle=FALSE,VLOOKUP(MO.DataSourceName,MO_SPT_StockHigh_Sources,COLUMN(),FALSE)="N/A"),VLOOKUP("Real-Time Off Source",MO_SPT_StockHigh_Sources,COLUMN(),FALSE),VLOOKUP(MO.DataSourceName,MO_SPT_StockHigh_Sources,COLUMN(),FALSE))</f>
        <v/>
      </c>
      <c r="AJ785" s="2074">
        <f>IF(OR(MO.RealTimeStockPriceToggle=FALSE,VLOOKUP(MO.DataSourceName,MO_SPT_StockHigh_Sources,COLUMN(),FALSE)="N/A"),VLOOKUP("Real-Time Off Source",MO_SPT_StockHigh_Sources,COLUMN(),FALSE),VLOOKUP(MO.DataSourceName,MO_SPT_StockHigh_Sources,COLUMN(),FALSE))</f>
        <v/>
      </c>
      <c r="AK785" s="2074">
        <f>IF(OR(MO.RealTimeStockPriceToggle=FALSE,VLOOKUP(MO.DataSourceName,MO_SPT_StockHigh_Sources,COLUMN(),FALSE)="N/A"),VLOOKUP("Real-Time Off Source",MO_SPT_StockHigh_Sources,COLUMN(),FALSE),VLOOKUP(MO.DataSourceName,MO_SPT_StockHigh_Sources,COLUMN(),FALSE))</f>
        <v/>
      </c>
      <c r="AL785" s="2074">
        <f>IF(OR(MO.RealTimeStockPriceToggle=FALSE,VLOOKUP(MO.DataSourceName,MO_SPT_StockHigh_Sources,COLUMN(),FALSE)="N/A"),VLOOKUP("Real-Time Off Source",MO_SPT_StockHigh_Sources,COLUMN(),FALSE),VLOOKUP(MO.DataSourceName,MO_SPT_StockHigh_Sources,COLUMN(),FALSE))</f>
        <v/>
      </c>
      <c r="AM785" s="2074">
        <f>IF(OR(MO.RealTimeStockPriceToggle=FALSE,VLOOKUP(MO.DataSourceName,MO_SPT_StockHigh_Sources,COLUMN(),FALSE)="N/A"),VLOOKUP("Real-Time Off Source",MO_SPT_StockHigh_Sources,COLUMN(),FALSE),VLOOKUP(MO.DataSourceName,MO_SPT_StockHigh_Sources,COLUMN(),FALSE))</f>
        <v/>
      </c>
      <c r="AN785" s="2074">
        <f>IF(OR(MO.RealTimeStockPriceToggle=FALSE,VLOOKUP(MO.DataSourceName,MO_SPT_StockHigh_Sources,COLUMN(),FALSE)="N/A"),VLOOKUP("Real-Time Off Source",MO_SPT_StockHigh_Sources,COLUMN(),FALSE),VLOOKUP(MO.DataSourceName,MO_SPT_StockHigh_Sources,COLUMN(),FALSE))</f>
        <v/>
      </c>
      <c r="AO785" s="2074">
        <f>IF(OR(MO.RealTimeStockPriceToggle=FALSE,VLOOKUP(MO.DataSourceName,MO_SPT_StockHigh_Sources,COLUMN(),FALSE)="N/A"),VLOOKUP("Real-Time Off Source",MO_SPT_StockHigh_Sources,COLUMN(),FALSE),VLOOKUP(MO.DataSourceName,MO_SPT_StockHigh_Sources,COLUMN(),FALSE))</f>
        <v/>
      </c>
      <c r="AP785" s="2074">
        <f>IF(OR(MO.RealTimeStockPriceToggle=FALSE,VLOOKUP(MO.DataSourceName,MO_SPT_StockHigh_Sources,COLUMN(),FALSE)="N/A"),VLOOKUP("Real-Time Off Source",MO_SPT_StockHigh_Sources,COLUMN(),FALSE),VLOOKUP(MO.DataSourceName,MO_SPT_StockHigh_Sources,COLUMN(),FALSE))</f>
        <v/>
      </c>
      <c r="AQ785" s="2074">
        <f>IF(OR(MO.RealTimeStockPriceToggle=FALSE,VLOOKUP(MO.DataSourceName,MO_SPT_StockHigh_Sources,COLUMN(),FALSE)="N/A"),VLOOKUP("Real-Time Off Source",MO_SPT_StockHigh_Sources,COLUMN(),FALSE),VLOOKUP(MO.DataSourceName,MO_SPT_StockHigh_Sources,COLUMN(),FALSE))</f>
        <v/>
      </c>
      <c r="AR785" s="2074">
        <f>IF(OR(MO.RealTimeStockPriceToggle=FALSE,VLOOKUP(MO.DataSourceName,MO_SPT_StockHigh_Sources,COLUMN(),FALSE)="N/A"),VLOOKUP("Real-Time Off Source",MO_SPT_StockHigh_Sources,COLUMN(),FALSE),VLOOKUP(MO.DataSourceName,MO_SPT_StockHigh_Sources,COLUMN(),FALSE))</f>
        <v/>
      </c>
      <c r="AS785" s="2074">
        <f>IF(OR(MO.RealTimeStockPriceToggle=FALSE,VLOOKUP(MO.DataSourceName,MO_SPT_StockHigh_Sources,COLUMN(),FALSE)="N/A"),VLOOKUP("Real-Time Off Source",MO_SPT_StockHigh_Sources,COLUMN(),FALSE),VLOOKUP(MO.DataSourceName,MO_SPT_StockHigh_Sources,COLUMN(),FALSE))</f>
        <v/>
      </c>
      <c r="AT785" s="2074">
        <f>IF(OR(MO.RealTimeStockPriceToggle=FALSE,VLOOKUP(MO.DataSourceName,MO_SPT_StockHigh_Sources,COLUMN(),FALSE)="N/A"),VLOOKUP("Real-Time Off Source",MO_SPT_StockHigh_Sources,COLUMN(),FALSE),VLOOKUP(MO.DataSourceName,MO_SPT_StockHigh_Sources,COLUMN(),FALSE))</f>
        <v/>
      </c>
      <c r="AU785" s="2074">
        <f>IF(OR(MO.RealTimeStockPriceToggle=FALSE,VLOOKUP(MO.DataSourceName,MO_SPT_StockHigh_Sources,COLUMN(),FALSE)="N/A"),VLOOKUP("Real-Time Off Source",MO_SPT_StockHigh_Sources,COLUMN(),FALSE),VLOOKUP(MO.DataSourceName,MO_SPT_StockHigh_Sources,COLUMN(),FALSE))</f>
        <v/>
      </c>
      <c r="AV785" s="2074">
        <f>IF(OR(MO.RealTimeStockPriceToggle=FALSE,VLOOKUP(MO.DataSourceName,MO_SPT_StockHigh_Sources,COLUMN(),FALSE)="N/A"),VLOOKUP("Real-Time Off Source",MO_SPT_StockHigh_Sources,COLUMN(),FALSE),VLOOKUP(MO.DataSourceName,MO_SPT_StockHigh_Sources,COLUMN(),FALSE))</f>
        <v/>
      </c>
      <c r="AW785" s="2074">
        <f>IF(OR(MO.RealTimeStockPriceToggle=FALSE,VLOOKUP(MO.DataSourceName,MO_SPT_StockHigh_Sources,COLUMN(),FALSE)="N/A"),VLOOKUP("Real-Time Off Source",MO_SPT_StockHigh_Sources,COLUMN(),FALSE),VLOOKUP(MO.DataSourceName,MO_SPT_StockHigh_Sources,COLUMN(),FALSE))</f>
        <v/>
      </c>
      <c r="AX785" s="2074">
        <f>IF(OR(MO.RealTimeStockPriceToggle=FALSE,VLOOKUP(MO.DataSourceName,MO_SPT_StockHigh_Sources,COLUMN(),FALSE)="N/A"),VLOOKUP("Real-Time Off Source",MO_SPT_StockHigh_Sources,COLUMN(),FALSE),VLOOKUP(MO.DataSourceName,MO_SPT_StockHigh_Sources,COLUMN(),FALSE))</f>
        <v/>
      </c>
      <c r="AY785" s="2074">
        <f>IF(OR(MO.RealTimeStockPriceToggle=FALSE,VLOOKUP(MO.DataSourceName,MO_SPT_StockHigh_Sources,COLUMN(),FALSE)="N/A"),VLOOKUP("Real-Time Off Source",MO_SPT_StockHigh_Sources,COLUMN(),FALSE),VLOOKUP(MO.DataSourceName,MO_SPT_StockHigh_Sources,COLUMN(),FALSE))</f>
        <v/>
      </c>
      <c r="AZ785" s="2074">
        <f>IF(OR(MO.RealTimeStockPriceToggle=FALSE,VLOOKUP(MO.DataSourceName,MO_SPT_StockHigh_Sources,COLUMN(),FALSE)="N/A"),VLOOKUP("Real-Time Off Source",MO_SPT_StockHigh_Sources,COLUMN(),FALSE),VLOOKUP(MO.DataSourceName,MO_SPT_StockHigh_Sources,COLUMN(),FALSE))</f>
        <v/>
      </c>
      <c r="BA785" s="2074">
        <f>IF(OR(MO.RealTimeStockPriceToggle=FALSE,VLOOKUP(MO.DataSourceName,MO_SPT_StockHigh_Sources,COLUMN(),FALSE)="N/A"),VLOOKUP("Real-Time Off Source",MO_SPT_StockHigh_Sources,COLUMN(),FALSE),VLOOKUP(MO.DataSourceName,MO_SPT_StockHigh_Sources,COLUMN(),FALSE))</f>
        <v/>
      </c>
      <c r="BB785" s="2074">
        <f>IF(OR(MO.RealTimeStockPriceToggle=FALSE,VLOOKUP(MO.DataSourceName,MO_SPT_StockHigh_Sources,COLUMN(),FALSE)="N/A"),VLOOKUP("Real-Time Off Source",MO_SPT_StockHigh_Sources,COLUMN(),FALSE),VLOOKUP(MO.DataSourceName,MO_SPT_StockHigh_Sources,COLUMN(),FALSE))</f>
        <v/>
      </c>
      <c r="BC785" s="2074">
        <f>IF(OR(MO.RealTimeStockPriceToggle=FALSE,VLOOKUP(MO.DataSourceName,MO_SPT_StockHigh_Sources,COLUMN(),FALSE)="N/A"),VLOOKUP("Real-Time Off Source",MO_SPT_StockHigh_Sources,COLUMN(),FALSE),VLOOKUP(MO.DataSourceName,MO_SPT_StockHigh_Sources,COLUMN(),FALSE))</f>
        <v/>
      </c>
      <c r="BD785" s="2074">
        <f>IF(OR(MO.RealTimeStockPriceToggle=FALSE,VLOOKUP(MO.DataSourceName,MO_SPT_StockHigh_Sources,COLUMN(),FALSE)="N/A"),VLOOKUP("Real-Time Off Source",MO_SPT_StockHigh_Sources,COLUMN(),FALSE),VLOOKUP(MO.DataSourceName,MO_SPT_StockHigh_Sources,COLUMN(),FALSE))</f>
        <v/>
      </c>
      <c r="BE785" s="2074">
        <f>IF(OR(MO.RealTimeStockPriceToggle=FALSE,VLOOKUP(MO.DataSourceName,MO_SPT_StockHigh_Sources,COLUMN(),FALSE)="N/A"),VLOOKUP("Real-Time Off Source",MO_SPT_StockHigh_Sources,COLUMN(),FALSE),VLOOKUP(MO.DataSourceName,MO_SPT_StockHigh_Sources,COLUMN(),FALSE))</f>
        <v/>
      </c>
      <c r="BF785" s="2074">
        <f>IF(OR(MO.RealTimeStockPriceToggle=FALSE,VLOOKUP(MO.DataSourceName,MO_SPT_StockHigh_Sources,COLUMN(),FALSE)="N/A"),VLOOKUP("Real-Time Off Source",MO_SPT_StockHigh_Sources,COLUMN(),FALSE),VLOOKUP(MO.DataSourceName,MO_SPT_StockHigh_Sources,COLUMN(),FALSE))</f>
        <v/>
      </c>
      <c r="BG785" s="2074">
        <f>IF(OR(MO.RealTimeStockPriceToggle=FALSE,VLOOKUP(MO.DataSourceName,MO_SPT_StockHigh_Sources,COLUMN(),FALSE)="N/A"),VLOOKUP("Real-Time Off Source",MO_SPT_StockHigh_Sources,COLUMN(),FALSE),VLOOKUP(MO.DataSourceName,MO_SPT_StockHigh_Sources,COLUMN(),FALSE))</f>
        <v/>
      </c>
      <c r="BH785" s="2074">
        <f>IF(OR(MO.RealTimeStockPriceToggle=FALSE,VLOOKUP(MO.DataSourceName,MO_SPT_StockHigh_Sources,COLUMN(),FALSE)="N/A"),VLOOKUP("Real-Time Off Source",MO_SPT_StockHigh_Sources,COLUMN(),FALSE),VLOOKUP(MO.DataSourceName,MO_SPT_StockHigh_Sources,COLUMN(),FALSE))</f>
        <v/>
      </c>
      <c r="BI785" s="2074">
        <f>IF(OR(MO.RealTimeStockPriceToggle=FALSE,VLOOKUP(MO.DataSourceName,MO_SPT_StockHigh_Sources,COLUMN(),FALSE)="N/A"),VLOOKUP("Real-Time Off Source",MO_SPT_StockHigh_Sources,COLUMN(),FALSE),VLOOKUP(MO.DataSourceName,MO_SPT_StockHigh_Sources,COLUMN(),FALSE))</f>
        <v/>
      </c>
      <c r="BJ785" s="2074">
        <f>IF(OR(MO.RealTimeStockPriceToggle=FALSE,VLOOKUP(MO.DataSourceName,MO_SPT_StockHigh_Sources,COLUMN(),FALSE)="N/A"),VLOOKUP("Real-Time Off Source",MO_SPT_StockHigh_Sources,COLUMN(),FALSE),VLOOKUP(MO.DataSourceName,MO_SPT_StockHigh_Sources,COLUMN(),FALSE))</f>
        <v/>
      </c>
      <c r="BK785" s="2074">
        <f>IF(OR(MO.RealTimeStockPriceToggle=FALSE,VLOOKUP(MO.DataSourceName,MO_SPT_StockHigh_Sources,COLUMN(),FALSE)="N/A"),VLOOKUP("Real-Time Off Source",MO_SPT_StockHigh_Sources,COLUMN(),FALSE),VLOOKUP(MO.DataSourceName,MO_SPT_StockHigh_Sources,COLUMN(),FALSE))</f>
        <v/>
      </c>
      <c r="BL785" s="2074">
        <f>IF(OR(MO.RealTimeStockPriceToggle=FALSE,VLOOKUP(MO.DataSourceName,MO_SPT_StockHigh_Sources,COLUMN(),FALSE)="N/A"),VLOOKUP("Real-Time Off Source",MO_SPT_StockHigh_Sources,COLUMN(),FALSE),VLOOKUP(MO.DataSourceName,MO_SPT_StockHigh_Sources,COLUMN(),FALSE))</f>
        <v/>
      </c>
      <c r="BM785" s="2074">
        <f>IF(OR(MO.RealTimeStockPriceToggle=FALSE,VLOOKUP(MO.DataSourceName,MO_SPT_StockHigh_Sources,COLUMN(),FALSE)="N/A"),VLOOKUP("Real-Time Off Source",MO_SPT_StockHigh_Sources,COLUMN(),FALSE),VLOOKUP(MO.DataSourceName,MO_SPT_StockHigh_Sources,COLUMN(),FALSE))</f>
        <v/>
      </c>
      <c r="BN785" s="2074">
        <f>IF(OR(MO.RealTimeStockPriceToggle=FALSE,VLOOKUP(MO.DataSourceName,MO_SPT_StockHigh_Sources,COLUMN(),FALSE)="N/A"),VLOOKUP("Real-Time Off Source",MO_SPT_StockHigh_Sources,COLUMN(),FALSE),VLOOKUP(MO.DataSourceName,MO_SPT_StockHigh_Sources,COLUMN(),FALSE))</f>
        <v/>
      </c>
      <c r="BO785" s="2076">
        <f>IF(OR(MO.RealTimeStockPriceToggle=FALSE,VLOOKUP(MO.DataSourceName,MO_SPT_StockHigh_Sources,COLUMN(),FALSE)="N/A"),VLOOKUP("Real-Time Off Source",MO_SPT_StockHigh_Sources,COLUMN(),FALSE),VLOOKUP(MO.DataSourceName,MO_SPT_StockHigh_Sources,COLUMN(),FALSE))</f>
        <v/>
      </c>
      <c r="BP785" s="2074">
        <f>IF(OR(MO.RealTimeStockPriceToggle=FALSE,VLOOKUP(MO.DataSourceName,MO_SPT_StockHigh_Sources,COLUMN(),FALSE)="N/A"),VLOOKUP("Real-Time Off Source",MO_SPT_StockHigh_Sources,COLUMN(),FALSE),VLOOKUP(MO.DataSourceName,MO_SPT_StockHigh_Sources,COLUMN(),FALSE))</f>
        <v/>
      </c>
      <c r="BQ785" s="2074">
        <f>IF(OR(MO.RealTimeStockPriceToggle=FALSE,VLOOKUP(MO.DataSourceName,MO_SPT_StockHigh_Sources,COLUMN(),FALSE)="N/A"),VLOOKUP("Real-Time Off Source",MO_SPT_StockHigh_Sources,COLUMN(),FALSE),VLOOKUP(MO.DataSourceName,MO_SPT_StockHigh_Sources,COLUMN(),FALSE))</f>
        <v/>
      </c>
      <c r="BR785" s="2074">
        <f>IF(OR(MO.RealTimeStockPriceToggle=FALSE,VLOOKUP(MO.DataSourceName,MO_SPT_StockHigh_Sources,COLUMN(),FALSE)="N/A"),VLOOKUP("Real-Time Off Source",MO_SPT_StockHigh_Sources,COLUMN(),FALSE),VLOOKUP(MO.DataSourceName,MO_SPT_StockHigh_Sources,COLUMN(),FALSE))</f>
        <v/>
      </c>
      <c r="BS785" s="2074">
        <f>IF(OR(MO.RealTimeStockPriceToggle=FALSE,VLOOKUP(MO.DataSourceName,MO_SPT_StockHigh_Sources,COLUMN(),FALSE)="N/A"),VLOOKUP("Real-Time Off Source",MO_SPT_StockHigh_Sources,COLUMN(),FALSE),VLOOKUP(MO.DataSourceName,MO_SPT_StockHigh_Sources,COLUMN(),FALSE))</f>
        <v/>
      </c>
      <c r="BT785" s="2074">
        <f>IF(OR(MO.RealTimeStockPriceToggle=FALSE,VLOOKUP(MO.DataSourceName,MO_SPT_StockHigh_Sources,COLUMN(),FALSE)="N/A"),VLOOKUP("Real-Time Off Source",MO_SPT_StockHigh_Sources,COLUMN(),FALSE),VLOOKUP(MO.DataSourceName,MO_SPT_StockHigh_Sources,COLUMN(),FALSE))</f>
        <v/>
      </c>
      <c r="BU785" s="2074">
        <f>IF(OR(MO.RealTimeStockPriceToggle=FALSE,VLOOKUP(MO.DataSourceName,MO_SPT_StockHigh_Sources,COLUMN(),FALSE)="N/A"),VLOOKUP("Real-Time Off Source",MO_SPT_StockHigh_Sources,COLUMN(),FALSE),VLOOKUP(MO.DataSourceName,MO_SPT_StockHigh_Sources,COLUMN(),FALSE))</f>
        <v/>
      </c>
      <c r="BV785" s="2074">
        <f>IF(OR(MO.RealTimeStockPriceToggle=FALSE,VLOOKUP(MO.DataSourceName,MO_SPT_StockHigh_Sources,COLUMN(),FALSE)="N/A"),VLOOKUP("Real-Time Off Source",MO_SPT_StockHigh_Sources,COLUMN(),FALSE),VLOOKUP(MO.DataSourceName,MO_SPT_StockHigh_Sources,COLUMN(),FALSE))</f>
        <v/>
      </c>
      <c r="BW785" s="2074">
        <f>IF(OR(MO.RealTimeStockPriceToggle=FALSE,VLOOKUP(MO.DataSourceName,MO_SPT_StockHigh_Sources,COLUMN(),FALSE)="N/A"),VLOOKUP("Real-Time Off Source",MO_SPT_StockHigh_Sources,COLUMN(),FALSE),VLOOKUP(MO.DataSourceName,MO_SPT_StockHigh_Sources,COLUMN(),FALSE))</f>
        <v/>
      </c>
      <c r="BX785" s="2074">
        <f>IF(OR(MO.RealTimeStockPriceToggle=FALSE,VLOOKUP(MO.DataSourceName,MO_SPT_StockHigh_Sources,COLUMN(),FALSE)="N/A"),VLOOKUP("Real-Time Off Source",MO_SPT_StockHigh_Sources,COLUMN(),FALSE),VLOOKUP(MO.DataSourceName,MO_SPT_StockHigh_Sources,COLUMN(),FALSE))</f>
        <v/>
      </c>
      <c r="BY785" s="2074">
        <f>IF(OR(MO.RealTimeStockPriceToggle=FALSE,VLOOKUP(MO.DataSourceName,MO_SPT_StockHigh_Sources,COLUMN(),FALSE)="N/A"),VLOOKUP("Real-Time Off Source",MO_SPT_StockHigh_Sources,COLUMN(),FALSE),VLOOKUP(MO.DataSourceName,MO_SPT_StockHigh_Sources,COLUMN(),FALSE))</f>
        <v/>
      </c>
      <c r="BZ785" s="2074">
        <f>IF(OR(MO.RealTimeStockPriceToggle=FALSE,VLOOKUP(MO.DataSourceName,MO_SPT_StockHigh_Sources,COLUMN(),FALSE)="N/A"),VLOOKUP("Real-Time Off Source",MO_SPT_StockHigh_Sources,COLUMN(),FALSE),VLOOKUP(MO.DataSourceName,MO_SPT_StockHigh_Sources,COLUMN(),FALSE))</f>
        <v/>
      </c>
      <c r="CA785" s="2074">
        <f>IF(OR(MO.RealTimeStockPriceToggle=FALSE,VLOOKUP(MO.DataSourceName,MO_SPT_StockHigh_Sources,COLUMN(),FALSE)="N/A"),VLOOKUP("Real-Time Off Source",MO_SPT_StockHigh_Sources,COLUMN(),FALSE),VLOOKUP(MO.DataSourceName,MO_SPT_StockHigh_Sources,COLUMN(),FALSE))</f>
        <v/>
      </c>
      <c r="CB785" s="2077">
        <f>IF(OR(MO.RealTimeStockPriceToggle=FALSE,VLOOKUP(MO.DataSourceName,MO_SPT_StockHigh_Sources,COLUMN(),FALSE)="N/A"),VLOOKUP("Real-Time Off Source",MO_SPT_StockHigh_Sources,COLUMN(),FALSE),VLOOKUP(MO.DataSourceName,MO_SPT_StockHigh_Sources,COLUMN(),FALSE))</f>
        <v/>
      </c>
      <c r="CC785" s="2078" t="n"/>
    </row>
    <row r="786" hidden="1" outlineLevel="1" ht="15" customFormat="1" customHeight="1" s="1945">
      <c r="A786" s="2079" t="inlineStr">
        <is>
          <t>Real-Time Off Source</t>
        </is>
      </c>
      <c r="B786" s="2074" t="n"/>
      <c r="C786" s="2080" t="n">
        <v>25.325766058</v>
      </c>
      <c r="D786" s="2080" t="n">
        <v>30.441457349</v>
      </c>
      <c r="E786" s="2081" t="n">
        <v>33.984279846</v>
      </c>
      <c r="F786" s="2081" t="n">
        <v>49.95</v>
      </c>
      <c r="G786" s="2081" t="n">
        <v>75.05</v>
      </c>
      <c r="H786" s="2081" t="n">
        <v>68.97</v>
      </c>
      <c r="I786" s="2081" t="n">
        <v>69.92</v>
      </c>
      <c r="J786" s="2081" t="n">
        <v>79.43000000000001</v>
      </c>
      <c r="K786" s="2081" t="n">
        <v>89.95</v>
      </c>
      <c r="L786" s="2081" t="n">
        <v>89.95</v>
      </c>
      <c r="M786" s="2081" t="n">
        <v>102.4</v>
      </c>
      <c r="N786" s="2081" t="n">
        <v>104.85</v>
      </c>
      <c r="O786" s="2081" t="n">
        <v>98.92</v>
      </c>
      <c r="P786" s="2081" t="n">
        <v>90.23999999999999</v>
      </c>
      <c r="Q786" s="2081" t="n">
        <v>104.85</v>
      </c>
      <c r="R786" s="2081" t="n">
        <v>89.90000000000001</v>
      </c>
      <c r="S786" s="2081" t="n">
        <v>90.67</v>
      </c>
      <c r="T786" s="2081" t="n">
        <v>100.5</v>
      </c>
      <c r="U786" s="2081" t="n">
        <v>107.15</v>
      </c>
      <c r="V786" s="2081" t="n">
        <v>107.15</v>
      </c>
      <c r="W786" s="2081" t="n">
        <v>124.4</v>
      </c>
      <c r="X786" s="2081" t="n">
        <v>124.95</v>
      </c>
      <c r="Y786" s="2081" t="n">
        <v>144.7</v>
      </c>
      <c r="Z786" s="2081" t="n">
        <v>159.95</v>
      </c>
      <c r="AA786" s="2081" t="n">
        <v>159.95</v>
      </c>
      <c r="AB786" s="2081" t="n">
        <v>175.25</v>
      </c>
      <c r="AC786" s="2081" t="n">
        <v>188.85</v>
      </c>
      <c r="AD786" s="2081" t="n">
        <v>189.5</v>
      </c>
      <c r="AE786" s="2081" t="n">
        <v>166.76</v>
      </c>
      <c r="AF786" s="2081" t="n">
        <v>189.5</v>
      </c>
      <c r="AG786" s="2081" t="n">
        <v>171.98</v>
      </c>
      <c r="AH786" s="2081" t="n">
        <v>186.02</v>
      </c>
      <c r="AI786" s="2081" t="n">
        <v>228.65</v>
      </c>
      <c r="AJ786" s="2081" t="n">
        <v>267.8</v>
      </c>
      <c r="AK786" s="2081" t="n">
        <v>267.8</v>
      </c>
      <c r="AL786" s="2081" t="n">
        <v>294.4</v>
      </c>
      <c r="AM786" s="2081" t="n">
        <v>330.35</v>
      </c>
      <c r="AN786" s="2081" t="n">
        <v>355.5</v>
      </c>
      <c r="AO786" s="2081" t="n">
        <v>401.8</v>
      </c>
      <c r="AP786" s="2081" t="n">
        <v>401.8</v>
      </c>
      <c r="AQ786" s="2081" t="n">
        <v>526.3</v>
      </c>
      <c r="AR786" s="2081" t="n">
        <v>594.1</v>
      </c>
      <c r="AS786" s="2081" t="n">
        <v>764.4</v>
      </c>
      <c r="AT786" s="2081" t="n">
        <v>770.5</v>
      </c>
      <c r="AU786" s="2081" t="n">
        <v>770.5</v>
      </c>
      <c r="AV786" s="2081" t="n">
        <v>716.9</v>
      </c>
      <c r="AW786" s="2081" t="n">
        <v>627</v>
      </c>
      <c r="AX786" s="2081" t="n">
        <v>580.5</v>
      </c>
      <c r="AY786" s="2081" t="n">
        <v>628.27002</v>
      </c>
      <c r="AZ786" s="2081" t="n">
        <v>787.371033</v>
      </c>
      <c r="BA786" s="2081" t="n">
        <v>639.5</v>
      </c>
      <c r="BB786" s="2081" t="n">
        <v>683.1</v>
      </c>
      <c r="BC786" s="2081" t="n">
        <v>684.9</v>
      </c>
      <c r="BD786" s="2081" t="n">
        <v>694.7</v>
      </c>
      <c r="BE786" s="2081" t="n">
        <v>694.7</v>
      </c>
      <c r="BF786" s="2081" t="n">
        <v>949.2</v>
      </c>
      <c r="BG786" s="2081" t="n">
        <v>988.9</v>
      </c>
      <c r="BH786" s="2081" t="n">
        <v>1002.2</v>
      </c>
      <c r="BI786" s="2081" t="n">
        <v>792</v>
      </c>
      <c r="BJ786" s="2081" t="n">
        <v>1002.2</v>
      </c>
      <c r="BK786" s="2081" t="n">
        <v>748.1</v>
      </c>
      <c r="BL786" s="2081" t="n">
        <v>694.5</v>
      </c>
      <c r="BM786" s="2081" t="n">
        <v>819.8</v>
      </c>
      <c r="BN786" s="2081" t="n">
        <v>963.4</v>
      </c>
      <c r="BO786" s="2082" t="n">
        <v>963.4</v>
      </c>
      <c r="BP786" s="2074" t="n"/>
      <c r="BQ786" s="2074" t="n"/>
      <c r="BR786" s="2074" t="n"/>
      <c r="BS786" s="2074" t="n"/>
      <c r="BT786" s="2074" t="n"/>
      <c r="BU786" s="2074" t="n"/>
      <c r="BV786" s="2074" t="n"/>
      <c r="BW786" s="2074" t="n"/>
      <c r="BX786" s="2074" t="n"/>
      <c r="BY786" s="2074" t="n"/>
      <c r="BZ786" s="2074" t="n"/>
      <c r="CA786" s="2074" t="n"/>
      <c r="CB786" s="2077" t="n"/>
      <c r="CC786" s="2078" t="n"/>
    </row>
    <row r="787" hidden="1" outlineLevel="1" ht="15" customFormat="1" customHeight="1" s="1945">
      <c r="A787" s="2079" t="inlineStr">
        <is>
          <t>Bloomberg</t>
        </is>
      </c>
      <c r="B787" s="2074" t="n"/>
      <c r="C787" s="2075">
        <f>IFERROR(BDP(MO.Ticker.Bloomberg&amp;" Equity","INTERVAL_HIGH","MARKET_DATA_OVERRIDE=PX_LAST","START_DATE_OVERRIDE",TEXT(INDEX(MO_SNA_FPStartDate,0,COLUMN()),"YYYYMMDD"),"END_DATE_OVERRIDE",TEXT(INDEX(MO_Common_QEndDate,0,COLUMN()),"YYYYMMDD")),"N/A")</f>
        <v/>
      </c>
      <c r="D787" s="2075">
        <f>IFERROR(BDP(MO.Ticker.Bloomberg&amp;" Equity","INTERVAL_HIGH","MARKET_DATA_OVERRIDE=PX_LAST","START_DATE_OVERRIDE",TEXT(INDEX(MO_SNA_FPStartDate,0,COLUMN()),"YYYYMMDD"),"END_DATE_OVERRIDE",TEXT(INDEX(MO_Common_QEndDate,0,COLUMN()),"YYYYMMDD")),"N/A")</f>
        <v/>
      </c>
      <c r="E787" s="2074">
        <f>IFERROR(BDP(MO.Ticker.Bloomberg&amp;" Equity","INTERVAL_HIGH","MARKET_DATA_OVERRIDE=PX_LAST","START_DATE_OVERRIDE",TEXT(INDEX(MO_SNA_FPStartDate,0,COLUMN()),"YYYYMMDD"),"END_DATE_OVERRIDE",TEXT(INDEX(MO_Common_QEndDate,0,COLUMN()),"YYYYMMDD")),"N/A")</f>
        <v/>
      </c>
      <c r="F787" s="2074">
        <f>IFERROR(BDP(MO.Ticker.Bloomberg&amp;" Equity","INTERVAL_HIGH","MARKET_DATA_OVERRIDE=PX_LAST","START_DATE_OVERRIDE",TEXT(INDEX(MO_SNA_FPStartDate,0,COLUMN()),"YYYYMMDD"),"END_DATE_OVERRIDE",TEXT(INDEX(MO_Common_QEndDate,0,COLUMN()),"YYYYMMDD")),"N/A")</f>
        <v/>
      </c>
      <c r="G787" s="2074">
        <f>IFERROR(BDP(MO.Ticker.Bloomberg&amp;" Equity","INTERVAL_HIGH","MARKET_DATA_OVERRIDE=PX_LAST","START_DATE_OVERRIDE",TEXT(INDEX(MO_SNA_FPStartDate,0,COLUMN()),"YYYYMMDD"),"END_DATE_OVERRIDE",TEXT(INDEX(MO_Common_QEndDate,0,COLUMN()),"YYYYMMDD")),"N/A")</f>
        <v/>
      </c>
      <c r="H787" s="2074">
        <f>IFERROR(BDP(MO.Ticker.Bloomberg&amp;" Equity","INTERVAL_HIGH","MARKET_DATA_OVERRIDE=PX_LAST","START_DATE_OVERRIDE",TEXT(INDEX(MO_SNA_FPStartDate,0,COLUMN()),"YYYYMMDD"),"END_DATE_OVERRIDE",TEXT(INDEX(MO_Common_QEndDate,0,COLUMN()),"YYYYMMDD")),"N/A")</f>
        <v/>
      </c>
      <c r="I787" s="2074">
        <f>IFERROR(BDP(MO.Ticker.Bloomberg&amp;" Equity","INTERVAL_HIGH","MARKET_DATA_OVERRIDE=PX_LAST","START_DATE_OVERRIDE",TEXT(INDEX(MO_SNA_FPStartDate,0,COLUMN()),"YYYYMMDD"),"END_DATE_OVERRIDE",TEXT(INDEX(MO_Common_QEndDate,0,COLUMN()),"YYYYMMDD")),"N/A")</f>
        <v/>
      </c>
      <c r="J787" s="2074">
        <f>IFERROR(BDP(MO.Ticker.Bloomberg&amp;" Equity","INTERVAL_HIGH","MARKET_DATA_OVERRIDE=PX_LAST","START_DATE_OVERRIDE",TEXT(INDEX(MO_SNA_FPStartDate,0,COLUMN()),"YYYYMMDD"),"END_DATE_OVERRIDE",TEXT(INDEX(MO_Common_QEndDate,0,COLUMN()),"YYYYMMDD")),"N/A")</f>
        <v/>
      </c>
      <c r="K787" s="2074">
        <f>IFERROR(BDP(MO.Ticker.Bloomberg&amp;" Equity","INTERVAL_HIGH","MARKET_DATA_OVERRIDE=PX_LAST","START_DATE_OVERRIDE",TEXT(INDEX(MO_SNA_FPStartDate,0,COLUMN()),"YYYYMMDD"),"END_DATE_OVERRIDE",TEXT(INDEX(MO_Common_QEndDate,0,COLUMN()),"YYYYMMDD")),"N/A")</f>
        <v/>
      </c>
      <c r="L787" s="2074">
        <f>IFERROR(BDP(MO.Ticker.Bloomberg&amp;" Equity","INTERVAL_HIGH","MARKET_DATA_OVERRIDE=PX_LAST","START_DATE_OVERRIDE",TEXT(INDEX(MO_SNA_FPStartDate,0,COLUMN()),"YYYYMMDD"),"END_DATE_OVERRIDE",TEXT(INDEX(MO_Common_QEndDate,0,COLUMN()),"YYYYMMDD")),"N/A")</f>
        <v/>
      </c>
      <c r="M787" s="2074">
        <f>IFERROR(BDP(MO.Ticker.Bloomberg&amp;" Equity","INTERVAL_HIGH","MARKET_DATA_OVERRIDE=PX_LAST","START_DATE_OVERRIDE",TEXT(INDEX(MO_SNA_FPStartDate,0,COLUMN()),"YYYYMMDD"),"END_DATE_OVERRIDE",TEXT(INDEX(MO_Common_QEndDate,0,COLUMN()),"YYYYMMDD")),"N/A")</f>
        <v/>
      </c>
      <c r="N787" s="2074">
        <f>IFERROR(BDP(MO.Ticker.Bloomberg&amp;" Equity","INTERVAL_HIGH","MARKET_DATA_OVERRIDE=PX_LAST","START_DATE_OVERRIDE",TEXT(INDEX(MO_SNA_FPStartDate,0,COLUMN()),"YYYYMMDD"),"END_DATE_OVERRIDE",TEXT(INDEX(MO_Common_QEndDate,0,COLUMN()),"YYYYMMDD")),"N/A")</f>
        <v/>
      </c>
      <c r="O787" s="2074">
        <f>IFERROR(BDP(MO.Ticker.Bloomberg&amp;" Equity","INTERVAL_HIGH","MARKET_DATA_OVERRIDE=PX_LAST","START_DATE_OVERRIDE",TEXT(INDEX(MO_SNA_FPStartDate,0,COLUMN()),"YYYYMMDD"),"END_DATE_OVERRIDE",TEXT(INDEX(MO_Common_QEndDate,0,COLUMN()),"YYYYMMDD")),"N/A")</f>
        <v/>
      </c>
      <c r="P787" s="2074">
        <f>IFERROR(BDP(MO.Ticker.Bloomberg&amp;" Equity","INTERVAL_HIGH","MARKET_DATA_OVERRIDE=PX_LAST","START_DATE_OVERRIDE",TEXT(INDEX(MO_SNA_FPStartDate,0,COLUMN()),"YYYYMMDD"),"END_DATE_OVERRIDE",TEXT(INDEX(MO_Common_QEndDate,0,COLUMN()),"YYYYMMDD")),"N/A")</f>
        <v/>
      </c>
      <c r="Q787" s="2074">
        <f>IFERROR(BDP(MO.Ticker.Bloomberg&amp;" Equity","INTERVAL_HIGH","MARKET_DATA_OVERRIDE=PX_LAST","START_DATE_OVERRIDE",TEXT(INDEX(MO_SNA_FPStartDate,0,COLUMN()),"YYYYMMDD"),"END_DATE_OVERRIDE",TEXT(INDEX(MO_Common_QEndDate,0,COLUMN()),"YYYYMMDD")),"N/A")</f>
        <v/>
      </c>
      <c r="R787" s="2074">
        <f>IFERROR(BDP(MO.Ticker.Bloomberg&amp;" Equity","INTERVAL_HIGH","MARKET_DATA_OVERRIDE=PX_LAST","START_DATE_OVERRIDE",TEXT(INDEX(MO_SNA_FPStartDate,0,COLUMN()),"YYYYMMDD"),"END_DATE_OVERRIDE",TEXT(INDEX(MO_Common_QEndDate,0,COLUMN()),"YYYYMMDD")),"N/A")</f>
        <v/>
      </c>
      <c r="S787" s="2074">
        <f>IFERROR(BDP(MO.Ticker.Bloomberg&amp;" Equity","INTERVAL_HIGH","MARKET_DATA_OVERRIDE=PX_LAST","START_DATE_OVERRIDE",TEXT(INDEX(MO_SNA_FPStartDate,0,COLUMN()),"YYYYMMDD"),"END_DATE_OVERRIDE",TEXT(INDEX(MO_Common_QEndDate,0,COLUMN()),"YYYYMMDD")),"N/A")</f>
        <v/>
      </c>
      <c r="T787" s="2074">
        <f>IFERROR(BDP(MO.Ticker.Bloomberg&amp;" Equity","INTERVAL_HIGH","MARKET_DATA_OVERRIDE=PX_LAST","START_DATE_OVERRIDE",TEXT(INDEX(MO_SNA_FPStartDate,0,COLUMN()),"YYYYMMDD"),"END_DATE_OVERRIDE",TEXT(INDEX(MO_Common_QEndDate,0,COLUMN()),"YYYYMMDD")),"N/A")</f>
        <v/>
      </c>
      <c r="U787" s="2074">
        <f>IFERROR(BDP(MO.Ticker.Bloomberg&amp;" Equity","INTERVAL_HIGH","MARKET_DATA_OVERRIDE=PX_LAST","START_DATE_OVERRIDE",TEXT(INDEX(MO_SNA_FPStartDate,0,COLUMN()),"YYYYMMDD"),"END_DATE_OVERRIDE",TEXT(INDEX(MO_Common_QEndDate,0,COLUMN()),"YYYYMMDD")),"N/A")</f>
        <v/>
      </c>
      <c r="V787" s="2074">
        <f>IFERROR(BDP(MO.Ticker.Bloomberg&amp;" Equity","INTERVAL_HIGH","MARKET_DATA_OVERRIDE=PX_LAST","START_DATE_OVERRIDE",TEXT(INDEX(MO_SNA_FPStartDate,0,COLUMN()),"YYYYMMDD"),"END_DATE_OVERRIDE",TEXT(INDEX(MO_Common_QEndDate,0,COLUMN()),"YYYYMMDD")),"N/A")</f>
        <v/>
      </c>
      <c r="W787" s="2074">
        <f>IFERROR(BDP(MO.Ticker.Bloomberg&amp;" Equity","INTERVAL_HIGH","MARKET_DATA_OVERRIDE=PX_LAST","START_DATE_OVERRIDE",TEXT(INDEX(MO_SNA_FPStartDate,0,COLUMN()),"YYYYMMDD"),"END_DATE_OVERRIDE",TEXT(INDEX(MO_Common_QEndDate,0,COLUMN()),"YYYYMMDD")),"N/A")</f>
        <v/>
      </c>
      <c r="X787" s="2074">
        <f>IFERROR(BDP(MO.Ticker.Bloomberg&amp;" Equity","INTERVAL_HIGH","MARKET_DATA_OVERRIDE=PX_LAST","START_DATE_OVERRIDE",TEXT(INDEX(MO_SNA_FPStartDate,0,COLUMN()),"YYYYMMDD"),"END_DATE_OVERRIDE",TEXT(INDEX(MO_Common_QEndDate,0,COLUMN()),"YYYYMMDD")),"N/A")</f>
        <v/>
      </c>
      <c r="Y787" s="2074">
        <f>IFERROR(BDP(MO.Ticker.Bloomberg&amp;" Equity","INTERVAL_HIGH","MARKET_DATA_OVERRIDE=PX_LAST","START_DATE_OVERRIDE",TEXT(INDEX(MO_SNA_FPStartDate,0,COLUMN()),"YYYYMMDD"),"END_DATE_OVERRIDE",TEXT(INDEX(MO_Common_QEndDate,0,COLUMN()),"YYYYMMDD")),"N/A")</f>
        <v/>
      </c>
      <c r="Z787" s="2074">
        <f>IFERROR(BDP(MO.Ticker.Bloomberg&amp;" Equity","INTERVAL_HIGH","MARKET_DATA_OVERRIDE=PX_LAST","START_DATE_OVERRIDE",TEXT(INDEX(MO_SNA_FPStartDate,0,COLUMN()),"YYYYMMDD"),"END_DATE_OVERRIDE",TEXT(INDEX(MO_Common_QEndDate,0,COLUMN()),"YYYYMMDD")),"N/A")</f>
        <v/>
      </c>
      <c r="AA787" s="2074">
        <f>IFERROR(BDP(MO.Ticker.Bloomberg&amp;" Equity","INTERVAL_HIGH","MARKET_DATA_OVERRIDE=PX_LAST","START_DATE_OVERRIDE",TEXT(INDEX(MO_SNA_FPStartDate,0,COLUMN()),"YYYYMMDD"),"END_DATE_OVERRIDE",TEXT(INDEX(MO_Common_QEndDate,0,COLUMN()),"YYYYMMDD")),"N/A")</f>
        <v/>
      </c>
      <c r="AB787" s="2074">
        <f>IFERROR(BDP(MO.Ticker.Bloomberg&amp;" Equity","INTERVAL_HIGH","MARKET_DATA_OVERRIDE=PX_LAST","START_DATE_OVERRIDE",TEXT(INDEX(MO_SNA_FPStartDate,0,COLUMN()),"YYYYMMDD"),"END_DATE_OVERRIDE",TEXT(INDEX(MO_Common_QEndDate,0,COLUMN()),"YYYYMMDD")),"N/A")</f>
        <v/>
      </c>
      <c r="AC787" s="2074">
        <f>IFERROR(BDP(MO.Ticker.Bloomberg&amp;" Equity","INTERVAL_HIGH","MARKET_DATA_OVERRIDE=PX_LAST","START_DATE_OVERRIDE",TEXT(INDEX(MO_SNA_FPStartDate,0,COLUMN()),"YYYYMMDD"),"END_DATE_OVERRIDE",TEXT(INDEX(MO_Common_QEndDate,0,COLUMN()),"YYYYMMDD")),"N/A")</f>
        <v/>
      </c>
      <c r="AD787" s="2074">
        <f>IFERROR(BDP(MO.Ticker.Bloomberg&amp;" Equity","INTERVAL_HIGH","MARKET_DATA_OVERRIDE=PX_LAST","START_DATE_OVERRIDE",TEXT(INDEX(MO_SNA_FPStartDate,0,COLUMN()),"YYYYMMDD"),"END_DATE_OVERRIDE",TEXT(INDEX(MO_Common_QEndDate,0,COLUMN()),"YYYYMMDD")),"N/A")</f>
        <v/>
      </c>
      <c r="AE787" s="2074">
        <f>IFERROR(BDP(MO.Ticker.Bloomberg&amp;" Equity","INTERVAL_HIGH","MARKET_DATA_OVERRIDE=PX_LAST","START_DATE_OVERRIDE",TEXT(INDEX(MO_SNA_FPStartDate,0,COLUMN()),"YYYYMMDD"),"END_DATE_OVERRIDE",TEXT(INDEX(MO_Common_QEndDate,0,COLUMN()),"YYYYMMDD")),"N/A")</f>
        <v/>
      </c>
      <c r="AF787" s="2074">
        <f>IFERROR(BDP(MO.Ticker.Bloomberg&amp;" Equity","INTERVAL_HIGH","MARKET_DATA_OVERRIDE=PX_LAST","START_DATE_OVERRIDE",TEXT(INDEX(MO_SNA_FPStartDate,0,COLUMN()),"YYYYMMDD"),"END_DATE_OVERRIDE",TEXT(INDEX(MO_Common_QEndDate,0,COLUMN()),"YYYYMMDD")),"N/A")</f>
        <v/>
      </c>
      <c r="AG787" s="2074">
        <f>IFERROR(BDP(MO.Ticker.Bloomberg&amp;" Equity","INTERVAL_HIGH","MARKET_DATA_OVERRIDE=PX_LAST","START_DATE_OVERRIDE",TEXT(INDEX(MO_SNA_FPStartDate,0,COLUMN()),"YYYYMMDD"),"END_DATE_OVERRIDE",TEXT(INDEX(MO_Common_QEndDate,0,COLUMN()),"YYYYMMDD")),"N/A")</f>
        <v/>
      </c>
      <c r="AH787" s="2074">
        <f>IFERROR(BDP(MO.Ticker.Bloomberg&amp;" Equity","INTERVAL_HIGH","MARKET_DATA_OVERRIDE=PX_LAST","START_DATE_OVERRIDE",TEXT(INDEX(MO_SNA_FPStartDate,0,COLUMN()),"YYYYMMDD"),"END_DATE_OVERRIDE",TEXT(INDEX(MO_Common_QEndDate,0,COLUMN()),"YYYYMMDD")),"N/A")</f>
        <v/>
      </c>
      <c r="AI787" s="2074">
        <f>IFERROR(BDP(MO.Ticker.Bloomberg&amp;" Equity","INTERVAL_HIGH","MARKET_DATA_OVERRIDE=PX_LAST","START_DATE_OVERRIDE",TEXT(INDEX(MO_SNA_FPStartDate,0,COLUMN()),"YYYYMMDD"),"END_DATE_OVERRIDE",TEXT(INDEX(MO_Common_QEndDate,0,COLUMN()),"YYYYMMDD")),"N/A")</f>
        <v/>
      </c>
      <c r="AJ787" s="2074">
        <f>IFERROR(BDP(MO.Ticker.Bloomberg&amp;" Equity","INTERVAL_HIGH","MARKET_DATA_OVERRIDE=PX_LAST","START_DATE_OVERRIDE",TEXT(INDEX(MO_SNA_FPStartDate,0,COLUMN()),"YYYYMMDD"),"END_DATE_OVERRIDE",TEXT(INDEX(MO_Common_QEndDate,0,COLUMN()),"YYYYMMDD")),"N/A")</f>
        <v/>
      </c>
      <c r="AK787" s="2074">
        <f>IFERROR(BDP(MO.Ticker.Bloomberg&amp;" Equity","INTERVAL_HIGH","MARKET_DATA_OVERRIDE=PX_LAST","START_DATE_OVERRIDE",TEXT(INDEX(MO_SNA_FPStartDate,0,COLUMN()),"YYYYMMDD"),"END_DATE_OVERRIDE",TEXT(INDEX(MO_Common_QEndDate,0,COLUMN()),"YYYYMMDD")),"N/A")</f>
        <v/>
      </c>
      <c r="AL787" s="2074">
        <f>IFERROR(BDP(MO.Ticker.Bloomberg&amp;" Equity","INTERVAL_HIGH","MARKET_DATA_OVERRIDE=PX_LAST","START_DATE_OVERRIDE",TEXT(INDEX(MO_SNA_FPStartDate,0,COLUMN()),"YYYYMMDD"),"END_DATE_OVERRIDE",TEXT(INDEX(MO_Common_QEndDate,0,COLUMN()),"YYYYMMDD")),"N/A")</f>
        <v/>
      </c>
      <c r="AM787" s="2074">
        <f>IFERROR(BDP(MO.Ticker.Bloomberg&amp;" Equity","INTERVAL_HIGH","MARKET_DATA_OVERRIDE=PX_LAST","START_DATE_OVERRIDE",TEXT(INDEX(MO_SNA_FPStartDate,0,COLUMN()),"YYYYMMDD"),"END_DATE_OVERRIDE",TEXT(INDEX(MO_Common_QEndDate,0,COLUMN()),"YYYYMMDD")),"N/A")</f>
        <v/>
      </c>
      <c r="AN787" s="2074">
        <f>IFERROR(BDP(MO.Ticker.Bloomberg&amp;" Equity","INTERVAL_HIGH","MARKET_DATA_OVERRIDE=PX_LAST","START_DATE_OVERRIDE",TEXT(INDEX(MO_SNA_FPStartDate,0,COLUMN()),"YYYYMMDD"),"END_DATE_OVERRIDE",TEXT(INDEX(MO_Common_QEndDate,0,COLUMN()),"YYYYMMDD")),"N/A")</f>
        <v/>
      </c>
      <c r="AO787" s="2074">
        <f>IFERROR(BDP(MO.Ticker.Bloomberg&amp;" Equity","INTERVAL_HIGH","MARKET_DATA_OVERRIDE=PX_LAST","START_DATE_OVERRIDE",TEXT(INDEX(MO_SNA_FPStartDate,0,COLUMN()),"YYYYMMDD"),"END_DATE_OVERRIDE",TEXT(INDEX(MO_Common_QEndDate,0,COLUMN()),"YYYYMMDD")),"N/A")</f>
        <v/>
      </c>
      <c r="AP787" s="2074">
        <f>IFERROR(BDP(MO.Ticker.Bloomberg&amp;" Equity","INTERVAL_HIGH","MARKET_DATA_OVERRIDE=PX_LAST","START_DATE_OVERRIDE",TEXT(INDEX(MO_SNA_FPStartDate,0,COLUMN()),"YYYYMMDD"),"END_DATE_OVERRIDE",TEXT(INDEX(MO_Common_QEndDate,0,COLUMN()),"YYYYMMDD")),"N/A")</f>
        <v/>
      </c>
      <c r="AQ787" s="2074">
        <f>IFERROR(BDP(MO.Ticker.Bloomberg&amp;" Equity","INTERVAL_HIGH","MARKET_DATA_OVERRIDE=PX_LAST","START_DATE_OVERRIDE",TEXT(INDEX(MO_SNA_FPStartDate,0,COLUMN()),"YYYYMMDD"),"END_DATE_OVERRIDE",TEXT(INDEX(MO_Common_QEndDate,0,COLUMN()),"YYYYMMDD")),"N/A")</f>
        <v/>
      </c>
      <c r="AR787" s="2074">
        <f>IFERROR(BDP(MO.Ticker.Bloomberg&amp;" Equity","INTERVAL_HIGH","MARKET_DATA_OVERRIDE=PX_LAST","START_DATE_OVERRIDE",TEXT(INDEX(MO_SNA_FPStartDate,0,COLUMN()),"YYYYMMDD"),"END_DATE_OVERRIDE",TEXT(INDEX(MO_Common_QEndDate,0,COLUMN()),"YYYYMMDD")),"N/A")</f>
        <v/>
      </c>
      <c r="AS787" s="2074">
        <f>IFERROR(BDP(MO.Ticker.Bloomberg&amp;" Equity","INTERVAL_HIGH","MARKET_DATA_OVERRIDE=PX_LAST","START_DATE_OVERRIDE",TEXT(INDEX(MO_SNA_FPStartDate,0,COLUMN()),"YYYYMMDD"),"END_DATE_OVERRIDE",TEXT(INDEX(MO_Common_QEndDate,0,COLUMN()),"YYYYMMDD")),"N/A")</f>
        <v/>
      </c>
      <c r="AT787" s="2074">
        <f>IFERROR(BDP(MO.Ticker.Bloomberg&amp;" Equity","INTERVAL_HIGH","MARKET_DATA_OVERRIDE=PX_LAST","START_DATE_OVERRIDE",TEXT(INDEX(MO_SNA_FPStartDate,0,COLUMN()),"YYYYMMDD"),"END_DATE_OVERRIDE",TEXT(INDEX(MO_Common_QEndDate,0,COLUMN()),"YYYYMMDD")),"N/A")</f>
        <v/>
      </c>
      <c r="AU787" s="2074">
        <f>IFERROR(BDP(MO.Ticker.Bloomberg&amp;" Equity","INTERVAL_HIGH","MARKET_DATA_OVERRIDE=PX_LAST","START_DATE_OVERRIDE",TEXT(INDEX(MO_SNA_FPStartDate,0,COLUMN()),"YYYYMMDD"),"END_DATE_OVERRIDE",TEXT(INDEX(MO_Common_QEndDate,0,COLUMN()),"YYYYMMDD")),"N/A")</f>
        <v/>
      </c>
      <c r="AV787" s="2074">
        <f>IFERROR(BDP(MO.Ticker.Bloomberg&amp;" Equity","INTERVAL_HIGH","MARKET_DATA_OVERRIDE=PX_LAST","START_DATE_OVERRIDE",TEXT(INDEX(MO_SNA_FPStartDate,0,COLUMN()),"YYYYMMDD"),"END_DATE_OVERRIDE",TEXT(INDEX(MO_Common_QEndDate,0,COLUMN()),"YYYYMMDD")),"N/A")</f>
        <v/>
      </c>
      <c r="AW787" s="2074">
        <f>IFERROR(BDP(MO.Ticker.Bloomberg&amp;" Equity","INTERVAL_HIGH","MARKET_DATA_OVERRIDE=PX_LAST","START_DATE_OVERRIDE",TEXT(INDEX(MO_SNA_FPStartDate,0,COLUMN()),"YYYYMMDD"),"END_DATE_OVERRIDE",TEXT(INDEX(MO_Common_QEndDate,0,COLUMN()),"YYYYMMDD")),"N/A")</f>
        <v/>
      </c>
      <c r="AX787" s="2074">
        <f>IFERROR(BDP(MO.Ticker.Bloomberg&amp;" Equity","INTERVAL_HIGH","MARKET_DATA_OVERRIDE=PX_LAST","START_DATE_OVERRIDE",TEXT(INDEX(MO_SNA_FPStartDate,0,COLUMN()),"YYYYMMDD"),"END_DATE_OVERRIDE",TEXT(INDEX(MO_Common_QEndDate,0,COLUMN()),"YYYYMMDD")),"N/A")</f>
        <v/>
      </c>
      <c r="AY787" s="2074">
        <f>IFERROR(BDP(MO.Ticker.Bloomberg&amp;" Equity","INTERVAL_HIGH","MARKET_DATA_OVERRIDE=PX_LAST","START_DATE_OVERRIDE",TEXT(INDEX(MO_SNA_FPStartDate,0,COLUMN()),"YYYYMMDD"),"END_DATE_OVERRIDE",TEXT(INDEX(MO_Common_QEndDate,0,COLUMN()),"YYYYMMDD")),"N/A")</f>
        <v/>
      </c>
      <c r="AZ787" s="2074">
        <f>IFERROR(BDP(MO.Ticker.Bloomberg&amp;" Equity","INTERVAL_HIGH","MARKET_DATA_OVERRIDE=PX_LAST","START_DATE_OVERRIDE",TEXT(INDEX(MO_SNA_FPStartDate,0,COLUMN()),"YYYYMMDD"),"END_DATE_OVERRIDE",TEXT(INDEX(MO_Common_QEndDate,0,COLUMN()),"YYYYMMDD")),"N/A")</f>
        <v/>
      </c>
      <c r="BA787" s="2074">
        <f>IFERROR(BDP(MO.Ticker.Bloomberg&amp;" Equity","INTERVAL_HIGH","MARKET_DATA_OVERRIDE=PX_LAST","START_DATE_OVERRIDE",TEXT(INDEX(MO_SNA_FPStartDate,0,COLUMN()),"YYYYMMDD"),"END_DATE_OVERRIDE",TEXT(INDEX(MO_Common_QEndDate,0,COLUMN()),"YYYYMMDD")),"N/A")</f>
        <v/>
      </c>
      <c r="BB787" s="2074">
        <f>IFERROR(BDP(MO.Ticker.Bloomberg&amp;" Equity","INTERVAL_HIGH","MARKET_DATA_OVERRIDE=PX_LAST","START_DATE_OVERRIDE",TEXT(INDEX(MO_SNA_FPStartDate,0,COLUMN()),"YYYYMMDD"),"END_DATE_OVERRIDE",TEXT(INDEX(MO_Common_QEndDate,0,COLUMN()),"YYYYMMDD")),"N/A")</f>
        <v/>
      </c>
      <c r="BC787" s="2074">
        <f>IFERROR(BDP(MO.Ticker.Bloomberg&amp;" Equity","INTERVAL_HIGH","MARKET_DATA_OVERRIDE=PX_LAST","START_DATE_OVERRIDE",TEXT(INDEX(MO_SNA_FPStartDate,0,COLUMN()),"YYYYMMDD"),"END_DATE_OVERRIDE",TEXT(INDEX(MO_Common_QEndDate,0,COLUMN()),"YYYYMMDD")),"N/A")</f>
        <v/>
      </c>
      <c r="BD787" s="2074">
        <f>IFERROR(BDP(MO.Ticker.Bloomberg&amp;" Equity","INTERVAL_HIGH","MARKET_DATA_OVERRIDE=PX_LAST","START_DATE_OVERRIDE",TEXT(INDEX(MO_SNA_FPStartDate,0,COLUMN()),"YYYYMMDD"),"END_DATE_OVERRIDE",TEXT(INDEX(MO_Common_QEndDate,0,COLUMN()),"YYYYMMDD")),"N/A")</f>
        <v/>
      </c>
      <c r="BE787" s="2074">
        <f>IFERROR(BDP(MO.Ticker.Bloomberg&amp;" Equity","INTERVAL_HIGH","MARKET_DATA_OVERRIDE=PX_LAST","START_DATE_OVERRIDE",TEXT(INDEX(MO_SNA_FPStartDate,0,COLUMN()),"YYYYMMDD"),"END_DATE_OVERRIDE",TEXT(INDEX(MO_Common_QEndDate,0,COLUMN()),"YYYYMMDD")),"N/A")</f>
        <v/>
      </c>
      <c r="BF787" s="2074">
        <f>IFERROR(BDP(MO.Ticker.Bloomberg&amp;" Equity","INTERVAL_HIGH","MARKET_DATA_OVERRIDE=PX_LAST","START_DATE_OVERRIDE",TEXT(INDEX(MO_SNA_FPStartDate,0,COLUMN()),"YYYYMMDD"),"END_DATE_OVERRIDE",TEXT(INDEX(MO_Common_QEndDate,0,COLUMN()),"YYYYMMDD")),"N/A")</f>
        <v/>
      </c>
      <c r="BG787" s="2074">
        <f>IFERROR(BDP(MO.Ticker.Bloomberg&amp;" Equity","INTERVAL_HIGH","MARKET_DATA_OVERRIDE=PX_LAST","START_DATE_OVERRIDE",TEXT(INDEX(MO_SNA_FPStartDate,0,COLUMN()),"YYYYMMDD"),"END_DATE_OVERRIDE",TEXT(INDEX(MO_Common_QEndDate,0,COLUMN()),"YYYYMMDD")),"N/A")</f>
        <v/>
      </c>
      <c r="BH787" s="2074">
        <f>IFERROR(BDP(MO.Ticker.Bloomberg&amp;" Equity","INTERVAL_HIGH","MARKET_DATA_OVERRIDE=PX_LAST","START_DATE_OVERRIDE",TEXT(INDEX(MO_SNA_FPStartDate,0,COLUMN()),"YYYYMMDD"),"END_DATE_OVERRIDE",TEXT(INDEX(MO_Common_QEndDate,0,COLUMN()),"YYYYMMDD")),"N/A")</f>
        <v/>
      </c>
      <c r="BI787" s="2074">
        <f>IFERROR(BDP(MO.Ticker.Bloomberg&amp;" Equity","INTERVAL_HIGH","MARKET_DATA_OVERRIDE=PX_LAST","START_DATE_OVERRIDE",TEXT(INDEX(MO_SNA_FPStartDate,0,COLUMN()),"YYYYMMDD"),"END_DATE_OVERRIDE",TEXT(INDEX(MO_Common_QEndDate,0,COLUMN()),"YYYYMMDD")),"N/A")</f>
        <v/>
      </c>
      <c r="BJ787" s="2074">
        <f>IFERROR(BDP(MO.Ticker.Bloomberg&amp;" Equity","INTERVAL_HIGH","MARKET_DATA_OVERRIDE=PX_LAST","START_DATE_OVERRIDE",TEXT(INDEX(MO_SNA_FPStartDate,0,COLUMN()),"YYYYMMDD"),"END_DATE_OVERRIDE",TEXT(INDEX(MO_Common_QEndDate,0,COLUMN()),"YYYYMMDD")),"N/A")</f>
        <v/>
      </c>
      <c r="BK787" s="2074">
        <f>IFERROR(BDP(MO.Ticker.Bloomberg&amp;" Equity","INTERVAL_HIGH","MARKET_DATA_OVERRIDE=PX_LAST","START_DATE_OVERRIDE",TEXT(INDEX(MO_SNA_FPStartDate,0,COLUMN()),"YYYYMMDD"),"END_DATE_OVERRIDE",TEXT(INDEX(MO_Common_QEndDate,0,COLUMN()),"YYYYMMDD")),"N/A")</f>
        <v/>
      </c>
      <c r="BL787" s="2074">
        <f>IFERROR(BDP(MO.Ticker.Bloomberg&amp;" Equity","INTERVAL_HIGH","MARKET_DATA_OVERRIDE=PX_LAST","START_DATE_OVERRIDE",TEXT(INDEX(MO_SNA_FPStartDate,0,COLUMN()),"YYYYMMDD"),"END_DATE_OVERRIDE",TEXT(INDEX(MO_Common_QEndDate,0,COLUMN()),"YYYYMMDD")),"N/A")</f>
        <v/>
      </c>
      <c r="BM787" s="2074">
        <f>IFERROR(BDP(MO.Ticker.Bloomberg&amp;" Equity","INTERVAL_HIGH","MARKET_DATA_OVERRIDE=PX_LAST","START_DATE_OVERRIDE",TEXT(INDEX(MO_SNA_FPStartDate,0,COLUMN()),"YYYYMMDD"),"END_DATE_OVERRIDE",TEXT(INDEX(MO_Common_QEndDate,0,COLUMN()),"YYYYMMDD")),"N/A")</f>
        <v/>
      </c>
      <c r="BN787" s="2074">
        <f>IFERROR(BDP(MO.Ticker.Bloomberg&amp;" Equity","INTERVAL_HIGH","MARKET_DATA_OVERRIDE=PX_LAST","START_DATE_OVERRIDE",TEXT(INDEX(MO_SNA_FPStartDate,0,COLUMN()),"YYYYMMDD"),"END_DATE_OVERRIDE",TEXT(INDEX(MO_Common_QEndDate,0,COLUMN()),"YYYYMMDD")),"N/A")</f>
        <v/>
      </c>
      <c r="BO787" s="2076">
        <f>IFERROR(BDP(MO.Ticker.Bloomberg&amp;" Equity","INTERVAL_HIGH","MARKET_DATA_OVERRIDE=PX_LAST","START_DATE_OVERRIDE",TEXT(INDEX(MO_SNA_FPStartDate,0,COLUMN()),"YYYYMMDD"),"END_DATE_OVERRIDE",TEXT(INDEX(MO_Common_QEndDate,0,COLUMN()),"YYYYMMDD")),"N/A")</f>
        <v/>
      </c>
      <c r="BP787" s="2074">
        <f>IFERROR(BDP(MO.Ticker.Bloomberg&amp;" Equity","INTERVAL_HIGH","MARKET_DATA_OVERRIDE=PX_LAST","START_DATE_OVERRIDE",TEXT(INDEX(MO_SNA_FPStartDate,0,COLUMN()),"YYYYMMDD"),"END_DATE_OVERRIDE",TEXT(INDEX(MO_Common_QEndDate,0,COLUMN()),"YYYYMMDD")),"N/A")</f>
        <v/>
      </c>
      <c r="BQ787" s="2074">
        <f>IFERROR(BDP(MO.Ticker.Bloomberg&amp;" Equity","INTERVAL_HIGH","MARKET_DATA_OVERRIDE=PX_LAST","START_DATE_OVERRIDE",TEXT(INDEX(MO_SNA_FPStartDate,0,COLUMN()),"YYYYMMDD"),"END_DATE_OVERRIDE",TEXT(INDEX(MO_Common_QEndDate,0,COLUMN()),"YYYYMMDD")),"N/A")</f>
        <v/>
      </c>
      <c r="BR787" s="2074">
        <f>IFERROR(BDP(MO.Ticker.Bloomberg&amp;" Equity","INTERVAL_HIGH","MARKET_DATA_OVERRIDE=PX_LAST","START_DATE_OVERRIDE",TEXT(INDEX(MO_SNA_FPStartDate,0,COLUMN()),"YYYYMMDD"),"END_DATE_OVERRIDE",TEXT(INDEX(MO_Common_QEndDate,0,COLUMN()),"YYYYMMDD")),"N/A")</f>
        <v/>
      </c>
      <c r="BS787" s="2074">
        <f>IFERROR(BDP(MO.Ticker.Bloomberg&amp;" Equity","INTERVAL_HIGH","MARKET_DATA_OVERRIDE=PX_LAST","START_DATE_OVERRIDE",TEXT(INDEX(MO_SNA_FPStartDate,0,COLUMN()),"YYYYMMDD"),"END_DATE_OVERRIDE",TEXT(INDEX(MO_Common_QEndDate,0,COLUMN()),"YYYYMMDD")),"N/A")</f>
        <v/>
      </c>
      <c r="BT787" s="2074">
        <f>IFERROR(BDP(MO.Ticker.Bloomberg&amp;" Equity","INTERVAL_HIGH","MARKET_DATA_OVERRIDE=PX_LAST","START_DATE_OVERRIDE",TEXT(INDEX(MO_SNA_FPStartDate,0,COLUMN()),"YYYYMMDD"),"END_DATE_OVERRIDE",TEXT(INDEX(MO_Common_QEndDate,0,COLUMN()),"YYYYMMDD")),"N/A")</f>
        <v/>
      </c>
      <c r="BU787" s="2074">
        <f>IFERROR(BDP(MO.Ticker.Bloomberg&amp;" Equity","INTERVAL_HIGH","MARKET_DATA_OVERRIDE=PX_LAST","START_DATE_OVERRIDE",TEXT(INDEX(MO_SNA_FPStartDate,0,COLUMN()),"YYYYMMDD"),"END_DATE_OVERRIDE",TEXT(INDEX(MO_Common_QEndDate,0,COLUMN()),"YYYYMMDD")),"N/A")</f>
        <v/>
      </c>
      <c r="BV787" s="2074">
        <f>IFERROR(BDP(MO.Ticker.Bloomberg&amp;" Equity","INTERVAL_HIGH","MARKET_DATA_OVERRIDE=PX_LAST","START_DATE_OVERRIDE",TEXT(INDEX(MO_SNA_FPStartDate,0,COLUMN()),"YYYYMMDD"),"END_DATE_OVERRIDE",TEXT(INDEX(MO_Common_QEndDate,0,COLUMN()),"YYYYMMDD")),"N/A")</f>
        <v/>
      </c>
      <c r="BW787" s="2074">
        <f>IFERROR(BDP(MO.Ticker.Bloomberg&amp;" Equity","INTERVAL_HIGH","MARKET_DATA_OVERRIDE=PX_LAST","START_DATE_OVERRIDE",TEXT(INDEX(MO_SNA_FPStartDate,0,COLUMN()),"YYYYMMDD"),"END_DATE_OVERRIDE",TEXT(INDEX(MO_Common_QEndDate,0,COLUMN()),"YYYYMMDD")),"N/A")</f>
        <v/>
      </c>
      <c r="BX787" s="2074">
        <f>IFERROR(BDP(MO.Ticker.Bloomberg&amp;" Equity","INTERVAL_HIGH","MARKET_DATA_OVERRIDE=PX_LAST","START_DATE_OVERRIDE",TEXT(INDEX(MO_SNA_FPStartDate,0,COLUMN()),"YYYYMMDD"),"END_DATE_OVERRIDE",TEXT(INDEX(MO_Common_QEndDate,0,COLUMN()),"YYYYMMDD")),"N/A")</f>
        <v/>
      </c>
      <c r="BY787" s="2074">
        <f>IFERROR(BDP(MO.Ticker.Bloomberg&amp;" Equity","INTERVAL_HIGH","MARKET_DATA_OVERRIDE=PX_LAST","START_DATE_OVERRIDE",TEXT(INDEX(MO_SNA_FPStartDate,0,COLUMN()),"YYYYMMDD"),"END_DATE_OVERRIDE",TEXT(INDEX(MO_Common_QEndDate,0,COLUMN()),"YYYYMMDD")),"N/A")</f>
        <v/>
      </c>
      <c r="BZ787" s="2074">
        <f>IFERROR(BDP(MO.Ticker.Bloomberg&amp;" Equity","INTERVAL_HIGH","MARKET_DATA_OVERRIDE=PX_LAST","START_DATE_OVERRIDE",TEXT(INDEX(MO_SNA_FPStartDate,0,COLUMN()),"YYYYMMDD"),"END_DATE_OVERRIDE",TEXT(INDEX(MO_Common_QEndDate,0,COLUMN()),"YYYYMMDD")),"N/A")</f>
        <v/>
      </c>
      <c r="CA787" s="2074">
        <f>IFERROR(BDP(MO.Ticker.Bloomberg&amp;" Equity","INTERVAL_HIGH","MARKET_DATA_OVERRIDE=PX_LAST","START_DATE_OVERRIDE",TEXT(INDEX(MO_SNA_FPStartDate,0,COLUMN()),"YYYYMMDD"),"END_DATE_OVERRIDE",TEXT(INDEX(MO_Common_QEndDate,0,COLUMN()),"YYYYMMDD")),"N/A")</f>
        <v/>
      </c>
      <c r="CB787" s="2077">
        <f>IFERROR(BDP(MO.Ticker.Bloomberg&amp;" Equity","INTERVAL_HIGH","MARKET_DATA_OVERRIDE=PX_LAST","START_DATE_OVERRIDE",TEXT(INDEX(MO_SNA_FPStartDate,0,COLUMN()),"YYYYMMDD"),"END_DATE_OVERRIDE",TEXT(INDEX(MO_Common_QEndDate,0,COLUMN()),"YYYYMMDD")),"N/A")</f>
        <v/>
      </c>
      <c r="CC787" s="2078" t="n"/>
    </row>
    <row r="788" hidden="1" outlineLevel="1" ht="15" customFormat="1" customHeight="1" s="1945">
      <c r="A788" s="2079" t="inlineStr">
        <is>
          <t>Capital IQ</t>
        </is>
      </c>
      <c r="B788" s="2074" t="n"/>
      <c r="C788" s="2075">
        <f>IFERROR(_xll.ciqfunctions.udf.CIQHI(MO.Ticker.CapIQ,"IQ_LASTSALEPRICE",INDEX(MO_SNA_FPStartDate,0,COLUMN()),INDEX(MO_Common_QEndDate,0,COLUMN())),"N/A")</f>
        <v/>
      </c>
      <c r="D788" s="2075">
        <f>IFERROR(_xll.ciqfunctions.udf.CIQHI(MO.Ticker.CapIQ,"IQ_LASTSALEPRICE",INDEX(MO_SNA_FPStartDate,0,COLUMN()),INDEX(MO_Common_QEndDate,0,COLUMN())),"N/A")</f>
        <v/>
      </c>
      <c r="E788" s="2074">
        <f>IFERROR(_xll.ciqfunctions.udf.CIQHI(MO.Ticker.CapIQ,"IQ_LASTSALEPRICE",INDEX(MO_SNA_FPStartDate,0,COLUMN()),INDEX(MO_Common_QEndDate,0,COLUMN())),"N/A")</f>
        <v/>
      </c>
      <c r="F788" s="2074">
        <f>IFERROR(_xll.ciqfunctions.udf.CIQHI(MO.Ticker.CapIQ,"IQ_LASTSALEPRICE",INDEX(MO_SNA_FPStartDate,0,COLUMN()),INDEX(MO_Common_QEndDate,0,COLUMN())),"N/A")</f>
        <v/>
      </c>
      <c r="G788" s="2074">
        <f>IFERROR(_xll.ciqfunctions.udf.CIQHI(MO.Ticker.CapIQ,"IQ_LASTSALEPRICE",INDEX(MO_SNA_FPStartDate,0,COLUMN()),INDEX(MO_Common_QEndDate,0,COLUMN())),"N/A")</f>
        <v/>
      </c>
      <c r="H788" s="2074">
        <f>IFERROR(_xll.ciqfunctions.udf.CIQHI(MO.Ticker.CapIQ,"IQ_LASTSALEPRICE",INDEX(MO_SNA_FPStartDate,0,COLUMN()),INDEX(MO_Common_QEndDate,0,COLUMN())),"N/A")</f>
        <v/>
      </c>
      <c r="I788" s="2074">
        <f>IFERROR(_xll.ciqfunctions.udf.CIQHI(MO.Ticker.CapIQ,"IQ_LASTSALEPRICE",INDEX(MO_SNA_FPStartDate,0,COLUMN()),INDEX(MO_Common_QEndDate,0,COLUMN())),"N/A")</f>
        <v/>
      </c>
      <c r="J788" s="2074">
        <f>IFERROR(_xll.ciqfunctions.udf.CIQHI(MO.Ticker.CapIQ,"IQ_LASTSALEPRICE",INDEX(MO_SNA_FPStartDate,0,COLUMN()),INDEX(MO_Common_QEndDate,0,COLUMN())),"N/A")</f>
        <v/>
      </c>
      <c r="K788" s="2074">
        <f>IFERROR(_xll.ciqfunctions.udf.CIQHI(MO.Ticker.CapIQ,"IQ_LASTSALEPRICE",INDEX(MO_SNA_FPStartDate,0,COLUMN()),INDEX(MO_Common_QEndDate,0,COLUMN())),"N/A")</f>
        <v/>
      </c>
      <c r="L788" s="2074">
        <f>IFERROR(_xll.ciqfunctions.udf.CIQHI(MO.Ticker.CapIQ,"IQ_LASTSALEPRICE",INDEX(MO_SNA_FPStartDate,0,COLUMN()),INDEX(MO_Common_QEndDate,0,COLUMN())),"N/A")</f>
        <v/>
      </c>
      <c r="M788" s="2074">
        <f>IFERROR(_xll.ciqfunctions.udf.CIQHI(MO.Ticker.CapIQ,"IQ_LASTSALEPRICE",INDEX(MO_SNA_FPStartDate,0,COLUMN()),INDEX(MO_Common_QEndDate,0,COLUMN())),"N/A")</f>
        <v/>
      </c>
      <c r="N788" s="2074">
        <f>IFERROR(_xll.ciqfunctions.udf.CIQHI(MO.Ticker.CapIQ,"IQ_LASTSALEPRICE",INDEX(MO_SNA_FPStartDate,0,COLUMN()),INDEX(MO_Common_QEndDate,0,COLUMN())),"N/A")</f>
        <v/>
      </c>
      <c r="O788" s="2074">
        <f>IFERROR(_xll.ciqfunctions.udf.CIQHI(MO.Ticker.CapIQ,"IQ_LASTSALEPRICE",INDEX(MO_SNA_FPStartDate,0,COLUMN()),INDEX(MO_Common_QEndDate,0,COLUMN())),"N/A")</f>
        <v/>
      </c>
      <c r="P788" s="2074">
        <f>IFERROR(_xll.ciqfunctions.udf.CIQHI(MO.Ticker.CapIQ,"IQ_LASTSALEPRICE",INDEX(MO_SNA_FPStartDate,0,COLUMN()),INDEX(MO_Common_QEndDate,0,COLUMN())),"N/A")</f>
        <v/>
      </c>
      <c r="Q788" s="2074">
        <f>IFERROR(_xll.ciqfunctions.udf.CIQHI(MO.Ticker.CapIQ,"IQ_LASTSALEPRICE",INDEX(MO_SNA_FPStartDate,0,COLUMN()),INDEX(MO_Common_QEndDate,0,COLUMN())),"N/A")</f>
        <v/>
      </c>
      <c r="R788" s="2074">
        <f>IFERROR(_xll.ciqfunctions.udf.CIQHI(MO.Ticker.CapIQ,"IQ_LASTSALEPRICE",INDEX(MO_SNA_FPStartDate,0,COLUMN()),INDEX(MO_Common_QEndDate,0,COLUMN())),"N/A")</f>
        <v/>
      </c>
      <c r="S788" s="2074">
        <f>IFERROR(_xll.ciqfunctions.udf.CIQHI(MO.Ticker.CapIQ,"IQ_LASTSALEPRICE",INDEX(MO_SNA_FPStartDate,0,COLUMN()),INDEX(MO_Common_QEndDate,0,COLUMN())),"N/A")</f>
        <v/>
      </c>
      <c r="T788" s="2074">
        <f>IFERROR(_xll.ciqfunctions.udf.CIQHI(MO.Ticker.CapIQ,"IQ_LASTSALEPRICE",INDEX(MO_SNA_FPStartDate,0,COLUMN()),INDEX(MO_Common_QEndDate,0,COLUMN())),"N/A")</f>
        <v/>
      </c>
      <c r="U788" s="2074">
        <f>IFERROR(_xll.ciqfunctions.udf.CIQHI(MO.Ticker.CapIQ,"IQ_LASTSALEPRICE",INDEX(MO_SNA_FPStartDate,0,COLUMN()),INDEX(MO_Common_QEndDate,0,COLUMN())),"N/A")</f>
        <v/>
      </c>
      <c r="V788" s="2074">
        <f>IFERROR(_xll.ciqfunctions.udf.CIQHI(MO.Ticker.CapIQ,"IQ_LASTSALEPRICE",INDEX(MO_SNA_FPStartDate,0,COLUMN()),INDEX(MO_Common_QEndDate,0,COLUMN())),"N/A")</f>
        <v/>
      </c>
      <c r="W788" s="2074">
        <f>IFERROR(_xll.ciqfunctions.udf.CIQHI(MO.Ticker.CapIQ,"IQ_LASTSALEPRICE",INDEX(MO_SNA_FPStartDate,0,COLUMN()),INDEX(MO_Common_QEndDate,0,COLUMN())),"N/A")</f>
        <v/>
      </c>
      <c r="X788" s="2074">
        <f>IFERROR(_xll.ciqfunctions.udf.CIQHI(MO.Ticker.CapIQ,"IQ_LASTSALEPRICE",INDEX(MO_SNA_FPStartDate,0,COLUMN()),INDEX(MO_Common_QEndDate,0,COLUMN())),"N/A")</f>
        <v/>
      </c>
      <c r="Y788" s="2074">
        <f>IFERROR(_xll.ciqfunctions.udf.CIQHI(MO.Ticker.CapIQ,"IQ_LASTSALEPRICE",INDEX(MO_SNA_FPStartDate,0,COLUMN()),INDEX(MO_Common_QEndDate,0,COLUMN())),"N/A")</f>
        <v/>
      </c>
      <c r="Z788" s="2074">
        <f>IFERROR(_xll.ciqfunctions.udf.CIQHI(MO.Ticker.CapIQ,"IQ_LASTSALEPRICE",INDEX(MO_SNA_FPStartDate,0,COLUMN()),INDEX(MO_Common_QEndDate,0,COLUMN())),"N/A")</f>
        <v/>
      </c>
      <c r="AA788" s="2074">
        <f>IFERROR(_xll.ciqfunctions.udf.CIQHI(MO.Ticker.CapIQ,"IQ_LASTSALEPRICE",INDEX(MO_SNA_FPStartDate,0,COLUMN()),INDEX(MO_Common_QEndDate,0,COLUMN())),"N/A")</f>
        <v/>
      </c>
      <c r="AB788" s="2074">
        <f>IFERROR(_xll.ciqfunctions.udf.CIQHI(MO.Ticker.CapIQ,"IQ_LASTSALEPRICE",INDEX(MO_SNA_FPStartDate,0,COLUMN()),INDEX(MO_Common_QEndDate,0,COLUMN())),"N/A")</f>
        <v/>
      </c>
      <c r="AC788" s="2074">
        <f>IFERROR(_xll.ciqfunctions.udf.CIQHI(MO.Ticker.CapIQ,"IQ_LASTSALEPRICE",INDEX(MO_SNA_FPStartDate,0,COLUMN()),INDEX(MO_Common_QEndDate,0,COLUMN())),"N/A")</f>
        <v/>
      </c>
      <c r="AD788" s="2074">
        <f>IFERROR(_xll.ciqfunctions.udf.CIQHI(MO.Ticker.CapIQ,"IQ_LASTSALEPRICE",INDEX(MO_SNA_FPStartDate,0,COLUMN()),INDEX(MO_Common_QEndDate,0,COLUMN())),"N/A")</f>
        <v/>
      </c>
      <c r="AE788" s="2074">
        <f>IFERROR(_xll.ciqfunctions.udf.CIQHI(MO.Ticker.CapIQ,"IQ_LASTSALEPRICE",INDEX(MO_SNA_FPStartDate,0,COLUMN()),INDEX(MO_Common_QEndDate,0,COLUMN())),"N/A")</f>
        <v/>
      </c>
      <c r="AF788" s="2074">
        <f>IFERROR(_xll.ciqfunctions.udf.CIQHI(MO.Ticker.CapIQ,"IQ_LASTSALEPRICE",INDEX(MO_SNA_FPStartDate,0,COLUMN()),INDEX(MO_Common_QEndDate,0,COLUMN())),"N/A")</f>
        <v/>
      </c>
      <c r="AG788" s="2074">
        <f>IFERROR(_xll.ciqfunctions.udf.CIQHI(MO.Ticker.CapIQ,"IQ_LASTSALEPRICE",INDEX(MO_SNA_FPStartDate,0,COLUMN()),INDEX(MO_Common_QEndDate,0,COLUMN())),"N/A")</f>
        <v/>
      </c>
      <c r="AH788" s="2074">
        <f>IFERROR(_xll.ciqfunctions.udf.CIQHI(MO.Ticker.CapIQ,"IQ_LASTSALEPRICE",INDEX(MO_SNA_FPStartDate,0,COLUMN()),INDEX(MO_Common_QEndDate,0,COLUMN())),"N/A")</f>
        <v/>
      </c>
      <c r="AI788" s="2074">
        <f>IFERROR(_xll.ciqfunctions.udf.CIQHI(MO.Ticker.CapIQ,"IQ_LASTSALEPRICE",INDEX(MO_SNA_FPStartDate,0,COLUMN()),INDEX(MO_Common_QEndDate,0,COLUMN())),"N/A")</f>
        <v/>
      </c>
      <c r="AJ788" s="2074">
        <f>IFERROR(_xll.ciqfunctions.udf.CIQHI(MO.Ticker.CapIQ,"IQ_LASTSALEPRICE",INDEX(MO_SNA_FPStartDate,0,COLUMN()),INDEX(MO_Common_QEndDate,0,COLUMN())),"N/A")</f>
        <v/>
      </c>
      <c r="AK788" s="2074">
        <f>IFERROR(_xll.ciqfunctions.udf.CIQHI(MO.Ticker.CapIQ,"IQ_LASTSALEPRICE",INDEX(MO_SNA_FPStartDate,0,COLUMN()),INDEX(MO_Common_QEndDate,0,COLUMN())),"N/A")</f>
        <v/>
      </c>
      <c r="AL788" s="2074">
        <f>IFERROR(_xll.ciqfunctions.udf.CIQHI(MO.Ticker.CapIQ,"IQ_LASTSALEPRICE",INDEX(MO_SNA_FPStartDate,0,COLUMN()),INDEX(MO_Common_QEndDate,0,COLUMN())),"N/A")</f>
        <v/>
      </c>
      <c r="AM788" s="2074">
        <f>IFERROR(_xll.ciqfunctions.udf.CIQHI(MO.Ticker.CapIQ,"IQ_LASTSALEPRICE",INDEX(MO_SNA_FPStartDate,0,COLUMN()),INDEX(MO_Common_QEndDate,0,COLUMN())),"N/A")</f>
        <v/>
      </c>
      <c r="AN788" s="2074">
        <f>IFERROR(_xll.ciqfunctions.udf.CIQHI(MO.Ticker.CapIQ,"IQ_LASTSALEPRICE",INDEX(MO_SNA_FPStartDate,0,COLUMN()),INDEX(MO_Common_QEndDate,0,COLUMN())),"N/A")</f>
        <v/>
      </c>
      <c r="AO788" s="2074">
        <f>IFERROR(_xll.ciqfunctions.udf.CIQHI(MO.Ticker.CapIQ,"IQ_LASTSALEPRICE",INDEX(MO_SNA_FPStartDate,0,COLUMN()),INDEX(MO_Common_QEndDate,0,COLUMN())),"N/A")</f>
        <v/>
      </c>
      <c r="AP788" s="2074">
        <f>IFERROR(_xll.ciqfunctions.udf.CIQHI(MO.Ticker.CapIQ,"IQ_LASTSALEPRICE",INDEX(MO_SNA_FPStartDate,0,COLUMN()),INDEX(MO_Common_QEndDate,0,COLUMN())),"N/A")</f>
        <v/>
      </c>
      <c r="AQ788" s="2074">
        <f>IFERROR(_xll.ciqfunctions.udf.CIQHI(MO.Ticker.CapIQ,"IQ_LASTSALEPRICE",INDEX(MO_SNA_FPStartDate,0,COLUMN()),INDEX(MO_Common_QEndDate,0,COLUMN())),"N/A")</f>
        <v/>
      </c>
      <c r="AR788" s="2074">
        <f>IFERROR(_xll.ciqfunctions.udf.CIQHI(MO.Ticker.CapIQ,"IQ_LASTSALEPRICE",INDEX(MO_SNA_FPStartDate,0,COLUMN()),INDEX(MO_Common_QEndDate,0,COLUMN())),"N/A")</f>
        <v/>
      </c>
      <c r="AS788" s="2074">
        <f>IFERROR(_xll.ciqfunctions.udf.CIQHI(MO.Ticker.CapIQ,"IQ_LASTSALEPRICE",INDEX(MO_SNA_FPStartDate,0,COLUMN()),INDEX(MO_Common_QEndDate,0,COLUMN())),"N/A")</f>
        <v/>
      </c>
      <c r="AT788" s="2074">
        <f>IFERROR(_xll.ciqfunctions.udf.CIQHI(MO.Ticker.CapIQ,"IQ_LASTSALEPRICE",INDEX(MO_SNA_FPStartDate,0,COLUMN()),INDEX(MO_Common_QEndDate,0,COLUMN())),"N/A")</f>
        <v/>
      </c>
      <c r="AU788" s="2074">
        <f>IFERROR(_xll.ciqfunctions.udf.CIQHI(MO.Ticker.CapIQ,"IQ_LASTSALEPRICE",INDEX(MO_SNA_FPStartDate,0,COLUMN()),INDEX(MO_Common_QEndDate,0,COLUMN())),"N/A")</f>
        <v/>
      </c>
      <c r="AV788" s="2074">
        <f>IFERROR(_xll.ciqfunctions.udf.CIQHI(MO.Ticker.CapIQ,"IQ_LASTSALEPRICE",INDEX(MO_SNA_FPStartDate,0,COLUMN()),INDEX(MO_Common_QEndDate,0,COLUMN())),"N/A")</f>
        <v/>
      </c>
      <c r="AW788" s="2074">
        <f>IFERROR(_xll.ciqfunctions.udf.CIQHI(MO.Ticker.CapIQ,"IQ_LASTSALEPRICE",INDEX(MO_SNA_FPStartDate,0,COLUMN()),INDEX(MO_Common_QEndDate,0,COLUMN())),"N/A")</f>
        <v/>
      </c>
      <c r="AX788" s="2074">
        <f>IFERROR(_xll.ciqfunctions.udf.CIQHI(MO.Ticker.CapIQ,"IQ_LASTSALEPRICE",INDEX(MO_SNA_FPStartDate,0,COLUMN()),INDEX(MO_Common_QEndDate,0,COLUMN())),"N/A")</f>
        <v/>
      </c>
      <c r="AY788" s="2074">
        <f>IFERROR(_xll.ciqfunctions.udf.CIQHI(MO.Ticker.CapIQ,"IQ_LASTSALEPRICE",INDEX(MO_SNA_FPStartDate,0,COLUMN()),INDEX(MO_Common_QEndDate,0,COLUMN())),"N/A")</f>
        <v/>
      </c>
      <c r="AZ788" s="2074">
        <f>IFERROR(_xll.ciqfunctions.udf.CIQHI(MO.Ticker.CapIQ,"IQ_LASTSALEPRICE",INDEX(MO_SNA_FPStartDate,0,COLUMN()),INDEX(MO_Common_QEndDate,0,COLUMN())),"N/A")</f>
        <v/>
      </c>
      <c r="BA788" s="2074">
        <f>IFERROR(_xll.ciqfunctions.udf.CIQHI(MO.Ticker.CapIQ,"IQ_LASTSALEPRICE",INDEX(MO_SNA_FPStartDate,0,COLUMN()),INDEX(MO_Common_QEndDate,0,COLUMN())),"N/A")</f>
        <v/>
      </c>
      <c r="BB788" s="2074">
        <f>IFERROR(_xll.ciqfunctions.udf.CIQHI(MO.Ticker.CapIQ,"IQ_LASTSALEPRICE",INDEX(MO_SNA_FPStartDate,0,COLUMN()),INDEX(MO_Common_QEndDate,0,COLUMN())),"N/A")</f>
        <v/>
      </c>
      <c r="BC788" s="2074">
        <f>IFERROR(_xll.ciqfunctions.udf.CIQHI(MO.Ticker.CapIQ,"IQ_LASTSALEPRICE",INDEX(MO_SNA_FPStartDate,0,COLUMN()),INDEX(MO_Common_QEndDate,0,COLUMN())),"N/A")</f>
        <v/>
      </c>
      <c r="BD788" s="2074">
        <f>IFERROR(_xll.ciqfunctions.udf.CIQHI(MO.Ticker.CapIQ,"IQ_LASTSALEPRICE",INDEX(MO_SNA_FPStartDate,0,COLUMN()),INDEX(MO_Common_QEndDate,0,COLUMN())),"N/A")</f>
        <v/>
      </c>
      <c r="BE788" s="2074">
        <f>IFERROR(_xll.ciqfunctions.udf.CIQHI(MO.Ticker.CapIQ,"IQ_LASTSALEPRICE",INDEX(MO_SNA_FPStartDate,0,COLUMN()),INDEX(MO_Common_QEndDate,0,COLUMN())),"N/A")</f>
        <v/>
      </c>
      <c r="BF788" s="2074">
        <f>IFERROR(_xll.ciqfunctions.udf.CIQHI(MO.Ticker.CapIQ,"IQ_LASTSALEPRICE",INDEX(MO_SNA_FPStartDate,0,COLUMN()),INDEX(MO_Common_QEndDate,0,COLUMN())),"N/A")</f>
        <v/>
      </c>
      <c r="BG788" s="2074">
        <f>IFERROR(_xll.ciqfunctions.udf.CIQHI(MO.Ticker.CapIQ,"IQ_LASTSALEPRICE",INDEX(MO_SNA_FPStartDate,0,COLUMN()),INDEX(MO_Common_QEndDate,0,COLUMN())),"N/A")</f>
        <v/>
      </c>
      <c r="BH788" s="2074">
        <f>IFERROR(_xll.ciqfunctions.udf.CIQHI(MO.Ticker.CapIQ,"IQ_LASTSALEPRICE",INDEX(MO_SNA_FPStartDate,0,COLUMN()),INDEX(MO_Common_QEndDate,0,COLUMN())),"N/A")</f>
        <v/>
      </c>
      <c r="BI788" s="2074">
        <f>IFERROR(_xll.ciqfunctions.udf.CIQHI(MO.Ticker.CapIQ,"IQ_LASTSALEPRICE",INDEX(MO_SNA_FPStartDate,0,COLUMN()),INDEX(MO_Common_QEndDate,0,COLUMN())),"N/A")</f>
        <v/>
      </c>
      <c r="BJ788" s="2074">
        <f>IFERROR(_xll.ciqfunctions.udf.CIQHI(MO.Ticker.CapIQ,"IQ_LASTSALEPRICE",INDEX(MO_SNA_FPStartDate,0,COLUMN()),INDEX(MO_Common_QEndDate,0,COLUMN())),"N/A")</f>
        <v/>
      </c>
      <c r="BK788" s="2074">
        <f>IFERROR(_xll.ciqfunctions.udf.CIQHI(MO.Ticker.CapIQ,"IQ_LASTSALEPRICE",INDEX(MO_SNA_FPStartDate,0,COLUMN()),INDEX(MO_Common_QEndDate,0,COLUMN())),"N/A")</f>
        <v/>
      </c>
      <c r="BL788" s="2074">
        <f>IFERROR(_xll.ciqfunctions.udf.CIQHI(MO.Ticker.CapIQ,"IQ_LASTSALEPRICE",INDEX(MO_SNA_FPStartDate,0,COLUMN()),INDEX(MO_Common_QEndDate,0,COLUMN())),"N/A")</f>
        <v/>
      </c>
      <c r="BM788" s="2074">
        <f>IFERROR(_xll.ciqfunctions.udf.CIQHI(MO.Ticker.CapIQ,"IQ_LASTSALEPRICE",INDEX(MO_SNA_FPStartDate,0,COLUMN()),INDEX(MO_Common_QEndDate,0,COLUMN())),"N/A")</f>
        <v/>
      </c>
      <c r="BN788" s="2074">
        <f>IFERROR(_xll.ciqfunctions.udf.CIQHI(MO.Ticker.CapIQ,"IQ_LASTSALEPRICE",INDEX(MO_SNA_FPStartDate,0,COLUMN()),INDEX(MO_Common_QEndDate,0,COLUMN())),"N/A")</f>
        <v/>
      </c>
      <c r="BO788" s="2076">
        <f>IFERROR(_xll.ciqfunctions.udf.CIQHI(MO.Ticker.CapIQ,"IQ_LASTSALEPRICE",INDEX(MO_SNA_FPStartDate,0,COLUMN()),INDEX(MO_Common_QEndDate,0,COLUMN())),"N/A")</f>
        <v/>
      </c>
      <c r="BP788" s="2074">
        <f>IFERROR(_xll.ciqfunctions.udf.CIQHI(MO.Ticker.CapIQ,"IQ_LASTSALEPRICE",INDEX(MO_SNA_FPStartDate,0,COLUMN()),INDEX(MO_Common_QEndDate,0,COLUMN())),"N/A")</f>
        <v/>
      </c>
      <c r="BQ788" s="2074">
        <f>IFERROR(_xll.ciqfunctions.udf.CIQHI(MO.Ticker.CapIQ,"IQ_LASTSALEPRICE",INDEX(MO_SNA_FPStartDate,0,COLUMN()),INDEX(MO_Common_QEndDate,0,COLUMN())),"N/A")</f>
        <v/>
      </c>
      <c r="BR788" s="2074">
        <f>IFERROR(_xll.ciqfunctions.udf.CIQHI(MO.Ticker.CapIQ,"IQ_LASTSALEPRICE",INDEX(MO_SNA_FPStartDate,0,COLUMN()),INDEX(MO_Common_QEndDate,0,COLUMN())),"N/A")</f>
        <v/>
      </c>
      <c r="BS788" s="2074">
        <f>IFERROR(_xll.ciqfunctions.udf.CIQHI(MO.Ticker.CapIQ,"IQ_LASTSALEPRICE",INDEX(MO_SNA_FPStartDate,0,COLUMN()),INDEX(MO_Common_QEndDate,0,COLUMN())),"N/A")</f>
        <v/>
      </c>
      <c r="BT788" s="2074">
        <f>IFERROR(_xll.ciqfunctions.udf.CIQHI(MO.Ticker.CapIQ,"IQ_LASTSALEPRICE",INDEX(MO_SNA_FPStartDate,0,COLUMN()),INDEX(MO_Common_QEndDate,0,COLUMN())),"N/A")</f>
        <v/>
      </c>
      <c r="BU788" s="2074">
        <f>IFERROR(_xll.ciqfunctions.udf.CIQHI(MO.Ticker.CapIQ,"IQ_LASTSALEPRICE",INDEX(MO_SNA_FPStartDate,0,COLUMN()),INDEX(MO_Common_QEndDate,0,COLUMN())),"N/A")</f>
        <v/>
      </c>
      <c r="BV788" s="2074">
        <f>IFERROR(_xll.ciqfunctions.udf.CIQHI(MO.Ticker.CapIQ,"IQ_LASTSALEPRICE",INDEX(MO_SNA_FPStartDate,0,COLUMN()),INDEX(MO_Common_QEndDate,0,COLUMN())),"N/A")</f>
        <v/>
      </c>
      <c r="BW788" s="2074">
        <f>IFERROR(_xll.ciqfunctions.udf.CIQHI(MO.Ticker.CapIQ,"IQ_LASTSALEPRICE",INDEX(MO_SNA_FPStartDate,0,COLUMN()),INDEX(MO_Common_QEndDate,0,COLUMN())),"N/A")</f>
        <v/>
      </c>
      <c r="BX788" s="2074">
        <f>IFERROR(_xll.ciqfunctions.udf.CIQHI(MO.Ticker.CapIQ,"IQ_LASTSALEPRICE",INDEX(MO_SNA_FPStartDate,0,COLUMN()),INDEX(MO_Common_QEndDate,0,COLUMN())),"N/A")</f>
        <v/>
      </c>
      <c r="BY788" s="2074">
        <f>IFERROR(_xll.ciqfunctions.udf.CIQHI(MO.Ticker.CapIQ,"IQ_LASTSALEPRICE",INDEX(MO_SNA_FPStartDate,0,COLUMN()),INDEX(MO_Common_QEndDate,0,COLUMN())),"N/A")</f>
        <v/>
      </c>
      <c r="BZ788" s="2074">
        <f>IFERROR(_xll.ciqfunctions.udf.CIQHI(MO.Ticker.CapIQ,"IQ_LASTSALEPRICE",INDEX(MO_SNA_FPStartDate,0,COLUMN()),INDEX(MO_Common_QEndDate,0,COLUMN())),"N/A")</f>
        <v/>
      </c>
      <c r="CA788" s="2074">
        <f>IFERROR(_xll.ciqfunctions.udf.CIQHI(MO.Ticker.CapIQ,"IQ_LASTSALEPRICE",INDEX(MO_SNA_FPStartDate,0,COLUMN()),INDEX(MO_Common_QEndDate,0,COLUMN())),"N/A")</f>
        <v/>
      </c>
      <c r="CB788" s="2077">
        <f>IFERROR(_xll.ciqfunctions.udf.CIQHI(MO.Ticker.CapIQ,"IQ_LASTSALEPRICE",INDEX(MO_SNA_FPStartDate,0,COLUMN()),INDEX(MO_Common_QEndDate,0,COLUMN())),"N/A")</f>
        <v/>
      </c>
      <c r="CC788" s="2078" t="n"/>
    </row>
    <row r="789" hidden="1" outlineLevel="1" ht="15" customFormat="1" customHeight="1" s="1945">
      <c r="A789" s="2079" t="inlineStr">
        <is>
          <t>FactSet</t>
        </is>
      </c>
      <c r="B789" s="2074" t="n"/>
      <c r="C789" s="2075">
        <f>IFERROR(FDS(MO.Ticker.FactSet,"P_PRICE_HIGH"&amp;"("&amp;INDEX(MO_SNA_FPStartDate,0,COLUMN())&amp;","&amp;INDEX(MO_Common_QEndDate,0,COLUMN())&amp;",,,,""PRICE"",""CLOSE"")"),"N/A")</f>
        <v/>
      </c>
      <c r="D789" s="2075">
        <f>IFERROR(FDS(MO.Ticker.FactSet,"P_PRICE_HIGH"&amp;"("&amp;INDEX(MO_SNA_FPStartDate,0,COLUMN())&amp;","&amp;INDEX(MO_Common_QEndDate,0,COLUMN())&amp;",,,,""PRICE"",""CLOSE"")"),"N/A")</f>
        <v/>
      </c>
      <c r="E789" s="2074">
        <f>IFERROR(FDS(MO.Ticker.FactSet,"P_PRICE_HIGH"&amp;"("&amp;INDEX(MO_SNA_FPStartDate,0,COLUMN())&amp;","&amp;INDEX(MO_Common_QEndDate,0,COLUMN())&amp;",,,,""PRICE"",""CLOSE"")"),"N/A")</f>
        <v/>
      </c>
      <c r="F789" s="2074">
        <f>IFERROR(FDS(MO.Ticker.FactSet,"P_PRICE_HIGH"&amp;"("&amp;INDEX(MO_SNA_FPStartDate,0,COLUMN())&amp;","&amp;INDEX(MO_Common_QEndDate,0,COLUMN())&amp;",,,,""PRICE"",""CLOSE"")"),"N/A")</f>
        <v/>
      </c>
      <c r="G789" s="2074">
        <f>IFERROR(FDS(MO.Ticker.FactSet,"P_PRICE_HIGH"&amp;"("&amp;INDEX(MO_SNA_FPStartDate,0,COLUMN())&amp;","&amp;INDEX(MO_Common_QEndDate,0,COLUMN())&amp;",,,,""PRICE"",""CLOSE"")"),"N/A")</f>
        <v/>
      </c>
      <c r="H789" s="2074">
        <f>IFERROR(FDS(MO.Ticker.FactSet,"P_PRICE_HIGH"&amp;"("&amp;INDEX(MO_SNA_FPStartDate,0,COLUMN())&amp;","&amp;INDEX(MO_Common_QEndDate,0,COLUMN())&amp;",,,,""PRICE"",""CLOSE"")"),"N/A")</f>
        <v/>
      </c>
      <c r="I789" s="2074">
        <f>IFERROR(FDS(MO.Ticker.FactSet,"P_PRICE_HIGH"&amp;"("&amp;INDEX(MO_SNA_FPStartDate,0,COLUMN())&amp;","&amp;INDEX(MO_Common_QEndDate,0,COLUMN())&amp;",,,,""PRICE"",""CLOSE"")"),"N/A")</f>
        <v/>
      </c>
      <c r="J789" s="2074">
        <f>IFERROR(FDS(MO.Ticker.FactSet,"P_PRICE_HIGH"&amp;"("&amp;INDEX(MO_SNA_FPStartDate,0,COLUMN())&amp;","&amp;INDEX(MO_Common_QEndDate,0,COLUMN())&amp;",,,,""PRICE"",""CLOSE"")"),"N/A")</f>
        <v/>
      </c>
      <c r="K789" s="2074">
        <f>IFERROR(FDS(MO.Ticker.FactSet,"P_PRICE_HIGH"&amp;"("&amp;INDEX(MO_SNA_FPStartDate,0,COLUMN())&amp;","&amp;INDEX(MO_Common_QEndDate,0,COLUMN())&amp;",,,,""PRICE"",""CLOSE"")"),"N/A")</f>
        <v/>
      </c>
      <c r="L789" s="2074">
        <f>IFERROR(FDS(MO.Ticker.FactSet,"P_PRICE_HIGH"&amp;"("&amp;INDEX(MO_SNA_FPStartDate,0,COLUMN())&amp;","&amp;INDEX(MO_Common_QEndDate,0,COLUMN())&amp;",,,,""PRICE"",""CLOSE"")"),"N/A")</f>
        <v/>
      </c>
      <c r="M789" s="2074">
        <f>IFERROR(FDS(MO.Ticker.FactSet,"P_PRICE_HIGH"&amp;"("&amp;INDEX(MO_SNA_FPStartDate,0,COLUMN())&amp;","&amp;INDEX(MO_Common_QEndDate,0,COLUMN())&amp;",,,,""PRICE"",""CLOSE"")"),"N/A")</f>
        <v/>
      </c>
      <c r="N789" s="2074">
        <f>IFERROR(FDS(MO.Ticker.FactSet,"P_PRICE_HIGH"&amp;"("&amp;INDEX(MO_SNA_FPStartDate,0,COLUMN())&amp;","&amp;INDEX(MO_Common_QEndDate,0,COLUMN())&amp;",,,,""PRICE"",""CLOSE"")"),"N/A")</f>
        <v/>
      </c>
      <c r="O789" s="2074">
        <f>IFERROR(FDS(MO.Ticker.FactSet,"P_PRICE_HIGH"&amp;"("&amp;INDEX(MO_SNA_FPStartDate,0,COLUMN())&amp;","&amp;INDEX(MO_Common_QEndDate,0,COLUMN())&amp;",,,,""PRICE"",""CLOSE"")"),"N/A")</f>
        <v/>
      </c>
      <c r="P789" s="2074">
        <f>IFERROR(FDS(MO.Ticker.FactSet,"P_PRICE_HIGH"&amp;"("&amp;INDEX(MO_SNA_FPStartDate,0,COLUMN())&amp;","&amp;INDEX(MO_Common_QEndDate,0,COLUMN())&amp;",,,,""PRICE"",""CLOSE"")"),"N/A")</f>
        <v/>
      </c>
      <c r="Q789" s="2074">
        <f>IFERROR(FDS(MO.Ticker.FactSet,"P_PRICE_HIGH"&amp;"("&amp;INDEX(MO_SNA_FPStartDate,0,COLUMN())&amp;","&amp;INDEX(MO_Common_QEndDate,0,COLUMN())&amp;",,,,""PRICE"",""CLOSE"")"),"N/A")</f>
        <v/>
      </c>
      <c r="R789" s="2074">
        <f>IFERROR(FDS(MO.Ticker.FactSet,"P_PRICE_HIGH"&amp;"("&amp;INDEX(MO_SNA_FPStartDate,0,COLUMN())&amp;","&amp;INDEX(MO_Common_QEndDate,0,COLUMN())&amp;",,,,""PRICE"",""CLOSE"")"),"N/A")</f>
        <v/>
      </c>
      <c r="S789" s="2074">
        <f>IFERROR(FDS(MO.Ticker.FactSet,"P_PRICE_HIGH"&amp;"("&amp;INDEX(MO_SNA_FPStartDate,0,COLUMN())&amp;","&amp;INDEX(MO_Common_QEndDate,0,COLUMN())&amp;",,,,""PRICE"",""CLOSE"")"),"N/A")</f>
        <v/>
      </c>
      <c r="T789" s="2074">
        <f>IFERROR(FDS(MO.Ticker.FactSet,"P_PRICE_HIGH"&amp;"("&amp;INDEX(MO_SNA_FPStartDate,0,COLUMN())&amp;","&amp;INDEX(MO_Common_QEndDate,0,COLUMN())&amp;",,,,""PRICE"",""CLOSE"")"),"N/A")</f>
        <v/>
      </c>
      <c r="U789" s="2074">
        <f>IFERROR(FDS(MO.Ticker.FactSet,"P_PRICE_HIGH"&amp;"("&amp;INDEX(MO_SNA_FPStartDate,0,COLUMN())&amp;","&amp;INDEX(MO_Common_QEndDate,0,COLUMN())&amp;",,,,""PRICE"",""CLOSE"")"),"N/A")</f>
        <v/>
      </c>
      <c r="V789" s="2074">
        <f>IFERROR(FDS(MO.Ticker.FactSet,"P_PRICE_HIGH"&amp;"("&amp;INDEX(MO_SNA_FPStartDate,0,COLUMN())&amp;","&amp;INDEX(MO_Common_QEndDate,0,COLUMN())&amp;",,,,""PRICE"",""CLOSE"")"),"N/A")</f>
        <v/>
      </c>
      <c r="W789" s="2074">
        <f>IFERROR(FDS(MO.Ticker.FactSet,"P_PRICE_HIGH"&amp;"("&amp;INDEX(MO_SNA_FPStartDate,0,COLUMN())&amp;","&amp;INDEX(MO_Common_QEndDate,0,COLUMN())&amp;",,,,""PRICE"",""CLOSE"")"),"N/A")</f>
        <v/>
      </c>
      <c r="X789" s="2074">
        <f>IFERROR(FDS(MO.Ticker.FactSet,"P_PRICE_HIGH"&amp;"("&amp;INDEX(MO_SNA_FPStartDate,0,COLUMN())&amp;","&amp;INDEX(MO_Common_QEndDate,0,COLUMN())&amp;",,,,""PRICE"",""CLOSE"")"),"N/A")</f>
        <v/>
      </c>
      <c r="Y789" s="2074">
        <f>IFERROR(FDS(MO.Ticker.FactSet,"P_PRICE_HIGH"&amp;"("&amp;INDEX(MO_SNA_FPStartDate,0,COLUMN())&amp;","&amp;INDEX(MO_Common_QEndDate,0,COLUMN())&amp;",,,,""PRICE"",""CLOSE"")"),"N/A")</f>
        <v/>
      </c>
      <c r="Z789" s="2074">
        <f>IFERROR(FDS(MO.Ticker.FactSet,"P_PRICE_HIGH"&amp;"("&amp;INDEX(MO_SNA_FPStartDate,0,COLUMN())&amp;","&amp;INDEX(MO_Common_QEndDate,0,COLUMN())&amp;",,,,""PRICE"",""CLOSE"")"),"N/A")</f>
        <v/>
      </c>
      <c r="AA789" s="2074">
        <f>IFERROR(FDS(MO.Ticker.FactSet,"P_PRICE_HIGH"&amp;"("&amp;INDEX(MO_SNA_FPStartDate,0,COLUMN())&amp;","&amp;INDEX(MO_Common_QEndDate,0,COLUMN())&amp;",,,,""PRICE"",""CLOSE"")"),"N/A")</f>
        <v/>
      </c>
      <c r="AB789" s="2074">
        <f>IFERROR(FDS(MO.Ticker.FactSet,"P_PRICE_HIGH"&amp;"("&amp;INDEX(MO_SNA_FPStartDate,0,COLUMN())&amp;","&amp;INDEX(MO_Common_QEndDate,0,COLUMN())&amp;",,,,""PRICE"",""CLOSE"")"),"N/A")</f>
        <v/>
      </c>
      <c r="AC789" s="2074">
        <f>IFERROR(FDS(MO.Ticker.FactSet,"P_PRICE_HIGH"&amp;"("&amp;INDEX(MO_SNA_FPStartDate,0,COLUMN())&amp;","&amp;INDEX(MO_Common_QEndDate,0,COLUMN())&amp;",,,,""PRICE"",""CLOSE"")"),"N/A")</f>
        <v/>
      </c>
      <c r="AD789" s="2074">
        <f>IFERROR(FDS(MO.Ticker.FactSet,"P_PRICE_HIGH"&amp;"("&amp;INDEX(MO_SNA_FPStartDate,0,COLUMN())&amp;","&amp;INDEX(MO_Common_QEndDate,0,COLUMN())&amp;",,,,""PRICE"",""CLOSE"")"),"N/A")</f>
        <v/>
      </c>
      <c r="AE789" s="2074">
        <f>IFERROR(FDS(MO.Ticker.FactSet,"P_PRICE_HIGH"&amp;"("&amp;INDEX(MO_SNA_FPStartDate,0,COLUMN())&amp;","&amp;INDEX(MO_Common_QEndDate,0,COLUMN())&amp;",,,,""PRICE"",""CLOSE"")"),"N/A")</f>
        <v/>
      </c>
      <c r="AF789" s="2074">
        <f>IFERROR(FDS(MO.Ticker.FactSet,"P_PRICE_HIGH"&amp;"("&amp;INDEX(MO_SNA_FPStartDate,0,COLUMN())&amp;","&amp;INDEX(MO_Common_QEndDate,0,COLUMN())&amp;",,,,""PRICE"",""CLOSE"")"),"N/A")</f>
        <v/>
      </c>
      <c r="AG789" s="2074">
        <f>IFERROR(FDS(MO.Ticker.FactSet,"P_PRICE_HIGH"&amp;"("&amp;INDEX(MO_SNA_FPStartDate,0,COLUMN())&amp;","&amp;INDEX(MO_Common_QEndDate,0,COLUMN())&amp;",,,,""PRICE"",""CLOSE"")"),"N/A")</f>
        <v/>
      </c>
      <c r="AH789" s="2074">
        <f>IFERROR(FDS(MO.Ticker.FactSet,"P_PRICE_HIGH"&amp;"("&amp;INDEX(MO_SNA_FPStartDate,0,COLUMN())&amp;","&amp;INDEX(MO_Common_QEndDate,0,COLUMN())&amp;",,,,""PRICE"",""CLOSE"")"),"N/A")</f>
        <v/>
      </c>
      <c r="AI789" s="2074">
        <f>IFERROR(FDS(MO.Ticker.FactSet,"P_PRICE_HIGH"&amp;"("&amp;INDEX(MO_SNA_FPStartDate,0,COLUMN())&amp;","&amp;INDEX(MO_Common_QEndDate,0,COLUMN())&amp;",,,,""PRICE"",""CLOSE"")"),"N/A")</f>
        <v/>
      </c>
      <c r="AJ789" s="2074">
        <f>IFERROR(FDS(MO.Ticker.FactSet,"P_PRICE_HIGH"&amp;"("&amp;INDEX(MO_SNA_FPStartDate,0,COLUMN())&amp;","&amp;INDEX(MO_Common_QEndDate,0,COLUMN())&amp;",,,,""PRICE"",""CLOSE"")"),"N/A")</f>
        <v/>
      </c>
      <c r="AK789" s="2074">
        <f>IFERROR(FDS(MO.Ticker.FactSet,"P_PRICE_HIGH"&amp;"("&amp;INDEX(MO_SNA_FPStartDate,0,COLUMN())&amp;","&amp;INDEX(MO_Common_QEndDate,0,COLUMN())&amp;",,,,""PRICE"",""CLOSE"")"),"N/A")</f>
        <v/>
      </c>
      <c r="AL789" s="2074">
        <f>IFERROR(FDS(MO.Ticker.FactSet,"P_PRICE_HIGH"&amp;"("&amp;INDEX(MO_SNA_FPStartDate,0,COLUMN())&amp;","&amp;INDEX(MO_Common_QEndDate,0,COLUMN())&amp;",,,,""PRICE"",""CLOSE"")"),"N/A")</f>
        <v/>
      </c>
      <c r="AM789" s="2074">
        <f>IFERROR(FDS(MO.Ticker.FactSet,"P_PRICE_HIGH"&amp;"("&amp;INDEX(MO_SNA_FPStartDate,0,COLUMN())&amp;","&amp;INDEX(MO_Common_QEndDate,0,COLUMN())&amp;",,,,""PRICE"",""CLOSE"")"),"N/A")</f>
        <v/>
      </c>
      <c r="AN789" s="2074">
        <f>IFERROR(FDS(MO.Ticker.FactSet,"P_PRICE_HIGH"&amp;"("&amp;INDEX(MO_SNA_FPStartDate,0,COLUMN())&amp;","&amp;INDEX(MO_Common_QEndDate,0,COLUMN())&amp;",,,,""PRICE"",""CLOSE"")"),"N/A")</f>
        <v/>
      </c>
      <c r="AO789" s="2074">
        <f>IFERROR(FDS(MO.Ticker.FactSet,"P_PRICE_HIGH"&amp;"("&amp;INDEX(MO_SNA_FPStartDate,0,COLUMN())&amp;","&amp;INDEX(MO_Common_QEndDate,0,COLUMN())&amp;",,,,""PRICE"",""CLOSE"")"),"N/A")</f>
        <v/>
      </c>
      <c r="AP789" s="2074">
        <f>IFERROR(FDS(MO.Ticker.FactSet,"P_PRICE_HIGH"&amp;"("&amp;INDEX(MO_SNA_FPStartDate,0,COLUMN())&amp;","&amp;INDEX(MO_Common_QEndDate,0,COLUMN())&amp;",,,,""PRICE"",""CLOSE"")"),"N/A")</f>
        <v/>
      </c>
      <c r="AQ789" s="2074">
        <f>IFERROR(FDS(MO.Ticker.FactSet,"P_PRICE_HIGH"&amp;"("&amp;INDEX(MO_SNA_FPStartDate,0,COLUMN())&amp;","&amp;INDEX(MO_Common_QEndDate,0,COLUMN())&amp;",,,,""PRICE"",""CLOSE"")"),"N/A")</f>
        <v/>
      </c>
      <c r="AR789" s="2074">
        <f>IFERROR(FDS(MO.Ticker.FactSet,"P_PRICE_HIGH"&amp;"("&amp;INDEX(MO_SNA_FPStartDate,0,COLUMN())&amp;","&amp;INDEX(MO_Common_QEndDate,0,COLUMN())&amp;",,,,""PRICE"",""CLOSE"")"),"N/A")</f>
        <v/>
      </c>
      <c r="AS789" s="2074">
        <f>IFERROR(FDS(MO.Ticker.FactSet,"P_PRICE_HIGH"&amp;"("&amp;INDEX(MO_SNA_FPStartDate,0,COLUMN())&amp;","&amp;INDEX(MO_Common_QEndDate,0,COLUMN())&amp;",,,,""PRICE"",""CLOSE"")"),"N/A")</f>
        <v/>
      </c>
      <c r="AT789" s="2074">
        <f>IFERROR(FDS(MO.Ticker.FactSet,"P_PRICE_HIGH"&amp;"("&amp;INDEX(MO_SNA_FPStartDate,0,COLUMN())&amp;","&amp;INDEX(MO_Common_QEndDate,0,COLUMN())&amp;",,,,""PRICE"",""CLOSE"")"),"N/A")</f>
        <v/>
      </c>
      <c r="AU789" s="2074">
        <f>IFERROR(FDS(MO.Ticker.FactSet,"P_PRICE_HIGH"&amp;"("&amp;INDEX(MO_SNA_FPStartDate,0,COLUMN())&amp;","&amp;INDEX(MO_Common_QEndDate,0,COLUMN())&amp;",,,,""PRICE"",""CLOSE"")"),"N/A")</f>
        <v/>
      </c>
      <c r="AV789" s="2074">
        <f>IFERROR(FDS(MO.Ticker.FactSet,"P_PRICE_HIGH"&amp;"("&amp;INDEX(MO_SNA_FPStartDate,0,COLUMN())&amp;","&amp;INDEX(MO_Common_QEndDate,0,COLUMN())&amp;",,,,""PRICE"",""CLOSE"")"),"N/A")</f>
        <v/>
      </c>
      <c r="AW789" s="2074">
        <f>IFERROR(FDS(MO.Ticker.FactSet,"P_PRICE_HIGH"&amp;"("&amp;INDEX(MO_SNA_FPStartDate,0,COLUMN())&amp;","&amp;INDEX(MO_Common_QEndDate,0,COLUMN())&amp;",,,,""PRICE"",""CLOSE"")"),"N/A")</f>
        <v/>
      </c>
      <c r="AX789" s="2074">
        <f>IFERROR(FDS(MO.Ticker.FactSet,"P_PRICE_HIGH"&amp;"("&amp;INDEX(MO_SNA_FPStartDate,0,COLUMN())&amp;","&amp;INDEX(MO_Common_QEndDate,0,COLUMN())&amp;",,,,""PRICE"",""CLOSE"")"),"N/A")</f>
        <v/>
      </c>
      <c r="AY789" s="2074">
        <f>IFERROR(FDS(MO.Ticker.FactSet,"P_PRICE_HIGH"&amp;"("&amp;INDEX(MO_SNA_FPStartDate,0,COLUMN())&amp;","&amp;INDEX(MO_Common_QEndDate,0,COLUMN())&amp;",,,,""PRICE"",""CLOSE"")"),"N/A")</f>
        <v/>
      </c>
      <c r="AZ789" s="2074">
        <f>IFERROR(FDS(MO.Ticker.FactSet,"P_PRICE_HIGH"&amp;"("&amp;INDEX(MO_SNA_FPStartDate,0,COLUMN())&amp;","&amp;INDEX(MO_Common_QEndDate,0,COLUMN())&amp;",,,,""PRICE"",""CLOSE"")"),"N/A")</f>
        <v/>
      </c>
      <c r="BA789" s="2074">
        <f>IFERROR(FDS(MO.Ticker.FactSet,"P_PRICE_HIGH"&amp;"("&amp;INDEX(MO_SNA_FPStartDate,0,COLUMN())&amp;","&amp;INDEX(MO_Common_QEndDate,0,COLUMN())&amp;",,,,""PRICE"",""CLOSE"")"),"N/A")</f>
        <v/>
      </c>
      <c r="BB789" s="2074">
        <f>IFERROR(FDS(MO.Ticker.FactSet,"P_PRICE_HIGH"&amp;"("&amp;INDEX(MO_SNA_FPStartDate,0,COLUMN())&amp;","&amp;INDEX(MO_Common_QEndDate,0,COLUMN())&amp;",,,,""PRICE"",""CLOSE"")"),"N/A")</f>
        <v/>
      </c>
      <c r="BC789" s="2074">
        <f>IFERROR(FDS(MO.Ticker.FactSet,"P_PRICE_HIGH"&amp;"("&amp;INDEX(MO_SNA_FPStartDate,0,COLUMN())&amp;","&amp;INDEX(MO_Common_QEndDate,0,COLUMN())&amp;",,,,""PRICE"",""CLOSE"")"),"N/A")</f>
        <v/>
      </c>
      <c r="BD789" s="2074">
        <f>IFERROR(FDS(MO.Ticker.FactSet,"P_PRICE_HIGH"&amp;"("&amp;INDEX(MO_SNA_FPStartDate,0,COLUMN())&amp;","&amp;INDEX(MO_Common_QEndDate,0,COLUMN())&amp;",,,,""PRICE"",""CLOSE"")"),"N/A")</f>
        <v/>
      </c>
      <c r="BE789" s="2074">
        <f>IFERROR(FDS(MO.Ticker.FactSet,"P_PRICE_HIGH"&amp;"("&amp;INDEX(MO_SNA_FPStartDate,0,COLUMN())&amp;","&amp;INDEX(MO_Common_QEndDate,0,COLUMN())&amp;",,,,""PRICE"",""CLOSE"")"),"N/A")</f>
        <v/>
      </c>
      <c r="BF789" s="2074">
        <f>IFERROR(FDS(MO.Ticker.FactSet,"P_PRICE_HIGH"&amp;"("&amp;INDEX(MO_SNA_FPStartDate,0,COLUMN())&amp;","&amp;INDEX(MO_Common_QEndDate,0,COLUMN())&amp;",,,,""PRICE"",""CLOSE"")"),"N/A")</f>
        <v/>
      </c>
      <c r="BG789" s="2074">
        <f>IFERROR(FDS(MO.Ticker.FactSet,"P_PRICE_HIGH"&amp;"("&amp;INDEX(MO_SNA_FPStartDate,0,COLUMN())&amp;","&amp;INDEX(MO_Common_QEndDate,0,COLUMN())&amp;",,,,""PRICE"",""CLOSE"")"),"N/A")</f>
        <v/>
      </c>
      <c r="BH789" s="2074">
        <f>IFERROR(FDS(MO.Ticker.FactSet,"P_PRICE_HIGH"&amp;"("&amp;INDEX(MO_SNA_FPStartDate,0,COLUMN())&amp;","&amp;INDEX(MO_Common_QEndDate,0,COLUMN())&amp;",,,,""PRICE"",""CLOSE"")"),"N/A")</f>
        <v/>
      </c>
      <c r="BI789" s="2074">
        <f>IFERROR(FDS(MO.Ticker.FactSet,"P_PRICE_HIGH"&amp;"("&amp;INDEX(MO_SNA_FPStartDate,0,COLUMN())&amp;","&amp;INDEX(MO_Common_QEndDate,0,COLUMN())&amp;",,,,""PRICE"",""CLOSE"")"),"N/A")</f>
        <v/>
      </c>
      <c r="BJ789" s="2074">
        <f>IFERROR(FDS(MO.Ticker.FactSet,"P_PRICE_HIGH"&amp;"("&amp;INDEX(MO_SNA_FPStartDate,0,COLUMN())&amp;","&amp;INDEX(MO_Common_QEndDate,0,COLUMN())&amp;",,,,""PRICE"",""CLOSE"")"),"N/A")</f>
        <v/>
      </c>
      <c r="BK789" s="2074">
        <f>IFERROR(FDS(MO.Ticker.FactSet,"P_PRICE_HIGH"&amp;"("&amp;INDEX(MO_SNA_FPStartDate,0,COLUMN())&amp;","&amp;INDEX(MO_Common_QEndDate,0,COLUMN())&amp;",,,,""PRICE"",""CLOSE"")"),"N/A")</f>
        <v/>
      </c>
      <c r="BL789" s="2074">
        <f>IFERROR(FDS(MO.Ticker.FactSet,"P_PRICE_HIGH"&amp;"("&amp;INDEX(MO_SNA_FPStartDate,0,COLUMN())&amp;","&amp;INDEX(MO_Common_QEndDate,0,COLUMN())&amp;",,,,""PRICE"",""CLOSE"")"),"N/A")</f>
        <v/>
      </c>
      <c r="BM789" s="2074">
        <f>IFERROR(FDS(MO.Ticker.FactSet,"P_PRICE_HIGH"&amp;"("&amp;INDEX(MO_SNA_FPStartDate,0,COLUMN())&amp;","&amp;INDEX(MO_Common_QEndDate,0,COLUMN())&amp;",,,,""PRICE"",""CLOSE"")"),"N/A")</f>
        <v/>
      </c>
      <c r="BN789" s="2074">
        <f>IFERROR(FDS(MO.Ticker.FactSet,"P_PRICE_HIGH"&amp;"("&amp;INDEX(MO_SNA_FPStartDate,0,COLUMN())&amp;","&amp;INDEX(MO_Common_QEndDate,0,COLUMN())&amp;",,,,""PRICE"",""CLOSE"")"),"N/A")</f>
        <v/>
      </c>
      <c r="BO789" s="2076">
        <f>IFERROR(FDS(MO.Ticker.FactSet,"P_PRICE_HIGH"&amp;"("&amp;INDEX(MO_SNA_FPStartDate,0,COLUMN())&amp;","&amp;INDEX(MO_Common_QEndDate,0,COLUMN())&amp;",,,,""PRICE"",""CLOSE"")"),"N/A")</f>
        <v/>
      </c>
      <c r="BP789" s="2074">
        <f>IFERROR(FDS(MO.Ticker.FactSet,"P_PRICE_HIGH"&amp;"("&amp;INDEX(MO_SNA_FPStartDate,0,COLUMN())&amp;","&amp;INDEX(MO_Common_QEndDate,0,COLUMN())&amp;",,,,""PRICE"",""CLOSE"")"),"N/A")</f>
        <v/>
      </c>
      <c r="BQ789" s="2074">
        <f>IFERROR(FDS(MO.Ticker.FactSet,"P_PRICE_HIGH"&amp;"("&amp;INDEX(MO_SNA_FPStartDate,0,COLUMN())&amp;","&amp;INDEX(MO_Common_QEndDate,0,COLUMN())&amp;",,,,""PRICE"",""CLOSE"")"),"N/A")</f>
        <v/>
      </c>
      <c r="BR789" s="2074">
        <f>IFERROR(FDS(MO.Ticker.FactSet,"P_PRICE_HIGH"&amp;"("&amp;INDEX(MO_SNA_FPStartDate,0,COLUMN())&amp;","&amp;INDEX(MO_Common_QEndDate,0,COLUMN())&amp;",,,,""PRICE"",""CLOSE"")"),"N/A")</f>
        <v/>
      </c>
      <c r="BS789" s="2074">
        <f>IFERROR(FDS(MO.Ticker.FactSet,"P_PRICE_HIGH"&amp;"("&amp;INDEX(MO_SNA_FPStartDate,0,COLUMN())&amp;","&amp;INDEX(MO_Common_QEndDate,0,COLUMN())&amp;",,,,""PRICE"",""CLOSE"")"),"N/A")</f>
        <v/>
      </c>
      <c r="BT789" s="2074">
        <f>IFERROR(FDS(MO.Ticker.FactSet,"P_PRICE_HIGH"&amp;"("&amp;INDEX(MO_SNA_FPStartDate,0,COLUMN())&amp;","&amp;INDEX(MO_Common_QEndDate,0,COLUMN())&amp;",,,,""PRICE"",""CLOSE"")"),"N/A")</f>
        <v/>
      </c>
      <c r="BU789" s="2074">
        <f>IFERROR(FDS(MO.Ticker.FactSet,"P_PRICE_HIGH"&amp;"("&amp;INDEX(MO_SNA_FPStartDate,0,COLUMN())&amp;","&amp;INDEX(MO_Common_QEndDate,0,COLUMN())&amp;",,,,""PRICE"",""CLOSE"")"),"N/A")</f>
        <v/>
      </c>
      <c r="BV789" s="2074">
        <f>IFERROR(FDS(MO.Ticker.FactSet,"P_PRICE_HIGH"&amp;"("&amp;INDEX(MO_SNA_FPStartDate,0,COLUMN())&amp;","&amp;INDEX(MO_Common_QEndDate,0,COLUMN())&amp;",,,,""PRICE"",""CLOSE"")"),"N/A")</f>
        <v/>
      </c>
      <c r="BW789" s="2074">
        <f>IFERROR(FDS(MO.Ticker.FactSet,"P_PRICE_HIGH"&amp;"("&amp;INDEX(MO_SNA_FPStartDate,0,COLUMN())&amp;","&amp;INDEX(MO_Common_QEndDate,0,COLUMN())&amp;",,,,""PRICE"",""CLOSE"")"),"N/A")</f>
        <v/>
      </c>
      <c r="BX789" s="2074">
        <f>IFERROR(FDS(MO.Ticker.FactSet,"P_PRICE_HIGH"&amp;"("&amp;INDEX(MO_SNA_FPStartDate,0,COLUMN())&amp;","&amp;INDEX(MO_Common_QEndDate,0,COLUMN())&amp;",,,,""PRICE"",""CLOSE"")"),"N/A")</f>
        <v/>
      </c>
      <c r="BY789" s="2074">
        <f>IFERROR(FDS(MO.Ticker.FactSet,"P_PRICE_HIGH"&amp;"("&amp;INDEX(MO_SNA_FPStartDate,0,COLUMN())&amp;","&amp;INDEX(MO_Common_QEndDate,0,COLUMN())&amp;",,,,""PRICE"",""CLOSE"")"),"N/A")</f>
        <v/>
      </c>
      <c r="BZ789" s="2074">
        <f>IFERROR(FDS(MO.Ticker.FactSet,"P_PRICE_HIGH"&amp;"("&amp;INDEX(MO_SNA_FPStartDate,0,COLUMN())&amp;","&amp;INDEX(MO_Common_QEndDate,0,COLUMN())&amp;",,,,""PRICE"",""CLOSE"")"),"N/A")</f>
        <v/>
      </c>
      <c r="CA789" s="2074">
        <f>IFERROR(FDS(MO.Ticker.FactSet,"P_PRICE_HIGH"&amp;"("&amp;INDEX(MO_SNA_FPStartDate,0,COLUMN())&amp;","&amp;INDEX(MO_Common_QEndDate,0,COLUMN())&amp;",,,,""PRICE"",""CLOSE"")"),"N/A")</f>
        <v/>
      </c>
      <c r="CB789" s="2077">
        <f>IFERROR(FDS(MO.Ticker.FactSet,"P_PRICE_HIGH"&amp;"("&amp;INDEX(MO_SNA_FPStartDate,0,COLUMN())&amp;","&amp;INDEX(MO_Common_QEndDate,0,COLUMN())&amp;",,,,""PRICE"",""CLOSE"")"),"N/A")</f>
        <v/>
      </c>
      <c r="CC789" s="2078" t="n"/>
    </row>
    <row r="790" hidden="1" outlineLevel="1" ht="15" customFormat="1" customHeight="1" s="1945">
      <c r="A790" s="2079" t="inlineStr">
        <is>
          <t>Refinitiv</t>
        </is>
      </c>
      <c r="B790" s="2074" t="n"/>
      <c r="C790" s="2075">
        <f>IFERROR(_xll.TR(MO.Ticker.Thomson,"MAX(TR.Pricehigh)","sdate:#1 edate:#2",,INDEX(MO_SNA_FPStartDate,0,COLUMN()),INDEX(MO_Common_QEndDate,0,COLUMN())),"N/A")</f>
        <v/>
      </c>
      <c r="D790" s="2075">
        <f>IFERROR(_xll.TR(MO.Ticker.Thomson,"MAX(TR.Pricehigh)","sdate:#1 edate:#2",,INDEX(MO_SNA_FPStartDate,0,COLUMN()),INDEX(MO_Common_QEndDate,0,COLUMN())),"N/A")</f>
        <v/>
      </c>
      <c r="E790" s="2074">
        <f>IFERROR(_xll.TR(MO.Ticker.Thomson,"MAX(TR.Pricehigh)","sdate:#1 edate:#2",,INDEX(MO_SNA_FPStartDate,0,COLUMN()),INDEX(MO_Common_QEndDate,0,COLUMN())),"N/A")</f>
        <v/>
      </c>
      <c r="F790" s="2074">
        <f>IFERROR(_xll.TR(MO.Ticker.Thomson,"MAX(TR.Pricehigh)","sdate:#1 edate:#2",,INDEX(MO_SNA_FPStartDate,0,COLUMN()),INDEX(MO_Common_QEndDate,0,COLUMN())),"N/A")</f>
        <v/>
      </c>
      <c r="G790" s="2074">
        <f>IFERROR(_xll.TR(MO.Ticker.Thomson,"MAX(TR.Pricehigh)","sdate:#1 edate:#2",,INDEX(MO_SNA_FPStartDate,0,COLUMN()),INDEX(MO_Common_QEndDate,0,COLUMN())),"N/A")</f>
        <v/>
      </c>
      <c r="H790" s="2074">
        <f>IFERROR(_xll.TR(MO.Ticker.Thomson,"MAX(TR.Pricehigh)","sdate:#1 edate:#2",,INDEX(MO_SNA_FPStartDate,0,COLUMN()),INDEX(MO_Common_QEndDate,0,COLUMN())),"N/A")</f>
        <v/>
      </c>
      <c r="I790" s="2074">
        <f>IFERROR(_xll.TR(MO.Ticker.Thomson,"MAX(TR.Pricehigh)","sdate:#1 edate:#2",,INDEX(MO_SNA_FPStartDate,0,COLUMN()),INDEX(MO_Common_QEndDate,0,COLUMN())),"N/A")</f>
        <v/>
      </c>
      <c r="J790" s="2074">
        <f>IFERROR(_xll.TR(MO.Ticker.Thomson,"MAX(TR.Pricehigh)","sdate:#1 edate:#2",,INDEX(MO_SNA_FPStartDate,0,COLUMN()),INDEX(MO_Common_QEndDate,0,COLUMN())),"N/A")</f>
        <v/>
      </c>
      <c r="K790" s="2074">
        <f>IFERROR(_xll.TR(MO.Ticker.Thomson,"MAX(TR.Pricehigh)","sdate:#1 edate:#2",,INDEX(MO_SNA_FPStartDate,0,COLUMN()),INDEX(MO_Common_QEndDate,0,COLUMN())),"N/A")</f>
        <v/>
      </c>
      <c r="L790" s="2074">
        <f>IFERROR(_xll.TR(MO.Ticker.Thomson,"MAX(TR.Pricehigh)","sdate:#1 edate:#2",,INDEX(MO_SNA_FPStartDate,0,COLUMN()),INDEX(MO_Common_QEndDate,0,COLUMN())),"N/A")</f>
        <v/>
      </c>
      <c r="M790" s="2074">
        <f>IFERROR(_xll.TR(MO.Ticker.Thomson,"MAX(TR.Pricehigh)","sdate:#1 edate:#2",,INDEX(MO_SNA_FPStartDate,0,COLUMN()),INDEX(MO_Common_QEndDate,0,COLUMN())),"N/A")</f>
        <v/>
      </c>
      <c r="N790" s="2074">
        <f>IFERROR(_xll.TR(MO.Ticker.Thomson,"MAX(TR.Pricehigh)","sdate:#1 edate:#2",,INDEX(MO_SNA_FPStartDate,0,COLUMN()),INDEX(MO_Common_QEndDate,0,COLUMN())),"N/A")</f>
        <v/>
      </c>
      <c r="O790" s="2074">
        <f>IFERROR(_xll.TR(MO.Ticker.Thomson,"MAX(TR.Pricehigh)","sdate:#1 edate:#2",,INDEX(MO_SNA_FPStartDate,0,COLUMN()),INDEX(MO_Common_QEndDate,0,COLUMN())),"N/A")</f>
        <v/>
      </c>
      <c r="P790" s="2074">
        <f>IFERROR(_xll.TR(MO.Ticker.Thomson,"MAX(TR.Pricehigh)","sdate:#1 edate:#2",,INDEX(MO_SNA_FPStartDate,0,COLUMN()),INDEX(MO_Common_QEndDate,0,COLUMN())),"N/A")</f>
        <v/>
      </c>
      <c r="Q790" s="2074">
        <f>IFERROR(_xll.TR(MO.Ticker.Thomson,"MAX(TR.Pricehigh)","sdate:#1 edate:#2",,INDEX(MO_SNA_FPStartDate,0,COLUMN()),INDEX(MO_Common_QEndDate,0,COLUMN())),"N/A")</f>
        <v/>
      </c>
      <c r="R790" s="2074">
        <f>IFERROR(_xll.TR(MO.Ticker.Thomson,"MAX(TR.Pricehigh)","sdate:#1 edate:#2",,INDEX(MO_SNA_FPStartDate,0,COLUMN()),INDEX(MO_Common_QEndDate,0,COLUMN())),"N/A")</f>
        <v/>
      </c>
      <c r="S790" s="2074">
        <f>IFERROR(_xll.TR(MO.Ticker.Thomson,"MAX(TR.Pricehigh)","sdate:#1 edate:#2",,INDEX(MO_SNA_FPStartDate,0,COLUMN()),INDEX(MO_Common_QEndDate,0,COLUMN())),"N/A")</f>
        <v/>
      </c>
      <c r="T790" s="2074">
        <f>IFERROR(_xll.TR(MO.Ticker.Thomson,"MAX(TR.Pricehigh)","sdate:#1 edate:#2",,INDEX(MO_SNA_FPStartDate,0,COLUMN()),INDEX(MO_Common_QEndDate,0,COLUMN())),"N/A")</f>
        <v/>
      </c>
      <c r="U790" s="2074">
        <f>IFERROR(_xll.TR(MO.Ticker.Thomson,"MAX(TR.Pricehigh)","sdate:#1 edate:#2",,INDEX(MO_SNA_FPStartDate,0,COLUMN()),INDEX(MO_Common_QEndDate,0,COLUMN())),"N/A")</f>
        <v/>
      </c>
      <c r="V790" s="2074">
        <f>IFERROR(_xll.TR(MO.Ticker.Thomson,"MAX(TR.Pricehigh)","sdate:#1 edate:#2",,INDEX(MO_SNA_FPStartDate,0,COLUMN()),INDEX(MO_Common_QEndDate,0,COLUMN())),"N/A")</f>
        <v/>
      </c>
      <c r="W790" s="2074">
        <f>IFERROR(_xll.TR(MO.Ticker.Thomson,"MAX(TR.Pricehigh)","sdate:#1 edate:#2",,INDEX(MO_SNA_FPStartDate,0,COLUMN()),INDEX(MO_Common_QEndDate,0,COLUMN())),"N/A")</f>
        <v/>
      </c>
      <c r="X790" s="2074">
        <f>IFERROR(_xll.TR(MO.Ticker.Thomson,"MAX(TR.Pricehigh)","sdate:#1 edate:#2",,INDEX(MO_SNA_FPStartDate,0,COLUMN()),INDEX(MO_Common_QEndDate,0,COLUMN())),"N/A")</f>
        <v/>
      </c>
      <c r="Y790" s="2074">
        <f>IFERROR(_xll.TR(MO.Ticker.Thomson,"MAX(TR.Pricehigh)","sdate:#1 edate:#2",,INDEX(MO_SNA_FPStartDate,0,COLUMN()),INDEX(MO_Common_QEndDate,0,COLUMN())),"N/A")</f>
        <v/>
      </c>
      <c r="Z790" s="2074">
        <f>IFERROR(_xll.TR(MO.Ticker.Thomson,"MAX(TR.Pricehigh)","sdate:#1 edate:#2",,INDEX(MO_SNA_FPStartDate,0,COLUMN()),INDEX(MO_Common_QEndDate,0,COLUMN())),"N/A")</f>
        <v/>
      </c>
      <c r="AA790" s="2074">
        <f>IFERROR(_xll.TR(MO.Ticker.Thomson,"MAX(TR.Pricehigh)","sdate:#1 edate:#2",,INDEX(MO_SNA_FPStartDate,0,COLUMN()),INDEX(MO_Common_QEndDate,0,COLUMN())),"N/A")</f>
        <v/>
      </c>
      <c r="AB790" s="2074">
        <f>IFERROR(_xll.TR(MO.Ticker.Thomson,"MAX(TR.Pricehigh)","sdate:#1 edate:#2",,INDEX(MO_SNA_FPStartDate,0,COLUMN()),INDEX(MO_Common_QEndDate,0,COLUMN())),"N/A")</f>
        <v/>
      </c>
      <c r="AC790" s="2074">
        <f>IFERROR(_xll.TR(MO.Ticker.Thomson,"MAX(TR.Pricehigh)","sdate:#1 edate:#2",,INDEX(MO_SNA_FPStartDate,0,COLUMN()),INDEX(MO_Common_QEndDate,0,COLUMN())),"N/A")</f>
        <v/>
      </c>
      <c r="AD790" s="2074">
        <f>IFERROR(_xll.TR(MO.Ticker.Thomson,"MAX(TR.Pricehigh)","sdate:#1 edate:#2",,INDEX(MO_SNA_FPStartDate,0,COLUMN()),INDEX(MO_Common_QEndDate,0,COLUMN())),"N/A")</f>
        <v/>
      </c>
      <c r="AE790" s="2074">
        <f>IFERROR(_xll.TR(MO.Ticker.Thomson,"MAX(TR.Pricehigh)","sdate:#1 edate:#2",,INDEX(MO_SNA_FPStartDate,0,COLUMN()),INDEX(MO_Common_QEndDate,0,COLUMN())),"N/A")</f>
        <v/>
      </c>
      <c r="AF790" s="2074">
        <f>IFERROR(_xll.TR(MO.Ticker.Thomson,"MAX(TR.Pricehigh)","sdate:#1 edate:#2",,INDEX(MO_SNA_FPStartDate,0,COLUMN()),INDEX(MO_Common_QEndDate,0,COLUMN())),"N/A")</f>
        <v/>
      </c>
      <c r="AG790" s="2074">
        <f>IFERROR(_xll.TR(MO.Ticker.Thomson,"MAX(TR.Pricehigh)","sdate:#1 edate:#2",,INDEX(MO_SNA_FPStartDate,0,COLUMN()),INDEX(MO_Common_QEndDate,0,COLUMN())),"N/A")</f>
        <v/>
      </c>
      <c r="AH790" s="2074">
        <f>IFERROR(_xll.TR(MO.Ticker.Thomson,"MAX(TR.Pricehigh)","sdate:#1 edate:#2",,INDEX(MO_SNA_FPStartDate,0,COLUMN()),INDEX(MO_Common_QEndDate,0,COLUMN())),"N/A")</f>
        <v/>
      </c>
      <c r="AI790" s="2074">
        <f>IFERROR(_xll.TR(MO.Ticker.Thomson,"MAX(TR.Pricehigh)","sdate:#1 edate:#2",,INDEX(MO_SNA_FPStartDate,0,COLUMN()),INDEX(MO_Common_QEndDate,0,COLUMN())),"N/A")</f>
        <v/>
      </c>
      <c r="AJ790" s="2074">
        <f>IFERROR(_xll.TR(MO.Ticker.Thomson,"MAX(TR.Pricehigh)","sdate:#1 edate:#2",,INDEX(MO_SNA_FPStartDate,0,COLUMN()),INDEX(MO_Common_QEndDate,0,COLUMN())),"N/A")</f>
        <v/>
      </c>
      <c r="AK790" s="2074">
        <f>IFERROR(_xll.TR(MO.Ticker.Thomson,"MAX(TR.Pricehigh)","sdate:#1 edate:#2",,INDEX(MO_SNA_FPStartDate,0,COLUMN()),INDEX(MO_Common_QEndDate,0,COLUMN())),"N/A")</f>
        <v/>
      </c>
      <c r="AL790" s="2074">
        <f>IFERROR(_xll.TR(MO.Ticker.Thomson,"MAX(TR.Pricehigh)","sdate:#1 edate:#2",,INDEX(MO_SNA_FPStartDate,0,COLUMN()),INDEX(MO_Common_QEndDate,0,COLUMN())),"N/A")</f>
        <v/>
      </c>
      <c r="AM790" s="2074">
        <f>IFERROR(_xll.TR(MO.Ticker.Thomson,"MAX(TR.Pricehigh)","sdate:#1 edate:#2",,INDEX(MO_SNA_FPStartDate,0,COLUMN()),INDEX(MO_Common_QEndDate,0,COLUMN())),"N/A")</f>
        <v/>
      </c>
      <c r="AN790" s="2074">
        <f>IFERROR(_xll.TR(MO.Ticker.Thomson,"MAX(TR.Pricehigh)","sdate:#1 edate:#2",,INDEX(MO_SNA_FPStartDate,0,COLUMN()),INDEX(MO_Common_QEndDate,0,COLUMN())),"N/A")</f>
        <v/>
      </c>
      <c r="AO790" s="2074">
        <f>IFERROR(_xll.TR(MO.Ticker.Thomson,"MAX(TR.Pricehigh)","sdate:#1 edate:#2",,INDEX(MO_SNA_FPStartDate,0,COLUMN()),INDEX(MO_Common_QEndDate,0,COLUMN())),"N/A")</f>
        <v/>
      </c>
      <c r="AP790" s="2074">
        <f>IFERROR(_xll.TR(MO.Ticker.Thomson,"MAX(TR.Pricehigh)","sdate:#1 edate:#2",,INDEX(MO_SNA_FPStartDate,0,COLUMN()),INDEX(MO_Common_QEndDate,0,COLUMN())),"N/A")</f>
        <v/>
      </c>
      <c r="AQ790" s="2074">
        <f>IFERROR(_xll.TR(MO.Ticker.Thomson,"MAX(TR.Pricehigh)","sdate:#1 edate:#2",,INDEX(MO_SNA_FPStartDate,0,COLUMN()),INDEX(MO_Common_QEndDate,0,COLUMN())),"N/A")</f>
        <v/>
      </c>
      <c r="AR790" s="2074">
        <f>IFERROR(_xll.TR(MO.Ticker.Thomson,"MAX(TR.Pricehigh)","sdate:#1 edate:#2",,INDEX(MO_SNA_FPStartDate,0,COLUMN()),INDEX(MO_Common_QEndDate,0,COLUMN())),"N/A")</f>
        <v/>
      </c>
      <c r="AS790" s="2074">
        <f>IFERROR(_xll.TR(MO.Ticker.Thomson,"MAX(TR.Pricehigh)","sdate:#1 edate:#2",,INDEX(MO_SNA_FPStartDate,0,COLUMN()),INDEX(MO_Common_QEndDate,0,COLUMN())),"N/A")</f>
        <v/>
      </c>
      <c r="AT790" s="2074">
        <f>IFERROR(_xll.TR(MO.Ticker.Thomson,"MAX(TR.Pricehigh)","sdate:#1 edate:#2",,INDEX(MO_SNA_FPStartDate,0,COLUMN()),INDEX(MO_Common_QEndDate,0,COLUMN())),"N/A")</f>
        <v/>
      </c>
      <c r="AU790" s="2074">
        <f>IFERROR(_xll.TR(MO.Ticker.Thomson,"MAX(TR.Pricehigh)","sdate:#1 edate:#2",,INDEX(MO_SNA_FPStartDate,0,COLUMN()),INDEX(MO_Common_QEndDate,0,COLUMN())),"N/A")</f>
        <v/>
      </c>
      <c r="AV790" s="2074">
        <f>IFERROR(_xll.TR(MO.Ticker.Thomson,"MAX(TR.Pricehigh)","sdate:#1 edate:#2",,INDEX(MO_SNA_FPStartDate,0,COLUMN()),INDEX(MO_Common_QEndDate,0,COLUMN())),"N/A")</f>
        <v/>
      </c>
      <c r="AW790" s="2074">
        <f>IFERROR(_xll.TR(MO.Ticker.Thomson,"MAX(TR.Pricehigh)","sdate:#1 edate:#2",,INDEX(MO_SNA_FPStartDate,0,COLUMN()),INDEX(MO_Common_QEndDate,0,COLUMN())),"N/A")</f>
        <v/>
      </c>
      <c r="AX790" s="2074">
        <f>IFERROR(_xll.TR(MO.Ticker.Thomson,"MAX(TR.Pricehigh)","sdate:#1 edate:#2",,INDEX(MO_SNA_FPStartDate,0,COLUMN()),INDEX(MO_Common_QEndDate,0,COLUMN())),"N/A")</f>
        <v/>
      </c>
      <c r="AY790" s="2074">
        <f>IFERROR(_xll.TR(MO.Ticker.Thomson,"MAX(TR.Pricehigh)","sdate:#1 edate:#2",,INDEX(MO_SNA_FPStartDate,0,COLUMN()),INDEX(MO_Common_QEndDate,0,COLUMN())),"N/A")</f>
        <v/>
      </c>
      <c r="AZ790" s="2074">
        <f>IFERROR(_xll.TR(MO.Ticker.Thomson,"MAX(TR.Pricehigh)","sdate:#1 edate:#2",,INDEX(MO_SNA_FPStartDate,0,COLUMN()),INDEX(MO_Common_QEndDate,0,COLUMN())),"N/A")</f>
        <v/>
      </c>
      <c r="BA790" s="2074">
        <f>IFERROR(_xll.TR(MO.Ticker.Thomson,"MAX(TR.Pricehigh)","sdate:#1 edate:#2",,INDEX(MO_SNA_FPStartDate,0,COLUMN()),INDEX(MO_Common_QEndDate,0,COLUMN())),"N/A")</f>
        <v/>
      </c>
      <c r="BB790" s="2074">
        <f>IFERROR(_xll.TR(MO.Ticker.Thomson,"MAX(TR.Pricehigh)","sdate:#1 edate:#2",,INDEX(MO_SNA_FPStartDate,0,COLUMN()),INDEX(MO_Common_QEndDate,0,COLUMN())),"N/A")</f>
        <v/>
      </c>
      <c r="BC790" s="2074">
        <f>IFERROR(_xll.TR(MO.Ticker.Thomson,"MAX(TR.Pricehigh)","sdate:#1 edate:#2",,INDEX(MO_SNA_FPStartDate,0,COLUMN()),INDEX(MO_Common_QEndDate,0,COLUMN())),"N/A")</f>
        <v/>
      </c>
      <c r="BD790" s="2074">
        <f>IFERROR(_xll.TR(MO.Ticker.Thomson,"MAX(TR.Pricehigh)","sdate:#1 edate:#2",,INDEX(MO_SNA_FPStartDate,0,COLUMN()),INDEX(MO_Common_QEndDate,0,COLUMN())),"N/A")</f>
        <v/>
      </c>
      <c r="BE790" s="2074">
        <f>IFERROR(_xll.TR(MO.Ticker.Thomson,"MAX(TR.Pricehigh)","sdate:#1 edate:#2",,INDEX(MO_SNA_FPStartDate,0,COLUMN()),INDEX(MO_Common_QEndDate,0,COLUMN())),"N/A")</f>
        <v/>
      </c>
      <c r="BF790" s="2074">
        <f>IFERROR(_xll.TR(MO.Ticker.Thomson,"MAX(TR.Pricehigh)","sdate:#1 edate:#2",,INDEX(MO_SNA_FPStartDate,0,COLUMN()),INDEX(MO_Common_QEndDate,0,COLUMN())),"N/A")</f>
        <v/>
      </c>
      <c r="BG790" s="2074">
        <f>IFERROR(_xll.TR(MO.Ticker.Thomson,"MAX(TR.Pricehigh)","sdate:#1 edate:#2",,INDEX(MO_SNA_FPStartDate,0,COLUMN()),INDEX(MO_Common_QEndDate,0,COLUMN())),"N/A")</f>
        <v/>
      </c>
      <c r="BH790" s="2074">
        <f>IFERROR(_xll.TR(MO.Ticker.Thomson,"MAX(TR.Pricehigh)","sdate:#1 edate:#2",,INDEX(MO_SNA_FPStartDate,0,COLUMN()),INDEX(MO_Common_QEndDate,0,COLUMN())),"N/A")</f>
        <v/>
      </c>
      <c r="BI790" s="2074">
        <f>IFERROR(_xll.TR(MO.Ticker.Thomson,"MAX(TR.Pricehigh)","sdate:#1 edate:#2",,INDEX(MO_SNA_FPStartDate,0,COLUMN()),INDEX(MO_Common_QEndDate,0,COLUMN())),"N/A")</f>
        <v/>
      </c>
      <c r="BJ790" s="2074">
        <f>IFERROR(_xll.TR(MO.Ticker.Thomson,"MAX(TR.Pricehigh)","sdate:#1 edate:#2",,INDEX(MO_SNA_FPStartDate,0,COLUMN()),INDEX(MO_Common_QEndDate,0,COLUMN())),"N/A")</f>
        <v/>
      </c>
      <c r="BK790" s="2074">
        <f>IFERROR(_xll.TR(MO.Ticker.Thomson,"MAX(TR.Pricehigh)","sdate:#1 edate:#2",,INDEX(MO_SNA_FPStartDate,0,COLUMN()),INDEX(MO_Common_QEndDate,0,COLUMN())),"N/A")</f>
        <v/>
      </c>
      <c r="BL790" s="2074">
        <f>IFERROR(_xll.TR(MO.Ticker.Thomson,"MAX(TR.Pricehigh)","sdate:#1 edate:#2",,INDEX(MO_SNA_FPStartDate,0,COLUMN()),INDEX(MO_Common_QEndDate,0,COLUMN())),"N/A")</f>
        <v/>
      </c>
      <c r="BM790" s="2074">
        <f>IFERROR(_xll.TR(MO.Ticker.Thomson,"MAX(TR.Pricehigh)","sdate:#1 edate:#2",,INDEX(MO_SNA_FPStartDate,0,COLUMN()),INDEX(MO_Common_QEndDate,0,COLUMN())),"N/A")</f>
        <v/>
      </c>
      <c r="BN790" s="2074">
        <f>IFERROR(_xll.TR(MO.Ticker.Thomson,"MAX(TR.Pricehigh)","sdate:#1 edate:#2",,INDEX(MO_SNA_FPStartDate,0,COLUMN()),INDEX(MO_Common_QEndDate,0,COLUMN())),"N/A")</f>
        <v/>
      </c>
      <c r="BO790" s="2076">
        <f>IFERROR(_xll.TR(MO.Ticker.Thomson,"MAX(TR.Pricehigh)","sdate:#1 edate:#2",,INDEX(MO_SNA_FPStartDate,0,COLUMN()),INDEX(MO_Common_QEndDate,0,COLUMN())),"N/A")</f>
        <v/>
      </c>
      <c r="BP790" s="2074">
        <f>IFERROR(_xll.TR(MO.Ticker.Thomson,"MAX(TR.Pricehigh)","sdate:#1 edate:#2",,INDEX(MO_SNA_FPStartDate,0,COLUMN()),INDEX(MO_Common_QEndDate,0,COLUMN())),"N/A")</f>
        <v/>
      </c>
      <c r="BQ790" s="2074">
        <f>IFERROR(_xll.TR(MO.Ticker.Thomson,"MAX(TR.Pricehigh)","sdate:#1 edate:#2",,INDEX(MO_SNA_FPStartDate,0,COLUMN()),INDEX(MO_Common_QEndDate,0,COLUMN())),"N/A")</f>
        <v/>
      </c>
      <c r="BR790" s="2074">
        <f>IFERROR(_xll.TR(MO.Ticker.Thomson,"MAX(TR.Pricehigh)","sdate:#1 edate:#2",,INDEX(MO_SNA_FPStartDate,0,COLUMN()),INDEX(MO_Common_QEndDate,0,COLUMN())),"N/A")</f>
        <v/>
      </c>
      <c r="BS790" s="2074">
        <f>IFERROR(_xll.TR(MO.Ticker.Thomson,"MAX(TR.Pricehigh)","sdate:#1 edate:#2",,INDEX(MO_SNA_FPStartDate,0,COLUMN()),INDEX(MO_Common_QEndDate,0,COLUMN())),"N/A")</f>
        <v/>
      </c>
      <c r="BT790" s="2074">
        <f>IFERROR(_xll.TR(MO.Ticker.Thomson,"MAX(TR.Pricehigh)","sdate:#1 edate:#2",,INDEX(MO_SNA_FPStartDate,0,COLUMN()),INDEX(MO_Common_QEndDate,0,COLUMN())),"N/A")</f>
        <v/>
      </c>
      <c r="BU790" s="2074">
        <f>IFERROR(_xll.TR(MO.Ticker.Thomson,"MAX(TR.Pricehigh)","sdate:#1 edate:#2",,INDEX(MO_SNA_FPStartDate,0,COLUMN()),INDEX(MO_Common_QEndDate,0,COLUMN())),"N/A")</f>
        <v/>
      </c>
      <c r="BV790" s="2074">
        <f>IFERROR(_xll.TR(MO.Ticker.Thomson,"MAX(TR.Pricehigh)","sdate:#1 edate:#2",,INDEX(MO_SNA_FPStartDate,0,COLUMN()),INDEX(MO_Common_QEndDate,0,COLUMN())),"N/A")</f>
        <v/>
      </c>
      <c r="BW790" s="2074">
        <f>IFERROR(_xll.TR(MO.Ticker.Thomson,"MAX(TR.Pricehigh)","sdate:#1 edate:#2",,INDEX(MO_SNA_FPStartDate,0,COLUMN()),INDEX(MO_Common_QEndDate,0,COLUMN())),"N/A")</f>
        <v/>
      </c>
      <c r="BX790" s="2074">
        <f>IFERROR(_xll.TR(MO.Ticker.Thomson,"MAX(TR.Pricehigh)","sdate:#1 edate:#2",,INDEX(MO_SNA_FPStartDate,0,COLUMN()),INDEX(MO_Common_QEndDate,0,COLUMN())),"N/A")</f>
        <v/>
      </c>
      <c r="BY790" s="2074">
        <f>IFERROR(_xll.TR(MO.Ticker.Thomson,"MAX(TR.Pricehigh)","sdate:#1 edate:#2",,INDEX(MO_SNA_FPStartDate,0,COLUMN()),INDEX(MO_Common_QEndDate,0,COLUMN())),"N/A")</f>
        <v/>
      </c>
      <c r="BZ790" s="2074">
        <f>IFERROR(_xll.TR(MO.Ticker.Thomson,"MAX(TR.Pricehigh)","sdate:#1 edate:#2",,INDEX(MO_SNA_FPStartDate,0,COLUMN()),INDEX(MO_Common_QEndDate,0,COLUMN())),"N/A")</f>
        <v/>
      </c>
      <c r="CA790" s="2074">
        <f>IFERROR(_xll.TR(MO.Ticker.Thomson,"MAX(TR.Pricehigh)","sdate:#1 edate:#2",,INDEX(MO_SNA_FPStartDate,0,COLUMN()),INDEX(MO_Common_QEndDate,0,COLUMN())),"N/A")</f>
        <v/>
      </c>
      <c r="CB790" s="2077">
        <f>IFERROR(_xll.TR(MO.Ticker.Thomson,"MAX(TR.Pricehigh)","sdate:#1 edate:#2",,INDEX(MO_SNA_FPStartDate,0,COLUMN()),INDEX(MO_Common_QEndDate,0,COLUMN())),"N/A")</f>
        <v/>
      </c>
      <c r="CC790" s="2078" t="n"/>
    </row>
    <row r="791" hidden="1" outlineLevel="1" ht="15" customFormat="1" customHeight="1" s="1945">
      <c r="A791" s="2073" t="n"/>
      <c r="B791" s="2074" t="n"/>
      <c r="C791" s="2075" t="n"/>
      <c r="D791" s="2075" t="n"/>
      <c r="E791" s="2074" t="n"/>
      <c r="F791" s="2074" t="n"/>
      <c r="G791" s="2074" t="n"/>
      <c r="H791" s="2074" t="n"/>
      <c r="I791" s="2074" t="n"/>
      <c r="J791" s="2074" t="n"/>
      <c r="K791" s="2074" t="n"/>
      <c r="L791" s="2074" t="n"/>
      <c r="M791" s="2074" t="n"/>
      <c r="N791" s="2074" t="n"/>
      <c r="O791" s="2074" t="n"/>
      <c r="P791" s="2074" t="n"/>
      <c r="Q791" s="2074" t="n"/>
      <c r="R791" s="2074" t="n"/>
      <c r="S791" s="2074" t="n"/>
      <c r="T791" s="2074" t="n"/>
      <c r="U791" s="2074" t="n"/>
      <c r="V791" s="2074" t="n"/>
      <c r="W791" s="2074" t="n"/>
      <c r="X791" s="2074" t="n"/>
      <c r="Y791" s="2074" t="n"/>
      <c r="Z791" s="2074" t="n"/>
      <c r="AA791" s="2074" t="n"/>
      <c r="AB791" s="2074" t="n"/>
      <c r="AC791" s="2074" t="n"/>
      <c r="AD791" s="2074" t="n"/>
      <c r="AE791" s="2074" t="n"/>
      <c r="AF791" s="2074" t="n"/>
      <c r="AG791" s="2074" t="n"/>
      <c r="AH791" s="2074" t="n"/>
      <c r="AI791" s="2074" t="n"/>
      <c r="AJ791" s="2074" t="n"/>
      <c r="AK791" s="2074" t="n"/>
      <c r="AL791" s="2074" t="n"/>
      <c r="AM791" s="2074" t="n"/>
      <c r="AN791" s="2074" t="n"/>
      <c r="AO791" s="2074" t="n"/>
      <c r="AP791" s="2074" t="n"/>
      <c r="AQ791" s="2074" t="n"/>
      <c r="AR791" s="2074" t="n"/>
      <c r="AS791" s="2074" t="n"/>
      <c r="AT791" s="2074" t="n"/>
      <c r="AU791" s="2074" t="n"/>
      <c r="AV791" s="2074" t="n"/>
      <c r="AW791" s="2074" t="n"/>
      <c r="AX791" s="2074" t="n"/>
      <c r="AY791" s="2074" t="n"/>
      <c r="AZ791" s="2074" t="n"/>
      <c r="BA791" s="2074" t="n"/>
      <c r="BB791" s="2074" t="n"/>
      <c r="BC791" s="2074" t="n"/>
      <c r="BD791" s="2074" t="n"/>
      <c r="BE791" s="2074" t="n"/>
      <c r="BF791" s="2074" t="n"/>
      <c r="BG791" s="2074" t="n"/>
      <c r="BH791" s="2074" t="n"/>
      <c r="BI791" s="2074" t="n"/>
      <c r="BJ791" s="2074" t="n"/>
      <c r="BK791" s="2074" t="n"/>
      <c r="BL791" s="2074" t="n"/>
      <c r="BM791" s="2074" t="n"/>
      <c r="BN791" s="2074" t="n"/>
      <c r="BO791" s="2076" t="n"/>
      <c r="BP791" s="2074" t="n"/>
      <c r="BQ791" s="2074" t="n"/>
      <c r="BR791" s="2074" t="n"/>
      <c r="BS791" s="2074" t="n"/>
      <c r="BT791" s="2074" t="n"/>
      <c r="BU791" s="2074" t="n"/>
      <c r="BV791" s="2074" t="n"/>
      <c r="BW791" s="2074" t="n"/>
      <c r="BX791" s="2074" t="n"/>
      <c r="BY791" s="2074" t="n"/>
      <c r="BZ791" s="2074" t="n"/>
      <c r="CA791" s="2074" t="n"/>
      <c r="CB791" s="2077" t="n"/>
      <c r="CC791" s="2078" t="n"/>
    </row>
    <row r="792" collapsed="1" ht="15" customFormat="1" customHeight="1" s="1945">
      <c r="A792" s="2073">
        <f>"Stock Low: "&amp;IF(OR(MO.RealTimeStockPriceToggle=FALSE,VLOOKUP(MO.DataSourceName,MO_SPT_StockLow_Sources,COLUMN()+2,FALSE)="N/A"),"Real-Time Off Source",MO.DataSourceName)</f>
        <v/>
      </c>
      <c r="B792" s="2074" t="n"/>
      <c r="C792" s="2075">
        <f>IF(OR(MO.RealTimeStockPriceToggle=FALSE,VLOOKUP(MO.DataSourceName,MO_SPT_StockLow_Sources,COLUMN(),FALSE)="N/A"),VLOOKUP("Real-Time Off Source",MO_SPT_StockLow_Sources,COLUMN(),FALSE),VLOOKUP(MO.DataSourceName,MO_SPT_StockLow_Sources,COLUMN(),FALSE))</f>
        <v/>
      </c>
      <c r="D792" s="2075">
        <f>IF(OR(MO.RealTimeStockPriceToggle=FALSE,VLOOKUP(MO.DataSourceName,MO_SPT_StockLow_Sources,COLUMN(),FALSE)="N/A"),VLOOKUP("Real-Time Off Source",MO_SPT_StockLow_Sources,COLUMN(),FALSE),VLOOKUP(MO.DataSourceName,MO_SPT_StockLow_Sources,COLUMN(),FALSE))</f>
        <v/>
      </c>
      <c r="E792" s="2074">
        <f>IF(OR(MO.RealTimeStockPriceToggle=FALSE,VLOOKUP(MO.DataSourceName,MO_SPT_StockLow_Sources,COLUMN(),FALSE)="N/A"),VLOOKUP("Real-Time Off Source",MO_SPT_StockLow_Sources,COLUMN(),FALSE),VLOOKUP(MO.DataSourceName,MO_SPT_StockLow_Sources,COLUMN(),FALSE))</f>
        <v/>
      </c>
      <c r="F792" s="2074">
        <f>IF(OR(MO.RealTimeStockPriceToggle=FALSE,VLOOKUP(MO.DataSourceName,MO_SPT_StockLow_Sources,COLUMN(),FALSE)="N/A"),VLOOKUP("Real-Time Off Source",MO_SPT_StockLow_Sources,COLUMN(),FALSE),VLOOKUP(MO.DataSourceName,MO_SPT_StockLow_Sources,COLUMN(),FALSE))</f>
        <v/>
      </c>
      <c r="G792" s="2074">
        <f>IF(OR(MO.RealTimeStockPriceToggle=FALSE,VLOOKUP(MO.DataSourceName,MO_SPT_StockLow_Sources,COLUMN(),FALSE)="N/A"),VLOOKUP("Real-Time Off Source",MO_SPT_StockLow_Sources,COLUMN(),FALSE),VLOOKUP(MO.DataSourceName,MO_SPT_StockLow_Sources,COLUMN(),FALSE))</f>
        <v/>
      </c>
      <c r="H792" s="2074">
        <f>IF(OR(MO.RealTimeStockPriceToggle=FALSE,VLOOKUP(MO.DataSourceName,MO_SPT_StockLow_Sources,COLUMN(),FALSE)="N/A"),VLOOKUP("Real-Time Off Source",MO_SPT_StockLow_Sources,COLUMN(),FALSE),VLOOKUP(MO.DataSourceName,MO_SPT_StockLow_Sources,COLUMN(),FALSE))</f>
        <v/>
      </c>
      <c r="I792" s="2074">
        <f>IF(OR(MO.RealTimeStockPriceToggle=FALSE,VLOOKUP(MO.DataSourceName,MO_SPT_StockLow_Sources,COLUMN(),FALSE)="N/A"),VLOOKUP("Real-Time Off Source",MO_SPT_StockLow_Sources,COLUMN(),FALSE),VLOOKUP(MO.DataSourceName,MO_SPT_StockLow_Sources,COLUMN(),FALSE))</f>
        <v/>
      </c>
      <c r="J792" s="2074">
        <f>IF(OR(MO.RealTimeStockPriceToggle=FALSE,VLOOKUP(MO.DataSourceName,MO_SPT_StockLow_Sources,COLUMN(),FALSE)="N/A"),VLOOKUP("Real-Time Off Source",MO_SPT_StockLow_Sources,COLUMN(),FALSE),VLOOKUP(MO.DataSourceName,MO_SPT_StockLow_Sources,COLUMN(),FALSE))</f>
        <v/>
      </c>
      <c r="K792" s="2074">
        <f>IF(OR(MO.RealTimeStockPriceToggle=FALSE,VLOOKUP(MO.DataSourceName,MO_SPT_StockLow_Sources,COLUMN(),FALSE)="N/A"),VLOOKUP("Real-Time Off Source",MO_SPT_StockLow_Sources,COLUMN(),FALSE),VLOOKUP(MO.DataSourceName,MO_SPT_StockLow_Sources,COLUMN(),FALSE))</f>
        <v/>
      </c>
      <c r="L792" s="2074">
        <f>IF(OR(MO.RealTimeStockPriceToggle=FALSE,VLOOKUP(MO.DataSourceName,MO_SPT_StockLow_Sources,COLUMN(),FALSE)="N/A"),VLOOKUP("Real-Time Off Source",MO_SPT_StockLow_Sources,COLUMN(),FALSE),VLOOKUP(MO.DataSourceName,MO_SPT_StockLow_Sources,COLUMN(),FALSE))</f>
        <v/>
      </c>
      <c r="M792" s="2074">
        <f>IF(OR(MO.RealTimeStockPriceToggle=FALSE,VLOOKUP(MO.DataSourceName,MO_SPT_StockLow_Sources,COLUMN(),FALSE)="N/A"),VLOOKUP("Real-Time Off Source",MO_SPT_StockLow_Sources,COLUMN(),FALSE),VLOOKUP(MO.DataSourceName,MO_SPT_StockLow_Sources,COLUMN(),FALSE))</f>
        <v/>
      </c>
      <c r="N792" s="2074">
        <f>IF(OR(MO.RealTimeStockPriceToggle=FALSE,VLOOKUP(MO.DataSourceName,MO_SPT_StockLow_Sources,COLUMN(),FALSE)="N/A"),VLOOKUP("Real-Time Off Source",MO_SPT_StockLow_Sources,COLUMN(),FALSE),VLOOKUP(MO.DataSourceName,MO_SPT_StockLow_Sources,COLUMN(),FALSE))</f>
        <v/>
      </c>
      <c r="O792" s="2074">
        <f>IF(OR(MO.RealTimeStockPriceToggle=FALSE,VLOOKUP(MO.DataSourceName,MO_SPT_StockLow_Sources,COLUMN(),FALSE)="N/A"),VLOOKUP("Real-Time Off Source",MO_SPT_StockLow_Sources,COLUMN(),FALSE),VLOOKUP(MO.DataSourceName,MO_SPT_StockLow_Sources,COLUMN(),FALSE))</f>
        <v/>
      </c>
      <c r="P792" s="2074">
        <f>IF(OR(MO.RealTimeStockPriceToggle=FALSE,VLOOKUP(MO.DataSourceName,MO_SPT_StockLow_Sources,COLUMN(),FALSE)="N/A"),VLOOKUP("Real-Time Off Source",MO_SPT_StockLow_Sources,COLUMN(),FALSE),VLOOKUP(MO.DataSourceName,MO_SPT_StockLow_Sources,COLUMN(),FALSE))</f>
        <v/>
      </c>
      <c r="Q792" s="2074">
        <f>IF(OR(MO.RealTimeStockPriceToggle=FALSE,VLOOKUP(MO.DataSourceName,MO_SPT_StockLow_Sources,COLUMN(),FALSE)="N/A"),VLOOKUP("Real-Time Off Source",MO_SPT_StockLow_Sources,COLUMN(),FALSE),VLOOKUP(MO.DataSourceName,MO_SPT_StockLow_Sources,COLUMN(),FALSE))</f>
        <v/>
      </c>
      <c r="R792" s="2074">
        <f>IF(OR(MO.RealTimeStockPriceToggle=FALSE,VLOOKUP(MO.DataSourceName,MO_SPT_StockLow_Sources,COLUMN(),FALSE)="N/A"),VLOOKUP("Real-Time Off Source",MO_SPT_StockLow_Sources,COLUMN(),FALSE),VLOOKUP(MO.DataSourceName,MO_SPT_StockLow_Sources,COLUMN(),FALSE))</f>
        <v/>
      </c>
      <c r="S792" s="2074">
        <f>IF(OR(MO.RealTimeStockPriceToggle=FALSE,VLOOKUP(MO.DataSourceName,MO_SPT_StockLow_Sources,COLUMN(),FALSE)="N/A"),VLOOKUP("Real-Time Off Source",MO_SPT_StockLow_Sources,COLUMN(),FALSE),VLOOKUP(MO.DataSourceName,MO_SPT_StockLow_Sources,COLUMN(),FALSE))</f>
        <v/>
      </c>
      <c r="T792" s="2074">
        <f>IF(OR(MO.RealTimeStockPriceToggle=FALSE,VLOOKUP(MO.DataSourceName,MO_SPT_StockLow_Sources,COLUMN(),FALSE)="N/A"),VLOOKUP("Real-Time Off Source",MO_SPT_StockLow_Sources,COLUMN(),FALSE),VLOOKUP(MO.DataSourceName,MO_SPT_StockLow_Sources,COLUMN(),FALSE))</f>
        <v/>
      </c>
      <c r="U792" s="2074">
        <f>IF(OR(MO.RealTimeStockPriceToggle=FALSE,VLOOKUP(MO.DataSourceName,MO_SPT_StockLow_Sources,COLUMN(),FALSE)="N/A"),VLOOKUP("Real-Time Off Source",MO_SPT_StockLow_Sources,COLUMN(),FALSE),VLOOKUP(MO.DataSourceName,MO_SPT_StockLow_Sources,COLUMN(),FALSE))</f>
        <v/>
      </c>
      <c r="V792" s="2074">
        <f>IF(OR(MO.RealTimeStockPriceToggle=FALSE,VLOOKUP(MO.DataSourceName,MO_SPT_StockLow_Sources,COLUMN(),FALSE)="N/A"),VLOOKUP("Real-Time Off Source",MO_SPT_StockLow_Sources,COLUMN(),FALSE),VLOOKUP(MO.DataSourceName,MO_SPT_StockLow_Sources,COLUMN(),FALSE))</f>
        <v/>
      </c>
      <c r="W792" s="2074">
        <f>IF(OR(MO.RealTimeStockPriceToggle=FALSE,VLOOKUP(MO.DataSourceName,MO_SPT_StockLow_Sources,COLUMN(),FALSE)="N/A"),VLOOKUP("Real-Time Off Source",MO_SPT_StockLow_Sources,COLUMN(),FALSE),VLOOKUP(MO.DataSourceName,MO_SPT_StockLow_Sources,COLUMN(),FALSE))</f>
        <v/>
      </c>
      <c r="X792" s="2074">
        <f>IF(OR(MO.RealTimeStockPriceToggle=FALSE,VLOOKUP(MO.DataSourceName,MO_SPT_StockLow_Sources,COLUMN(),FALSE)="N/A"),VLOOKUP("Real-Time Off Source",MO_SPT_StockLow_Sources,COLUMN(),FALSE),VLOOKUP(MO.DataSourceName,MO_SPT_StockLow_Sources,COLUMN(),FALSE))</f>
        <v/>
      </c>
      <c r="Y792" s="2074">
        <f>IF(OR(MO.RealTimeStockPriceToggle=FALSE,VLOOKUP(MO.DataSourceName,MO_SPT_StockLow_Sources,COLUMN(),FALSE)="N/A"),VLOOKUP("Real-Time Off Source",MO_SPT_StockLow_Sources,COLUMN(),FALSE),VLOOKUP(MO.DataSourceName,MO_SPT_StockLow_Sources,COLUMN(),FALSE))</f>
        <v/>
      </c>
      <c r="Z792" s="2074">
        <f>IF(OR(MO.RealTimeStockPriceToggle=FALSE,VLOOKUP(MO.DataSourceName,MO_SPT_StockLow_Sources,COLUMN(),FALSE)="N/A"),VLOOKUP("Real-Time Off Source",MO_SPT_StockLow_Sources,COLUMN(),FALSE),VLOOKUP(MO.DataSourceName,MO_SPT_StockLow_Sources,COLUMN(),FALSE))</f>
        <v/>
      </c>
      <c r="AA792" s="2074">
        <f>IF(OR(MO.RealTimeStockPriceToggle=FALSE,VLOOKUP(MO.DataSourceName,MO_SPT_StockLow_Sources,COLUMN(),FALSE)="N/A"),VLOOKUP("Real-Time Off Source",MO_SPT_StockLow_Sources,COLUMN(),FALSE),VLOOKUP(MO.DataSourceName,MO_SPT_StockLow_Sources,COLUMN(),FALSE))</f>
        <v/>
      </c>
      <c r="AB792" s="2074">
        <f>IF(OR(MO.RealTimeStockPriceToggle=FALSE,VLOOKUP(MO.DataSourceName,MO_SPT_StockLow_Sources,COLUMN(),FALSE)="N/A"),VLOOKUP("Real-Time Off Source",MO_SPT_StockLow_Sources,COLUMN(),FALSE),VLOOKUP(MO.DataSourceName,MO_SPT_StockLow_Sources,COLUMN(),FALSE))</f>
        <v/>
      </c>
      <c r="AC792" s="2074">
        <f>IF(OR(MO.RealTimeStockPriceToggle=FALSE,VLOOKUP(MO.DataSourceName,MO_SPT_StockLow_Sources,COLUMN(),FALSE)="N/A"),VLOOKUP("Real-Time Off Source",MO_SPT_StockLow_Sources,COLUMN(),FALSE),VLOOKUP(MO.DataSourceName,MO_SPT_StockLow_Sources,COLUMN(),FALSE))</f>
        <v/>
      </c>
      <c r="AD792" s="2074">
        <f>IF(OR(MO.RealTimeStockPriceToggle=FALSE,VLOOKUP(MO.DataSourceName,MO_SPT_StockLow_Sources,COLUMN(),FALSE)="N/A"),VLOOKUP("Real-Time Off Source",MO_SPT_StockLow_Sources,COLUMN(),FALSE),VLOOKUP(MO.DataSourceName,MO_SPT_StockLow_Sources,COLUMN(),FALSE))</f>
        <v/>
      </c>
      <c r="AE792" s="2074">
        <f>IF(OR(MO.RealTimeStockPriceToggle=FALSE,VLOOKUP(MO.DataSourceName,MO_SPT_StockLow_Sources,COLUMN(),FALSE)="N/A"),VLOOKUP("Real-Time Off Source",MO_SPT_StockLow_Sources,COLUMN(),FALSE),VLOOKUP(MO.DataSourceName,MO_SPT_StockLow_Sources,COLUMN(),FALSE))</f>
        <v/>
      </c>
      <c r="AF792" s="2074">
        <f>IF(OR(MO.RealTimeStockPriceToggle=FALSE,VLOOKUP(MO.DataSourceName,MO_SPT_StockLow_Sources,COLUMN(),FALSE)="N/A"),VLOOKUP("Real-Time Off Source",MO_SPT_StockLow_Sources,COLUMN(),FALSE),VLOOKUP(MO.DataSourceName,MO_SPT_StockLow_Sources,COLUMN(),FALSE))</f>
        <v/>
      </c>
      <c r="AG792" s="2074">
        <f>IF(OR(MO.RealTimeStockPriceToggle=FALSE,VLOOKUP(MO.DataSourceName,MO_SPT_StockLow_Sources,COLUMN(),FALSE)="N/A"),VLOOKUP("Real-Time Off Source",MO_SPT_StockLow_Sources,COLUMN(),FALSE),VLOOKUP(MO.DataSourceName,MO_SPT_StockLow_Sources,COLUMN(),FALSE))</f>
        <v/>
      </c>
      <c r="AH792" s="2074">
        <f>IF(OR(MO.RealTimeStockPriceToggle=FALSE,VLOOKUP(MO.DataSourceName,MO_SPT_StockLow_Sources,COLUMN(),FALSE)="N/A"),VLOOKUP("Real-Time Off Source",MO_SPT_StockLow_Sources,COLUMN(),FALSE),VLOOKUP(MO.DataSourceName,MO_SPT_StockLow_Sources,COLUMN(),FALSE))</f>
        <v/>
      </c>
      <c r="AI792" s="2074">
        <f>IF(OR(MO.RealTimeStockPriceToggle=FALSE,VLOOKUP(MO.DataSourceName,MO_SPT_StockLow_Sources,COLUMN(),FALSE)="N/A"),VLOOKUP("Real-Time Off Source",MO_SPT_StockLow_Sources,COLUMN(),FALSE),VLOOKUP(MO.DataSourceName,MO_SPT_StockLow_Sources,COLUMN(),FALSE))</f>
        <v/>
      </c>
      <c r="AJ792" s="2074">
        <f>IF(OR(MO.RealTimeStockPriceToggle=FALSE,VLOOKUP(MO.DataSourceName,MO_SPT_StockLow_Sources,COLUMN(),FALSE)="N/A"),VLOOKUP("Real-Time Off Source",MO_SPT_StockLow_Sources,COLUMN(),FALSE),VLOOKUP(MO.DataSourceName,MO_SPT_StockLow_Sources,COLUMN(),FALSE))</f>
        <v/>
      </c>
      <c r="AK792" s="2074">
        <f>IF(OR(MO.RealTimeStockPriceToggle=FALSE,VLOOKUP(MO.DataSourceName,MO_SPT_StockLow_Sources,COLUMN(),FALSE)="N/A"),VLOOKUP("Real-Time Off Source",MO_SPT_StockLow_Sources,COLUMN(),FALSE),VLOOKUP(MO.DataSourceName,MO_SPT_StockLow_Sources,COLUMN(),FALSE))</f>
        <v/>
      </c>
      <c r="AL792" s="2074">
        <f>IF(OR(MO.RealTimeStockPriceToggle=FALSE,VLOOKUP(MO.DataSourceName,MO_SPT_StockLow_Sources,COLUMN(),FALSE)="N/A"),VLOOKUP("Real-Time Off Source",MO_SPT_StockLow_Sources,COLUMN(),FALSE),VLOOKUP(MO.DataSourceName,MO_SPT_StockLow_Sources,COLUMN(),FALSE))</f>
        <v/>
      </c>
      <c r="AM792" s="2074">
        <f>IF(OR(MO.RealTimeStockPriceToggle=FALSE,VLOOKUP(MO.DataSourceName,MO_SPT_StockLow_Sources,COLUMN(),FALSE)="N/A"),VLOOKUP("Real-Time Off Source",MO_SPT_StockLow_Sources,COLUMN(),FALSE),VLOOKUP(MO.DataSourceName,MO_SPT_StockLow_Sources,COLUMN(),FALSE))</f>
        <v/>
      </c>
      <c r="AN792" s="2074">
        <f>IF(OR(MO.RealTimeStockPriceToggle=FALSE,VLOOKUP(MO.DataSourceName,MO_SPT_StockLow_Sources,COLUMN(),FALSE)="N/A"),VLOOKUP("Real-Time Off Source",MO_SPT_StockLow_Sources,COLUMN(),FALSE),VLOOKUP(MO.DataSourceName,MO_SPT_StockLow_Sources,COLUMN(),FALSE))</f>
        <v/>
      </c>
      <c r="AO792" s="2074">
        <f>IF(OR(MO.RealTimeStockPriceToggle=FALSE,VLOOKUP(MO.DataSourceName,MO_SPT_StockLow_Sources,COLUMN(),FALSE)="N/A"),VLOOKUP("Real-Time Off Source",MO_SPT_StockLow_Sources,COLUMN(),FALSE),VLOOKUP(MO.DataSourceName,MO_SPT_StockLow_Sources,COLUMN(),FALSE))</f>
        <v/>
      </c>
      <c r="AP792" s="2074">
        <f>IF(OR(MO.RealTimeStockPriceToggle=FALSE,VLOOKUP(MO.DataSourceName,MO_SPT_StockLow_Sources,COLUMN(),FALSE)="N/A"),VLOOKUP("Real-Time Off Source",MO_SPT_StockLow_Sources,COLUMN(),FALSE),VLOOKUP(MO.DataSourceName,MO_SPT_StockLow_Sources,COLUMN(),FALSE))</f>
        <v/>
      </c>
      <c r="AQ792" s="2074">
        <f>IF(OR(MO.RealTimeStockPriceToggle=FALSE,VLOOKUP(MO.DataSourceName,MO_SPT_StockLow_Sources,COLUMN(),FALSE)="N/A"),VLOOKUP("Real-Time Off Source",MO_SPT_StockLow_Sources,COLUMN(),FALSE),VLOOKUP(MO.DataSourceName,MO_SPT_StockLow_Sources,COLUMN(),FALSE))</f>
        <v/>
      </c>
      <c r="AR792" s="2074">
        <f>IF(OR(MO.RealTimeStockPriceToggle=FALSE,VLOOKUP(MO.DataSourceName,MO_SPT_StockLow_Sources,COLUMN(),FALSE)="N/A"),VLOOKUP("Real-Time Off Source",MO_SPT_StockLow_Sources,COLUMN(),FALSE),VLOOKUP(MO.DataSourceName,MO_SPT_StockLow_Sources,COLUMN(),FALSE))</f>
        <v/>
      </c>
      <c r="AS792" s="2074">
        <f>IF(OR(MO.RealTimeStockPriceToggle=FALSE,VLOOKUP(MO.DataSourceName,MO_SPT_StockLow_Sources,COLUMN(),FALSE)="N/A"),VLOOKUP("Real-Time Off Source",MO_SPT_StockLow_Sources,COLUMN(),FALSE),VLOOKUP(MO.DataSourceName,MO_SPT_StockLow_Sources,COLUMN(),FALSE))</f>
        <v/>
      </c>
      <c r="AT792" s="2074">
        <f>IF(OR(MO.RealTimeStockPriceToggle=FALSE,VLOOKUP(MO.DataSourceName,MO_SPT_StockLow_Sources,COLUMN(),FALSE)="N/A"),VLOOKUP("Real-Time Off Source",MO_SPT_StockLow_Sources,COLUMN(),FALSE),VLOOKUP(MO.DataSourceName,MO_SPT_StockLow_Sources,COLUMN(),FALSE))</f>
        <v/>
      </c>
      <c r="AU792" s="2074">
        <f>IF(OR(MO.RealTimeStockPriceToggle=FALSE,VLOOKUP(MO.DataSourceName,MO_SPT_StockLow_Sources,COLUMN(),FALSE)="N/A"),VLOOKUP("Real-Time Off Source",MO_SPT_StockLow_Sources,COLUMN(),FALSE),VLOOKUP(MO.DataSourceName,MO_SPT_StockLow_Sources,COLUMN(),FALSE))</f>
        <v/>
      </c>
      <c r="AV792" s="2074">
        <f>IF(OR(MO.RealTimeStockPriceToggle=FALSE,VLOOKUP(MO.DataSourceName,MO_SPT_StockLow_Sources,COLUMN(),FALSE)="N/A"),VLOOKUP("Real-Time Off Source",MO_SPT_StockLow_Sources,COLUMN(),FALSE),VLOOKUP(MO.DataSourceName,MO_SPT_StockLow_Sources,COLUMN(),FALSE))</f>
        <v/>
      </c>
      <c r="AW792" s="2074">
        <f>IF(OR(MO.RealTimeStockPriceToggle=FALSE,VLOOKUP(MO.DataSourceName,MO_SPT_StockLow_Sources,COLUMN(),FALSE)="N/A"),VLOOKUP("Real-Time Off Source",MO_SPT_StockLow_Sources,COLUMN(),FALSE),VLOOKUP(MO.DataSourceName,MO_SPT_StockLow_Sources,COLUMN(),FALSE))</f>
        <v/>
      </c>
      <c r="AX792" s="2074">
        <f>IF(OR(MO.RealTimeStockPriceToggle=FALSE,VLOOKUP(MO.DataSourceName,MO_SPT_StockLow_Sources,COLUMN(),FALSE)="N/A"),VLOOKUP("Real-Time Off Source",MO_SPT_StockLow_Sources,COLUMN(),FALSE),VLOOKUP(MO.DataSourceName,MO_SPT_StockLow_Sources,COLUMN(),FALSE))</f>
        <v/>
      </c>
      <c r="AY792" s="2074">
        <f>IF(OR(MO.RealTimeStockPriceToggle=FALSE,VLOOKUP(MO.DataSourceName,MO_SPT_StockLow_Sources,COLUMN(),FALSE)="N/A"),VLOOKUP("Real-Time Off Source",MO_SPT_StockLow_Sources,COLUMN(),FALSE),VLOOKUP(MO.DataSourceName,MO_SPT_StockLow_Sources,COLUMN(),FALSE))</f>
        <v/>
      </c>
      <c r="AZ792" s="2074">
        <f>IF(OR(MO.RealTimeStockPriceToggle=FALSE,VLOOKUP(MO.DataSourceName,MO_SPT_StockLow_Sources,COLUMN(),FALSE)="N/A"),VLOOKUP("Real-Time Off Source",MO_SPT_StockLow_Sources,COLUMN(),FALSE),VLOOKUP(MO.DataSourceName,MO_SPT_StockLow_Sources,COLUMN(),FALSE))</f>
        <v/>
      </c>
      <c r="BA792" s="2074">
        <f>IF(OR(MO.RealTimeStockPriceToggle=FALSE,VLOOKUP(MO.DataSourceName,MO_SPT_StockLow_Sources,COLUMN(),FALSE)="N/A"),VLOOKUP("Real-Time Off Source",MO_SPT_StockLow_Sources,COLUMN(),FALSE),VLOOKUP(MO.DataSourceName,MO_SPT_StockLow_Sources,COLUMN(),FALSE))</f>
        <v/>
      </c>
      <c r="BB792" s="2074">
        <f>IF(OR(MO.RealTimeStockPriceToggle=FALSE,VLOOKUP(MO.DataSourceName,MO_SPT_StockLow_Sources,COLUMN(),FALSE)="N/A"),VLOOKUP("Real-Time Off Source",MO_SPT_StockLow_Sources,COLUMN(),FALSE),VLOOKUP(MO.DataSourceName,MO_SPT_StockLow_Sources,COLUMN(),FALSE))</f>
        <v/>
      </c>
      <c r="BC792" s="2074">
        <f>IF(OR(MO.RealTimeStockPriceToggle=FALSE,VLOOKUP(MO.DataSourceName,MO_SPT_StockLow_Sources,COLUMN(),FALSE)="N/A"),VLOOKUP("Real-Time Off Source",MO_SPT_StockLow_Sources,COLUMN(),FALSE),VLOOKUP(MO.DataSourceName,MO_SPT_StockLow_Sources,COLUMN(),FALSE))</f>
        <v/>
      </c>
      <c r="BD792" s="2074">
        <f>IF(OR(MO.RealTimeStockPriceToggle=FALSE,VLOOKUP(MO.DataSourceName,MO_SPT_StockLow_Sources,COLUMN(),FALSE)="N/A"),VLOOKUP("Real-Time Off Source",MO_SPT_StockLow_Sources,COLUMN(),FALSE),VLOOKUP(MO.DataSourceName,MO_SPT_StockLow_Sources,COLUMN(),FALSE))</f>
        <v/>
      </c>
      <c r="BE792" s="2074">
        <f>IF(OR(MO.RealTimeStockPriceToggle=FALSE,VLOOKUP(MO.DataSourceName,MO_SPT_StockLow_Sources,COLUMN(),FALSE)="N/A"),VLOOKUP("Real-Time Off Source",MO_SPT_StockLow_Sources,COLUMN(),FALSE),VLOOKUP(MO.DataSourceName,MO_SPT_StockLow_Sources,COLUMN(),FALSE))</f>
        <v/>
      </c>
      <c r="BF792" s="2074">
        <f>IF(OR(MO.RealTimeStockPriceToggle=FALSE,VLOOKUP(MO.DataSourceName,MO_SPT_StockLow_Sources,COLUMN(),FALSE)="N/A"),VLOOKUP("Real-Time Off Source",MO_SPT_StockLow_Sources,COLUMN(),FALSE),VLOOKUP(MO.DataSourceName,MO_SPT_StockLow_Sources,COLUMN(),FALSE))</f>
        <v/>
      </c>
      <c r="BG792" s="2074">
        <f>IF(OR(MO.RealTimeStockPriceToggle=FALSE,VLOOKUP(MO.DataSourceName,MO_SPT_StockLow_Sources,COLUMN(),FALSE)="N/A"),VLOOKUP("Real-Time Off Source",MO_SPT_StockLow_Sources,COLUMN(),FALSE),VLOOKUP(MO.DataSourceName,MO_SPT_StockLow_Sources,COLUMN(),FALSE))</f>
        <v/>
      </c>
      <c r="BH792" s="2074">
        <f>IF(OR(MO.RealTimeStockPriceToggle=FALSE,VLOOKUP(MO.DataSourceName,MO_SPT_StockLow_Sources,COLUMN(),FALSE)="N/A"),VLOOKUP("Real-Time Off Source",MO_SPT_StockLow_Sources,COLUMN(),FALSE),VLOOKUP(MO.DataSourceName,MO_SPT_StockLow_Sources,COLUMN(),FALSE))</f>
        <v/>
      </c>
      <c r="BI792" s="2074">
        <f>IF(OR(MO.RealTimeStockPriceToggle=FALSE,VLOOKUP(MO.DataSourceName,MO_SPT_StockLow_Sources,COLUMN(),FALSE)="N/A"),VLOOKUP("Real-Time Off Source",MO_SPT_StockLow_Sources,COLUMN(),FALSE),VLOOKUP(MO.DataSourceName,MO_SPT_StockLow_Sources,COLUMN(),FALSE))</f>
        <v/>
      </c>
      <c r="BJ792" s="2074">
        <f>IF(OR(MO.RealTimeStockPriceToggle=FALSE,VLOOKUP(MO.DataSourceName,MO_SPT_StockLow_Sources,COLUMN(),FALSE)="N/A"),VLOOKUP("Real-Time Off Source",MO_SPT_StockLow_Sources,COLUMN(),FALSE),VLOOKUP(MO.DataSourceName,MO_SPT_StockLow_Sources,COLUMN(),FALSE))</f>
        <v/>
      </c>
      <c r="BK792" s="2074">
        <f>IF(OR(MO.RealTimeStockPriceToggle=FALSE,VLOOKUP(MO.DataSourceName,MO_SPT_StockLow_Sources,COLUMN(),FALSE)="N/A"),VLOOKUP("Real-Time Off Source",MO_SPT_StockLow_Sources,COLUMN(),FALSE),VLOOKUP(MO.DataSourceName,MO_SPT_StockLow_Sources,COLUMN(),FALSE))</f>
        <v/>
      </c>
      <c r="BL792" s="2074">
        <f>IF(OR(MO.RealTimeStockPriceToggle=FALSE,VLOOKUP(MO.DataSourceName,MO_SPT_StockLow_Sources,COLUMN(),FALSE)="N/A"),VLOOKUP("Real-Time Off Source",MO_SPT_StockLow_Sources,COLUMN(),FALSE),VLOOKUP(MO.DataSourceName,MO_SPT_StockLow_Sources,COLUMN(),FALSE))</f>
        <v/>
      </c>
      <c r="BM792" s="2074">
        <f>IF(OR(MO.RealTimeStockPriceToggle=FALSE,VLOOKUP(MO.DataSourceName,MO_SPT_StockLow_Sources,COLUMN(),FALSE)="N/A"),VLOOKUP("Real-Time Off Source",MO_SPT_StockLow_Sources,COLUMN(),FALSE),VLOOKUP(MO.DataSourceName,MO_SPT_StockLow_Sources,COLUMN(),FALSE))</f>
        <v/>
      </c>
      <c r="BN792" s="2074">
        <f>IF(OR(MO.RealTimeStockPriceToggle=FALSE,VLOOKUP(MO.DataSourceName,MO_SPT_StockLow_Sources,COLUMN(),FALSE)="N/A"),VLOOKUP("Real-Time Off Source",MO_SPT_StockLow_Sources,COLUMN(),FALSE),VLOOKUP(MO.DataSourceName,MO_SPT_StockLow_Sources,COLUMN(),FALSE))</f>
        <v/>
      </c>
      <c r="BO792" s="2076">
        <f>IF(OR(MO.RealTimeStockPriceToggle=FALSE,VLOOKUP(MO.DataSourceName,MO_SPT_StockLow_Sources,COLUMN(),FALSE)="N/A"),VLOOKUP("Real-Time Off Source",MO_SPT_StockLow_Sources,COLUMN(),FALSE),VLOOKUP(MO.DataSourceName,MO_SPT_StockLow_Sources,COLUMN(),FALSE))</f>
        <v/>
      </c>
      <c r="BP792" s="2074">
        <f>IF(OR(MO.RealTimeStockPriceToggle=FALSE,VLOOKUP(MO.DataSourceName,MO_SPT_StockLow_Sources,COLUMN(),FALSE)="N/A"),VLOOKUP("Real-Time Off Source",MO_SPT_StockLow_Sources,COLUMN(),FALSE),VLOOKUP(MO.DataSourceName,MO_SPT_StockLow_Sources,COLUMN(),FALSE))</f>
        <v/>
      </c>
      <c r="BQ792" s="2074">
        <f>IF(OR(MO.RealTimeStockPriceToggle=FALSE,VLOOKUP(MO.DataSourceName,MO_SPT_StockLow_Sources,COLUMN(),FALSE)="N/A"),VLOOKUP("Real-Time Off Source",MO_SPT_StockLow_Sources,COLUMN(),FALSE),VLOOKUP(MO.DataSourceName,MO_SPT_StockLow_Sources,COLUMN(),FALSE))</f>
        <v/>
      </c>
      <c r="BR792" s="2074">
        <f>IF(OR(MO.RealTimeStockPriceToggle=FALSE,VLOOKUP(MO.DataSourceName,MO_SPT_StockLow_Sources,COLUMN(),FALSE)="N/A"),VLOOKUP("Real-Time Off Source",MO_SPT_StockLow_Sources,COLUMN(),FALSE),VLOOKUP(MO.DataSourceName,MO_SPT_StockLow_Sources,COLUMN(),FALSE))</f>
        <v/>
      </c>
      <c r="BS792" s="2074">
        <f>IF(OR(MO.RealTimeStockPriceToggle=FALSE,VLOOKUP(MO.DataSourceName,MO_SPT_StockLow_Sources,COLUMN(),FALSE)="N/A"),VLOOKUP("Real-Time Off Source",MO_SPT_StockLow_Sources,COLUMN(),FALSE),VLOOKUP(MO.DataSourceName,MO_SPT_StockLow_Sources,COLUMN(),FALSE))</f>
        <v/>
      </c>
      <c r="BT792" s="2074">
        <f>IF(OR(MO.RealTimeStockPriceToggle=FALSE,VLOOKUP(MO.DataSourceName,MO_SPT_StockLow_Sources,COLUMN(),FALSE)="N/A"),VLOOKUP("Real-Time Off Source",MO_SPT_StockLow_Sources,COLUMN(),FALSE),VLOOKUP(MO.DataSourceName,MO_SPT_StockLow_Sources,COLUMN(),FALSE))</f>
        <v/>
      </c>
      <c r="BU792" s="2074">
        <f>IF(OR(MO.RealTimeStockPriceToggle=FALSE,VLOOKUP(MO.DataSourceName,MO_SPT_StockLow_Sources,COLUMN(),FALSE)="N/A"),VLOOKUP("Real-Time Off Source",MO_SPT_StockLow_Sources,COLUMN(),FALSE),VLOOKUP(MO.DataSourceName,MO_SPT_StockLow_Sources,COLUMN(),FALSE))</f>
        <v/>
      </c>
      <c r="BV792" s="2074">
        <f>IF(OR(MO.RealTimeStockPriceToggle=FALSE,VLOOKUP(MO.DataSourceName,MO_SPT_StockLow_Sources,COLUMN(),FALSE)="N/A"),VLOOKUP("Real-Time Off Source",MO_SPT_StockLow_Sources,COLUMN(),FALSE),VLOOKUP(MO.DataSourceName,MO_SPT_StockLow_Sources,COLUMN(),FALSE))</f>
        <v/>
      </c>
      <c r="BW792" s="2074">
        <f>IF(OR(MO.RealTimeStockPriceToggle=FALSE,VLOOKUP(MO.DataSourceName,MO_SPT_StockLow_Sources,COLUMN(),FALSE)="N/A"),VLOOKUP("Real-Time Off Source",MO_SPT_StockLow_Sources,COLUMN(),FALSE),VLOOKUP(MO.DataSourceName,MO_SPT_StockLow_Sources,COLUMN(),FALSE))</f>
        <v/>
      </c>
      <c r="BX792" s="2074">
        <f>IF(OR(MO.RealTimeStockPriceToggle=FALSE,VLOOKUP(MO.DataSourceName,MO_SPT_StockLow_Sources,COLUMN(),FALSE)="N/A"),VLOOKUP("Real-Time Off Source",MO_SPT_StockLow_Sources,COLUMN(),FALSE),VLOOKUP(MO.DataSourceName,MO_SPT_StockLow_Sources,COLUMN(),FALSE))</f>
        <v/>
      </c>
      <c r="BY792" s="2074">
        <f>IF(OR(MO.RealTimeStockPriceToggle=FALSE,VLOOKUP(MO.DataSourceName,MO_SPT_StockLow_Sources,COLUMN(),FALSE)="N/A"),VLOOKUP("Real-Time Off Source",MO_SPT_StockLow_Sources,COLUMN(),FALSE),VLOOKUP(MO.DataSourceName,MO_SPT_StockLow_Sources,COLUMN(),FALSE))</f>
        <v/>
      </c>
      <c r="BZ792" s="2074">
        <f>IF(OR(MO.RealTimeStockPriceToggle=FALSE,VLOOKUP(MO.DataSourceName,MO_SPT_StockLow_Sources,COLUMN(),FALSE)="N/A"),VLOOKUP("Real-Time Off Source",MO_SPT_StockLow_Sources,COLUMN(),FALSE),VLOOKUP(MO.DataSourceName,MO_SPT_StockLow_Sources,COLUMN(),FALSE))</f>
        <v/>
      </c>
      <c r="CA792" s="2074">
        <f>IF(OR(MO.RealTimeStockPriceToggle=FALSE,VLOOKUP(MO.DataSourceName,MO_SPT_StockLow_Sources,COLUMN(),FALSE)="N/A"),VLOOKUP("Real-Time Off Source",MO_SPT_StockLow_Sources,COLUMN(),FALSE),VLOOKUP(MO.DataSourceName,MO_SPT_StockLow_Sources,COLUMN(),FALSE))</f>
        <v/>
      </c>
      <c r="CB792" s="2077">
        <f>IF(OR(MO.RealTimeStockPriceToggle=FALSE,VLOOKUP(MO.DataSourceName,MO_SPT_StockLow_Sources,COLUMN(),FALSE)="N/A"),VLOOKUP("Real-Time Off Source",MO_SPT_StockLow_Sources,COLUMN(),FALSE),VLOOKUP(MO.DataSourceName,MO_SPT_StockLow_Sources,COLUMN(),FALSE))</f>
        <v/>
      </c>
      <c r="CC792" s="2078" t="n"/>
    </row>
    <row r="793" hidden="1" outlineLevel="1" ht="15" customFormat="1" customHeight="1" s="1945">
      <c r="A793" s="2079" t="inlineStr">
        <is>
          <t>Real-Time Off Source</t>
        </is>
      </c>
      <c r="B793" s="2074" t="n"/>
      <c r="C793" s="2080" t="n">
        <v>11.618601289</v>
      </c>
      <c r="D793" s="2080" t="n">
        <v>19.947070477</v>
      </c>
      <c r="E793" s="2081" t="n">
        <v>21.886082499</v>
      </c>
      <c r="F793" s="2081" t="n">
        <v>32.725984811</v>
      </c>
      <c r="G793" s="2081" t="n">
        <v>45.68</v>
      </c>
      <c r="H793" s="2081" t="n">
        <v>61.09</v>
      </c>
      <c r="I793" s="2081" t="n">
        <v>57.51</v>
      </c>
      <c r="J793" s="2081" t="n">
        <v>61.58</v>
      </c>
      <c r="K793" s="2081" t="n">
        <v>68.29000000000001</v>
      </c>
      <c r="L793" s="2081" t="n">
        <v>57.51</v>
      </c>
      <c r="M793" s="2081" t="n">
        <v>84.67</v>
      </c>
      <c r="N793" s="2081" t="n">
        <v>86.94</v>
      </c>
      <c r="O793" s="2081" t="n">
        <v>70.25</v>
      </c>
      <c r="P793" s="2081" t="n">
        <v>72.16</v>
      </c>
      <c r="Q793" s="2081" t="n">
        <v>70.25</v>
      </c>
      <c r="R793" s="2081" t="n">
        <v>70.54000000000001</v>
      </c>
      <c r="S793" s="2081" t="n">
        <v>79.38</v>
      </c>
      <c r="T793" s="2081" t="n">
        <v>83.54000000000001</v>
      </c>
      <c r="U793" s="2081" t="n">
        <v>90.5</v>
      </c>
      <c r="V793" s="2081" t="n">
        <v>70.54000000000001</v>
      </c>
      <c r="W793" s="2081" t="n">
        <v>103.95</v>
      </c>
      <c r="X793" s="2081" t="n">
        <v>112.6</v>
      </c>
      <c r="Y793" s="2081" t="n">
        <v>113.75</v>
      </c>
      <c r="Z793" s="2081" t="n">
        <v>141.5</v>
      </c>
      <c r="AA793" s="2081" t="n">
        <v>103.95</v>
      </c>
      <c r="AB793" s="2081" t="n">
        <v>142.2</v>
      </c>
      <c r="AC793" s="2081" t="n">
        <v>155.5</v>
      </c>
      <c r="AD793" s="2081" t="n">
        <v>148.58</v>
      </c>
      <c r="AE793" s="2081" t="n">
        <v>130.3</v>
      </c>
      <c r="AF793" s="2081" t="n">
        <v>130.3</v>
      </c>
      <c r="AG793" s="2081" t="n">
        <v>130.12</v>
      </c>
      <c r="AH793" s="2081" t="n">
        <v>165.04</v>
      </c>
      <c r="AI793" s="2081" t="n">
        <v>182.14</v>
      </c>
      <c r="AJ793" s="2081" t="n">
        <v>217</v>
      </c>
      <c r="AK793" s="2081" t="n">
        <v>130.12</v>
      </c>
      <c r="AL793" s="2081" t="n">
        <v>177.52</v>
      </c>
      <c r="AM793" s="2081" t="n">
        <v>222.4</v>
      </c>
      <c r="AN793" s="2081" t="n">
        <v>289.2</v>
      </c>
      <c r="AO793" s="2081" t="n">
        <v>304.5</v>
      </c>
      <c r="AP793" s="2081" t="n">
        <v>177.52</v>
      </c>
      <c r="AQ793" s="2081" t="n">
        <v>399.2</v>
      </c>
      <c r="AR793" s="2081" t="n">
        <v>492.15</v>
      </c>
      <c r="AS793" s="2081" t="n">
        <v>559.7</v>
      </c>
      <c r="AT793" s="2081" t="n">
        <v>611.6</v>
      </c>
      <c r="AU793" s="2081" t="n">
        <v>402.85</v>
      </c>
      <c r="AV793" s="2081" t="n">
        <v>513.7</v>
      </c>
      <c r="AW793" s="2081" t="n">
        <v>442.2</v>
      </c>
      <c r="AX793" s="2081" t="n">
        <v>403.45</v>
      </c>
      <c r="AY793" s="2081" t="n">
        <v>377.99176</v>
      </c>
      <c r="AZ793" s="2081" t="n">
        <v>377.99176</v>
      </c>
      <c r="BA793" s="2081" t="n">
        <v>516.9</v>
      </c>
      <c r="BB793" s="2081" t="n">
        <v>556.6</v>
      </c>
      <c r="BC793" s="2081" t="n">
        <v>542.6</v>
      </c>
      <c r="BD793" s="2081" t="n">
        <v>547.1</v>
      </c>
      <c r="BE793" s="2081" t="n">
        <v>516.9</v>
      </c>
      <c r="BF793" s="2081" t="n">
        <v>644.2</v>
      </c>
      <c r="BG793" s="2081" t="n">
        <v>811.4</v>
      </c>
      <c r="BH793" s="2081" t="n">
        <v>672.5</v>
      </c>
      <c r="BI793" s="2081" t="n">
        <v>610.8</v>
      </c>
      <c r="BJ793" s="2081" t="n">
        <v>610.8</v>
      </c>
      <c r="BK793" s="2081" t="n">
        <v>625.6</v>
      </c>
      <c r="BL793" s="2081" t="n">
        <v>550</v>
      </c>
      <c r="BM793" s="2081" t="n">
        <v>592.9</v>
      </c>
      <c r="BN793" s="2081" t="n">
        <v>813.9</v>
      </c>
      <c r="BO793" s="2082" t="n">
        <v>550</v>
      </c>
      <c r="BP793" s="2074" t="n"/>
      <c r="BQ793" s="2074" t="n"/>
      <c r="BR793" s="2074" t="n"/>
      <c r="BS793" s="2074" t="n"/>
      <c r="BT793" s="2074" t="n"/>
      <c r="BU793" s="2074" t="n"/>
      <c r="BV793" s="2074" t="n"/>
      <c r="BW793" s="2074" t="n"/>
      <c r="BX793" s="2074" t="n"/>
      <c r="BY793" s="2074" t="n"/>
      <c r="BZ793" s="2074" t="n"/>
      <c r="CA793" s="2074" t="n"/>
      <c r="CB793" s="2077" t="n"/>
      <c r="CC793" s="2078" t="n"/>
    </row>
    <row r="794" hidden="1" outlineLevel="1" ht="15" customFormat="1" customHeight="1" s="1945">
      <c r="A794" s="2079" t="inlineStr">
        <is>
          <t>Bloomberg</t>
        </is>
      </c>
      <c r="B794" s="2074" t="n"/>
      <c r="C794" s="2075">
        <f>IFERROR(BDP(MO.Ticker.Bloomberg&amp;" Equity","INTERVAL_LOW","MARKET_DATA_OVERRIDE=PX_LAST","START_DATE_OVERRIDE",TEXT(INDEX(MO_SNA_FPStartDate,0,COLUMN()),"YYYYMMDD"),"END_DATE_OVERRIDE",TEXT(INDEX(MO_Common_QEndDate,0,COLUMN()),"YYYYMMDD")),"N/A")</f>
        <v/>
      </c>
      <c r="D794" s="2075">
        <f>IFERROR(BDP(MO.Ticker.Bloomberg&amp;" Equity","INTERVAL_LOW","MARKET_DATA_OVERRIDE=PX_LAST","START_DATE_OVERRIDE",TEXT(INDEX(MO_SNA_FPStartDate,0,COLUMN()),"YYYYMMDD"),"END_DATE_OVERRIDE",TEXT(INDEX(MO_Common_QEndDate,0,COLUMN()),"YYYYMMDD")),"N/A")</f>
        <v/>
      </c>
      <c r="E794" s="2074">
        <f>IFERROR(BDP(MO.Ticker.Bloomberg&amp;" Equity","INTERVAL_LOW","MARKET_DATA_OVERRIDE=PX_LAST","START_DATE_OVERRIDE",TEXT(INDEX(MO_SNA_FPStartDate,0,COLUMN()),"YYYYMMDD"),"END_DATE_OVERRIDE",TEXT(INDEX(MO_Common_QEndDate,0,COLUMN()),"YYYYMMDD")),"N/A")</f>
        <v/>
      </c>
      <c r="F794" s="2074">
        <f>IFERROR(BDP(MO.Ticker.Bloomberg&amp;" Equity","INTERVAL_LOW","MARKET_DATA_OVERRIDE=PX_LAST","START_DATE_OVERRIDE",TEXT(INDEX(MO_SNA_FPStartDate,0,COLUMN()),"YYYYMMDD"),"END_DATE_OVERRIDE",TEXT(INDEX(MO_Common_QEndDate,0,COLUMN()),"YYYYMMDD")),"N/A")</f>
        <v/>
      </c>
      <c r="G794" s="2074">
        <f>IFERROR(BDP(MO.Ticker.Bloomberg&amp;" Equity","INTERVAL_LOW","MARKET_DATA_OVERRIDE=PX_LAST","START_DATE_OVERRIDE",TEXT(INDEX(MO_SNA_FPStartDate,0,COLUMN()),"YYYYMMDD"),"END_DATE_OVERRIDE",TEXT(INDEX(MO_Common_QEndDate,0,COLUMN()),"YYYYMMDD")),"N/A")</f>
        <v/>
      </c>
      <c r="H794" s="2074">
        <f>IFERROR(BDP(MO.Ticker.Bloomberg&amp;" Equity","INTERVAL_LOW","MARKET_DATA_OVERRIDE=PX_LAST","START_DATE_OVERRIDE",TEXT(INDEX(MO_SNA_FPStartDate,0,COLUMN()),"YYYYMMDD"),"END_DATE_OVERRIDE",TEXT(INDEX(MO_Common_QEndDate,0,COLUMN()),"YYYYMMDD")),"N/A")</f>
        <v/>
      </c>
      <c r="I794" s="2074">
        <f>IFERROR(BDP(MO.Ticker.Bloomberg&amp;" Equity","INTERVAL_LOW","MARKET_DATA_OVERRIDE=PX_LAST","START_DATE_OVERRIDE",TEXT(INDEX(MO_SNA_FPStartDate,0,COLUMN()),"YYYYMMDD"),"END_DATE_OVERRIDE",TEXT(INDEX(MO_Common_QEndDate,0,COLUMN()),"YYYYMMDD")),"N/A")</f>
        <v/>
      </c>
      <c r="J794" s="2074">
        <f>IFERROR(BDP(MO.Ticker.Bloomberg&amp;" Equity","INTERVAL_LOW","MARKET_DATA_OVERRIDE=PX_LAST","START_DATE_OVERRIDE",TEXT(INDEX(MO_SNA_FPStartDate,0,COLUMN()),"YYYYMMDD"),"END_DATE_OVERRIDE",TEXT(INDEX(MO_Common_QEndDate,0,COLUMN()),"YYYYMMDD")),"N/A")</f>
        <v/>
      </c>
      <c r="K794" s="2074">
        <f>IFERROR(BDP(MO.Ticker.Bloomberg&amp;" Equity","INTERVAL_LOW","MARKET_DATA_OVERRIDE=PX_LAST","START_DATE_OVERRIDE",TEXT(INDEX(MO_SNA_FPStartDate,0,COLUMN()),"YYYYMMDD"),"END_DATE_OVERRIDE",TEXT(INDEX(MO_Common_QEndDate,0,COLUMN()),"YYYYMMDD")),"N/A")</f>
        <v/>
      </c>
      <c r="L794" s="2074">
        <f>IFERROR(BDP(MO.Ticker.Bloomberg&amp;" Equity","INTERVAL_LOW","MARKET_DATA_OVERRIDE=PX_LAST","START_DATE_OVERRIDE",TEXT(INDEX(MO_SNA_FPStartDate,0,COLUMN()),"YYYYMMDD"),"END_DATE_OVERRIDE",TEXT(INDEX(MO_Common_QEndDate,0,COLUMN()),"YYYYMMDD")),"N/A")</f>
        <v/>
      </c>
      <c r="M794" s="2074">
        <f>IFERROR(BDP(MO.Ticker.Bloomberg&amp;" Equity","INTERVAL_LOW","MARKET_DATA_OVERRIDE=PX_LAST","START_DATE_OVERRIDE",TEXT(INDEX(MO_SNA_FPStartDate,0,COLUMN()),"YYYYMMDD"),"END_DATE_OVERRIDE",TEXT(INDEX(MO_Common_QEndDate,0,COLUMN()),"YYYYMMDD")),"N/A")</f>
        <v/>
      </c>
      <c r="N794" s="2074">
        <f>IFERROR(BDP(MO.Ticker.Bloomberg&amp;" Equity","INTERVAL_LOW","MARKET_DATA_OVERRIDE=PX_LAST","START_DATE_OVERRIDE",TEXT(INDEX(MO_SNA_FPStartDate,0,COLUMN()),"YYYYMMDD"),"END_DATE_OVERRIDE",TEXT(INDEX(MO_Common_QEndDate,0,COLUMN()),"YYYYMMDD")),"N/A")</f>
        <v/>
      </c>
      <c r="O794" s="2074">
        <f>IFERROR(BDP(MO.Ticker.Bloomberg&amp;" Equity","INTERVAL_LOW","MARKET_DATA_OVERRIDE=PX_LAST","START_DATE_OVERRIDE",TEXT(INDEX(MO_SNA_FPStartDate,0,COLUMN()),"YYYYMMDD"),"END_DATE_OVERRIDE",TEXT(INDEX(MO_Common_QEndDate,0,COLUMN()),"YYYYMMDD")),"N/A")</f>
        <v/>
      </c>
      <c r="P794" s="2074">
        <f>IFERROR(BDP(MO.Ticker.Bloomberg&amp;" Equity","INTERVAL_LOW","MARKET_DATA_OVERRIDE=PX_LAST","START_DATE_OVERRIDE",TEXT(INDEX(MO_SNA_FPStartDate,0,COLUMN()),"YYYYMMDD"),"END_DATE_OVERRIDE",TEXT(INDEX(MO_Common_QEndDate,0,COLUMN()),"YYYYMMDD")),"N/A")</f>
        <v/>
      </c>
      <c r="Q794" s="2074">
        <f>IFERROR(BDP(MO.Ticker.Bloomberg&amp;" Equity","INTERVAL_LOW","MARKET_DATA_OVERRIDE=PX_LAST","START_DATE_OVERRIDE",TEXT(INDEX(MO_SNA_FPStartDate,0,COLUMN()),"YYYYMMDD"),"END_DATE_OVERRIDE",TEXT(INDEX(MO_Common_QEndDate,0,COLUMN()),"YYYYMMDD")),"N/A")</f>
        <v/>
      </c>
      <c r="R794" s="2074">
        <f>IFERROR(BDP(MO.Ticker.Bloomberg&amp;" Equity","INTERVAL_LOW","MARKET_DATA_OVERRIDE=PX_LAST","START_DATE_OVERRIDE",TEXT(INDEX(MO_SNA_FPStartDate,0,COLUMN()),"YYYYMMDD"),"END_DATE_OVERRIDE",TEXT(INDEX(MO_Common_QEndDate,0,COLUMN()),"YYYYMMDD")),"N/A")</f>
        <v/>
      </c>
      <c r="S794" s="2074">
        <f>IFERROR(BDP(MO.Ticker.Bloomberg&amp;" Equity","INTERVAL_LOW","MARKET_DATA_OVERRIDE=PX_LAST","START_DATE_OVERRIDE",TEXT(INDEX(MO_SNA_FPStartDate,0,COLUMN()),"YYYYMMDD"),"END_DATE_OVERRIDE",TEXT(INDEX(MO_Common_QEndDate,0,COLUMN()),"YYYYMMDD")),"N/A")</f>
        <v/>
      </c>
      <c r="T794" s="2074">
        <f>IFERROR(BDP(MO.Ticker.Bloomberg&amp;" Equity","INTERVAL_LOW","MARKET_DATA_OVERRIDE=PX_LAST","START_DATE_OVERRIDE",TEXT(INDEX(MO_SNA_FPStartDate,0,COLUMN()),"YYYYMMDD"),"END_DATE_OVERRIDE",TEXT(INDEX(MO_Common_QEndDate,0,COLUMN()),"YYYYMMDD")),"N/A")</f>
        <v/>
      </c>
      <c r="U794" s="2074">
        <f>IFERROR(BDP(MO.Ticker.Bloomberg&amp;" Equity","INTERVAL_LOW","MARKET_DATA_OVERRIDE=PX_LAST","START_DATE_OVERRIDE",TEXT(INDEX(MO_SNA_FPStartDate,0,COLUMN()),"YYYYMMDD"),"END_DATE_OVERRIDE",TEXT(INDEX(MO_Common_QEndDate,0,COLUMN()),"YYYYMMDD")),"N/A")</f>
        <v/>
      </c>
      <c r="V794" s="2074">
        <f>IFERROR(BDP(MO.Ticker.Bloomberg&amp;" Equity","INTERVAL_LOW","MARKET_DATA_OVERRIDE=PX_LAST","START_DATE_OVERRIDE",TEXT(INDEX(MO_SNA_FPStartDate,0,COLUMN()),"YYYYMMDD"),"END_DATE_OVERRIDE",TEXT(INDEX(MO_Common_QEndDate,0,COLUMN()),"YYYYMMDD")),"N/A")</f>
        <v/>
      </c>
      <c r="W794" s="2074">
        <f>IFERROR(BDP(MO.Ticker.Bloomberg&amp;" Equity","INTERVAL_LOW","MARKET_DATA_OVERRIDE=PX_LAST","START_DATE_OVERRIDE",TEXT(INDEX(MO_SNA_FPStartDate,0,COLUMN()),"YYYYMMDD"),"END_DATE_OVERRIDE",TEXT(INDEX(MO_Common_QEndDate,0,COLUMN()),"YYYYMMDD")),"N/A")</f>
        <v/>
      </c>
      <c r="X794" s="2074">
        <f>IFERROR(BDP(MO.Ticker.Bloomberg&amp;" Equity","INTERVAL_LOW","MARKET_DATA_OVERRIDE=PX_LAST","START_DATE_OVERRIDE",TEXT(INDEX(MO_SNA_FPStartDate,0,COLUMN()),"YYYYMMDD"),"END_DATE_OVERRIDE",TEXT(INDEX(MO_Common_QEndDate,0,COLUMN()),"YYYYMMDD")),"N/A")</f>
        <v/>
      </c>
      <c r="Y794" s="2074">
        <f>IFERROR(BDP(MO.Ticker.Bloomberg&amp;" Equity","INTERVAL_LOW","MARKET_DATA_OVERRIDE=PX_LAST","START_DATE_OVERRIDE",TEXT(INDEX(MO_SNA_FPStartDate,0,COLUMN()),"YYYYMMDD"),"END_DATE_OVERRIDE",TEXT(INDEX(MO_Common_QEndDate,0,COLUMN()),"YYYYMMDD")),"N/A")</f>
        <v/>
      </c>
      <c r="Z794" s="2074">
        <f>IFERROR(BDP(MO.Ticker.Bloomberg&amp;" Equity","INTERVAL_LOW","MARKET_DATA_OVERRIDE=PX_LAST","START_DATE_OVERRIDE",TEXT(INDEX(MO_SNA_FPStartDate,0,COLUMN()),"YYYYMMDD"),"END_DATE_OVERRIDE",TEXT(INDEX(MO_Common_QEndDate,0,COLUMN()),"YYYYMMDD")),"N/A")</f>
        <v/>
      </c>
      <c r="AA794" s="2074">
        <f>IFERROR(BDP(MO.Ticker.Bloomberg&amp;" Equity","INTERVAL_LOW","MARKET_DATA_OVERRIDE=PX_LAST","START_DATE_OVERRIDE",TEXT(INDEX(MO_SNA_FPStartDate,0,COLUMN()),"YYYYMMDD"),"END_DATE_OVERRIDE",TEXT(INDEX(MO_Common_QEndDate,0,COLUMN()),"YYYYMMDD")),"N/A")</f>
        <v/>
      </c>
      <c r="AB794" s="2074">
        <f>IFERROR(BDP(MO.Ticker.Bloomberg&amp;" Equity","INTERVAL_LOW","MARKET_DATA_OVERRIDE=PX_LAST","START_DATE_OVERRIDE",TEXT(INDEX(MO_SNA_FPStartDate,0,COLUMN()),"YYYYMMDD"),"END_DATE_OVERRIDE",TEXT(INDEX(MO_Common_QEndDate,0,COLUMN()),"YYYYMMDD")),"N/A")</f>
        <v/>
      </c>
      <c r="AC794" s="2074">
        <f>IFERROR(BDP(MO.Ticker.Bloomberg&amp;" Equity","INTERVAL_LOW","MARKET_DATA_OVERRIDE=PX_LAST","START_DATE_OVERRIDE",TEXT(INDEX(MO_SNA_FPStartDate,0,COLUMN()),"YYYYMMDD"),"END_DATE_OVERRIDE",TEXT(INDEX(MO_Common_QEndDate,0,COLUMN()),"YYYYMMDD")),"N/A")</f>
        <v/>
      </c>
      <c r="AD794" s="2074">
        <f>IFERROR(BDP(MO.Ticker.Bloomberg&amp;" Equity","INTERVAL_LOW","MARKET_DATA_OVERRIDE=PX_LAST","START_DATE_OVERRIDE",TEXT(INDEX(MO_SNA_FPStartDate,0,COLUMN()),"YYYYMMDD"),"END_DATE_OVERRIDE",TEXT(INDEX(MO_Common_QEndDate,0,COLUMN()),"YYYYMMDD")),"N/A")</f>
        <v/>
      </c>
      <c r="AE794" s="2074">
        <f>IFERROR(BDP(MO.Ticker.Bloomberg&amp;" Equity","INTERVAL_LOW","MARKET_DATA_OVERRIDE=PX_LAST","START_DATE_OVERRIDE",TEXT(INDEX(MO_SNA_FPStartDate,0,COLUMN()),"YYYYMMDD"),"END_DATE_OVERRIDE",TEXT(INDEX(MO_Common_QEndDate,0,COLUMN()),"YYYYMMDD")),"N/A")</f>
        <v/>
      </c>
      <c r="AF794" s="2074">
        <f>IFERROR(BDP(MO.Ticker.Bloomberg&amp;" Equity","INTERVAL_LOW","MARKET_DATA_OVERRIDE=PX_LAST","START_DATE_OVERRIDE",TEXT(INDEX(MO_SNA_FPStartDate,0,COLUMN()),"YYYYMMDD"),"END_DATE_OVERRIDE",TEXT(INDEX(MO_Common_QEndDate,0,COLUMN()),"YYYYMMDD")),"N/A")</f>
        <v/>
      </c>
      <c r="AG794" s="2074">
        <f>IFERROR(BDP(MO.Ticker.Bloomberg&amp;" Equity","INTERVAL_LOW","MARKET_DATA_OVERRIDE=PX_LAST","START_DATE_OVERRIDE",TEXT(INDEX(MO_SNA_FPStartDate,0,COLUMN()),"YYYYMMDD"),"END_DATE_OVERRIDE",TEXT(INDEX(MO_Common_QEndDate,0,COLUMN()),"YYYYMMDD")),"N/A")</f>
        <v/>
      </c>
      <c r="AH794" s="2074">
        <f>IFERROR(BDP(MO.Ticker.Bloomberg&amp;" Equity","INTERVAL_LOW","MARKET_DATA_OVERRIDE=PX_LAST","START_DATE_OVERRIDE",TEXT(INDEX(MO_SNA_FPStartDate,0,COLUMN()),"YYYYMMDD"),"END_DATE_OVERRIDE",TEXT(INDEX(MO_Common_QEndDate,0,COLUMN()),"YYYYMMDD")),"N/A")</f>
        <v/>
      </c>
      <c r="AI794" s="2074">
        <f>IFERROR(BDP(MO.Ticker.Bloomberg&amp;" Equity","INTERVAL_LOW","MARKET_DATA_OVERRIDE=PX_LAST","START_DATE_OVERRIDE",TEXT(INDEX(MO_SNA_FPStartDate,0,COLUMN()),"YYYYMMDD"),"END_DATE_OVERRIDE",TEXT(INDEX(MO_Common_QEndDate,0,COLUMN()),"YYYYMMDD")),"N/A")</f>
        <v/>
      </c>
      <c r="AJ794" s="2074">
        <f>IFERROR(BDP(MO.Ticker.Bloomberg&amp;" Equity","INTERVAL_LOW","MARKET_DATA_OVERRIDE=PX_LAST","START_DATE_OVERRIDE",TEXT(INDEX(MO_SNA_FPStartDate,0,COLUMN()),"YYYYMMDD"),"END_DATE_OVERRIDE",TEXT(INDEX(MO_Common_QEndDate,0,COLUMN()),"YYYYMMDD")),"N/A")</f>
        <v/>
      </c>
      <c r="AK794" s="2074">
        <f>IFERROR(BDP(MO.Ticker.Bloomberg&amp;" Equity","INTERVAL_LOW","MARKET_DATA_OVERRIDE=PX_LAST","START_DATE_OVERRIDE",TEXT(INDEX(MO_SNA_FPStartDate,0,COLUMN()),"YYYYMMDD"),"END_DATE_OVERRIDE",TEXT(INDEX(MO_Common_QEndDate,0,COLUMN()),"YYYYMMDD")),"N/A")</f>
        <v/>
      </c>
      <c r="AL794" s="2074">
        <f>IFERROR(BDP(MO.Ticker.Bloomberg&amp;" Equity","INTERVAL_LOW","MARKET_DATA_OVERRIDE=PX_LAST","START_DATE_OVERRIDE",TEXT(INDEX(MO_SNA_FPStartDate,0,COLUMN()),"YYYYMMDD"),"END_DATE_OVERRIDE",TEXT(INDEX(MO_Common_QEndDate,0,COLUMN()),"YYYYMMDD")),"N/A")</f>
        <v/>
      </c>
      <c r="AM794" s="2074">
        <f>IFERROR(BDP(MO.Ticker.Bloomberg&amp;" Equity","INTERVAL_LOW","MARKET_DATA_OVERRIDE=PX_LAST","START_DATE_OVERRIDE",TEXT(INDEX(MO_SNA_FPStartDate,0,COLUMN()),"YYYYMMDD"),"END_DATE_OVERRIDE",TEXT(INDEX(MO_Common_QEndDate,0,COLUMN()),"YYYYMMDD")),"N/A")</f>
        <v/>
      </c>
      <c r="AN794" s="2074">
        <f>IFERROR(BDP(MO.Ticker.Bloomberg&amp;" Equity","INTERVAL_LOW","MARKET_DATA_OVERRIDE=PX_LAST","START_DATE_OVERRIDE",TEXT(INDEX(MO_SNA_FPStartDate,0,COLUMN()),"YYYYMMDD"),"END_DATE_OVERRIDE",TEXT(INDEX(MO_Common_QEndDate,0,COLUMN()),"YYYYMMDD")),"N/A")</f>
        <v/>
      </c>
      <c r="AO794" s="2074">
        <f>IFERROR(BDP(MO.Ticker.Bloomberg&amp;" Equity","INTERVAL_LOW","MARKET_DATA_OVERRIDE=PX_LAST","START_DATE_OVERRIDE",TEXT(INDEX(MO_SNA_FPStartDate,0,COLUMN()),"YYYYMMDD"),"END_DATE_OVERRIDE",TEXT(INDEX(MO_Common_QEndDate,0,COLUMN()),"YYYYMMDD")),"N/A")</f>
        <v/>
      </c>
      <c r="AP794" s="2074">
        <f>IFERROR(BDP(MO.Ticker.Bloomberg&amp;" Equity","INTERVAL_LOW","MARKET_DATA_OVERRIDE=PX_LAST","START_DATE_OVERRIDE",TEXT(INDEX(MO_SNA_FPStartDate,0,COLUMN()),"YYYYMMDD"),"END_DATE_OVERRIDE",TEXT(INDEX(MO_Common_QEndDate,0,COLUMN()),"YYYYMMDD")),"N/A")</f>
        <v/>
      </c>
      <c r="AQ794" s="2074">
        <f>IFERROR(BDP(MO.Ticker.Bloomberg&amp;" Equity","INTERVAL_LOW","MARKET_DATA_OVERRIDE=PX_LAST","START_DATE_OVERRIDE",TEXT(INDEX(MO_SNA_FPStartDate,0,COLUMN()),"YYYYMMDD"),"END_DATE_OVERRIDE",TEXT(INDEX(MO_Common_QEndDate,0,COLUMN()),"YYYYMMDD")),"N/A")</f>
        <v/>
      </c>
      <c r="AR794" s="2074">
        <f>IFERROR(BDP(MO.Ticker.Bloomberg&amp;" Equity","INTERVAL_LOW","MARKET_DATA_OVERRIDE=PX_LAST","START_DATE_OVERRIDE",TEXT(INDEX(MO_SNA_FPStartDate,0,COLUMN()),"YYYYMMDD"),"END_DATE_OVERRIDE",TEXT(INDEX(MO_Common_QEndDate,0,COLUMN()),"YYYYMMDD")),"N/A")</f>
        <v/>
      </c>
      <c r="AS794" s="2074">
        <f>IFERROR(BDP(MO.Ticker.Bloomberg&amp;" Equity","INTERVAL_LOW","MARKET_DATA_OVERRIDE=PX_LAST","START_DATE_OVERRIDE",TEXT(INDEX(MO_SNA_FPStartDate,0,COLUMN()),"YYYYMMDD"),"END_DATE_OVERRIDE",TEXT(INDEX(MO_Common_QEndDate,0,COLUMN()),"YYYYMMDD")),"N/A")</f>
        <v/>
      </c>
      <c r="AT794" s="2074">
        <f>IFERROR(BDP(MO.Ticker.Bloomberg&amp;" Equity","INTERVAL_LOW","MARKET_DATA_OVERRIDE=PX_LAST","START_DATE_OVERRIDE",TEXT(INDEX(MO_SNA_FPStartDate,0,COLUMN()),"YYYYMMDD"),"END_DATE_OVERRIDE",TEXT(INDEX(MO_Common_QEndDate,0,COLUMN()),"YYYYMMDD")),"N/A")</f>
        <v/>
      </c>
      <c r="AU794" s="2074">
        <f>IFERROR(BDP(MO.Ticker.Bloomberg&amp;" Equity","INTERVAL_LOW","MARKET_DATA_OVERRIDE=PX_LAST","START_DATE_OVERRIDE",TEXT(INDEX(MO_SNA_FPStartDate,0,COLUMN()),"YYYYMMDD"),"END_DATE_OVERRIDE",TEXT(INDEX(MO_Common_QEndDate,0,COLUMN()),"YYYYMMDD")),"N/A")</f>
        <v/>
      </c>
      <c r="AV794" s="2074">
        <f>IFERROR(BDP(MO.Ticker.Bloomberg&amp;" Equity","INTERVAL_LOW","MARKET_DATA_OVERRIDE=PX_LAST","START_DATE_OVERRIDE",TEXT(INDEX(MO_SNA_FPStartDate,0,COLUMN()),"YYYYMMDD"),"END_DATE_OVERRIDE",TEXT(INDEX(MO_Common_QEndDate,0,COLUMN()),"YYYYMMDD")),"N/A")</f>
        <v/>
      </c>
      <c r="AW794" s="2074">
        <f>IFERROR(BDP(MO.Ticker.Bloomberg&amp;" Equity","INTERVAL_LOW","MARKET_DATA_OVERRIDE=PX_LAST","START_DATE_OVERRIDE",TEXT(INDEX(MO_SNA_FPStartDate,0,COLUMN()),"YYYYMMDD"),"END_DATE_OVERRIDE",TEXT(INDEX(MO_Common_QEndDate,0,COLUMN()),"YYYYMMDD")),"N/A")</f>
        <v/>
      </c>
      <c r="AX794" s="2074">
        <f>IFERROR(BDP(MO.Ticker.Bloomberg&amp;" Equity","INTERVAL_LOW","MARKET_DATA_OVERRIDE=PX_LAST","START_DATE_OVERRIDE",TEXT(INDEX(MO_SNA_FPStartDate,0,COLUMN()),"YYYYMMDD"),"END_DATE_OVERRIDE",TEXT(INDEX(MO_Common_QEndDate,0,COLUMN()),"YYYYMMDD")),"N/A")</f>
        <v/>
      </c>
      <c r="AY794" s="2074">
        <f>IFERROR(BDP(MO.Ticker.Bloomberg&amp;" Equity","INTERVAL_LOW","MARKET_DATA_OVERRIDE=PX_LAST","START_DATE_OVERRIDE",TEXT(INDEX(MO_SNA_FPStartDate,0,COLUMN()),"YYYYMMDD"),"END_DATE_OVERRIDE",TEXT(INDEX(MO_Common_QEndDate,0,COLUMN()),"YYYYMMDD")),"N/A")</f>
        <v/>
      </c>
      <c r="AZ794" s="2074">
        <f>IFERROR(BDP(MO.Ticker.Bloomberg&amp;" Equity","INTERVAL_LOW","MARKET_DATA_OVERRIDE=PX_LAST","START_DATE_OVERRIDE",TEXT(INDEX(MO_SNA_FPStartDate,0,COLUMN()),"YYYYMMDD"),"END_DATE_OVERRIDE",TEXT(INDEX(MO_Common_QEndDate,0,COLUMN()),"YYYYMMDD")),"N/A")</f>
        <v/>
      </c>
      <c r="BA794" s="2074">
        <f>IFERROR(BDP(MO.Ticker.Bloomberg&amp;" Equity","INTERVAL_LOW","MARKET_DATA_OVERRIDE=PX_LAST","START_DATE_OVERRIDE",TEXT(INDEX(MO_SNA_FPStartDate,0,COLUMN()),"YYYYMMDD"),"END_DATE_OVERRIDE",TEXT(INDEX(MO_Common_QEndDate,0,COLUMN()),"YYYYMMDD")),"N/A")</f>
        <v/>
      </c>
      <c r="BB794" s="2074">
        <f>IFERROR(BDP(MO.Ticker.Bloomberg&amp;" Equity","INTERVAL_LOW","MARKET_DATA_OVERRIDE=PX_LAST","START_DATE_OVERRIDE",TEXT(INDEX(MO_SNA_FPStartDate,0,COLUMN()),"YYYYMMDD"),"END_DATE_OVERRIDE",TEXT(INDEX(MO_Common_QEndDate,0,COLUMN()),"YYYYMMDD")),"N/A")</f>
        <v/>
      </c>
      <c r="BC794" s="2074">
        <f>IFERROR(BDP(MO.Ticker.Bloomberg&amp;" Equity","INTERVAL_LOW","MARKET_DATA_OVERRIDE=PX_LAST","START_DATE_OVERRIDE",TEXT(INDEX(MO_SNA_FPStartDate,0,COLUMN()),"YYYYMMDD"),"END_DATE_OVERRIDE",TEXT(INDEX(MO_Common_QEndDate,0,COLUMN()),"YYYYMMDD")),"N/A")</f>
        <v/>
      </c>
      <c r="BD794" s="2074">
        <f>IFERROR(BDP(MO.Ticker.Bloomberg&amp;" Equity","INTERVAL_LOW","MARKET_DATA_OVERRIDE=PX_LAST","START_DATE_OVERRIDE",TEXT(INDEX(MO_SNA_FPStartDate,0,COLUMN()),"YYYYMMDD"),"END_DATE_OVERRIDE",TEXT(INDEX(MO_Common_QEndDate,0,COLUMN()),"YYYYMMDD")),"N/A")</f>
        <v/>
      </c>
      <c r="BE794" s="2074">
        <f>IFERROR(BDP(MO.Ticker.Bloomberg&amp;" Equity","INTERVAL_LOW","MARKET_DATA_OVERRIDE=PX_LAST","START_DATE_OVERRIDE",TEXT(INDEX(MO_SNA_FPStartDate,0,COLUMN()),"YYYYMMDD"),"END_DATE_OVERRIDE",TEXT(INDEX(MO_Common_QEndDate,0,COLUMN()),"YYYYMMDD")),"N/A")</f>
        <v/>
      </c>
      <c r="BF794" s="2074">
        <f>IFERROR(BDP(MO.Ticker.Bloomberg&amp;" Equity","INTERVAL_LOW","MARKET_DATA_OVERRIDE=PX_LAST","START_DATE_OVERRIDE",TEXT(INDEX(MO_SNA_FPStartDate,0,COLUMN()),"YYYYMMDD"),"END_DATE_OVERRIDE",TEXT(INDEX(MO_Common_QEndDate,0,COLUMN()),"YYYYMMDD")),"N/A")</f>
        <v/>
      </c>
      <c r="BG794" s="2074">
        <f>IFERROR(BDP(MO.Ticker.Bloomberg&amp;" Equity","INTERVAL_LOW","MARKET_DATA_OVERRIDE=PX_LAST","START_DATE_OVERRIDE",TEXT(INDEX(MO_SNA_FPStartDate,0,COLUMN()),"YYYYMMDD"),"END_DATE_OVERRIDE",TEXT(INDEX(MO_Common_QEndDate,0,COLUMN()),"YYYYMMDD")),"N/A")</f>
        <v/>
      </c>
      <c r="BH794" s="2074">
        <f>IFERROR(BDP(MO.Ticker.Bloomberg&amp;" Equity","INTERVAL_LOW","MARKET_DATA_OVERRIDE=PX_LAST","START_DATE_OVERRIDE",TEXT(INDEX(MO_SNA_FPStartDate,0,COLUMN()),"YYYYMMDD"),"END_DATE_OVERRIDE",TEXT(INDEX(MO_Common_QEndDate,0,COLUMN()),"YYYYMMDD")),"N/A")</f>
        <v/>
      </c>
      <c r="BI794" s="2074">
        <f>IFERROR(BDP(MO.Ticker.Bloomberg&amp;" Equity","INTERVAL_LOW","MARKET_DATA_OVERRIDE=PX_LAST","START_DATE_OVERRIDE",TEXT(INDEX(MO_SNA_FPStartDate,0,COLUMN()),"YYYYMMDD"),"END_DATE_OVERRIDE",TEXT(INDEX(MO_Common_QEndDate,0,COLUMN()),"YYYYMMDD")),"N/A")</f>
        <v/>
      </c>
      <c r="BJ794" s="2074">
        <f>IFERROR(BDP(MO.Ticker.Bloomberg&amp;" Equity","INTERVAL_LOW","MARKET_DATA_OVERRIDE=PX_LAST","START_DATE_OVERRIDE",TEXT(INDEX(MO_SNA_FPStartDate,0,COLUMN()),"YYYYMMDD"),"END_DATE_OVERRIDE",TEXT(INDEX(MO_Common_QEndDate,0,COLUMN()),"YYYYMMDD")),"N/A")</f>
        <v/>
      </c>
      <c r="BK794" s="2074">
        <f>IFERROR(BDP(MO.Ticker.Bloomberg&amp;" Equity","INTERVAL_LOW","MARKET_DATA_OVERRIDE=PX_LAST","START_DATE_OVERRIDE",TEXT(INDEX(MO_SNA_FPStartDate,0,COLUMN()),"YYYYMMDD"),"END_DATE_OVERRIDE",TEXT(INDEX(MO_Common_QEndDate,0,COLUMN()),"YYYYMMDD")),"N/A")</f>
        <v/>
      </c>
      <c r="BL794" s="2074">
        <f>IFERROR(BDP(MO.Ticker.Bloomberg&amp;" Equity","INTERVAL_LOW","MARKET_DATA_OVERRIDE=PX_LAST","START_DATE_OVERRIDE",TEXT(INDEX(MO_SNA_FPStartDate,0,COLUMN()),"YYYYMMDD"),"END_DATE_OVERRIDE",TEXT(INDEX(MO_Common_QEndDate,0,COLUMN()),"YYYYMMDD")),"N/A")</f>
        <v/>
      </c>
      <c r="BM794" s="2074">
        <f>IFERROR(BDP(MO.Ticker.Bloomberg&amp;" Equity","INTERVAL_LOW","MARKET_DATA_OVERRIDE=PX_LAST","START_DATE_OVERRIDE",TEXT(INDEX(MO_SNA_FPStartDate,0,COLUMN()),"YYYYMMDD"),"END_DATE_OVERRIDE",TEXT(INDEX(MO_Common_QEndDate,0,COLUMN()),"YYYYMMDD")),"N/A")</f>
        <v/>
      </c>
      <c r="BN794" s="2074">
        <f>IFERROR(BDP(MO.Ticker.Bloomberg&amp;" Equity","INTERVAL_LOW","MARKET_DATA_OVERRIDE=PX_LAST","START_DATE_OVERRIDE",TEXT(INDEX(MO_SNA_FPStartDate,0,COLUMN()),"YYYYMMDD"),"END_DATE_OVERRIDE",TEXT(INDEX(MO_Common_QEndDate,0,COLUMN()),"YYYYMMDD")),"N/A")</f>
        <v/>
      </c>
      <c r="BO794" s="2076">
        <f>IFERROR(BDP(MO.Ticker.Bloomberg&amp;" Equity","INTERVAL_LOW","MARKET_DATA_OVERRIDE=PX_LAST","START_DATE_OVERRIDE",TEXT(INDEX(MO_SNA_FPStartDate,0,COLUMN()),"YYYYMMDD"),"END_DATE_OVERRIDE",TEXT(INDEX(MO_Common_QEndDate,0,COLUMN()),"YYYYMMDD")),"N/A")</f>
        <v/>
      </c>
      <c r="BP794" s="2074">
        <f>IFERROR(BDP(MO.Ticker.Bloomberg&amp;" Equity","INTERVAL_LOW","MARKET_DATA_OVERRIDE=PX_LAST","START_DATE_OVERRIDE",TEXT(INDEX(MO_SNA_FPStartDate,0,COLUMN()),"YYYYMMDD"),"END_DATE_OVERRIDE",TEXT(INDEX(MO_Common_QEndDate,0,COLUMN()),"YYYYMMDD")),"N/A")</f>
        <v/>
      </c>
      <c r="BQ794" s="2074">
        <f>IFERROR(BDP(MO.Ticker.Bloomberg&amp;" Equity","INTERVAL_LOW","MARKET_DATA_OVERRIDE=PX_LAST","START_DATE_OVERRIDE",TEXT(INDEX(MO_SNA_FPStartDate,0,COLUMN()),"YYYYMMDD"),"END_DATE_OVERRIDE",TEXT(INDEX(MO_Common_QEndDate,0,COLUMN()),"YYYYMMDD")),"N/A")</f>
        <v/>
      </c>
      <c r="BR794" s="2074">
        <f>IFERROR(BDP(MO.Ticker.Bloomberg&amp;" Equity","INTERVAL_LOW","MARKET_DATA_OVERRIDE=PX_LAST","START_DATE_OVERRIDE",TEXT(INDEX(MO_SNA_FPStartDate,0,COLUMN()),"YYYYMMDD"),"END_DATE_OVERRIDE",TEXT(INDEX(MO_Common_QEndDate,0,COLUMN()),"YYYYMMDD")),"N/A")</f>
        <v/>
      </c>
      <c r="BS794" s="2074">
        <f>IFERROR(BDP(MO.Ticker.Bloomberg&amp;" Equity","INTERVAL_LOW","MARKET_DATA_OVERRIDE=PX_LAST","START_DATE_OVERRIDE",TEXT(INDEX(MO_SNA_FPStartDate,0,COLUMN()),"YYYYMMDD"),"END_DATE_OVERRIDE",TEXT(INDEX(MO_Common_QEndDate,0,COLUMN()),"YYYYMMDD")),"N/A")</f>
        <v/>
      </c>
      <c r="BT794" s="2074">
        <f>IFERROR(BDP(MO.Ticker.Bloomberg&amp;" Equity","INTERVAL_LOW","MARKET_DATA_OVERRIDE=PX_LAST","START_DATE_OVERRIDE",TEXT(INDEX(MO_SNA_FPStartDate,0,COLUMN()),"YYYYMMDD"),"END_DATE_OVERRIDE",TEXT(INDEX(MO_Common_QEndDate,0,COLUMN()),"YYYYMMDD")),"N/A")</f>
        <v/>
      </c>
      <c r="BU794" s="2074">
        <f>IFERROR(BDP(MO.Ticker.Bloomberg&amp;" Equity","INTERVAL_LOW","MARKET_DATA_OVERRIDE=PX_LAST","START_DATE_OVERRIDE",TEXT(INDEX(MO_SNA_FPStartDate,0,COLUMN()),"YYYYMMDD"),"END_DATE_OVERRIDE",TEXT(INDEX(MO_Common_QEndDate,0,COLUMN()),"YYYYMMDD")),"N/A")</f>
        <v/>
      </c>
      <c r="BV794" s="2074">
        <f>IFERROR(BDP(MO.Ticker.Bloomberg&amp;" Equity","INTERVAL_LOW","MARKET_DATA_OVERRIDE=PX_LAST","START_DATE_OVERRIDE",TEXT(INDEX(MO_SNA_FPStartDate,0,COLUMN()),"YYYYMMDD"),"END_DATE_OVERRIDE",TEXT(INDEX(MO_Common_QEndDate,0,COLUMN()),"YYYYMMDD")),"N/A")</f>
        <v/>
      </c>
      <c r="BW794" s="2074">
        <f>IFERROR(BDP(MO.Ticker.Bloomberg&amp;" Equity","INTERVAL_LOW","MARKET_DATA_OVERRIDE=PX_LAST","START_DATE_OVERRIDE",TEXT(INDEX(MO_SNA_FPStartDate,0,COLUMN()),"YYYYMMDD"),"END_DATE_OVERRIDE",TEXT(INDEX(MO_Common_QEndDate,0,COLUMN()),"YYYYMMDD")),"N/A")</f>
        <v/>
      </c>
      <c r="BX794" s="2074">
        <f>IFERROR(BDP(MO.Ticker.Bloomberg&amp;" Equity","INTERVAL_LOW","MARKET_DATA_OVERRIDE=PX_LAST","START_DATE_OVERRIDE",TEXT(INDEX(MO_SNA_FPStartDate,0,COLUMN()),"YYYYMMDD"),"END_DATE_OVERRIDE",TEXT(INDEX(MO_Common_QEndDate,0,COLUMN()),"YYYYMMDD")),"N/A")</f>
        <v/>
      </c>
      <c r="BY794" s="2074">
        <f>IFERROR(BDP(MO.Ticker.Bloomberg&amp;" Equity","INTERVAL_LOW","MARKET_DATA_OVERRIDE=PX_LAST","START_DATE_OVERRIDE",TEXT(INDEX(MO_SNA_FPStartDate,0,COLUMN()),"YYYYMMDD"),"END_DATE_OVERRIDE",TEXT(INDEX(MO_Common_QEndDate,0,COLUMN()),"YYYYMMDD")),"N/A")</f>
        <v/>
      </c>
      <c r="BZ794" s="2074">
        <f>IFERROR(BDP(MO.Ticker.Bloomberg&amp;" Equity","INTERVAL_LOW","MARKET_DATA_OVERRIDE=PX_LAST","START_DATE_OVERRIDE",TEXT(INDEX(MO_SNA_FPStartDate,0,COLUMN()),"YYYYMMDD"),"END_DATE_OVERRIDE",TEXT(INDEX(MO_Common_QEndDate,0,COLUMN()),"YYYYMMDD")),"N/A")</f>
        <v/>
      </c>
      <c r="CA794" s="2074">
        <f>IFERROR(BDP(MO.Ticker.Bloomberg&amp;" Equity","INTERVAL_LOW","MARKET_DATA_OVERRIDE=PX_LAST","START_DATE_OVERRIDE",TEXT(INDEX(MO_SNA_FPStartDate,0,COLUMN()),"YYYYMMDD"),"END_DATE_OVERRIDE",TEXT(INDEX(MO_Common_QEndDate,0,COLUMN()),"YYYYMMDD")),"N/A")</f>
        <v/>
      </c>
      <c r="CB794" s="2077">
        <f>IFERROR(BDP(MO.Ticker.Bloomberg&amp;" Equity","INTERVAL_LOW","MARKET_DATA_OVERRIDE=PX_LAST","START_DATE_OVERRIDE",TEXT(INDEX(MO_SNA_FPStartDate,0,COLUMN()),"YYYYMMDD"),"END_DATE_OVERRIDE",TEXT(INDEX(MO_Common_QEndDate,0,COLUMN()),"YYYYMMDD")),"N/A")</f>
        <v/>
      </c>
      <c r="CC794" s="2078" t="n"/>
    </row>
    <row r="795" hidden="1" outlineLevel="1" ht="15" customFormat="1" customHeight="1" s="1945">
      <c r="A795" s="2079" t="inlineStr">
        <is>
          <t>Capital IQ</t>
        </is>
      </c>
      <c r="B795" s="2074" t="n"/>
      <c r="C795" s="2075">
        <f>IFERROR(CIQLO(MO.Ticker.CapIQ,"IQ_LASTSALEPRICE",INDEX(MO_SNA_FPStartDate,0,COLUMN()),INDEX(MO_Common_QEndDate,0,COLUMN())),"N/A")</f>
        <v/>
      </c>
      <c r="D795" s="2075">
        <f>IFERROR(CIQLO(MO.Ticker.CapIQ,"IQ_LASTSALEPRICE",INDEX(MO_SNA_FPStartDate,0,COLUMN()),INDEX(MO_Common_QEndDate,0,COLUMN())),"N/A")</f>
        <v/>
      </c>
      <c r="E795" s="2074">
        <f>IFERROR(CIQLO(MO.Ticker.CapIQ,"IQ_LASTSALEPRICE",INDEX(MO_SNA_FPStartDate,0,COLUMN()),INDEX(MO_Common_QEndDate,0,COLUMN())),"N/A")</f>
        <v/>
      </c>
      <c r="F795" s="2074">
        <f>IFERROR(CIQLO(MO.Ticker.CapIQ,"IQ_LASTSALEPRICE",INDEX(MO_SNA_FPStartDate,0,COLUMN()),INDEX(MO_Common_QEndDate,0,COLUMN())),"N/A")</f>
        <v/>
      </c>
      <c r="G795" s="2074">
        <f>IFERROR(CIQLO(MO.Ticker.CapIQ,"IQ_LASTSALEPRICE",INDEX(MO_SNA_FPStartDate,0,COLUMN()),INDEX(MO_Common_QEndDate,0,COLUMN())),"N/A")</f>
        <v/>
      </c>
      <c r="H795" s="2074">
        <f>IFERROR(CIQLO(MO.Ticker.CapIQ,"IQ_LASTSALEPRICE",INDEX(MO_SNA_FPStartDate,0,COLUMN()),INDEX(MO_Common_QEndDate,0,COLUMN())),"N/A")</f>
        <v/>
      </c>
      <c r="I795" s="2074">
        <f>IFERROR(CIQLO(MO.Ticker.CapIQ,"IQ_LASTSALEPRICE",INDEX(MO_SNA_FPStartDate,0,COLUMN()),INDEX(MO_Common_QEndDate,0,COLUMN())),"N/A")</f>
        <v/>
      </c>
      <c r="J795" s="2074">
        <f>IFERROR(CIQLO(MO.Ticker.CapIQ,"IQ_LASTSALEPRICE",INDEX(MO_SNA_FPStartDate,0,COLUMN()),INDEX(MO_Common_QEndDate,0,COLUMN())),"N/A")</f>
        <v/>
      </c>
      <c r="K795" s="2074">
        <f>IFERROR(CIQLO(MO.Ticker.CapIQ,"IQ_LASTSALEPRICE",INDEX(MO_SNA_FPStartDate,0,COLUMN()),INDEX(MO_Common_QEndDate,0,COLUMN())),"N/A")</f>
        <v/>
      </c>
      <c r="L795" s="2074">
        <f>IFERROR(CIQLO(MO.Ticker.CapIQ,"IQ_LASTSALEPRICE",INDEX(MO_SNA_FPStartDate,0,COLUMN()),INDEX(MO_Common_QEndDate,0,COLUMN())),"N/A")</f>
        <v/>
      </c>
      <c r="M795" s="2074">
        <f>IFERROR(CIQLO(MO.Ticker.CapIQ,"IQ_LASTSALEPRICE",INDEX(MO_SNA_FPStartDate,0,COLUMN()),INDEX(MO_Common_QEndDate,0,COLUMN())),"N/A")</f>
        <v/>
      </c>
      <c r="N795" s="2074">
        <f>IFERROR(CIQLO(MO.Ticker.CapIQ,"IQ_LASTSALEPRICE",INDEX(MO_SNA_FPStartDate,0,COLUMN()),INDEX(MO_Common_QEndDate,0,COLUMN())),"N/A")</f>
        <v/>
      </c>
      <c r="O795" s="2074">
        <f>IFERROR(CIQLO(MO.Ticker.CapIQ,"IQ_LASTSALEPRICE",INDEX(MO_SNA_FPStartDate,0,COLUMN()),INDEX(MO_Common_QEndDate,0,COLUMN())),"N/A")</f>
        <v/>
      </c>
      <c r="P795" s="2074">
        <f>IFERROR(CIQLO(MO.Ticker.CapIQ,"IQ_LASTSALEPRICE",INDEX(MO_SNA_FPStartDate,0,COLUMN()),INDEX(MO_Common_QEndDate,0,COLUMN())),"N/A")</f>
        <v/>
      </c>
      <c r="Q795" s="2074">
        <f>IFERROR(CIQLO(MO.Ticker.CapIQ,"IQ_LASTSALEPRICE",INDEX(MO_SNA_FPStartDate,0,COLUMN()),INDEX(MO_Common_QEndDate,0,COLUMN())),"N/A")</f>
        <v/>
      </c>
      <c r="R795" s="2074">
        <f>IFERROR(CIQLO(MO.Ticker.CapIQ,"IQ_LASTSALEPRICE",INDEX(MO_SNA_FPStartDate,0,COLUMN()),INDEX(MO_Common_QEndDate,0,COLUMN())),"N/A")</f>
        <v/>
      </c>
      <c r="S795" s="2074">
        <f>IFERROR(CIQLO(MO.Ticker.CapIQ,"IQ_LASTSALEPRICE",INDEX(MO_SNA_FPStartDate,0,COLUMN()),INDEX(MO_Common_QEndDate,0,COLUMN())),"N/A")</f>
        <v/>
      </c>
      <c r="T795" s="2074">
        <f>IFERROR(CIQLO(MO.Ticker.CapIQ,"IQ_LASTSALEPRICE",INDEX(MO_SNA_FPStartDate,0,COLUMN()),INDEX(MO_Common_QEndDate,0,COLUMN())),"N/A")</f>
        <v/>
      </c>
      <c r="U795" s="2074">
        <f>IFERROR(CIQLO(MO.Ticker.CapIQ,"IQ_LASTSALEPRICE",INDEX(MO_SNA_FPStartDate,0,COLUMN()),INDEX(MO_Common_QEndDate,0,COLUMN())),"N/A")</f>
        <v/>
      </c>
      <c r="V795" s="2074">
        <f>IFERROR(CIQLO(MO.Ticker.CapIQ,"IQ_LASTSALEPRICE",INDEX(MO_SNA_FPStartDate,0,COLUMN()),INDEX(MO_Common_QEndDate,0,COLUMN())),"N/A")</f>
        <v/>
      </c>
      <c r="W795" s="2074">
        <f>IFERROR(CIQLO(MO.Ticker.CapIQ,"IQ_LASTSALEPRICE",INDEX(MO_SNA_FPStartDate,0,COLUMN()),INDEX(MO_Common_QEndDate,0,COLUMN())),"N/A")</f>
        <v/>
      </c>
      <c r="X795" s="2074">
        <f>IFERROR(CIQLO(MO.Ticker.CapIQ,"IQ_LASTSALEPRICE",INDEX(MO_SNA_FPStartDate,0,COLUMN()),INDEX(MO_Common_QEndDate,0,COLUMN())),"N/A")</f>
        <v/>
      </c>
      <c r="Y795" s="2074">
        <f>IFERROR(CIQLO(MO.Ticker.CapIQ,"IQ_LASTSALEPRICE",INDEX(MO_SNA_FPStartDate,0,COLUMN()),INDEX(MO_Common_QEndDate,0,COLUMN())),"N/A")</f>
        <v/>
      </c>
      <c r="Z795" s="2074">
        <f>IFERROR(CIQLO(MO.Ticker.CapIQ,"IQ_LASTSALEPRICE",INDEX(MO_SNA_FPStartDate,0,COLUMN()),INDEX(MO_Common_QEndDate,0,COLUMN())),"N/A")</f>
        <v/>
      </c>
      <c r="AA795" s="2074">
        <f>IFERROR(CIQLO(MO.Ticker.CapIQ,"IQ_LASTSALEPRICE",INDEX(MO_SNA_FPStartDate,0,COLUMN()),INDEX(MO_Common_QEndDate,0,COLUMN())),"N/A")</f>
        <v/>
      </c>
      <c r="AB795" s="2074">
        <f>IFERROR(CIQLO(MO.Ticker.CapIQ,"IQ_LASTSALEPRICE",INDEX(MO_SNA_FPStartDate,0,COLUMN()),INDEX(MO_Common_QEndDate,0,COLUMN())),"N/A")</f>
        <v/>
      </c>
      <c r="AC795" s="2074">
        <f>IFERROR(CIQLO(MO.Ticker.CapIQ,"IQ_LASTSALEPRICE",INDEX(MO_SNA_FPStartDate,0,COLUMN()),INDEX(MO_Common_QEndDate,0,COLUMN())),"N/A")</f>
        <v/>
      </c>
      <c r="AD795" s="2074">
        <f>IFERROR(CIQLO(MO.Ticker.CapIQ,"IQ_LASTSALEPRICE",INDEX(MO_SNA_FPStartDate,0,COLUMN()),INDEX(MO_Common_QEndDate,0,COLUMN())),"N/A")</f>
        <v/>
      </c>
      <c r="AE795" s="2074">
        <f>IFERROR(CIQLO(MO.Ticker.CapIQ,"IQ_LASTSALEPRICE",INDEX(MO_SNA_FPStartDate,0,COLUMN()),INDEX(MO_Common_QEndDate,0,COLUMN())),"N/A")</f>
        <v/>
      </c>
      <c r="AF795" s="2074">
        <f>IFERROR(CIQLO(MO.Ticker.CapIQ,"IQ_LASTSALEPRICE",INDEX(MO_SNA_FPStartDate,0,COLUMN()),INDEX(MO_Common_QEndDate,0,COLUMN())),"N/A")</f>
        <v/>
      </c>
      <c r="AG795" s="2074">
        <f>IFERROR(CIQLO(MO.Ticker.CapIQ,"IQ_LASTSALEPRICE",INDEX(MO_SNA_FPStartDate,0,COLUMN()),INDEX(MO_Common_QEndDate,0,COLUMN())),"N/A")</f>
        <v/>
      </c>
      <c r="AH795" s="2074">
        <f>IFERROR(CIQLO(MO.Ticker.CapIQ,"IQ_LASTSALEPRICE",INDEX(MO_SNA_FPStartDate,0,COLUMN()),INDEX(MO_Common_QEndDate,0,COLUMN())),"N/A")</f>
        <v/>
      </c>
      <c r="AI795" s="2074">
        <f>IFERROR(CIQLO(MO.Ticker.CapIQ,"IQ_LASTSALEPRICE",INDEX(MO_SNA_FPStartDate,0,COLUMN()),INDEX(MO_Common_QEndDate,0,COLUMN())),"N/A")</f>
        <v/>
      </c>
      <c r="AJ795" s="2074">
        <f>IFERROR(CIQLO(MO.Ticker.CapIQ,"IQ_LASTSALEPRICE",INDEX(MO_SNA_FPStartDate,0,COLUMN()),INDEX(MO_Common_QEndDate,0,COLUMN())),"N/A")</f>
        <v/>
      </c>
      <c r="AK795" s="2074">
        <f>IFERROR(CIQLO(MO.Ticker.CapIQ,"IQ_LASTSALEPRICE",INDEX(MO_SNA_FPStartDate,0,COLUMN()),INDEX(MO_Common_QEndDate,0,COLUMN())),"N/A")</f>
        <v/>
      </c>
      <c r="AL795" s="2074">
        <f>IFERROR(CIQLO(MO.Ticker.CapIQ,"IQ_LASTSALEPRICE",INDEX(MO_SNA_FPStartDate,0,COLUMN()),INDEX(MO_Common_QEndDate,0,COLUMN())),"N/A")</f>
        <v/>
      </c>
      <c r="AM795" s="2074">
        <f>IFERROR(CIQLO(MO.Ticker.CapIQ,"IQ_LASTSALEPRICE",INDEX(MO_SNA_FPStartDate,0,COLUMN()),INDEX(MO_Common_QEndDate,0,COLUMN())),"N/A")</f>
        <v/>
      </c>
      <c r="AN795" s="2074">
        <f>IFERROR(CIQLO(MO.Ticker.CapIQ,"IQ_LASTSALEPRICE",INDEX(MO_SNA_FPStartDate,0,COLUMN()),INDEX(MO_Common_QEndDate,0,COLUMN())),"N/A")</f>
        <v/>
      </c>
      <c r="AO795" s="2074">
        <f>IFERROR(CIQLO(MO.Ticker.CapIQ,"IQ_LASTSALEPRICE",INDEX(MO_SNA_FPStartDate,0,COLUMN()),INDEX(MO_Common_QEndDate,0,COLUMN())),"N/A")</f>
        <v/>
      </c>
      <c r="AP795" s="2074">
        <f>IFERROR(CIQLO(MO.Ticker.CapIQ,"IQ_LASTSALEPRICE",INDEX(MO_SNA_FPStartDate,0,COLUMN()),INDEX(MO_Common_QEndDate,0,COLUMN())),"N/A")</f>
        <v/>
      </c>
      <c r="AQ795" s="2074">
        <f>IFERROR(CIQLO(MO.Ticker.CapIQ,"IQ_LASTSALEPRICE",INDEX(MO_SNA_FPStartDate,0,COLUMN()),INDEX(MO_Common_QEndDate,0,COLUMN())),"N/A")</f>
        <v/>
      </c>
      <c r="AR795" s="2074">
        <f>IFERROR(CIQLO(MO.Ticker.CapIQ,"IQ_LASTSALEPRICE",INDEX(MO_SNA_FPStartDate,0,COLUMN()),INDEX(MO_Common_QEndDate,0,COLUMN())),"N/A")</f>
        <v/>
      </c>
      <c r="AS795" s="2074">
        <f>IFERROR(CIQLO(MO.Ticker.CapIQ,"IQ_LASTSALEPRICE",INDEX(MO_SNA_FPStartDate,0,COLUMN()),INDEX(MO_Common_QEndDate,0,COLUMN())),"N/A")</f>
        <v/>
      </c>
      <c r="AT795" s="2074">
        <f>IFERROR(CIQLO(MO.Ticker.CapIQ,"IQ_LASTSALEPRICE",INDEX(MO_SNA_FPStartDate,0,COLUMN()),INDEX(MO_Common_QEndDate,0,COLUMN())),"N/A")</f>
        <v/>
      </c>
      <c r="AU795" s="2074">
        <f>IFERROR(CIQLO(MO.Ticker.CapIQ,"IQ_LASTSALEPRICE",INDEX(MO_SNA_FPStartDate,0,COLUMN()),INDEX(MO_Common_QEndDate,0,COLUMN())),"N/A")</f>
        <v/>
      </c>
      <c r="AV795" s="2074">
        <f>IFERROR(CIQLO(MO.Ticker.CapIQ,"IQ_LASTSALEPRICE",INDEX(MO_SNA_FPStartDate,0,COLUMN()),INDEX(MO_Common_QEndDate,0,COLUMN())),"N/A")</f>
        <v/>
      </c>
      <c r="AW795" s="2074">
        <f>IFERROR(CIQLO(MO.Ticker.CapIQ,"IQ_LASTSALEPRICE",INDEX(MO_SNA_FPStartDate,0,COLUMN()),INDEX(MO_Common_QEndDate,0,COLUMN())),"N/A")</f>
        <v/>
      </c>
      <c r="AX795" s="2074">
        <f>IFERROR(CIQLO(MO.Ticker.CapIQ,"IQ_LASTSALEPRICE",INDEX(MO_SNA_FPStartDate,0,COLUMN()),INDEX(MO_Common_QEndDate,0,COLUMN())),"N/A")</f>
        <v/>
      </c>
      <c r="AY795" s="2074">
        <f>IFERROR(CIQLO(MO.Ticker.CapIQ,"IQ_LASTSALEPRICE",INDEX(MO_SNA_FPStartDate,0,COLUMN()),INDEX(MO_Common_QEndDate,0,COLUMN())),"N/A")</f>
        <v/>
      </c>
      <c r="AZ795" s="2074">
        <f>IFERROR(CIQLO(MO.Ticker.CapIQ,"IQ_LASTSALEPRICE",INDEX(MO_SNA_FPStartDate,0,COLUMN()),INDEX(MO_Common_QEndDate,0,COLUMN())),"N/A")</f>
        <v/>
      </c>
      <c r="BA795" s="2074">
        <f>IFERROR(CIQLO(MO.Ticker.CapIQ,"IQ_LASTSALEPRICE",INDEX(MO_SNA_FPStartDate,0,COLUMN()),INDEX(MO_Common_QEndDate,0,COLUMN())),"N/A")</f>
        <v/>
      </c>
      <c r="BB795" s="2074">
        <f>IFERROR(CIQLO(MO.Ticker.CapIQ,"IQ_LASTSALEPRICE",INDEX(MO_SNA_FPStartDate,0,COLUMN()),INDEX(MO_Common_QEndDate,0,COLUMN())),"N/A")</f>
        <v/>
      </c>
      <c r="BC795" s="2074">
        <f>IFERROR(CIQLO(MO.Ticker.CapIQ,"IQ_LASTSALEPRICE",INDEX(MO_SNA_FPStartDate,0,COLUMN()),INDEX(MO_Common_QEndDate,0,COLUMN())),"N/A")</f>
        <v/>
      </c>
      <c r="BD795" s="2074">
        <f>IFERROR(CIQLO(MO.Ticker.CapIQ,"IQ_LASTSALEPRICE",INDEX(MO_SNA_FPStartDate,0,COLUMN()),INDEX(MO_Common_QEndDate,0,COLUMN())),"N/A")</f>
        <v/>
      </c>
      <c r="BE795" s="2074">
        <f>IFERROR(CIQLO(MO.Ticker.CapIQ,"IQ_LASTSALEPRICE",INDEX(MO_SNA_FPStartDate,0,COLUMN()),INDEX(MO_Common_QEndDate,0,COLUMN())),"N/A")</f>
        <v/>
      </c>
      <c r="BF795" s="2074">
        <f>IFERROR(CIQLO(MO.Ticker.CapIQ,"IQ_LASTSALEPRICE",INDEX(MO_SNA_FPStartDate,0,COLUMN()),INDEX(MO_Common_QEndDate,0,COLUMN())),"N/A")</f>
        <v/>
      </c>
      <c r="BG795" s="2074">
        <f>IFERROR(CIQLO(MO.Ticker.CapIQ,"IQ_LASTSALEPRICE",INDEX(MO_SNA_FPStartDate,0,COLUMN()),INDEX(MO_Common_QEndDate,0,COLUMN())),"N/A")</f>
        <v/>
      </c>
      <c r="BH795" s="2074">
        <f>IFERROR(CIQLO(MO.Ticker.CapIQ,"IQ_LASTSALEPRICE",INDEX(MO_SNA_FPStartDate,0,COLUMN()),INDEX(MO_Common_QEndDate,0,COLUMN())),"N/A")</f>
        <v/>
      </c>
      <c r="BI795" s="2074">
        <f>IFERROR(CIQLO(MO.Ticker.CapIQ,"IQ_LASTSALEPRICE",INDEX(MO_SNA_FPStartDate,0,COLUMN()),INDEX(MO_Common_QEndDate,0,COLUMN())),"N/A")</f>
        <v/>
      </c>
      <c r="BJ795" s="2074">
        <f>IFERROR(CIQLO(MO.Ticker.CapIQ,"IQ_LASTSALEPRICE",INDEX(MO_SNA_FPStartDate,0,COLUMN()),INDEX(MO_Common_QEndDate,0,COLUMN())),"N/A")</f>
        <v/>
      </c>
      <c r="BK795" s="2074">
        <f>IFERROR(CIQLO(MO.Ticker.CapIQ,"IQ_LASTSALEPRICE",INDEX(MO_SNA_FPStartDate,0,COLUMN()),INDEX(MO_Common_QEndDate,0,COLUMN())),"N/A")</f>
        <v/>
      </c>
      <c r="BL795" s="2074">
        <f>IFERROR(CIQLO(MO.Ticker.CapIQ,"IQ_LASTSALEPRICE",INDEX(MO_SNA_FPStartDate,0,COLUMN()),INDEX(MO_Common_QEndDate,0,COLUMN())),"N/A")</f>
        <v/>
      </c>
      <c r="BM795" s="2074">
        <f>IFERROR(CIQLO(MO.Ticker.CapIQ,"IQ_LASTSALEPRICE",INDEX(MO_SNA_FPStartDate,0,COLUMN()),INDEX(MO_Common_QEndDate,0,COLUMN())),"N/A")</f>
        <v/>
      </c>
      <c r="BN795" s="2074">
        <f>IFERROR(CIQLO(MO.Ticker.CapIQ,"IQ_LASTSALEPRICE",INDEX(MO_SNA_FPStartDate,0,COLUMN()),INDEX(MO_Common_QEndDate,0,COLUMN())),"N/A")</f>
        <v/>
      </c>
      <c r="BO795" s="2076">
        <f>IFERROR(CIQLO(MO.Ticker.CapIQ,"IQ_LASTSALEPRICE",INDEX(MO_SNA_FPStartDate,0,COLUMN()),INDEX(MO_Common_QEndDate,0,COLUMN())),"N/A")</f>
        <v/>
      </c>
      <c r="BP795" s="2074">
        <f>IFERROR(CIQLO(MO.Ticker.CapIQ,"IQ_LASTSALEPRICE",INDEX(MO_SNA_FPStartDate,0,COLUMN()),INDEX(MO_Common_QEndDate,0,COLUMN())),"N/A")</f>
        <v/>
      </c>
      <c r="BQ795" s="2074">
        <f>IFERROR(CIQLO(MO.Ticker.CapIQ,"IQ_LASTSALEPRICE",INDEX(MO_SNA_FPStartDate,0,COLUMN()),INDEX(MO_Common_QEndDate,0,COLUMN())),"N/A")</f>
        <v/>
      </c>
      <c r="BR795" s="2074">
        <f>IFERROR(CIQLO(MO.Ticker.CapIQ,"IQ_LASTSALEPRICE",INDEX(MO_SNA_FPStartDate,0,COLUMN()),INDEX(MO_Common_QEndDate,0,COLUMN())),"N/A")</f>
        <v/>
      </c>
      <c r="BS795" s="2074">
        <f>IFERROR(CIQLO(MO.Ticker.CapIQ,"IQ_LASTSALEPRICE",INDEX(MO_SNA_FPStartDate,0,COLUMN()),INDEX(MO_Common_QEndDate,0,COLUMN())),"N/A")</f>
        <v/>
      </c>
      <c r="BT795" s="2074">
        <f>IFERROR(CIQLO(MO.Ticker.CapIQ,"IQ_LASTSALEPRICE",INDEX(MO_SNA_FPStartDate,0,COLUMN()),INDEX(MO_Common_QEndDate,0,COLUMN())),"N/A")</f>
        <v/>
      </c>
      <c r="BU795" s="2074">
        <f>IFERROR(CIQLO(MO.Ticker.CapIQ,"IQ_LASTSALEPRICE",INDEX(MO_SNA_FPStartDate,0,COLUMN()),INDEX(MO_Common_QEndDate,0,COLUMN())),"N/A")</f>
        <v/>
      </c>
      <c r="BV795" s="2074">
        <f>IFERROR(CIQLO(MO.Ticker.CapIQ,"IQ_LASTSALEPRICE",INDEX(MO_SNA_FPStartDate,0,COLUMN()),INDEX(MO_Common_QEndDate,0,COLUMN())),"N/A")</f>
        <v/>
      </c>
      <c r="BW795" s="2074">
        <f>IFERROR(CIQLO(MO.Ticker.CapIQ,"IQ_LASTSALEPRICE",INDEX(MO_SNA_FPStartDate,0,COLUMN()),INDEX(MO_Common_QEndDate,0,COLUMN())),"N/A")</f>
        <v/>
      </c>
      <c r="BX795" s="2074">
        <f>IFERROR(CIQLO(MO.Ticker.CapIQ,"IQ_LASTSALEPRICE",INDEX(MO_SNA_FPStartDate,0,COLUMN()),INDEX(MO_Common_QEndDate,0,COLUMN())),"N/A")</f>
        <v/>
      </c>
      <c r="BY795" s="2074">
        <f>IFERROR(CIQLO(MO.Ticker.CapIQ,"IQ_LASTSALEPRICE",INDEX(MO_SNA_FPStartDate,0,COLUMN()),INDEX(MO_Common_QEndDate,0,COLUMN())),"N/A")</f>
        <v/>
      </c>
      <c r="BZ795" s="2074">
        <f>IFERROR(CIQLO(MO.Ticker.CapIQ,"IQ_LASTSALEPRICE",INDEX(MO_SNA_FPStartDate,0,COLUMN()),INDEX(MO_Common_QEndDate,0,COLUMN())),"N/A")</f>
        <v/>
      </c>
      <c r="CA795" s="2074">
        <f>IFERROR(CIQLO(MO.Ticker.CapIQ,"IQ_LASTSALEPRICE",INDEX(MO_SNA_FPStartDate,0,COLUMN()),INDEX(MO_Common_QEndDate,0,COLUMN())),"N/A")</f>
        <v/>
      </c>
      <c r="CB795" s="2077">
        <f>IFERROR(CIQLO(MO.Ticker.CapIQ,"IQ_LASTSALEPRICE",INDEX(MO_SNA_FPStartDate,0,COLUMN()),INDEX(MO_Common_QEndDate,0,COLUMN())),"N/A")</f>
        <v/>
      </c>
      <c r="CC795" s="2078" t="n"/>
    </row>
    <row r="796" hidden="1" outlineLevel="1" ht="15" customFormat="1" customHeight="1" s="1945">
      <c r="A796" s="2079" t="inlineStr">
        <is>
          <t>FactSet</t>
        </is>
      </c>
      <c r="B796" s="2074" t="n"/>
      <c r="C796" s="2075">
        <f>IFERROR(FDS(MO.Ticker.FactSet,"P_PRICE_LOW"&amp;"("&amp;INDEX(MO_SNA_FPStartDate,0,COLUMN())&amp;","&amp;INDEX(MO_Common_QEndDate,0,COLUMN())&amp;",,,,""PRICE"",""CLOSE"")"),"N/A")</f>
        <v/>
      </c>
      <c r="D796" s="2075">
        <f>IFERROR(FDS(MO.Ticker.FactSet,"P_PRICE_LOW"&amp;"("&amp;INDEX(MO_SNA_FPStartDate,0,COLUMN())&amp;","&amp;INDEX(MO_Common_QEndDate,0,COLUMN())&amp;",,,,""PRICE"",""CLOSE"")"),"N/A")</f>
        <v/>
      </c>
      <c r="E796" s="2074">
        <f>IFERROR(FDS(MO.Ticker.FactSet,"P_PRICE_LOW"&amp;"("&amp;INDEX(MO_SNA_FPStartDate,0,COLUMN())&amp;","&amp;INDEX(MO_Common_QEndDate,0,COLUMN())&amp;",,,,""PRICE"",""CLOSE"")"),"N/A")</f>
        <v/>
      </c>
      <c r="F796" s="2074">
        <f>IFERROR(FDS(MO.Ticker.FactSet,"P_PRICE_LOW"&amp;"("&amp;INDEX(MO_SNA_FPStartDate,0,COLUMN())&amp;","&amp;INDEX(MO_Common_QEndDate,0,COLUMN())&amp;",,,,""PRICE"",""CLOSE"")"),"N/A")</f>
        <v/>
      </c>
      <c r="G796" s="2074">
        <f>IFERROR(FDS(MO.Ticker.FactSet,"P_PRICE_LOW"&amp;"("&amp;INDEX(MO_SNA_FPStartDate,0,COLUMN())&amp;","&amp;INDEX(MO_Common_QEndDate,0,COLUMN())&amp;",,,,""PRICE"",""CLOSE"")"),"N/A")</f>
        <v/>
      </c>
      <c r="H796" s="2074">
        <f>IFERROR(FDS(MO.Ticker.FactSet,"P_PRICE_LOW"&amp;"("&amp;INDEX(MO_SNA_FPStartDate,0,COLUMN())&amp;","&amp;INDEX(MO_Common_QEndDate,0,COLUMN())&amp;",,,,""PRICE"",""CLOSE"")"),"N/A")</f>
        <v/>
      </c>
      <c r="I796" s="2074">
        <f>IFERROR(FDS(MO.Ticker.FactSet,"P_PRICE_LOW"&amp;"("&amp;INDEX(MO_SNA_FPStartDate,0,COLUMN())&amp;","&amp;INDEX(MO_Common_QEndDate,0,COLUMN())&amp;",,,,""PRICE"",""CLOSE"")"),"N/A")</f>
        <v/>
      </c>
      <c r="J796" s="2074">
        <f>IFERROR(FDS(MO.Ticker.FactSet,"P_PRICE_LOW"&amp;"("&amp;INDEX(MO_SNA_FPStartDate,0,COLUMN())&amp;","&amp;INDEX(MO_Common_QEndDate,0,COLUMN())&amp;",,,,""PRICE"",""CLOSE"")"),"N/A")</f>
        <v/>
      </c>
      <c r="K796" s="2074">
        <f>IFERROR(FDS(MO.Ticker.FactSet,"P_PRICE_LOW"&amp;"("&amp;INDEX(MO_SNA_FPStartDate,0,COLUMN())&amp;","&amp;INDEX(MO_Common_QEndDate,0,COLUMN())&amp;",,,,""PRICE"",""CLOSE"")"),"N/A")</f>
        <v/>
      </c>
      <c r="L796" s="2074">
        <f>IFERROR(FDS(MO.Ticker.FactSet,"P_PRICE_LOW"&amp;"("&amp;INDEX(MO_SNA_FPStartDate,0,COLUMN())&amp;","&amp;INDEX(MO_Common_QEndDate,0,COLUMN())&amp;",,,,""PRICE"",""CLOSE"")"),"N/A")</f>
        <v/>
      </c>
      <c r="M796" s="2074">
        <f>IFERROR(FDS(MO.Ticker.FactSet,"P_PRICE_LOW"&amp;"("&amp;INDEX(MO_SNA_FPStartDate,0,COLUMN())&amp;","&amp;INDEX(MO_Common_QEndDate,0,COLUMN())&amp;",,,,""PRICE"",""CLOSE"")"),"N/A")</f>
        <v/>
      </c>
      <c r="N796" s="2074">
        <f>IFERROR(FDS(MO.Ticker.FactSet,"P_PRICE_LOW"&amp;"("&amp;INDEX(MO_SNA_FPStartDate,0,COLUMN())&amp;","&amp;INDEX(MO_Common_QEndDate,0,COLUMN())&amp;",,,,""PRICE"",""CLOSE"")"),"N/A")</f>
        <v/>
      </c>
      <c r="O796" s="2074">
        <f>IFERROR(FDS(MO.Ticker.FactSet,"P_PRICE_LOW"&amp;"("&amp;INDEX(MO_SNA_FPStartDate,0,COLUMN())&amp;","&amp;INDEX(MO_Common_QEndDate,0,COLUMN())&amp;",,,,""PRICE"",""CLOSE"")"),"N/A")</f>
        <v/>
      </c>
      <c r="P796" s="2074">
        <f>IFERROR(FDS(MO.Ticker.FactSet,"P_PRICE_LOW"&amp;"("&amp;INDEX(MO_SNA_FPStartDate,0,COLUMN())&amp;","&amp;INDEX(MO_Common_QEndDate,0,COLUMN())&amp;",,,,""PRICE"",""CLOSE"")"),"N/A")</f>
        <v/>
      </c>
      <c r="Q796" s="2074">
        <f>IFERROR(FDS(MO.Ticker.FactSet,"P_PRICE_LOW"&amp;"("&amp;INDEX(MO_SNA_FPStartDate,0,COLUMN())&amp;","&amp;INDEX(MO_Common_QEndDate,0,COLUMN())&amp;",,,,""PRICE"",""CLOSE"")"),"N/A")</f>
        <v/>
      </c>
      <c r="R796" s="2074">
        <f>IFERROR(FDS(MO.Ticker.FactSet,"P_PRICE_LOW"&amp;"("&amp;INDEX(MO_SNA_FPStartDate,0,COLUMN())&amp;","&amp;INDEX(MO_Common_QEndDate,0,COLUMN())&amp;",,,,""PRICE"",""CLOSE"")"),"N/A")</f>
        <v/>
      </c>
      <c r="S796" s="2074">
        <f>IFERROR(FDS(MO.Ticker.FactSet,"P_PRICE_LOW"&amp;"("&amp;INDEX(MO_SNA_FPStartDate,0,COLUMN())&amp;","&amp;INDEX(MO_Common_QEndDate,0,COLUMN())&amp;",,,,""PRICE"",""CLOSE"")"),"N/A")</f>
        <v/>
      </c>
      <c r="T796" s="2074">
        <f>IFERROR(FDS(MO.Ticker.FactSet,"P_PRICE_LOW"&amp;"("&amp;INDEX(MO_SNA_FPStartDate,0,COLUMN())&amp;","&amp;INDEX(MO_Common_QEndDate,0,COLUMN())&amp;",,,,""PRICE"",""CLOSE"")"),"N/A")</f>
        <v/>
      </c>
      <c r="U796" s="2074">
        <f>IFERROR(FDS(MO.Ticker.FactSet,"P_PRICE_LOW"&amp;"("&amp;INDEX(MO_SNA_FPStartDate,0,COLUMN())&amp;","&amp;INDEX(MO_Common_QEndDate,0,COLUMN())&amp;",,,,""PRICE"",""CLOSE"")"),"N/A")</f>
        <v/>
      </c>
      <c r="V796" s="2074">
        <f>IFERROR(FDS(MO.Ticker.FactSet,"P_PRICE_LOW"&amp;"("&amp;INDEX(MO_SNA_FPStartDate,0,COLUMN())&amp;","&amp;INDEX(MO_Common_QEndDate,0,COLUMN())&amp;",,,,""PRICE"",""CLOSE"")"),"N/A")</f>
        <v/>
      </c>
      <c r="W796" s="2074">
        <f>IFERROR(FDS(MO.Ticker.FactSet,"P_PRICE_LOW"&amp;"("&amp;INDEX(MO_SNA_FPStartDate,0,COLUMN())&amp;","&amp;INDEX(MO_Common_QEndDate,0,COLUMN())&amp;",,,,""PRICE"",""CLOSE"")"),"N/A")</f>
        <v/>
      </c>
      <c r="X796" s="2074">
        <f>IFERROR(FDS(MO.Ticker.FactSet,"P_PRICE_LOW"&amp;"("&amp;INDEX(MO_SNA_FPStartDate,0,COLUMN())&amp;","&amp;INDEX(MO_Common_QEndDate,0,COLUMN())&amp;",,,,""PRICE"",""CLOSE"")"),"N/A")</f>
        <v/>
      </c>
      <c r="Y796" s="2074">
        <f>IFERROR(FDS(MO.Ticker.FactSet,"P_PRICE_LOW"&amp;"("&amp;INDEX(MO_SNA_FPStartDate,0,COLUMN())&amp;","&amp;INDEX(MO_Common_QEndDate,0,COLUMN())&amp;",,,,""PRICE"",""CLOSE"")"),"N/A")</f>
        <v/>
      </c>
      <c r="Z796" s="2074">
        <f>IFERROR(FDS(MO.Ticker.FactSet,"P_PRICE_LOW"&amp;"("&amp;INDEX(MO_SNA_FPStartDate,0,COLUMN())&amp;","&amp;INDEX(MO_Common_QEndDate,0,COLUMN())&amp;",,,,""PRICE"",""CLOSE"")"),"N/A")</f>
        <v/>
      </c>
      <c r="AA796" s="2074">
        <f>IFERROR(FDS(MO.Ticker.FactSet,"P_PRICE_LOW"&amp;"("&amp;INDEX(MO_SNA_FPStartDate,0,COLUMN())&amp;","&amp;INDEX(MO_Common_QEndDate,0,COLUMN())&amp;",,,,""PRICE"",""CLOSE"")"),"N/A")</f>
        <v/>
      </c>
      <c r="AB796" s="2074">
        <f>IFERROR(FDS(MO.Ticker.FactSet,"P_PRICE_LOW"&amp;"("&amp;INDEX(MO_SNA_FPStartDate,0,COLUMN())&amp;","&amp;INDEX(MO_Common_QEndDate,0,COLUMN())&amp;",,,,""PRICE"",""CLOSE"")"),"N/A")</f>
        <v/>
      </c>
      <c r="AC796" s="2074">
        <f>IFERROR(FDS(MO.Ticker.FactSet,"P_PRICE_LOW"&amp;"("&amp;INDEX(MO_SNA_FPStartDate,0,COLUMN())&amp;","&amp;INDEX(MO_Common_QEndDate,0,COLUMN())&amp;",,,,""PRICE"",""CLOSE"")"),"N/A")</f>
        <v/>
      </c>
      <c r="AD796" s="2074">
        <f>IFERROR(FDS(MO.Ticker.FactSet,"P_PRICE_LOW"&amp;"("&amp;INDEX(MO_SNA_FPStartDate,0,COLUMN())&amp;","&amp;INDEX(MO_Common_QEndDate,0,COLUMN())&amp;",,,,""PRICE"",""CLOSE"")"),"N/A")</f>
        <v/>
      </c>
      <c r="AE796" s="2074">
        <f>IFERROR(FDS(MO.Ticker.FactSet,"P_PRICE_LOW"&amp;"("&amp;INDEX(MO_SNA_FPStartDate,0,COLUMN())&amp;","&amp;INDEX(MO_Common_QEndDate,0,COLUMN())&amp;",,,,""PRICE"",""CLOSE"")"),"N/A")</f>
        <v/>
      </c>
      <c r="AF796" s="2074">
        <f>IFERROR(FDS(MO.Ticker.FactSet,"P_PRICE_LOW"&amp;"("&amp;INDEX(MO_SNA_FPStartDate,0,COLUMN())&amp;","&amp;INDEX(MO_Common_QEndDate,0,COLUMN())&amp;",,,,""PRICE"",""CLOSE"")"),"N/A")</f>
        <v/>
      </c>
      <c r="AG796" s="2074">
        <f>IFERROR(FDS(MO.Ticker.FactSet,"P_PRICE_LOW"&amp;"("&amp;INDEX(MO_SNA_FPStartDate,0,COLUMN())&amp;","&amp;INDEX(MO_Common_QEndDate,0,COLUMN())&amp;",,,,""PRICE"",""CLOSE"")"),"N/A")</f>
        <v/>
      </c>
      <c r="AH796" s="2074">
        <f>IFERROR(FDS(MO.Ticker.FactSet,"P_PRICE_LOW"&amp;"("&amp;INDEX(MO_SNA_FPStartDate,0,COLUMN())&amp;","&amp;INDEX(MO_Common_QEndDate,0,COLUMN())&amp;",,,,""PRICE"",""CLOSE"")"),"N/A")</f>
        <v/>
      </c>
      <c r="AI796" s="2074">
        <f>IFERROR(FDS(MO.Ticker.FactSet,"P_PRICE_LOW"&amp;"("&amp;INDEX(MO_SNA_FPStartDate,0,COLUMN())&amp;","&amp;INDEX(MO_Common_QEndDate,0,COLUMN())&amp;",,,,""PRICE"",""CLOSE"")"),"N/A")</f>
        <v/>
      </c>
      <c r="AJ796" s="2074">
        <f>IFERROR(FDS(MO.Ticker.FactSet,"P_PRICE_LOW"&amp;"("&amp;INDEX(MO_SNA_FPStartDate,0,COLUMN())&amp;","&amp;INDEX(MO_Common_QEndDate,0,COLUMN())&amp;",,,,""PRICE"",""CLOSE"")"),"N/A")</f>
        <v/>
      </c>
      <c r="AK796" s="2074">
        <f>IFERROR(FDS(MO.Ticker.FactSet,"P_PRICE_LOW"&amp;"("&amp;INDEX(MO_SNA_FPStartDate,0,COLUMN())&amp;","&amp;INDEX(MO_Common_QEndDate,0,COLUMN())&amp;",,,,""PRICE"",""CLOSE"")"),"N/A")</f>
        <v/>
      </c>
      <c r="AL796" s="2074">
        <f>IFERROR(FDS(MO.Ticker.FactSet,"P_PRICE_LOW"&amp;"("&amp;INDEX(MO_SNA_FPStartDate,0,COLUMN())&amp;","&amp;INDEX(MO_Common_QEndDate,0,COLUMN())&amp;",,,,""PRICE"",""CLOSE"")"),"N/A")</f>
        <v/>
      </c>
      <c r="AM796" s="2074">
        <f>IFERROR(FDS(MO.Ticker.FactSet,"P_PRICE_LOW"&amp;"("&amp;INDEX(MO_SNA_FPStartDate,0,COLUMN())&amp;","&amp;INDEX(MO_Common_QEndDate,0,COLUMN())&amp;",,,,""PRICE"",""CLOSE"")"),"N/A")</f>
        <v/>
      </c>
      <c r="AN796" s="2074">
        <f>IFERROR(FDS(MO.Ticker.FactSet,"P_PRICE_LOW"&amp;"("&amp;INDEX(MO_SNA_FPStartDate,0,COLUMN())&amp;","&amp;INDEX(MO_Common_QEndDate,0,COLUMN())&amp;",,,,""PRICE"",""CLOSE"")"),"N/A")</f>
        <v/>
      </c>
      <c r="AO796" s="2074">
        <f>IFERROR(FDS(MO.Ticker.FactSet,"P_PRICE_LOW"&amp;"("&amp;INDEX(MO_SNA_FPStartDate,0,COLUMN())&amp;","&amp;INDEX(MO_Common_QEndDate,0,COLUMN())&amp;",,,,""PRICE"",""CLOSE"")"),"N/A")</f>
        <v/>
      </c>
      <c r="AP796" s="2074">
        <f>IFERROR(FDS(MO.Ticker.FactSet,"P_PRICE_LOW"&amp;"("&amp;INDEX(MO_SNA_FPStartDate,0,COLUMN())&amp;","&amp;INDEX(MO_Common_QEndDate,0,COLUMN())&amp;",,,,""PRICE"",""CLOSE"")"),"N/A")</f>
        <v/>
      </c>
      <c r="AQ796" s="2074">
        <f>IFERROR(FDS(MO.Ticker.FactSet,"P_PRICE_LOW"&amp;"("&amp;INDEX(MO_SNA_FPStartDate,0,COLUMN())&amp;","&amp;INDEX(MO_Common_QEndDate,0,COLUMN())&amp;",,,,""PRICE"",""CLOSE"")"),"N/A")</f>
        <v/>
      </c>
      <c r="AR796" s="2074">
        <f>IFERROR(FDS(MO.Ticker.FactSet,"P_PRICE_LOW"&amp;"("&amp;INDEX(MO_SNA_FPStartDate,0,COLUMN())&amp;","&amp;INDEX(MO_Common_QEndDate,0,COLUMN())&amp;",,,,""PRICE"",""CLOSE"")"),"N/A")</f>
        <v/>
      </c>
      <c r="AS796" s="2074">
        <f>IFERROR(FDS(MO.Ticker.FactSet,"P_PRICE_LOW"&amp;"("&amp;INDEX(MO_SNA_FPStartDate,0,COLUMN())&amp;","&amp;INDEX(MO_Common_QEndDate,0,COLUMN())&amp;",,,,""PRICE"",""CLOSE"")"),"N/A")</f>
        <v/>
      </c>
      <c r="AT796" s="2074">
        <f>IFERROR(FDS(MO.Ticker.FactSet,"P_PRICE_LOW"&amp;"("&amp;INDEX(MO_SNA_FPStartDate,0,COLUMN())&amp;","&amp;INDEX(MO_Common_QEndDate,0,COLUMN())&amp;",,,,""PRICE"",""CLOSE"")"),"N/A")</f>
        <v/>
      </c>
      <c r="AU796" s="2074">
        <f>IFERROR(FDS(MO.Ticker.FactSet,"P_PRICE_LOW"&amp;"("&amp;INDEX(MO_SNA_FPStartDate,0,COLUMN())&amp;","&amp;INDEX(MO_Common_QEndDate,0,COLUMN())&amp;",,,,""PRICE"",""CLOSE"")"),"N/A")</f>
        <v/>
      </c>
      <c r="AV796" s="2074">
        <f>IFERROR(FDS(MO.Ticker.FactSet,"P_PRICE_LOW"&amp;"("&amp;INDEX(MO_SNA_FPStartDate,0,COLUMN())&amp;","&amp;INDEX(MO_Common_QEndDate,0,COLUMN())&amp;",,,,""PRICE"",""CLOSE"")"),"N/A")</f>
        <v/>
      </c>
      <c r="AW796" s="2074">
        <f>IFERROR(FDS(MO.Ticker.FactSet,"P_PRICE_LOW"&amp;"("&amp;INDEX(MO_SNA_FPStartDate,0,COLUMN())&amp;","&amp;INDEX(MO_Common_QEndDate,0,COLUMN())&amp;",,,,""PRICE"",""CLOSE"")"),"N/A")</f>
        <v/>
      </c>
      <c r="AX796" s="2074">
        <f>IFERROR(FDS(MO.Ticker.FactSet,"P_PRICE_LOW"&amp;"("&amp;INDEX(MO_SNA_FPStartDate,0,COLUMN())&amp;","&amp;INDEX(MO_Common_QEndDate,0,COLUMN())&amp;",,,,""PRICE"",""CLOSE"")"),"N/A")</f>
        <v/>
      </c>
      <c r="AY796" s="2074">
        <f>IFERROR(FDS(MO.Ticker.FactSet,"P_PRICE_LOW"&amp;"("&amp;INDEX(MO_SNA_FPStartDate,0,COLUMN())&amp;","&amp;INDEX(MO_Common_QEndDate,0,COLUMN())&amp;",,,,""PRICE"",""CLOSE"")"),"N/A")</f>
        <v/>
      </c>
      <c r="AZ796" s="2074">
        <f>IFERROR(FDS(MO.Ticker.FactSet,"P_PRICE_LOW"&amp;"("&amp;INDEX(MO_SNA_FPStartDate,0,COLUMN())&amp;","&amp;INDEX(MO_Common_QEndDate,0,COLUMN())&amp;",,,,""PRICE"",""CLOSE"")"),"N/A")</f>
        <v/>
      </c>
      <c r="BA796" s="2074">
        <f>IFERROR(FDS(MO.Ticker.FactSet,"P_PRICE_LOW"&amp;"("&amp;INDEX(MO_SNA_FPStartDate,0,COLUMN())&amp;","&amp;INDEX(MO_Common_QEndDate,0,COLUMN())&amp;",,,,""PRICE"",""CLOSE"")"),"N/A")</f>
        <v/>
      </c>
      <c r="BB796" s="2074">
        <f>IFERROR(FDS(MO.Ticker.FactSet,"P_PRICE_LOW"&amp;"("&amp;INDEX(MO_SNA_FPStartDate,0,COLUMN())&amp;","&amp;INDEX(MO_Common_QEndDate,0,COLUMN())&amp;",,,,""PRICE"",""CLOSE"")"),"N/A")</f>
        <v/>
      </c>
      <c r="BC796" s="2074">
        <f>IFERROR(FDS(MO.Ticker.FactSet,"P_PRICE_LOW"&amp;"("&amp;INDEX(MO_SNA_FPStartDate,0,COLUMN())&amp;","&amp;INDEX(MO_Common_QEndDate,0,COLUMN())&amp;",,,,""PRICE"",""CLOSE"")"),"N/A")</f>
        <v/>
      </c>
      <c r="BD796" s="2074">
        <f>IFERROR(FDS(MO.Ticker.FactSet,"P_PRICE_LOW"&amp;"("&amp;INDEX(MO_SNA_FPStartDate,0,COLUMN())&amp;","&amp;INDEX(MO_Common_QEndDate,0,COLUMN())&amp;",,,,""PRICE"",""CLOSE"")"),"N/A")</f>
        <v/>
      </c>
      <c r="BE796" s="2074">
        <f>IFERROR(FDS(MO.Ticker.FactSet,"P_PRICE_LOW"&amp;"("&amp;INDEX(MO_SNA_FPStartDate,0,COLUMN())&amp;","&amp;INDEX(MO_Common_QEndDate,0,COLUMN())&amp;",,,,""PRICE"",""CLOSE"")"),"N/A")</f>
        <v/>
      </c>
      <c r="BF796" s="2074">
        <f>IFERROR(FDS(MO.Ticker.FactSet,"P_PRICE_LOW"&amp;"("&amp;INDEX(MO_SNA_FPStartDate,0,COLUMN())&amp;","&amp;INDEX(MO_Common_QEndDate,0,COLUMN())&amp;",,,,""PRICE"",""CLOSE"")"),"N/A")</f>
        <v/>
      </c>
      <c r="BG796" s="2074">
        <f>IFERROR(FDS(MO.Ticker.FactSet,"P_PRICE_LOW"&amp;"("&amp;INDEX(MO_SNA_FPStartDate,0,COLUMN())&amp;","&amp;INDEX(MO_Common_QEndDate,0,COLUMN())&amp;",,,,""PRICE"",""CLOSE"")"),"N/A")</f>
        <v/>
      </c>
      <c r="BH796" s="2074">
        <f>IFERROR(FDS(MO.Ticker.FactSet,"P_PRICE_LOW"&amp;"("&amp;INDEX(MO_SNA_FPStartDate,0,COLUMN())&amp;","&amp;INDEX(MO_Common_QEndDate,0,COLUMN())&amp;",,,,""PRICE"",""CLOSE"")"),"N/A")</f>
        <v/>
      </c>
      <c r="BI796" s="2074">
        <f>IFERROR(FDS(MO.Ticker.FactSet,"P_PRICE_LOW"&amp;"("&amp;INDEX(MO_SNA_FPStartDate,0,COLUMN())&amp;","&amp;INDEX(MO_Common_QEndDate,0,COLUMN())&amp;",,,,""PRICE"",""CLOSE"")"),"N/A")</f>
        <v/>
      </c>
      <c r="BJ796" s="2074">
        <f>IFERROR(FDS(MO.Ticker.FactSet,"P_PRICE_LOW"&amp;"("&amp;INDEX(MO_SNA_FPStartDate,0,COLUMN())&amp;","&amp;INDEX(MO_Common_QEndDate,0,COLUMN())&amp;",,,,""PRICE"",""CLOSE"")"),"N/A")</f>
        <v/>
      </c>
      <c r="BK796" s="2074">
        <f>IFERROR(FDS(MO.Ticker.FactSet,"P_PRICE_LOW"&amp;"("&amp;INDEX(MO_SNA_FPStartDate,0,COLUMN())&amp;","&amp;INDEX(MO_Common_QEndDate,0,COLUMN())&amp;",,,,""PRICE"",""CLOSE"")"),"N/A")</f>
        <v/>
      </c>
      <c r="BL796" s="2074">
        <f>IFERROR(FDS(MO.Ticker.FactSet,"P_PRICE_LOW"&amp;"("&amp;INDEX(MO_SNA_FPStartDate,0,COLUMN())&amp;","&amp;INDEX(MO_Common_QEndDate,0,COLUMN())&amp;",,,,""PRICE"",""CLOSE"")"),"N/A")</f>
        <v/>
      </c>
      <c r="BM796" s="2074">
        <f>IFERROR(FDS(MO.Ticker.FactSet,"P_PRICE_LOW"&amp;"("&amp;INDEX(MO_SNA_FPStartDate,0,COLUMN())&amp;","&amp;INDEX(MO_Common_QEndDate,0,COLUMN())&amp;",,,,""PRICE"",""CLOSE"")"),"N/A")</f>
        <v/>
      </c>
      <c r="BN796" s="2074">
        <f>IFERROR(FDS(MO.Ticker.FactSet,"P_PRICE_LOW"&amp;"("&amp;INDEX(MO_SNA_FPStartDate,0,COLUMN())&amp;","&amp;INDEX(MO_Common_QEndDate,0,COLUMN())&amp;",,,,""PRICE"",""CLOSE"")"),"N/A")</f>
        <v/>
      </c>
      <c r="BO796" s="2076">
        <f>IFERROR(FDS(MO.Ticker.FactSet,"P_PRICE_LOW"&amp;"("&amp;INDEX(MO_SNA_FPStartDate,0,COLUMN())&amp;","&amp;INDEX(MO_Common_QEndDate,0,COLUMN())&amp;",,,,""PRICE"",""CLOSE"")"),"N/A")</f>
        <v/>
      </c>
      <c r="BP796" s="2074">
        <f>IFERROR(FDS(MO.Ticker.FactSet,"P_PRICE_LOW"&amp;"("&amp;INDEX(MO_SNA_FPStartDate,0,COLUMN())&amp;","&amp;INDEX(MO_Common_QEndDate,0,COLUMN())&amp;",,,,""PRICE"",""CLOSE"")"),"N/A")</f>
        <v/>
      </c>
      <c r="BQ796" s="2074">
        <f>IFERROR(FDS(MO.Ticker.FactSet,"P_PRICE_LOW"&amp;"("&amp;INDEX(MO_SNA_FPStartDate,0,COLUMN())&amp;","&amp;INDEX(MO_Common_QEndDate,0,COLUMN())&amp;",,,,""PRICE"",""CLOSE"")"),"N/A")</f>
        <v/>
      </c>
      <c r="BR796" s="2074">
        <f>IFERROR(FDS(MO.Ticker.FactSet,"P_PRICE_LOW"&amp;"("&amp;INDEX(MO_SNA_FPStartDate,0,COLUMN())&amp;","&amp;INDEX(MO_Common_QEndDate,0,COLUMN())&amp;",,,,""PRICE"",""CLOSE"")"),"N/A")</f>
        <v/>
      </c>
      <c r="BS796" s="2074">
        <f>IFERROR(FDS(MO.Ticker.FactSet,"P_PRICE_LOW"&amp;"("&amp;INDEX(MO_SNA_FPStartDate,0,COLUMN())&amp;","&amp;INDEX(MO_Common_QEndDate,0,COLUMN())&amp;",,,,""PRICE"",""CLOSE"")"),"N/A")</f>
        <v/>
      </c>
      <c r="BT796" s="2074">
        <f>IFERROR(FDS(MO.Ticker.FactSet,"P_PRICE_LOW"&amp;"("&amp;INDEX(MO_SNA_FPStartDate,0,COLUMN())&amp;","&amp;INDEX(MO_Common_QEndDate,0,COLUMN())&amp;",,,,""PRICE"",""CLOSE"")"),"N/A")</f>
        <v/>
      </c>
      <c r="BU796" s="2074">
        <f>IFERROR(FDS(MO.Ticker.FactSet,"P_PRICE_LOW"&amp;"("&amp;INDEX(MO_SNA_FPStartDate,0,COLUMN())&amp;","&amp;INDEX(MO_Common_QEndDate,0,COLUMN())&amp;",,,,""PRICE"",""CLOSE"")"),"N/A")</f>
        <v/>
      </c>
      <c r="BV796" s="2074">
        <f>IFERROR(FDS(MO.Ticker.FactSet,"P_PRICE_LOW"&amp;"("&amp;INDEX(MO_SNA_FPStartDate,0,COLUMN())&amp;","&amp;INDEX(MO_Common_QEndDate,0,COLUMN())&amp;",,,,""PRICE"",""CLOSE"")"),"N/A")</f>
        <v/>
      </c>
      <c r="BW796" s="2074">
        <f>IFERROR(FDS(MO.Ticker.FactSet,"P_PRICE_LOW"&amp;"("&amp;INDEX(MO_SNA_FPStartDate,0,COLUMN())&amp;","&amp;INDEX(MO_Common_QEndDate,0,COLUMN())&amp;",,,,""PRICE"",""CLOSE"")"),"N/A")</f>
        <v/>
      </c>
      <c r="BX796" s="2074">
        <f>IFERROR(FDS(MO.Ticker.FactSet,"P_PRICE_LOW"&amp;"("&amp;INDEX(MO_SNA_FPStartDate,0,COLUMN())&amp;","&amp;INDEX(MO_Common_QEndDate,0,COLUMN())&amp;",,,,""PRICE"",""CLOSE"")"),"N/A")</f>
        <v/>
      </c>
      <c r="BY796" s="2074">
        <f>IFERROR(FDS(MO.Ticker.FactSet,"P_PRICE_LOW"&amp;"("&amp;INDEX(MO_SNA_FPStartDate,0,COLUMN())&amp;","&amp;INDEX(MO_Common_QEndDate,0,COLUMN())&amp;",,,,""PRICE"",""CLOSE"")"),"N/A")</f>
        <v/>
      </c>
      <c r="BZ796" s="2074">
        <f>IFERROR(FDS(MO.Ticker.FactSet,"P_PRICE_LOW"&amp;"("&amp;INDEX(MO_SNA_FPStartDate,0,COLUMN())&amp;","&amp;INDEX(MO_Common_QEndDate,0,COLUMN())&amp;",,,,""PRICE"",""CLOSE"")"),"N/A")</f>
        <v/>
      </c>
      <c r="CA796" s="2074">
        <f>IFERROR(FDS(MO.Ticker.FactSet,"P_PRICE_LOW"&amp;"("&amp;INDEX(MO_SNA_FPStartDate,0,COLUMN())&amp;","&amp;INDEX(MO_Common_QEndDate,0,COLUMN())&amp;",,,,""PRICE"",""CLOSE"")"),"N/A")</f>
        <v/>
      </c>
      <c r="CB796" s="2077">
        <f>IFERROR(FDS(MO.Ticker.FactSet,"P_PRICE_LOW"&amp;"("&amp;INDEX(MO_SNA_FPStartDate,0,COLUMN())&amp;","&amp;INDEX(MO_Common_QEndDate,0,COLUMN())&amp;",,,,""PRICE"",""CLOSE"")"),"N/A")</f>
        <v/>
      </c>
      <c r="CC796" s="2078" t="n"/>
    </row>
    <row r="797" hidden="1" outlineLevel="1" ht="15" customFormat="1" customHeight="1" s="1945">
      <c r="A797" s="2079" t="inlineStr">
        <is>
          <t>Refinitiv</t>
        </is>
      </c>
      <c r="B797" s="2074" t="n"/>
      <c r="C797" s="2075">
        <f>IFERROR(_xll.TR(MO.Ticker.Thomson,"Min(TR.PriceLow)","sdate:#1 edate:#2",,INDEX(MO_SNA_FPStartDate,0,COLUMN()),INDEX(MO_Common_QEndDate,0,COLUMN())),"N/A")</f>
        <v/>
      </c>
      <c r="D797" s="2075">
        <f>IFERROR(_xll.TR(MO.Ticker.Thomson,"Min(TR.PriceLow)","sdate:#1 edate:#2",,INDEX(MO_SNA_FPStartDate,0,COLUMN()),INDEX(MO_Common_QEndDate,0,COLUMN())),"N/A")</f>
        <v/>
      </c>
      <c r="E797" s="2074">
        <f>IFERROR(_xll.TR(MO.Ticker.Thomson,"Min(TR.PriceLow)","sdate:#1 edate:#2",,INDEX(MO_SNA_FPStartDate,0,COLUMN()),INDEX(MO_Common_QEndDate,0,COLUMN())),"N/A")</f>
        <v/>
      </c>
      <c r="F797" s="2074">
        <f>IFERROR(_xll.TR(MO.Ticker.Thomson,"Min(TR.PriceLow)","sdate:#1 edate:#2",,INDEX(MO_SNA_FPStartDate,0,COLUMN()),INDEX(MO_Common_QEndDate,0,COLUMN())),"N/A")</f>
        <v/>
      </c>
      <c r="G797" s="2074">
        <f>IFERROR(_xll.TR(MO.Ticker.Thomson,"Min(TR.PriceLow)","sdate:#1 edate:#2",,INDEX(MO_SNA_FPStartDate,0,COLUMN()),INDEX(MO_Common_QEndDate,0,COLUMN())),"N/A")</f>
        <v/>
      </c>
      <c r="H797" s="2074">
        <f>IFERROR(_xll.TR(MO.Ticker.Thomson,"Min(TR.PriceLow)","sdate:#1 edate:#2",,INDEX(MO_SNA_FPStartDate,0,COLUMN()),INDEX(MO_Common_QEndDate,0,COLUMN())),"N/A")</f>
        <v/>
      </c>
      <c r="I797" s="2074">
        <f>IFERROR(_xll.TR(MO.Ticker.Thomson,"Min(TR.PriceLow)","sdate:#1 edate:#2",,INDEX(MO_SNA_FPStartDate,0,COLUMN()),INDEX(MO_Common_QEndDate,0,COLUMN())),"N/A")</f>
        <v/>
      </c>
      <c r="J797" s="2074">
        <f>IFERROR(_xll.TR(MO.Ticker.Thomson,"Min(TR.PriceLow)","sdate:#1 edate:#2",,INDEX(MO_SNA_FPStartDate,0,COLUMN()),INDEX(MO_Common_QEndDate,0,COLUMN())),"N/A")</f>
        <v/>
      </c>
      <c r="K797" s="2074">
        <f>IFERROR(_xll.TR(MO.Ticker.Thomson,"Min(TR.PriceLow)","sdate:#1 edate:#2",,INDEX(MO_SNA_FPStartDate,0,COLUMN()),INDEX(MO_Common_QEndDate,0,COLUMN())),"N/A")</f>
        <v/>
      </c>
      <c r="L797" s="2074">
        <f>IFERROR(_xll.TR(MO.Ticker.Thomson,"Min(TR.PriceLow)","sdate:#1 edate:#2",,INDEX(MO_SNA_FPStartDate,0,COLUMN()),INDEX(MO_Common_QEndDate,0,COLUMN())),"N/A")</f>
        <v/>
      </c>
      <c r="M797" s="2074">
        <f>IFERROR(_xll.TR(MO.Ticker.Thomson,"Min(TR.PriceLow)","sdate:#1 edate:#2",,INDEX(MO_SNA_FPStartDate,0,COLUMN()),INDEX(MO_Common_QEndDate,0,COLUMN())),"N/A")</f>
        <v/>
      </c>
      <c r="N797" s="2074">
        <f>IFERROR(_xll.TR(MO.Ticker.Thomson,"Min(TR.PriceLow)","sdate:#1 edate:#2",,INDEX(MO_SNA_FPStartDate,0,COLUMN()),INDEX(MO_Common_QEndDate,0,COLUMN())),"N/A")</f>
        <v/>
      </c>
      <c r="O797" s="2074">
        <f>IFERROR(_xll.TR(MO.Ticker.Thomson,"Min(TR.PriceLow)","sdate:#1 edate:#2",,INDEX(MO_SNA_FPStartDate,0,COLUMN()),INDEX(MO_Common_QEndDate,0,COLUMN())),"N/A")</f>
        <v/>
      </c>
      <c r="P797" s="2074">
        <f>IFERROR(_xll.TR(MO.Ticker.Thomson,"Min(TR.PriceLow)","sdate:#1 edate:#2",,INDEX(MO_SNA_FPStartDate,0,COLUMN()),INDEX(MO_Common_QEndDate,0,COLUMN())),"N/A")</f>
        <v/>
      </c>
      <c r="Q797" s="2074">
        <f>IFERROR(_xll.TR(MO.Ticker.Thomson,"Min(TR.PriceLow)","sdate:#1 edate:#2",,INDEX(MO_SNA_FPStartDate,0,COLUMN()),INDEX(MO_Common_QEndDate,0,COLUMN())),"N/A")</f>
        <v/>
      </c>
      <c r="R797" s="2074">
        <f>IFERROR(_xll.TR(MO.Ticker.Thomson,"Min(TR.PriceLow)","sdate:#1 edate:#2",,INDEX(MO_SNA_FPStartDate,0,COLUMN()),INDEX(MO_Common_QEndDate,0,COLUMN())),"N/A")</f>
        <v/>
      </c>
      <c r="S797" s="2074">
        <f>IFERROR(_xll.TR(MO.Ticker.Thomson,"Min(TR.PriceLow)","sdate:#1 edate:#2",,INDEX(MO_SNA_FPStartDate,0,COLUMN()),INDEX(MO_Common_QEndDate,0,COLUMN())),"N/A")</f>
        <v/>
      </c>
      <c r="T797" s="2074">
        <f>IFERROR(_xll.TR(MO.Ticker.Thomson,"Min(TR.PriceLow)","sdate:#1 edate:#2",,INDEX(MO_SNA_FPStartDate,0,COLUMN()),INDEX(MO_Common_QEndDate,0,COLUMN())),"N/A")</f>
        <v/>
      </c>
      <c r="U797" s="2074">
        <f>IFERROR(_xll.TR(MO.Ticker.Thomson,"Min(TR.PriceLow)","sdate:#1 edate:#2",,INDEX(MO_SNA_FPStartDate,0,COLUMN()),INDEX(MO_Common_QEndDate,0,COLUMN())),"N/A")</f>
        <v/>
      </c>
      <c r="V797" s="2074">
        <f>IFERROR(_xll.TR(MO.Ticker.Thomson,"Min(TR.PriceLow)","sdate:#1 edate:#2",,INDEX(MO_SNA_FPStartDate,0,COLUMN()),INDEX(MO_Common_QEndDate,0,COLUMN())),"N/A")</f>
        <v/>
      </c>
      <c r="W797" s="2074">
        <f>IFERROR(_xll.TR(MO.Ticker.Thomson,"Min(TR.PriceLow)","sdate:#1 edate:#2",,INDEX(MO_SNA_FPStartDate,0,COLUMN()),INDEX(MO_Common_QEndDate,0,COLUMN())),"N/A")</f>
        <v/>
      </c>
      <c r="X797" s="2074">
        <f>IFERROR(_xll.TR(MO.Ticker.Thomson,"Min(TR.PriceLow)","sdate:#1 edate:#2",,INDEX(MO_SNA_FPStartDate,0,COLUMN()),INDEX(MO_Common_QEndDate,0,COLUMN())),"N/A")</f>
        <v/>
      </c>
      <c r="Y797" s="2074">
        <f>IFERROR(_xll.TR(MO.Ticker.Thomson,"Min(TR.PriceLow)","sdate:#1 edate:#2",,INDEX(MO_SNA_FPStartDate,0,COLUMN()),INDEX(MO_Common_QEndDate,0,COLUMN())),"N/A")</f>
        <v/>
      </c>
      <c r="Z797" s="2074">
        <f>IFERROR(_xll.TR(MO.Ticker.Thomson,"Min(TR.PriceLow)","sdate:#1 edate:#2",,INDEX(MO_SNA_FPStartDate,0,COLUMN()),INDEX(MO_Common_QEndDate,0,COLUMN())),"N/A")</f>
        <v/>
      </c>
      <c r="AA797" s="2074">
        <f>IFERROR(_xll.TR(MO.Ticker.Thomson,"Min(TR.PriceLow)","sdate:#1 edate:#2",,INDEX(MO_SNA_FPStartDate,0,COLUMN()),INDEX(MO_Common_QEndDate,0,COLUMN())),"N/A")</f>
        <v/>
      </c>
      <c r="AB797" s="2074">
        <f>IFERROR(_xll.TR(MO.Ticker.Thomson,"Min(TR.PriceLow)","sdate:#1 edate:#2",,INDEX(MO_SNA_FPStartDate,0,COLUMN()),INDEX(MO_Common_QEndDate,0,COLUMN())),"N/A")</f>
        <v/>
      </c>
      <c r="AC797" s="2074">
        <f>IFERROR(_xll.TR(MO.Ticker.Thomson,"Min(TR.PriceLow)","sdate:#1 edate:#2",,INDEX(MO_SNA_FPStartDate,0,COLUMN()),INDEX(MO_Common_QEndDate,0,COLUMN())),"N/A")</f>
        <v/>
      </c>
      <c r="AD797" s="2074">
        <f>IFERROR(_xll.TR(MO.Ticker.Thomson,"Min(TR.PriceLow)","sdate:#1 edate:#2",,INDEX(MO_SNA_FPStartDate,0,COLUMN()),INDEX(MO_Common_QEndDate,0,COLUMN())),"N/A")</f>
        <v/>
      </c>
      <c r="AE797" s="2074">
        <f>IFERROR(_xll.TR(MO.Ticker.Thomson,"Min(TR.PriceLow)","sdate:#1 edate:#2",,INDEX(MO_SNA_FPStartDate,0,COLUMN()),INDEX(MO_Common_QEndDate,0,COLUMN())),"N/A")</f>
        <v/>
      </c>
      <c r="AF797" s="2074">
        <f>IFERROR(_xll.TR(MO.Ticker.Thomson,"Min(TR.PriceLow)","sdate:#1 edate:#2",,INDEX(MO_SNA_FPStartDate,0,COLUMN()),INDEX(MO_Common_QEndDate,0,COLUMN())),"N/A")</f>
        <v/>
      </c>
      <c r="AG797" s="2074">
        <f>IFERROR(_xll.TR(MO.Ticker.Thomson,"Min(TR.PriceLow)","sdate:#1 edate:#2",,INDEX(MO_SNA_FPStartDate,0,COLUMN()),INDEX(MO_Common_QEndDate,0,COLUMN())),"N/A")</f>
        <v/>
      </c>
      <c r="AH797" s="2074">
        <f>IFERROR(_xll.TR(MO.Ticker.Thomson,"Min(TR.PriceLow)","sdate:#1 edate:#2",,INDEX(MO_SNA_FPStartDate,0,COLUMN()),INDEX(MO_Common_QEndDate,0,COLUMN())),"N/A")</f>
        <v/>
      </c>
      <c r="AI797" s="2074">
        <f>IFERROR(_xll.TR(MO.Ticker.Thomson,"Min(TR.PriceLow)","sdate:#1 edate:#2",,INDEX(MO_SNA_FPStartDate,0,COLUMN()),INDEX(MO_Common_QEndDate,0,COLUMN())),"N/A")</f>
        <v/>
      </c>
      <c r="AJ797" s="2074">
        <f>IFERROR(_xll.TR(MO.Ticker.Thomson,"Min(TR.PriceLow)","sdate:#1 edate:#2",,INDEX(MO_SNA_FPStartDate,0,COLUMN()),INDEX(MO_Common_QEndDate,0,COLUMN())),"N/A")</f>
        <v/>
      </c>
      <c r="AK797" s="2074">
        <f>IFERROR(_xll.TR(MO.Ticker.Thomson,"Min(TR.PriceLow)","sdate:#1 edate:#2",,INDEX(MO_SNA_FPStartDate,0,COLUMN()),INDEX(MO_Common_QEndDate,0,COLUMN())),"N/A")</f>
        <v/>
      </c>
      <c r="AL797" s="2074">
        <f>IFERROR(_xll.TR(MO.Ticker.Thomson,"Min(TR.PriceLow)","sdate:#1 edate:#2",,INDEX(MO_SNA_FPStartDate,0,COLUMN()),INDEX(MO_Common_QEndDate,0,COLUMN())),"N/A")</f>
        <v/>
      </c>
      <c r="AM797" s="2074">
        <f>IFERROR(_xll.TR(MO.Ticker.Thomson,"Min(TR.PriceLow)","sdate:#1 edate:#2",,INDEX(MO_SNA_FPStartDate,0,COLUMN()),INDEX(MO_Common_QEndDate,0,COLUMN())),"N/A")</f>
        <v/>
      </c>
      <c r="AN797" s="2074">
        <f>IFERROR(_xll.TR(MO.Ticker.Thomson,"Min(TR.PriceLow)","sdate:#1 edate:#2",,INDEX(MO_SNA_FPStartDate,0,COLUMN()),INDEX(MO_Common_QEndDate,0,COLUMN())),"N/A")</f>
        <v/>
      </c>
      <c r="AO797" s="2074">
        <f>IFERROR(_xll.TR(MO.Ticker.Thomson,"Min(TR.PriceLow)","sdate:#1 edate:#2",,INDEX(MO_SNA_FPStartDate,0,COLUMN()),INDEX(MO_Common_QEndDate,0,COLUMN())),"N/A")</f>
        <v/>
      </c>
      <c r="AP797" s="2074">
        <f>IFERROR(_xll.TR(MO.Ticker.Thomson,"Min(TR.PriceLow)","sdate:#1 edate:#2",,INDEX(MO_SNA_FPStartDate,0,COLUMN()),INDEX(MO_Common_QEndDate,0,COLUMN())),"N/A")</f>
        <v/>
      </c>
      <c r="AQ797" s="2074">
        <f>IFERROR(_xll.TR(MO.Ticker.Thomson,"Min(TR.PriceLow)","sdate:#1 edate:#2",,INDEX(MO_SNA_FPStartDate,0,COLUMN()),INDEX(MO_Common_QEndDate,0,COLUMN())),"N/A")</f>
        <v/>
      </c>
      <c r="AR797" s="2074">
        <f>IFERROR(_xll.TR(MO.Ticker.Thomson,"Min(TR.PriceLow)","sdate:#1 edate:#2",,INDEX(MO_SNA_FPStartDate,0,COLUMN()),INDEX(MO_Common_QEndDate,0,COLUMN())),"N/A")</f>
        <v/>
      </c>
      <c r="AS797" s="2074">
        <f>IFERROR(_xll.TR(MO.Ticker.Thomson,"Min(TR.PriceLow)","sdate:#1 edate:#2",,INDEX(MO_SNA_FPStartDate,0,COLUMN()),INDEX(MO_Common_QEndDate,0,COLUMN())),"N/A")</f>
        <v/>
      </c>
      <c r="AT797" s="2074">
        <f>IFERROR(_xll.TR(MO.Ticker.Thomson,"Min(TR.PriceLow)","sdate:#1 edate:#2",,INDEX(MO_SNA_FPStartDate,0,COLUMN()),INDEX(MO_Common_QEndDate,0,COLUMN())),"N/A")</f>
        <v/>
      </c>
      <c r="AU797" s="2074">
        <f>IFERROR(_xll.TR(MO.Ticker.Thomson,"Min(TR.PriceLow)","sdate:#1 edate:#2",,INDEX(MO_SNA_FPStartDate,0,COLUMN()),INDEX(MO_Common_QEndDate,0,COLUMN())),"N/A")</f>
        <v/>
      </c>
      <c r="AV797" s="2074">
        <f>IFERROR(_xll.TR(MO.Ticker.Thomson,"Min(TR.PriceLow)","sdate:#1 edate:#2",,INDEX(MO_SNA_FPStartDate,0,COLUMN()),INDEX(MO_Common_QEndDate,0,COLUMN())),"N/A")</f>
        <v/>
      </c>
      <c r="AW797" s="2074">
        <f>IFERROR(_xll.TR(MO.Ticker.Thomson,"Min(TR.PriceLow)","sdate:#1 edate:#2",,INDEX(MO_SNA_FPStartDate,0,COLUMN()),INDEX(MO_Common_QEndDate,0,COLUMN())),"N/A")</f>
        <v/>
      </c>
      <c r="AX797" s="2074">
        <f>IFERROR(_xll.TR(MO.Ticker.Thomson,"Min(TR.PriceLow)","sdate:#1 edate:#2",,INDEX(MO_SNA_FPStartDate,0,COLUMN()),INDEX(MO_Common_QEndDate,0,COLUMN())),"N/A")</f>
        <v/>
      </c>
      <c r="AY797" s="2074">
        <f>IFERROR(_xll.TR(MO.Ticker.Thomson,"Min(TR.PriceLow)","sdate:#1 edate:#2",,INDEX(MO_SNA_FPStartDate,0,COLUMN()),INDEX(MO_Common_QEndDate,0,COLUMN())),"N/A")</f>
        <v/>
      </c>
      <c r="AZ797" s="2074">
        <f>IFERROR(_xll.TR(MO.Ticker.Thomson,"Min(TR.PriceLow)","sdate:#1 edate:#2",,INDEX(MO_SNA_FPStartDate,0,COLUMN()),INDEX(MO_Common_QEndDate,0,COLUMN())),"N/A")</f>
        <v/>
      </c>
      <c r="BA797" s="2074">
        <f>IFERROR(_xll.TR(MO.Ticker.Thomson,"Min(TR.PriceLow)","sdate:#1 edate:#2",,INDEX(MO_SNA_FPStartDate,0,COLUMN()),INDEX(MO_Common_QEndDate,0,COLUMN())),"N/A")</f>
        <v/>
      </c>
      <c r="BB797" s="2074">
        <f>IFERROR(_xll.TR(MO.Ticker.Thomson,"Min(TR.PriceLow)","sdate:#1 edate:#2",,INDEX(MO_SNA_FPStartDate,0,COLUMN()),INDEX(MO_Common_QEndDate,0,COLUMN())),"N/A")</f>
        <v/>
      </c>
      <c r="BC797" s="2074">
        <f>IFERROR(_xll.TR(MO.Ticker.Thomson,"Min(TR.PriceLow)","sdate:#1 edate:#2",,INDEX(MO_SNA_FPStartDate,0,COLUMN()),INDEX(MO_Common_QEndDate,0,COLUMN())),"N/A")</f>
        <v/>
      </c>
      <c r="BD797" s="2074">
        <f>IFERROR(_xll.TR(MO.Ticker.Thomson,"Min(TR.PriceLow)","sdate:#1 edate:#2",,INDEX(MO_SNA_FPStartDate,0,COLUMN()),INDEX(MO_Common_QEndDate,0,COLUMN())),"N/A")</f>
        <v/>
      </c>
      <c r="BE797" s="2074">
        <f>IFERROR(_xll.TR(MO.Ticker.Thomson,"Min(TR.PriceLow)","sdate:#1 edate:#2",,INDEX(MO_SNA_FPStartDate,0,COLUMN()),INDEX(MO_Common_QEndDate,0,COLUMN())),"N/A")</f>
        <v/>
      </c>
      <c r="BF797" s="2074">
        <f>IFERROR(_xll.TR(MO.Ticker.Thomson,"Min(TR.PriceLow)","sdate:#1 edate:#2",,INDEX(MO_SNA_FPStartDate,0,COLUMN()),INDEX(MO_Common_QEndDate,0,COLUMN())),"N/A")</f>
        <v/>
      </c>
      <c r="BG797" s="2074">
        <f>IFERROR(_xll.TR(MO.Ticker.Thomson,"Min(TR.PriceLow)","sdate:#1 edate:#2",,INDEX(MO_SNA_FPStartDate,0,COLUMN()),INDEX(MO_Common_QEndDate,0,COLUMN())),"N/A")</f>
        <v/>
      </c>
      <c r="BH797" s="2074">
        <f>IFERROR(_xll.TR(MO.Ticker.Thomson,"Min(TR.PriceLow)","sdate:#1 edate:#2",,INDEX(MO_SNA_FPStartDate,0,COLUMN()),INDEX(MO_Common_QEndDate,0,COLUMN())),"N/A")</f>
        <v/>
      </c>
      <c r="BI797" s="2074">
        <f>IFERROR(_xll.TR(MO.Ticker.Thomson,"Min(TR.PriceLow)","sdate:#1 edate:#2",,INDEX(MO_SNA_FPStartDate,0,COLUMN()),INDEX(MO_Common_QEndDate,0,COLUMN())),"N/A")</f>
        <v/>
      </c>
      <c r="BJ797" s="2074">
        <f>IFERROR(_xll.TR(MO.Ticker.Thomson,"Min(TR.PriceLow)","sdate:#1 edate:#2",,INDEX(MO_SNA_FPStartDate,0,COLUMN()),INDEX(MO_Common_QEndDate,0,COLUMN())),"N/A")</f>
        <v/>
      </c>
      <c r="BK797" s="2074">
        <f>IFERROR(_xll.TR(MO.Ticker.Thomson,"Min(TR.PriceLow)","sdate:#1 edate:#2",,INDEX(MO_SNA_FPStartDate,0,COLUMN()),INDEX(MO_Common_QEndDate,0,COLUMN())),"N/A")</f>
        <v/>
      </c>
      <c r="BL797" s="2074">
        <f>IFERROR(_xll.TR(MO.Ticker.Thomson,"Min(TR.PriceLow)","sdate:#1 edate:#2",,INDEX(MO_SNA_FPStartDate,0,COLUMN()),INDEX(MO_Common_QEndDate,0,COLUMN())),"N/A")</f>
        <v/>
      </c>
      <c r="BM797" s="2074">
        <f>IFERROR(_xll.TR(MO.Ticker.Thomson,"Min(TR.PriceLow)","sdate:#1 edate:#2",,INDEX(MO_SNA_FPStartDate,0,COLUMN()),INDEX(MO_Common_QEndDate,0,COLUMN())),"N/A")</f>
        <v/>
      </c>
      <c r="BN797" s="2074">
        <f>IFERROR(_xll.TR(MO.Ticker.Thomson,"Min(TR.PriceLow)","sdate:#1 edate:#2",,INDEX(MO_SNA_FPStartDate,0,COLUMN()),INDEX(MO_Common_QEndDate,0,COLUMN())),"N/A")</f>
        <v/>
      </c>
      <c r="BO797" s="2076">
        <f>IFERROR(_xll.TR(MO.Ticker.Thomson,"Min(TR.PriceLow)","sdate:#1 edate:#2",,INDEX(MO_SNA_FPStartDate,0,COLUMN()),INDEX(MO_Common_QEndDate,0,COLUMN())),"N/A")</f>
        <v/>
      </c>
      <c r="BP797" s="2074">
        <f>IFERROR(_xll.TR(MO.Ticker.Thomson,"Min(TR.PriceLow)","sdate:#1 edate:#2",,INDEX(MO_SNA_FPStartDate,0,COLUMN()),INDEX(MO_Common_QEndDate,0,COLUMN())),"N/A")</f>
        <v/>
      </c>
      <c r="BQ797" s="2074">
        <f>IFERROR(_xll.TR(MO.Ticker.Thomson,"Min(TR.PriceLow)","sdate:#1 edate:#2",,INDEX(MO_SNA_FPStartDate,0,COLUMN()),INDEX(MO_Common_QEndDate,0,COLUMN())),"N/A")</f>
        <v/>
      </c>
      <c r="BR797" s="2074">
        <f>IFERROR(_xll.TR(MO.Ticker.Thomson,"Min(TR.PriceLow)","sdate:#1 edate:#2",,INDEX(MO_SNA_FPStartDate,0,COLUMN()),INDEX(MO_Common_QEndDate,0,COLUMN())),"N/A")</f>
        <v/>
      </c>
      <c r="BS797" s="2074">
        <f>IFERROR(_xll.TR(MO.Ticker.Thomson,"Min(TR.PriceLow)","sdate:#1 edate:#2",,INDEX(MO_SNA_FPStartDate,0,COLUMN()),INDEX(MO_Common_QEndDate,0,COLUMN())),"N/A")</f>
        <v/>
      </c>
      <c r="BT797" s="2074">
        <f>IFERROR(_xll.TR(MO.Ticker.Thomson,"Min(TR.PriceLow)","sdate:#1 edate:#2",,INDEX(MO_SNA_FPStartDate,0,COLUMN()),INDEX(MO_Common_QEndDate,0,COLUMN())),"N/A")</f>
        <v/>
      </c>
      <c r="BU797" s="2074">
        <f>IFERROR(_xll.TR(MO.Ticker.Thomson,"Min(TR.PriceLow)","sdate:#1 edate:#2",,INDEX(MO_SNA_FPStartDate,0,COLUMN()),INDEX(MO_Common_QEndDate,0,COLUMN())),"N/A")</f>
        <v/>
      </c>
      <c r="BV797" s="2074">
        <f>IFERROR(_xll.TR(MO.Ticker.Thomson,"Min(TR.PriceLow)","sdate:#1 edate:#2",,INDEX(MO_SNA_FPStartDate,0,COLUMN()),INDEX(MO_Common_QEndDate,0,COLUMN())),"N/A")</f>
        <v/>
      </c>
      <c r="BW797" s="2074">
        <f>IFERROR(_xll.TR(MO.Ticker.Thomson,"Min(TR.PriceLow)","sdate:#1 edate:#2",,INDEX(MO_SNA_FPStartDate,0,COLUMN()),INDEX(MO_Common_QEndDate,0,COLUMN())),"N/A")</f>
        <v/>
      </c>
      <c r="BX797" s="2074">
        <f>IFERROR(_xll.TR(MO.Ticker.Thomson,"Min(TR.PriceLow)","sdate:#1 edate:#2",,INDEX(MO_SNA_FPStartDate,0,COLUMN()),INDEX(MO_Common_QEndDate,0,COLUMN())),"N/A")</f>
        <v/>
      </c>
      <c r="BY797" s="2074">
        <f>IFERROR(_xll.TR(MO.Ticker.Thomson,"Min(TR.PriceLow)","sdate:#1 edate:#2",,INDEX(MO_SNA_FPStartDate,0,COLUMN()),INDEX(MO_Common_QEndDate,0,COLUMN())),"N/A")</f>
        <v/>
      </c>
      <c r="BZ797" s="2074">
        <f>IFERROR(_xll.TR(MO.Ticker.Thomson,"Min(TR.PriceLow)","sdate:#1 edate:#2",,INDEX(MO_SNA_FPStartDate,0,COLUMN()),INDEX(MO_Common_QEndDate,0,COLUMN())),"N/A")</f>
        <v/>
      </c>
      <c r="CA797" s="2074">
        <f>IFERROR(_xll.TR(MO.Ticker.Thomson,"Min(TR.PriceLow)","sdate:#1 edate:#2",,INDEX(MO_SNA_FPStartDate,0,COLUMN()),INDEX(MO_Common_QEndDate,0,COLUMN())),"N/A")</f>
        <v/>
      </c>
      <c r="CB797" s="2077">
        <f>IFERROR(_xll.TR(MO.Ticker.Thomson,"Min(TR.PriceLow)","sdate:#1 edate:#2",,INDEX(MO_SNA_FPStartDate,0,COLUMN()),INDEX(MO_Common_QEndDate,0,COLUMN())),"N/A")</f>
        <v/>
      </c>
      <c r="CC797" s="2078" t="n"/>
    </row>
    <row r="798" hidden="1" outlineLevel="1" ht="15" customFormat="1" customHeight="1" s="1945">
      <c r="A798" s="2073" t="n"/>
      <c r="B798" s="2074" t="n"/>
      <c r="C798" s="2075" t="n"/>
      <c r="D798" s="2075" t="n"/>
      <c r="E798" s="2074" t="n"/>
      <c r="F798" s="2074" t="n"/>
      <c r="G798" s="2074" t="n"/>
      <c r="H798" s="2074" t="n"/>
      <c r="I798" s="2074" t="n"/>
      <c r="J798" s="2074" t="n"/>
      <c r="K798" s="2074" t="n"/>
      <c r="L798" s="2074" t="n"/>
      <c r="M798" s="2074" t="n"/>
      <c r="N798" s="2074" t="n"/>
      <c r="O798" s="2074" t="n"/>
      <c r="P798" s="2074" t="n"/>
      <c r="Q798" s="2074" t="n"/>
      <c r="R798" s="2074" t="n"/>
      <c r="S798" s="2074" t="n"/>
      <c r="T798" s="2074" t="n"/>
      <c r="U798" s="2074" t="n"/>
      <c r="V798" s="2074" t="n"/>
      <c r="W798" s="2074" t="n"/>
      <c r="X798" s="2074" t="n"/>
      <c r="Y798" s="2074" t="n"/>
      <c r="Z798" s="2074" t="n"/>
      <c r="AA798" s="2074" t="n"/>
      <c r="AB798" s="2074" t="n"/>
      <c r="AC798" s="2074" t="n"/>
      <c r="AD798" s="2074" t="n"/>
      <c r="AE798" s="2074" t="n"/>
      <c r="AF798" s="2074" t="n"/>
      <c r="AG798" s="2074" t="n"/>
      <c r="AH798" s="2074" t="n"/>
      <c r="AI798" s="2074" t="n"/>
      <c r="AJ798" s="2074" t="n"/>
      <c r="AK798" s="2074" t="n"/>
      <c r="AL798" s="2074" t="n"/>
      <c r="AM798" s="2074" t="n"/>
      <c r="AN798" s="2074" t="n"/>
      <c r="AO798" s="2074" t="n"/>
      <c r="AP798" s="2074" t="n"/>
      <c r="AQ798" s="2074" t="n"/>
      <c r="AR798" s="2074" t="n"/>
      <c r="AS798" s="2074" t="n"/>
      <c r="AT798" s="2074" t="n"/>
      <c r="AU798" s="2074" t="n"/>
      <c r="AV798" s="2074" t="n"/>
      <c r="AW798" s="2074" t="n"/>
      <c r="AX798" s="2074" t="n"/>
      <c r="AY798" s="2074" t="n"/>
      <c r="AZ798" s="2074" t="n"/>
      <c r="BA798" s="2074" t="n"/>
      <c r="BB798" s="2074" t="n"/>
      <c r="BC798" s="2074" t="n"/>
      <c r="BD798" s="2074" t="n"/>
      <c r="BE798" s="2074" t="n"/>
      <c r="BF798" s="2074" t="n"/>
      <c r="BG798" s="2074" t="n"/>
      <c r="BH798" s="2074" t="n"/>
      <c r="BI798" s="2074" t="n"/>
      <c r="BJ798" s="2074" t="n"/>
      <c r="BK798" s="2074" t="n"/>
      <c r="BL798" s="2074" t="n"/>
      <c r="BM798" s="2074" t="n"/>
      <c r="BN798" s="2074" t="n"/>
      <c r="BO798" s="2076" t="n"/>
      <c r="BP798" s="2074" t="n"/>
      <c r="BQ798" s="2074" t="n"/>
      <c r="BR798" s="2074" t="n"/>
      <c r="BS798" s="2074" t="n"/>
      <c r="BT798" s="2074" t="n"/>
      <c r="BU798" s="2074" t="n"/>
      <c r="BV798" s="2074" t="n"/>
      <c r="BW798" s="2074" t="n"/>
      <c r="BX798" s="2074" t="n"/>
      <c r="BY798" s="2074" t="n"/>
      <c r="BZ798" s="2074" t="n"/>
      <c r="CA798" s="2074" t="n"/>
      <c r="CB798" s="2077" t="n"/>
      <c r="CC798" s="2078" t="n"/>
    </row>
    <row r="799" collapsed="1" ht="15" customFormat="1" customHeight="1" s="1945">
      <c r="A799" s="2073">
        <f>"Stock Average: "&amp;IF(OR(MO.RealTimeStockPriceToggle=FALSE,VLOOKUP(MO.DataSourceName,MO_SPT_StockAverage_Sources,COLUMN()+2,FALSE)="N/A"),"Real-Time Off Source",MO.DataSourceName)</f>
        <v/>
      </c>
      <c r="B799" s="2074" t="n"/>
      <c r="C799" s="2075">
        <f>IF(OR(MO.RealTimeStockPriceToggle=FALSE,VLOOKUP(MO.DataSourceName,MO_SPT_StockAverage_Sources,COLUMN(),FALSE)="N/A"),VLOOKUP("Real-Time Off Source",MO_SPT_StockAverage_Sources,COLUMN(),FALSE),VLOOKUP(MO.DataSourceName,MO_SPT_StockAverage_Sources,COLUMN(),FALSE))</f>
        <v/>
      </c>
      <c r="D799" s="2075">
        <f>IF(OR(MO.RealTimeStockPriceToggle=FALSE,VLOOKUP(MO.DataSourceName,MO_SPT_StockAverage_Sources,COLUMN(),FALSE)="N/A"),VLOOKUP("Real-Time Off Source",MO_SPT_StockAverage_Sources,COLUMN(),FALSE),VLOOKUP(MO.DataSourceName,MO_SPT_StockAverage_Sources,COLUMN(),FALSE))</f>
        <v/>
      </c>
      <c r="E799" s="2074">
        <f>IF(OR(MO.RealTimeStockPriceToggle=FALSE,VLOOKUP(MO.DataSourceName,MO_SPT_StockAverage_Sources,COLUMN(),FALSE)="N/A"),VLOOKUP("Real-Time Off Source",MO_SPT_StockAverage_Sources,COLUMN(),FALSE),VLOOKUP(MO.DataSourceName,MO_SPT_StockAverage_Sources,COLUMN(),FALSE))</f>
        <v/>
      </c>
      <c r="F799" s="2074">
        <f>IF(OR(MO.RealTimeStockPriceToggle=FALSE,VLOOKUP(MO.DataSourceName,MO_SPT_StockAverage_Sources,COLUMN(),FALSE)="N/A"),VLOOKUP("Real-Time Off Source",MO_SPT_StockAverage_Sources,COLUMN(),FALSE),VLOOKUP(MO.DataSourceName,MO_SPT_StockAverage_Sources,COLUMN(),FALSE))</f>
        <v/>
      </c>
      <c r="G799" s="2074">
        <f>IF(OR(MO.RealTimeStockPriceToggle=FALSE,VLOOKUP(MO.DataSourceName,MO_SPT_StockAverage_Sources,COLUMN(),FALSE)="N/A"),VLOOKUP("Real-Time Off Source",MO_SPT_StockAverage_Sources,COLUMN(),FALSE),VLOOKUP(MO.DataSourceName,MO_SPT_StockAverage_Sources,COLUMN(),FALSE))</f>
        <v/>
      </c>
      <c r="H799" s="2074">
        <f>IF(OR(MO.RealTimeStockPriceToggle=FALSE,VLOOKUP(MO.DataSourceName,MO_SPT_StockAverage_Sources,COLUMN(),FALSE)="N/A"),VLOOKUP("Real-Time Off Source",MO_SPT_StockAverage_Sources,COLUMN(),FALSE),VLOOKUP(MO.DataSourceName,MO_SPT_StockAverage_Sources,COLUMN(),FALSE))</f>
        <v/>
      </c>
      <c r="I799" s="2074">
        <f>IF(OR(MO.RealTimeStockPriceToggle=FALSE,VLOOKUP(MO.DataSourceName,MO_SPT_StockAverage_Sources,COLUMN(),FALSE)="N/A"),VLOOKUP("Real-Time Off Source",MO_SPT_StockAverage_Sources,COLUMN(),FALSE),VLOOKUP(MO.DataSourceName,MO_SPT_StockAverage_Sources,COLUMN(),FALSE))</f>
        <v/>
      </c>
      <c r="J799" s="2074">
        <f>IF(OR(MO.RealTimeStockPriceToggle=FALSE,VLOOKUP(MO.DataSourceName,MO_SPT_StockAverage_Sources,COLUMN(),FALSE)="N/A"),VLOOKUP("Real-Time Off Source",MO_SPT_StockAverage_Sources,COLUMN(),FALSE),VLOOKUP(MO.DataSourceName,MO_SPT_StockAverage_Sources,COLUMN(),FALSE))</f>
        <v/>
      </c>
      <c r="K799" s="2074">
        <f>IF(OR(MO.RealTimeStockPriceToggle=FALSE,VLOOKUP(MO.DataSourceName,MO_SPT_StockAverage_Sources,COLUMN(),FALSE)="N/A"),VLOOKUP("Real-Time Off Source",MO_SPT_StockAverage_Sources,COLUMN(),FALSE),VLOOKUP(MO.DataSourceName,MO_SPT_StockAverage_Sources,COLUMN(),FALSE))</f>
        <v/>
      </c>
      <c r="L799" s="2074">
        <f>IF(OR(MO.RealTimeStockPriceToggle=FALSE,VLOOKUP(MO.DataSourceName,MO_SPT_StockAverage_Sources,COLUMN(),FALSE)="N/A"),VLOOKUP("Real-Time Off Source",MO_SPT_StockAverage_Sources,COLUMN(),FALSE),VLOOKUP(MO.DataSourceName,MO_SPT_StockAverage_Sources,COLUMN(),FALSE))</f>
        <v/>
      </c>
      <c r="M799" s="2074">
        <f>IF(OR(MO.RealTimeStockPriceToggle=FALSE,VLOOKUP(MO.DataSourceName,MO_SPT_StockAverage_Sources,COLUMN(),FALSE)="N/A"),VLOOKUP("Real-Time Off Source",MO_SPT_StockAverage_Sources,COLUMN(),FALSE),VLOOKUP(MO.DataSourceName,MO_SPT_StockAverage_Sources,COLUMN(),FALSE))</f>
        <v/>
      </c>
      <c r="N799" s="2074">
        <f>IF(OR(MO.RealTimeStockPriceToggle=FALSE,VLOOKUP(MO.DataSourceName,MO_SPT_StockAverage_Sources,COLUMN(),FALSE)="N/A"),VLOOKUP("Real-Time Off Source",MO_SPT_StockAverage_Sources,COLUMN(),FALSE),VLOOKUP(MO.DataSourceName,MO_SPT_StockAverage_Sources,COLUMN(),FALSE))</f>
        <v/>
      </c>
      <c r="O799" s="2074">
        <f>IF(OR(MO.RealTimeStockPriceToggle=FALSE,VLOOKUP(MO.DataSourceName,MO_SPT_StockAverage_Sources,COLUMN(),FALSE)="N/A"),VLOOKUP("Real-Time Off Source",MO_SPT_StockAverage_Sources,COLUMN(),FALSE),VLOOKUP(MO.DataSourceName,MO_SPT_StockAverage_Sources,COLUMN(),FALSE))</f>
        <v/>
      </c>
      <c r="P799" s="2074">
        <f>IF(OR(MO.RealTimeStockPriceToggle=FALSE,VLOOKUP(MO.DataSourceName,MO_SPT_StockAverage_Sources,COLUMN(),FALSE)="N/A"),VLOOKUP("Real-Time Off Source",MO_SPT_StockAverage_Sources,COLUMN(),FALSE),VLOOKUP(MO.DataSourceName,MO_SPT_StockAverage_Sources,COLUMN(),FALSE))</f>
        <v/>
      </c>
      <c r="Q799" s="2074">
        <f>IF(OR(MO.RealTimeStockPriceToggle=FALSE,VLOOKUP(MO.DataSourceName,MO_SPT_StockAverage_Sources,COLUMN(),FALSE)="N/A"),VLOOKUP("Real-Time Off Source",MO_SPT_StockAverage_Sources,COLUMN(),FALSE),VLOOKUP(MO.DataSourceName,MO_SPT_StockAverage_Sources,COLUMN(),FALSE))</f>
        <v/>
      </c>
      <c r="R799" s="2074">
        <f>IF(OR(MO.RealTimeStockPriceToggle=FALSE,VLOOKUP(MO.DataSourceName,MO_SPT_StockAverage_Sources,COLUMN(),FALSE)="N/A"),VLOOKUP("Real-Time Off Source",MO_SPT_StockAverage_Sources,COLUMN(),FALSE),VLOOKUP(MO.DataSourceName,MO_SPT_StockAverage_Sources,COLUMN(),FALSE))</f>
        <v/>
      </c>
      <c r="S799" s="2074">
        <f>IF(OR(MO.RealTimeStockPriceToggle=FALSE,VLOOKUP(MO.DataSourceName,MO_SPT_StockAverage_Sources,COLUMN(),FALSE)="N/A"),VLOOKUP("Real-Time Off Source",MO_SPT_StockAverage_Sources,COLUMN(),FALSE),VLOOKUP(MO.DataSourceName,MO_SPT_StockAverage_Sources,COLUMN(),FALSE))</f>
        <v/>
      </c>
      <c r="T799" s="2074">
        <f>IF(OR(MO.RealTimeStockPriceToggle=FALSE,VLOOKUP(MO.DataSourceName,MO_SPT_StockAverage_Sources,COLUMN(),FALSE)="N/A"),VLOOKUP("Real-Time Off Source",MO_SPT_StockAverage_Sources,COLUMN(),FALSE),VLOOKUP(MO.DataSourceName,MO_SPT_StockAverage_Sources,COLUMN(),FALSE))</f>
        <v/>
      </c>
      <c r="U799" s="2074">
        <f>IF(OR(MO.RealTimeStockPriceToggle=FALSE,VLOOKUP(MO.DataSourceName,MO_SPT_StockAverage_Sources,COLUMN(),FALSE)="N/A"),VLOOKUP("Real-Time Off Source",MO_SPT_StockAverage_Sources,COLUMN(),FALSE),VLOOKUP(MO.DataSourceName,MO_SPT_StockAverage_Sources,COLUMN(),FALSE))</f>
        <v/>
      </c>
      <c r="V799" s="2074">
        <f>IF(OR(MO.RealTimeStockPriceToggle=FALSE,VLOOKUP(MO.DataSourceName,MO_SPT_StockAverage_Sources,COLUMN(),FALSE)="N/A"),VLOOKUP("Real-Time Off Source",MO_SPT_StockAverage_Sources,COLUMN(),FALSE),VLOOKUP(MO.DataSourceName,MO_SPT_StockAverage_Sources,COLUMN(),FALSE))</f>
        <v/>
      </c>
      <c r="W799" s="2074">
        <f>IF(OR(MO.RealTimeStockPriceToggle=FALSE,VLOOKUP(MO.DataSourceName,MO_SPT_StockAverage_Sources,COLUMN(),FALSE)="N/A"),VLOOKUP("Real-Time Off Source",MO_SPT_StockAverage_Sources,COLUMN(),FALSE),VLOOKUP(MO.DataSourceName,MO_SPT_StockAverage_Sources,COLUMN(),FALSE))</f>
        <v/>
      </c>
      <c r="X799" s="2074">
        <f>IF(OR(MO.RealTimeStockPriceToggle=FALSE,VLOOKUP(MO.DataSourceName,MO_SPT_StockAverage_Sources,COLUMN(),FALSE)="N/A"),VLOOKUP("Real-Time Off Source",MO_SPT_StockAverage_Sources,COLUMN(),FALSE),VLOOKUP(MO.DataSourceName,MO_SPT_StockAverage_Sources,COLUMN(),FALSE))</f>
        <v/>
      </c>
      <c r="Y799" s="2074">
        <f>IF(OR(MO.RealTimeStockPriceToggle=FALSE,VLOOKUP(MO.DataSourceName,MO_SPT_StockAverage_Sources,COLUMN(),FALSE)="N/A"),VLOOKUP("Real-Time Off Source",MO_SPT_StockAverage_Sources,COLUMN(),FALSE),VLOOKUP(MO.DataSourceName,MO_SPT_StockAverage_Sources,COLUMN(),FALSE))</f>
        <v/>
      </c>
      <c r="Z799" s="2074">
        <f>IF(OR(MO.RealTimeStockPriceToggle=FALSE,VLOOKUP(MO.DataSourceName,MO_SPT_StockAverage_Sources,COLUMN(),FALSE)="N/A"),VLOOKUP("Real-Time Off Source",MO_SPT_StockAverage_Sources,COLUMN(),FALSE),VLOOKUP(MO.DataSourceName,MO_SPT_StockAverage_Sources,COLUMN(),FALSE))</f>
        <v/>
      </c>
      <c r="AA799" s="2074">
        <f>IF(OR(MO.RealTimeStockPriceToggle=FALSE,VLOOKUP(MO.DataSourceName,MO_SPT_StockAverage_Sources,COLUMN(),FALSE)="N/A"),VLOOKUP("Real-Time Off Source",MO_SPT_StockAverage_Sources,COLUMN(),FALSE),VLOOKUP(MO.DataSourceName,MO_SPT_StockAverage_Sources,COLUMN(),FALSE))</f>
        <v/>
      </c>
      <c r="AB799" s="2074">
        <f>IF(OR(MO.RealTimeStockPriceToggle=FALSE,VLOOKUP(MO.DataSourceName,MO_SPT_StockAverage_Sources,COLUMN(),FALSE)="N/A"),VLOOKUP("Real-Time Off Source",MO_SPT_StockAverage_Sources,COLUMN(),FALSE),VLOOKUP(MO.DataSourceName,MO_SPT_StockAverage_Sources,COLUMN(),FALSE))</f>
        <v/>
      </c>
      <c r="AC799" s="2074">
        <f>IF(OR(MO.RealTimeStockPriceToggle=FALSE,VLOOKUP(MO.DataSourceName,MO_SPT_StockAverage_Sources,COLUMN(),FALSE)="N/A"),VLOOKUP("Real-Time Off Source",MO_SPT_StockAverage_Sources,COLUMN(),FALSE),VLOOKUP(MO.DataSourceName,MO_SPT_StockAverage_Sources,COLUMN(),FALSE))</f>
        <v/>
      </c>
      <c r="AD799" s="2074">
        <f>IF(OR(MO.RealTimeStockPriceToggle=FALSE,VLOOKUP(MO.DataSourceName,MO_SPT_StockAverage_Sources,COLUMN(),FALSE)="N/A"),VLOOKUP("Real-Time Off Source",MO_SPT_StockAverage_Sources,COLUMN(),FALSE),VLOOKUP(MO.DataSourceName,MO_SPT_StockAverage_Sources,COLUMN(),FALSE))</f>
        <v/>
      </c>
      <c r="AE799" s="2074">
        <f>IF(OR(MO.RealTimeStockPriceToggle=FALSE,VLOOKUP(MO.DataSourceName,MO_SPT_StockAverage_Sources,COLUMN(),FALSE)="N/A"),VLOOKUP("Real-Time Off Source",MO_SPT_StockAverage_Sources,COLUMN(),FALSE),VLOOKUP(MO.DataSourceName,MO_SPT_StockAverage_Sources,COLUMN(),FALSE))</f>
        <v/>
      </c>
      <c r="AF799" s="2074">
        <f>IF(OR(MO.RealTimeStockPriceToggle=FALSE,VLOOKUP(MO.DataSourceName,MO_SPT_StockAverage_Sources,COLUMN(),FALSE)="N/A"),VLOOKUP("Real-Time Off Source",MO_SPT_StockAverage_Sources,COLUMN(),FALSE),VLOOKUP(MO.DataSourceName,MO_SPT_StockAverage_Sources,COLUMN(),FALSE))</f>
        <v/>
      </c>
      <c r="AG799" s="2074">
        <f>IF(OR(MO.RealTimeStockPriceToggle=FALSE,VLOOKUP(MO.DataSourceName,MO_SPT_StockAverage_Sources,COLUMN(),FALSE)="N/A"),VLOOKUP("Real-Time Off Source",MO_SPT_StockAverage_Sources,COLUMN(),FALSE),VLOOKUP(MO.DataSourceName,MO_SPT_StockAverage_Sources,COLUMN(),FALSE))</f>
        <v/>
      </c>
      <c r="AH799" s="2074">
        <f>IF(OR(MO.RealTimeStockPriceToggle=FALSE,VLOOKUP(MO.DataSourceName,MO_SPT_StockAverage_Sources,COLUMN(),FALSE)="N/A"),VLOOKUP("Real-Time Off Source",MO_SPT_StockAverage_Sources,COLUMN(),FALSE),VLOOKUP(MO.DataSourceName,MO_SPT_StockAverage_Sources,COLUMN(),FALSE))</f>
        <v/>
      </c>
      <c r="AI799" s="2074">
        <f>IF(OR(MO.RealTimeStockPriceToggle=FALSE,VLOOKUP(MO.DataSourceName,MO_SPT_StockAverage_Sources,COLUMN(),FALSE)="N/A"),VLOOKUP("Real-Time Off Source",MO_SPT_StockAverage_Sources,COLUMN(),FALSE),VLOOKUP(MO.DataSourceName,MO_SPT_StockAverage_Sources,COLUMN(),FALSE))</f>
        <v/>
      </c>
      <c r="AJ799" s="2074">
        <f>IF(OR(MO.RealTimeStockPriceToggle=FALSE,VLOOKUP(MO.DataSourceName,MO_SPT_StockAverage_Sources,COLUMN(),FALSE)="N/A"),VLOOKUP("Real-Time Off Source",MO_SPT_StockAverage_Sources,COLUMN(),FALSE),VLOOKUP(MO.DataSourceName,MO_SPT_StockAverage_Sources,COLUMN(),FALSE))</f>
        <v/>
      </c>
      <c r="AK799" s="2074">
        <f>IF(OR(MO.RealTimeStockPriceToggle=FALSE,VLOOKUP(MO.DataSourceName,MO_SPT_StockAverage_Sources,COLUMN(),FALSE)="N/A"),VLOOKUP("Real-Time Off Source",MO_SPT_StockAverage_Sources,COLUMN(),FALSE),VLOOKUP(MO.DataSourceName,MO_SPT_StockAverage_Sources,COLUMN(),FALSE))</f>
        <v/>
      </c>
      <c r="AL799" s="2074">
        <f>IF(OR(MO.RealTimeStockPriceToggle=FALSE,VLOOKUP(MO.DataSourceName,MO_SPT_StockAverage_Sources,COLUMN(),FALSE)="N/A"),VLOOKUP("Real-Time Off Source",MO_SPT_StockAverage_Sources,COLUMN(),FALSE),VLOOKUP(MO.DataSourceName,MO_SPT_StockAverage_Sources,COLUMN(),FALSE))</f>
        <v/>
      </c>
      <c r="AM799" s="2074">
        <f>IF(OR(MO.RealTimeStockPriceToggle=FALSE,VLOOKUP(MO.DataSourceName,MO_SPT_StockAverage_Sources,COLUMN(),FALSE)="N/A"),VLOOKUP("Real-Time Off Source",MO_SPT_StockAverage_Sources,COLUMN(),FALSE),VLOOKUP(MO.DataSourceName,MO_SPT_StockAverage_Sources,COLUMN(),FALSE))</f>
        <v/>
      </c>
      <c r="AN799" s="2074">
        <f>IF(OR(MO.RealTimeStockPriceToggle=FALSE,VLOOKUP(MO.DataSourceName,MO_SPT_StockAverage_Sources,COLUMN(),FALSE)="N/A"),VLOOKUP("Real-Time Off Source",MO_SPT_StockAverage_Sources,COLUMN(),FALSE),VLOOKUP(MO.DataSourceName,MO_SPT_StockAverage_Sources,COLUMN(),FALSE))</f>
        <v/>
      </c>
      <c r="AO799" s="2074">
        <f>IF(OR(MO.RealTimeStockPriceToggle=FALSE,VLOOKUP(MO.DataSourceName,MO_SPT_StockAverage_Sources,COLUMN(),FALSE)="N/A"),VLOOKUP("Real-Time Off Source",MO_SPT_StockAverage_Sources,COLUMN(),FALSE),VLOOKUP(MO.DataSourceName,MO_SPT_StockAverage_Sources,COLUMN(),FALSE))</f>
        <v/>
      </c>
      <c r="AP799" s="2074">
        <f>IF(OR(MO.RealTimeStockPriceToggle=FALSE,VLOOKUP(MO.DataSourceName,MO_SPT_StockAverage_Sources,COLUMN(),FALSE)="N/A"),VLOOKUP("Real-Time Off Source",MO_SPT_StockAverage_Sources,COLUMN(),FALSE),VLOOKUP(MO.DataSourceName,MO_SPT_StockAverage_Sources,COLUMN(),FALSE))</f>
        <v/>
      </c>
      <c r="AQ799" s="2074">
        <f>IF(OR(MO.RealTimeStockPriceToggle=FALSE,VLOOKUP(MO.DataSourceName,MO_SPT_StockAverage_Sources,COLUMN(),FALSE)="N/A"),VLOOKUP("Real-Time Off Source",MO_SPT_StockAverage_Sources,COLUMN(),FALSE),VLOOKUP(MO.DataSourceName,MO_SPT_StockAverage_Sources,COLUMN(),FALSE))</f>
        <v/>
      </c>
      <c r="AR799" s="2074">
        <f>IF(OR(MO.RealTimeStockPriceToggle=FALSE,VLOOKUP(MO.DataSourceName,MO_SPT_StockAverage_Sources,COLUMN(),FALSE)="N/A"),VLOOKUP("Real-Time Off Source",MO_SPT_StockAverage_Sources,COLUMN(),FALSE),VLOOKUP(MO.DataSourceName,MO_SPT_StockAverage_Sources,COLUMN(),FALSE))</f>
        <v/>
      </c>
      <c r="AS799" s="2074">
        <f>IF(OR(MO.RealTimeStockPriceToggle=FALSE,VLOOKUP(MO.DataSourceName,MO_SPT_StockAverage_Sources,COLUMN(),FALSE)="N/A"),VLOOKUP("Real-Time Off Source",MO_SPT_StockAverage_Sources,COLUMN(),FALSE),VLOOKUP(MO.DataSourceName,MO_SPT_StockAverage_Sources,COLUMN(),FALSE))</f>
        <v/>
      </c>
      <c r="AT799" s="2074">
        <f>IF(OR(MO.RealTimeStockPriceToggle=FALSE,VLOOKUP(MO.DataSourceName,MO_SPT_StockAverage_Sources,COLUMN(),FALSE)="N/A"),VLOOKUP("Real-Time Off Source",MO_SPT_StockAverage_Sources,COLUMN(),FALSE),VLOOKUP(MO.DataSourceName,MO_SPT_StockAverage_Sources,COLUMN(),FALSE))</f>
        <v/>
      </c>
      <c r="AU799" s="2074">
        <f>IF(OR(MO.RealTimeStockPriceToggle=FALSE,VLOOKUP(MO.DataSourceName,MO_SPT_StockAverage_Sources,COLUMN(),FALSE)="N/A"),VLOOKUP("Real-Time Off Source",MO_SPT_StockAverage_Sources,COLUMN(),FALSE),VLOOKUP(MO.DataSourceName,MO_SPT_StockAverage_Sources,COLUMN(),FALSE))</f>
        <v/>
      </c>
      <c r="AV799" s="2074">
        <f>IF(OR(MO.RealTimeStockPriceToggle=FALSE,VLOOKUP(MO.DataSourceName,MO_SPT_StockAverage_Sources,COLUMN(),FALSE)="N/A"),VLOOKUP("Real-Time Off Source",MO_SPT_StockAverage_Sources,COLUMN(),FALSE),VLOOKUP(MO.DataSourceName,MO_SPT_StockAverage_Sources,COLUMN(),FALSE))</f>
        <v/>
      </c>
      <c r="AW799" s="2074">
        <f>IF(OR(MO.RealTimeStockPriceToggle=FALSE,VLOOKUP(MO.DataSourceName,MO_SPT_StockAverage_Sources,COLUMN(),FALSE)="N/A"),VLOOKUP("Real-Time Off Source",MO_SPT_StockAverage_Sources,COLUMN(),FALSE),VLOOKUP(MO.DataSourceName,MO_SPT_StockAverage_Sources,COLUMN(),FALSE))</f>
        <v/>
      </c>
      <c r="AX799" s="2074">
        <f>IF(OR(MO.RealTimeStockPriceToggle=FALSE,VLOOKUP(MO.DataSourceName,MO_SPT_StockAverage_Sources,COLUMN(),FALSE)="N/A"),VLOOKUP("Real-Time Off Source",MO_SPT_StockAverage_Sources,COLUMN(),FALSE),VLOOKUP(MO.DataSourceName,MO_SPT_StockAverage_Sources,COLUMN(),FALSE))</f>
        <v/>
      </c>
      <c r="AY799" s="2074">
        <f>IF(OR(MO.RealTimeStockPriceToggle=FALSE,VLOOKUP(MO.DataSourceName,MO_SPT_StockAverage_Sources,COLUMN(),FALSE)="N/A"),VLOOKUP("Real-Time Off Source",MO_SPT_StockAverage_Sources,COLUMN(),FALSE),VLOOKUP(MO.DataSourceName,MO_SPT_StockAverage_Sources,COLUMN(),FALSE))</f>
        <v/>
      </c>
      <c r="AZ799" s="2074">
        <f>IF(OR(MO.RealTimeStockPriceToggle=FALSE,VLOOKUP(MO.DataSourceName,MO_SPT_StockAverage_Sources,COLUMN(),FALSE)="N/A"),VLOOKUP("Real-Time Off Source",MO_SPT_StockAverage_Sources,COLUMN(),FALSE),VLOOKUP(MO.DataSourceName,MO_SPT_StockAverage_Sources,COLUMN(),FALSE))</f>
        <v/>
      </c>
      <c r="BA799" s="2074">
        <f>IF(OR(MO.RealTimeStockPriceToggle=FALSE,VLOOKUP(MO.DataSourceName,MO_SPT_StockAverage_Sources,COLUMN(),FALSE)="N/A"),VLOOKUP("Real-Time Off Source",MO_SPT_StockAverage_Sources,COLUMN(),FALSE),VLOOKUP(MO.DataSourceName,MO_SPT_StockAverage_Sources,COLUMN(),FALSE))</f>
        <v/>
      </c>
      <c r="BB799" s="2074">
        <f>IF(OR(MO.RealTimeStockPriceToggle=FALSE,VLOOKUP(MO.DataSourceName,MO_SPT_StockAverage_Sources,COLUMN(),FALSE)="N/A"),VLOOKUP("Real-Time Off Source",MO_SPT_StockAverage_Sources,COLUMN(),FALSE),VLOOKUP(MO.DataSourceName,MO_SPT_StockAverage_Sources,COLUMN(),FALSE))</f>
        <v/>
      </c>
      <c r="BC799" s="2074">
        <f>IF(OR(MO.RealTimeStockPriceToggle=FALSE,VLOOKUP(MO.DataSourceName,MO_SPT_StockAverage_Sources,COLUMN(),FALSE)="N/A"),VLOOKUP("Real-Time Off Source",MO_SPT_StockAverage_Sources,COLUMN(),FALSE),VLOOKUP(MO.DataSourceName,MO_SPT_StockAverage_Sources,COLUMN(),FALSE))</f>
        <v/>
      </c>
      <c r="BD799" s="2074">
        <f>IF(OR(MO.RealTimeStockPriceToggle=FALSE,VLOOKUP(MO.DataSourceName,MO_SPT_StockAverage_Sources,COLUMN(),FALSE)="N/A"),VLOOKUP("Real-Time Off Source",MO_SPT_StockAverage_Sources,COLUMN(),FALSE),VLOOKUP(MO.DataSourceName,MO_SPT_StockAverage_Sources,COLUMN(),FALSE))</f>
        <v/>
      </c>
      <c r="BE799" s="2074">
        <f>IF(OR(MO.RealTimeStockPriceToggle=FALSE,VLOOKUP(MO.DataSourceName,MO_SPT_StockAverage_Sources,COLUMN(),FALSE)="N/A"),VLOOKUP("Real-Time Off Source",MO_SPT_StockAverage_Sources,COLUMN(),FALSE),VLOOKUP(MO.DataSourceName,MO_SPT_StockAverage_Sources,COLUMN(),FALSE))</f>
        <v/>
      </c>
      <c r="BF799" s="2074">
        <f>IF(OR(MO.RealTimeStockPriceToggle=FALSE,VLOOKUP(MO.DataSourceName,MO_SPT_StockAverage_Sources,COLUMN(),FALSE)="N/A"),VLOOKUP("Real-Time Off Source",MO_SPT_StockAverage_Sources,COLUMN(),FALSE),VLOOKUP(MO.DataSourceName,MO_SPT_StockAverage_Sources,COLUMN(),FALSE))</f>
        <v/>
      </c>
      <c r="BG799" s="2074">
        <f>IF(OR(MO.RealTimeStockPriceToggle=FALSE,VLOOKUP(MO.DataSourceName,MO_SPT_StockAverage_Sources,COLUMN(),FALSE)="N/A"),VLOOKUP("Real-Time Off Source",MO_SPT_StockAverage_Sources,COLUMN(),FALSE),VLOOKUP(MO.DataSourceName,MO_SPT_StockAverage_Sources,COLUMN(),FALSE))</f>
        <v/>
      </c>
      <c r="BH799" s="2074">
        <f>IF(OR(MO.RealTimeStockPriceToggle=FALSE,VLOOKUP(MO.DataSourceName,MO_SPT_StockAverage_Sources,COLUMN(),FALSE)="N/A"),VLOOKUP("Real-Time Off Source",MO_SPT_StockAverage_Sources,COLUMN(),FALSE),VLOOKUP(MO.DataSourceName,MO_SPT_StockAverage_Sources,COLUMN(),FALSE))</f>
        <v/>
      </c>
      <c r="BI799" s="2074">
        <f>IF(OR(MO.RealTimeStockPriceToggle=FALSE,VLOOKUP(MO.DataSourceName,MO_SPT_StockAverage_Sources,COLUMN(),FALSE)="N/A"),VLOOKUP("Real-Time Off Source",MO_SPT_StockAverage_Sources,COLUMN(),FALSE),VLOOKUP(MO.DataSourceName,MO_SPT_StockAverage_Sources,COLUMN(),FALSE))</f>
        <v/>
      </c>
      <c r="BJ799" s="2074">
        <f>IF(OR(MO.RealTimeStockPriceToggle=FALSE,VLOOKUP(MO.DataSourceName,MO_SPT_StockAverage_Sources,COLUMN(),FALSE)="N/A"),VLOOKUP("Real-Time Off Source",MO_SPT_StockAverage_Sources,COLUMN(),FALSE),VLOOKUP(MO.DataSourceName,MO_SPT_StockAverage_Sources,COLUMN(),FALSE))</f>
        <v/>
      </c>
      <c r="BK799" s="2074">
        <f>IF(OR(MO.RealTimeStockPriceToggle=FALSE,VLOOKUP(MO.DataSourceName,MO_SPT_StockAverage_Sources,COLUMN(),FALSE)="N/A"),VLOOKUP("Real-Time Off Source",MO_SPT_StockAverage_Sources,COLUMN(),FALSE),VLOOKUP(MO.DataSourceName,MO_SPT_StockAverage_Sources,COLUMN(),FALSE))</f>
        <v/>
      </c>
      <c r="BL799" s="2074">
        <f>IF(OR(MO.RealTimeStockPriceToggle=FALSE,VLOOKUP(MO.DataSourceName,MO_SPT_StockAverage_Sources,COLUMN(),FALSE)="N/A"),VLOOKUP("Real-Time Off Source",MO_SPT_StockAverage_Sources,COLUMN(),FALSE),VLOOKUP(MO.DataSourceName,MO_SPT_StockAverage_Sources,COLUMN(),FALSE))</f>
        <v/>
      </c>
      <c r="BM799" s="2074">
        <f>IF(OR(MO.RealTimeStockPriceToggle=FALSE,VLOOKUP(MO.DataSourceName,MO_SPT_StockAverage_Sources,COLUMN(),FALSE)="N/A"),VLOOKUP("Real-Time Off Source",MO_SPT_StockAverage_Sources,COLUMN(),FALSE),VLOOKUP(MO.DataSourceName,MO_SPT_StockAverage_Sources,COLUMN(),FALSE))</f>
        <v/>
      </c>
      <c r="BN799" s="2074">
        <f>IF(OR(MO.RealTimeStockPriceToggle=FALSE,VLOOKUP(MO.DataSourceName,MO_SPT_StockAverage_Sources,COLUMN(),FALSE)="N/A"),VLOOKUP("Real-Time Off Source",MO_SPT_StockAverage_Sources,COLUMN(),FALSE),VLOOKUP(MO.DataSourceName,MO_SPT_StockAverage_Sources,COLUMN(),FALSE))</f>
        <v/>
      </c>
      <c r="BO799" s="2076">
        <f>IF(OR(MO.RealTimeStockPriceToggle=FALSE,VLOOKUP(MO.DataSourceName,MO_SPT_StockAverage_Sources,COLUMN(),FALSE)="N/A"),VLOOKUP("Real-Time Off Source",MO_SPT_StockAverage_Sources,COLUMN(),FALSE),VLOOKUP(MO.DataSourceName,MO_SPT_StockAverage_Sources,COLUMN(),FALSE))</f>
        <v/>
      </c>
      <c r="BP799" s="2074">
        <f>IF(OR(MO.RealTimeStockPriceToggle=FALSE,VLOOKUP(MO.DataSourceName,MO_SPT_StockAverage_Sources,COLUMN(),FALSE)="N/A"),VLOOKUP("Real-Time Off Source",MO_SPT_StockAverage_Sources,COLUMN(),FALSE),VLOOKUP(MO.DataSourceName,MO_SPT_StockAverage_Sources,COLUMN(),FALSE))</f>
        <v/>
      </c>
      <c r="BQ799" s="2074">
        <f>IF(OR(MO.RealTimeStockPriceToggle=FALSE,VLOOKUP(MO.DataSourceName,MO_SPT_StockAverage_Sources,COLUMN(),FALSE)="N/A"),VLOOKUP("Real-Time Off Source",MO_SPT_StockAverage_Sources,COLUMN(),FALSE),VLOOKUP(MO.DataSourceName,MO_SPT_StockAverage_Sources,COLUMN(),FALSE))</f>
        <v/>
      </c>
      <c r="BR799" s="2074">
        <f>IF(OR(MO.RealTimeStockPriceToggle=FALSE,VLOOKUP(MO.DataSourceName,MO_SPT_StockAverage_Sources,COLUMN(),FALSE)="N/A"),VLOOKUP("Real-Time Off Source",MO_SPT_StockAverage_Sources,COLUMN(),FALSE),VLOOKUP(MO.DataSourceName,MO_SPT_StockAverage_Sources,COLUMN(),FALSE))</f>
        <v/>
      </c>
      <c r="BS799" s="2074">
        <f>IF(OR(MO.RealTimeStockPriceToggle=FALSE,VLOOKUP(MO.DataSourceName,MO_SPT_StockAverage_Sources,COLUMN(),FALSE)="N/A"),VLOOKUP("Real-Time Off Source",MO_SPT_StockAverage_Sources,COLUMN(),FALSE),VLOOKUP(MO.DataSourceName,MO_SPT_StockAverage_Sources,COLUMN(),FALSE))</f>
        <v/>
      </c>
      <c r="BT799" s="2074">
        <f>IF(OR(MO.RealTimeStockPriceToggle=FALSE,VLOOKUP(MO.DataSourceName,MO_SPT_StockAverage_Sources,COLUMN(),FALSE)="N/A"),VLOOKUP("Real-Time Off Source",MO_SPT_StockAverage_Sources,COLUMN(),FALSE),VLOOKUP(MO.DataSourceName,MO_SPT_StockAverage_Sources,COLUMN(),FALSE))</f>
        <v/>
      </c>
      <c r="BU799" s="2074">
        <f>IF(OR(MO.RealTimeStockPriceToggle=FALSE,VLOOKUP(MO.DataSourceName,MO_SPT_StockAverage_Sources,COLUMN(),FALSE)="N/A"),VLOOKUP("Real-Time Off Source",MO_SPT_StockAverage_Sources,COLUMN(),FALSE),VLOOKUP(MO.DataSourceName,MO_SPT_StockAverage_Sources,COLUMN(),FALSE))</f>
        <v/>
      </c>
      <c r="BV799" s="2074">
        <f>IF(OR(MO.RealTimeStockPriceToggle=FALSE,VLOOKUP(MO.DataSourceName,MO_SPT_StockAverage_Sources,COLUMN(),FALSE)="N/A"),VLOOKUP("Real-Time Off Source",MO_SPT_StockAverage_Sources,COLUMN(),FALSE),VLOOKUP(MO.DataSourceName,MO_SPT_StockAverage_Sources,COLUMN(),FALSE))</f>
        <v/>
      </c>
      <c r="BW799" s="2074">
        <f>IF(OR(MO.RealTimeStockPriceToggle=FALSE,VLOOKUP(MO.DataSourceName,MO_SPT_StockAverage_Sources,COLUMN(),FALSE)="N/A"),VLOOKUP("Real-Time Off Source",MO_SPT_StockAverage_Sources,COLUMN(),FALSE),VLOOKUP(MO.DataSourceName,MO_SPT_StockAverage_Sources,COLUMN(),FALSE))</f>
        <v/>
      </c>
      <c r="BX799" s="2074">
        <f>IF(OR(MO.RealTimeStockPriceToggle=FALSE,VLOOKUP(MO.DataSourceName,MO_SPT_StockAverage_Sources,COLUMN(),FALSE)="N/A"),VLOOKUP("Real-Time Off Source",MO_SPT_StockAverage_Sources,COLUMN(),FALSE),VLOOKUP(MO.DataSourceName,MO_SPT_StockAverage_Sources,COLUMN(),FALSE))</f>
        <v/>
      </c>
      <c r="BY799" s="2074">
        <f>IF(OR(MO.RealTimeStockPriceToggle=FALSE,VLOOKUP(MO.DataSourceName,MO_SPT_StockAverage_Sources,COLUMN(),FALSE)="N/A"),VLOOKUP("Real-Time Off Source",MO_SPT_StockAverage_Sources,COLUMN(),FALSE),VLOOKUP(MO.DataSourceName,MO_SPT_StockAverage_Sources,COLUMN(),FALSE))</f>
        <v/>
      </c>
      <c r="BZ799" s="2074">
        <f>IF(OR(MO.RealTimeStockPriceToggle=FALSE,VLOOKUP(MO.DataSourceName,MO_SPT_StockAverage_Sources,COLUMN(),FALSE)="N/A"),VLOOKUP("Real-Time Off Source",MO_SPT_StockAverage_Sources,COLUMN(),FALSE),VLOOKUP(MO.DataSourceName,MO_SPT_StockAverage_Sources,COLUMN(),FALSE))</f>
        <v/>
      </c>
      <c r="CA799" s="2074">
        <f>IF(OR(MO.RealTimeStockPriceToggle=FALSE,VLOOKUP(MO.DataSourceName,MO_SPT_StockAverage_Sources,COLUMN(),FALSE)="N/A"),VLOOKUP("Real-Time Off Source",MO_SPT_StockAverage_Sources,COLUMN(),FALSE),VLOOKUP(MO.DataSourceName,MO_SPT_StockAverage_Sources,COLUMN(),FALSE))</f>
        <v/>
      </c>
      <c r="CB799" s="2077">
        <f>IF(OR(MO.RealTimeStockPriceToggle=FALSE,VLOOKUP(MO.DataSourceName,MO_SPT_StockAverage_Sources,COLUMN(),FALSE)="N/A"),VLOOKUP("Real-Time Off Source",MO_SPT_StockAverage_Sources,COLUMN(),FALSE),VLOOKUP(MO.DataSourceName,MO_SPT_StockAverage_Sources,COLUMN(),FALSE))</f>
        <v/>
      </c>
      <c r="CC799" s="2078" t="n"/>
    </row>
    <row r="800" hidden="1" outlineLevel="1" ht="15" customFormat="1" customHeight="1" s="1945">
      <c r="A800" s="2079" t="inlineStr">
        <is>
          <t>Real-Time Off Source</t>
        </is>
      </c>
      <c r="B800" s="2074" t="n"/>
      <c r="C800" s="2080" t="n">
        <v>17.2649534508281</v>
      </c>
      <c r="D800" s="2080" t="n">
        <v>24.8111107562403</v>
      </c>
      <c r="E800" s="2081" t="n">
        <v>28.9175494513463</v>
      </c>
      <c r="F800" s="2081" t="n">
        <v>41.3919978909922</v>
      </c>
      <c r="G800" s="2081" t="n">
        <v>62.0350588235294</v>
      </c>
      <c r="H800" s="2081" t="n">
        <v>64.9831746031746</v>
      </c>
      <c r="I800" s="2081" t="n">
        <v>63.1291935483871</v>
      </c>
      <c r="J800" s="2081" t="n">
        <v>71.119393939394</v>
      </c>
      <c r="K800" s="2081" t="n">
        <v>81.10328124999999</v>
      </c>
      <c r="L800" s="2081" t="n">
        <v>70.1664313725491</v>
      </c>
      <c r="M800" s="2081" t="n">
        <v>93.56253968253969</v>
      </c>
      <c r="N800" s="2081" t="n">
        <v>96.82225806451611</v>
      </c>
      <c r="O800" s="2081" t="n">
        <v>85.44499999999999</v>
      </c>
      <c r="P800" s="2081" t="n">
        <v>83.1427692307692</v>
      </c>
      <c r="Q800" s="2081" t="n">
        <v>89.6135546875</v>
      </c>
      <c r="R800" s="2081" t="n">
        <v>81.3245161290322</v>
      </c>
      <c r="S800" s="2081" t="n">
        <v>86.0596923076923</v>
      </c>
      <c r="T800" s="2081" t="n">
        <v>94.7318181818182</v>
      </c>
      <c r="U800" s="2081" t="n">
        <v>97.1596875</v>
      </c>
      <c r="V800" s="2081" t="n">
        <v>89.90863813229559</v>
      </c>
      <c r="W800" s="2081" t="n">
        <v>115.037692307692</v>
      </c>
      <c r="X800" s="2081" t="n">
        <v>120.241935483871</v>
      </c>
      <c r="Y800" s="2081" t="n">
        <v>129.830769230769</v>
      </c>
      <c r="Z800" s="2081" t="n">
        <v>149.753968253968</v>
      </c>
      <c r="AA800" s="2081" t="n">
        <v>128.650784313725</v>
      </c>
      <c r="AB800" s="2081" t="n">
        <v>160.047619047619</v>
      </c>
      <c r="AC800" s="2081" t="n">
        <v>168.905555555556</v>
      </c>
      <c r="AD800" s="2081" t="n">
        <v>172.465692307692</v>
      </c>
      <c r="AE800" s="2081" t="n">
        <v>148.7953125</v>
      </c>
      <c r="AF800" s="2081" t="n">
        <v>162.577333333333</v>
      </c>
      <c r="AG800" s="2081" t="n">
        <v>155.612380952381</v>
      </c>
      <c r="AH800" s="2081" t="n">
        <v>176.773225806452</v>
      </c>
      <c r="AI800" s="2081" t="n">
        <v>202.614848484848</v>
      </c>
      <c r="AJ800" s="2081" t="n">
        <v>243.4921875</v>
      </c>
      <c r="AK800" s="2081" t="n">
        <v>194.978823529412</v>
      </c>
      <c r="AL800" s="2081" t="n">
        <v>258.9875</v>
      </c>
      <c r="AM800" s="2081" t="n">
        <v>285.835483870968</v>
      </c>
      <c r="AN800" s="2081" t="n">
        <v>319.692424242424</v>
      </c>
      <c r="AO800" s="2081" t="n">
        <v>352.354615384615</v>
      </c>
      <c r="AP800" s="2081" t="n">
        <v>304.668287937743</v>
      </c>
      <c r="AQ800" s="2081" t="n">
        <v>460.376984126984</v>
      </c>
      <c r="AR800" s="2081" t="n">
        <v>545.942857142857</v>
      </c>
      <c r="AS800" s="2081" t="n">
        <v>666.2090909090909</v>
      </c>
      <c r="AT800" s="2081" t="n">
        <v>693.7</v>
      </c>
      <c r="AU800" s="2081" t="n">
        <v>593.61</v>
      </c>
      <c r="AV800" s="2081" t="n">
        <v>596.25</v>
      </c>
      <c r="AW800" s="2081" t="n">
        <v>523.353968253968</v>
      </c>
      <c r="AX800" s="2081" t="n">
        <v>495.160606060606</v>
      </c>
      <c r="AY800" s="2081" t="n">
        <v>523.3176177142858</v>
      </c>
      <c r="AZ800" s="2081" t="n">
        <v>558.6904725099599</v>
      </c>
      <c r="BA800" s="2081" t="n">
        <v>596.3830769230771</v>
      </c>
      <c r="BB800" s="2081" t="n">
        <v>626.446774193548</v>
      </c>
      <c r="BC800" s="2081" t="n">
        <v>611.198461538462</v>
      </c>
      <c r="BD800" s="2081" t="n">
        <v>612.0047619047619</v>
      </c>
      <c r="BE800" s="2081" t="n">
        <v>611.328627450981</v>
      </c>
      <c r="BF800" s="2081" t="n">
        <v>813.612698412699</v>
      </c>
      <c r="BG800" s="2081" t="n">
        <v>894.15873015873</v>
      </c>
      <c r="BH800" s="2081" t="n">
        <v>819.115384615385</v>
      </c>
      <c r="BI800" s="2081" t="n">
        <v>673.523076923077</v>
      </c>
      <c r="BJ800" s="2081" t="n">
        <v>799.262109375</v>
      </c>
      <c r="BK800" s="2081" t="n">
        <v>696.237096774194</v>
      </c>
      <c r="BL800" s="2081" t="n">
        <v>633.43870967742</v>
      </c>
      <c r="BM800" s="2081" t="n">
        <v>666.3</v>
      </c>
      <c r="BN800" s="2081" t="n">
        <v>894.3515151515149</v>
      </c>
      <c r="BO800" s="2082" t="n">
        <v>724.6141176470589</v>
      </c>
      <c r="BP800" s="2074" t="n"/>
      <c r="BQ800" s="2074" t="n"/>
      <c r="BR800" s="2074" t="n"/>
      <c r="BS800" s="2074" t="n"/>
      <c r="BT800" s="2074" t="n"/>
      <c r="BU800" s="2074" t="n"/>
      <c r="BV800" s="2074" t="n"/>
      <c r="BW800" s="2074" t="n"/>
      <c r="BX800" s="2074" t="n"/>
      <c r="BY800" s="2074" t="n"/>
      <c r="BZ800" s="2074" t="n"/>
      <c r="CA800" s="2074" t="n"/>
      <c r="CB800" s="2077" t="n"/>
      <c r="CC800" s="2078" t="n"/>
    </row>
    <row r="801" hidden="1" outlineLevel="1" ht="15" customFormat="1" customHeight="1" s="1945">
      <c r="A801" s="2079" t="inlineStr">
        <is>
          <t>Bloomberg</t>
        </is>
      </c>
      <c r="B801" s="2074" t="n"/>
      <c r="C801" s="2075">
        <f>IFERROR(BDP(MO.Ticker.Bloomberg&amp;" Equity","INTERVAL_AVG","MARKET_DATA_OVERRIDE=PX_LAST","START_DATE_OVERRIDE",TEXT(INDEX(MO_SNA_FPStartDate,0,COLUMN()),"YYYYMMDD"),"END_DATE_OVERRIDE",TEXT(INDEX(MO_Common_QEndDate,0,COLUMN()),"YYYYMMDD")),"N/A")</f>
        <v/>
      </c>
      <c r="D801" s="2075">
        <f>IFERROR(BDP(MO.Ticker.Bloomberg&amp;" Equity","INTERVAL_AVG","MARKET_DATA_OVERRIDE=PX_LAST","START_DATE_OVERRIDE",TEXT(INDEX(MO_SNA_FPStartDate,0,COLUMN()),"YYYYMMDD"),"END_DATE_OVERRIDE",TEXT(INDEX(MO_Common_QEndDate,0,COLUMN()),"YYYYMMDD")),"N/A")</f>
        <v/>
      </c>
      <c r="E801" s="2074">
        <f>IFERROR(BDP(MO.Ticker.Bloomberg&amp;" Equity","INTERVAL_AVG","MARKET_DATA_OVERRIDE=PX_LAST","START_DATE_OVERRIDE",TEXT(INDEX(MO_SNA_FPStartDate,0,COLUMN()),"YYYYMMDD"),"END_DATE_OVERRIDE",TEXT(INDEX(MO_Common_QEndDate,0,COLUMN()),"YYYYMMDD")),"N/A")</f>
        <v/>
      </c>
      <c r="F801" s="2074">
        <f>IFERROR(BDP(MO.Ticker.Bloomberg&amp;" Equity","INTERVAL_AVG","MARKET_DATA_OVERRIDE=PX_LAST","START_DATE_OVERRIDE",TEXT(INDEX(MO_SNA_FPStartDate,0,COLUMN()),"YYYYMMDD"),"END_DATE_OVERRIDE",TEXT(INDEX(MO_Common_QEndDate,0,COLUMN()),"YYYYMMDD")),"N/A")</f>
        <v/>
      </c>
      <c r="G801" s="2074">
        <f>IFERROR(BDP(MO.Ticker.Bloomberg&amp;" Equity","INTERVAL_AVG","MARKET_DATA_OVERRIDE=PX_LAST","START_DATE_OVERRIDE",TEXT(INDEX(MO_SNA_FPStartDate,0,COLUMN()),"YYYYMMDD"),"END_DATE_OVERRIDE",TEXT(INDEX(MO_Common_QEndDate,0,COLUMN()),"YYYYMMDD")),"N/A")</f>
        <v/>
      </c>
      <c r="H801" s="2074">
        <f>IFERROR(BDP(MO.Ticker.Bloomberg&amp;" Equity","INTERVAL_AVG","MARKET_DATA_OVERRIDE=PX_LAST","START_DATE_OVERRIDE",TEXT(INDEX(MO_SNA_FPStartDate,0,COLUMN()),"YYYYMMDD"),"END_DATE_OVERRIDE",TEXT(INDEX(MO_Common_QEndDate,0,COLUMN()),"YYYYMMDD")),"N/A")</f>
        <v/>
      </c>
      <c r="I801" s="2074">
        <f>IFERROR(BDP(MO.Ticker.Bloomberg&amp;" Equity","INTERVAL_AVG","MARKET_DATA_OVERRIDE=PX_LAST","START_DATE_OVERRIDE",TEXT(INDEX(MO_SNA_FPStartDate,0,COLUMN()),"YYYYMMDD"),"END_DATE_OVERRIDE",TEXT(INDEX(MO_Common_QEndDate,0,COLUMN()),"YYYYMMDD")),"N/A")</f>
        <v/>
      </c>
      <c r="J801" s="2074">
        <f>IFERROR(BDP(MO.Ticker.Bloomberg&amp;" Equity","INTERVAL_AVG","MARKET_DATA_OVERRIDE=PX_LAST","START_DATE_OVERRIDE",TEXT(INDEX(MO_SNA_FPStartDate,0,COLUMN()),"YYYYMMDD"),"END_DATE_OVERRIDE",TEXT(INDEX(MO_Common_QEndDate,0,COLUMN()),"YYYYMMDD")),"N/A")</f>
        <v/>
      </c>
      <c r="K801" s="2074">
        <f>IFERROR(BDP(MO.Ticker.Bloomberg&amp;" Equity","INTERVAL_AVG","MARKET_DATA_OVERRIDE=PX_LAST","START_DATE_OVERRIDE",TEXT(INDEX(MO_SNA_FPStartDate,0,COLUMN()),"YYYYMMDD"),"END_DATE_OVERRIDE",TEXT(INDEX(MO_Common_QEndDate,0,COLUMN()),"YYYYMMDD")),"N/A")</f>
        <v/>
      </c>
      <c r="L801" s="2074">
        <f>IFERROR(BDP(MO.Ticker.Bloomberg&amp;" Equity","INTERVAL_AVG","MARKET_DATA_OVERRIDE=PX_LAST","START_DATE_OVERRIDE",TEXT(INDEX(MO_SNA_FPStartDate,0,COLUMN()),"YYYYMMDD"),"END_DATE_OVERRIDE",TEXT(INDEX(MO_Common_QEndDate,0,COLUMN()),"YYYYMMDD")),"N/A")</f>
        <v/>
      </c>
      <c r="M801" s="2074">
        <f>IFERROR(BDP(MO.Ticker.Bloomberg&amp;" Equity","INTERVAL_AVG","MARKET_DATA_OVERRIDE=PX_LAST","START_DATE_OVERRIDE",TEXT(INDEX(MO_SNA_FPStartDate,0,COLUMN()),"YYYYMMDD"),"END_DATE_OVERRIDE",TEXT(INDEX(MO_Common_QEndDate,0,COLUMN()),"YYYYMMDD")),"N/A")</f>
        <v/>
      </c>
      <c r="N801" s="2074">
        <f>IFERROR(BDP(MO.Ticker.Bloomberg&amp;" Equity","INTERVAL_AVG","MARKET_DATA_OVERRIDE=PX_LAST","START_DATE_OVERRIDE",TEXT(INDEX(MO_SNA_FPStartDate,0,COLUMN()),"YYYYMMDD"),"END_DATE_OVERRIDE",TEXT(INDEX(MO_Common_QEndDate,0,COLUMN()),"YYYYMMDD")),"N/A")</f>
        <v/>
      </c>
      <c r="O801" s="2074">
        <f>IFERROR(BDP(MO.Ticker.Bloomberg&amp;" Equity","INTERVAL_AVG","MARKET_DATA_OVERRIDE=PX_LAST","START_DATE_OVERRIDE",TEXT(INDEX(MO_SNA_FPStartDate,0,COLUMN()),"YYYYMMDD"),"END_DATE_OVERRIDE",TEXT(INDEX(MO_Common_QEndDate,0,COLUMN()),"YYYYMMDD")),"N/A")</f>
        <v/>
      </c>
      <c r="P801" s="2074">
        <f>IFERROR(BDP(MO.Ticker.Bloomberg&amp;" Equity","INTERVAL_AVG","MARKET_DATA_OVERRIDE=PX_LAST","START_DATE_OVERRIDE",TEXT(INDEX(MO_SNA_FPStartDate,0,COLUMN()),"YYYYMMDD"),"END_DATE_OVERRIDE",TEXT(INDEX(MO_Common_QEndDate,0,COLUMN()),"YYYYMMDD")),"N/A")</f>
        <v/>
      </c>
      <c r="Q801" s="2074">
        <f>IFERROR(BDP(MO.Ticker.Bloomberg&amp;" Equity","INTERVAL_AVG","MARKET_DATA_OVERRIDE=PX_LAST","START_DATE_OVERRIDE",TEXT(INDEX(MO_SNA_FPStartDate,0,COLUMN()),"YYYYMMDD"),"END_DATE_OVERRIDE",TEXT(INDEX(MO_Common_QEndDate,0,COLUMN()),"YYYYMMDD")),"N/A")</f>
        <v/>
      </c>
      <c r="R801" s="2074">
        <f>IFERROR(BDP(MO.Ticker.Bloomberg&amp;" Equity","INTERVAL_AVG","MARKET_DATA_OVERRIDE=PX_LAST","START_DATE_OVERRIDE",TEXT(INDEX(MO_SNA_FPStartDate,0,COLUMN()),"YYYYMMDD"),"END_DATE_OVERRIDE",TEXT(INDEX(MO_Common_QEndDate,0,COLUMN()),"YYYYMMDD")),"N/A")</f>
        <v/>
      </c>
      <c r="S801" s="2074">
        <f>IFERROR(BDP(MO.Ticker.Bloomberg&amp;" Equity","INTERVAL_AVG","MARKET_DATA_OVERRIDE=PX_LAST","START_DATE_OVERRIDE",TEXT(INDEX(MO_SNA_FPStartDate,0,COLUMN()),"YYYYMMDD"),"END_DATE_OVERRIDE",TEXT(INDEX(MO_Common_QEndDate,0,COLUMN()),"YYYYMMDD")),"N/A")</f>
        <v/>
      </c>
      <c r="T801" s="2074">
        <f>IFERROR(BDP(MO.Ticker.Bloomberg&amp;" Equity","INTERVAL_AVG","MARKET_DATA_OVERRIDE=PX_LAST","START_DATE_OVERRIDE",TEXT(INDEX(MO_SNA_FPStartDate,0,COLUMN()),"YYYYMMDD"),"END_DATE_OVERRIDE",TEXT(INDEX(MO_Common_QEndDate,0,COLUMN()),"YYYYMMDD")),"N/A")</f>
        <v/>
      </c>
      <c r="U801" s="2074">
        <f>IFERROR(BDP(MO.Ticker.Bloomberg&amp;" Equity","INTERVAL_AVG","MARKET_DATA_OVERRIDE=PX_LAST","START_DATE_OVERRIDE",TEXT(INDEX(MO_SNA_FPStartDate,0,COLUMN()),"YYYYMMDD"),"END_DATE_OVERRIDE",TEXT(INDEX(MO_Common_QEndDate,0,COLUMN()),"YYYYMMDD")),"N/A")</f>
        <v/>
      </c>
      <c r="V801" s="2074">
        <f>IFERROR(BDP(MO.Ticker.Bloomberg&amp;" Equity","INTERVAL_AVG","MARKET_DATA_OVERRIDE=PX_LAST","START_DATE_OVERRIDE",TEXT(INDEX(MO_SNA_FPStartDate,0,COLUMN()),"YYYYMMDD"),"END_DATE_OVERRIDE",TEXT(INDEX(MO_Common_QEndDate,0,COLUMN()),"YYYYMMDD")),"N/A")</f>
        <v/>
      </c>
      <c r="W801" s="2074">
        <f>IFERROR(BDP(MO.Ticker.Bloomberg&amp;" Equity","INTERVAL_AVG","MARKET_DATA_OVERRIDE=PX_LAST","START_DATE_OVERRIDE",TEXT(INDEX(MO_SNA_FPStartDate,0,COLUMN()),"YYYYMMDD"),"END_DATE_OVERRIDE",TEXT(INDEX(MO_Common_QEndDate,0,COLUMN()),"YYYYMMDD")),"N/A")</f>
        <v/>
      </c>
      <c r="X801" s="2074">
        <f>IFERROR(BDP(MO.Ticker.Bloomberg&amp;" Equity","INTERVAL_AVG","MARKET_DATA_OVERRIDE=PX_LAST","START_DATE_OVERRIDE",TEXT(INDEX(MO_SNA_FPStartDate,0,COLUMN()),"YYYYMMDD"),"END_DATE_OVERRIDE",TEXT(INDEX(MO_Common_QEndDate,0,COLUMN()),"YYYYMMDD")),"N/A")</f>
        <v/>
      </c>
      <c r="Y801" s="2074">
        <f>IFERROR(BDP(MO.Ticker.Bloomberg&amp;" Equity","INTERVAL_AVG","MARKET_DATA_OVERRIDE=PX_LAST","START_DATE_OVERRIDE",TEXT(INDEX(MO_SNA_FPStartDate,0,COLUMN()),"YYYYMMDD"),"END_DATE_OVERRIDE",TEXT(INDEX(MO_Common_QEndDate,0,COLUMN()),"YYYYMMDD")),"N/A")</f>
        <v/>
      </c>
      <c r="Z801" s="2074">
        <f>IFERROR(BDP(MO.Ticker.Bloomberg&amp;" Equity","INTERVAL_AVG","MARKET_DATA_OVERRIDE=PX_LAST","START_DATE_OVERRIDE",TEXT(INDEX(MO_SNA_FPStartDate,0,COLUMN()),"YYYYMMDD"),"END_DATE_OVERRIDE",TEXT(INDEX(MO_Common_QEndDate,0,COLUMN()),"YYYYMMDD")),"N/A")</f>
        <v/>
      </c>
      <c r="AA801" s="2074">
        <f>IFERROR(BDP(MO.Ticker.Bloomberg&amp;" Equity","INTERVAL_AVG","MARKET_DATA_OVERRIDE=PX_LAST","START_DATE_OVERRIDE",TEXT(INDEX(MO_SNA_FPStartDate,0,COLUMN()),"YYYYMMDD"),"END_DATE_OVERRIDE",TEXT(INDEX(MO_Common_QEndDate,0,COLUMN()),"YYYYMMDD")),"N/A")</f>
        <v/>
      </c>
      <c r="AB801" s="2074">
        <f>IFERROR(BDP(MO.Ticker.Bloomberg&amp;" Equity","INTERVAL_AVG","MARKET_DATA_OVERRIDE=PX_LAST","START_DATE_OVERRIDE",TEXT(INDEX(MO_SNA_FPStartDate,0,COLUMN()),"YYYYMMDD"),"END_DATE_OVERRIDE",TEXT(INDEX(MO_Common_QEndDate,0,COLUMN()),"YYYYMMDD")),"N/A")</f>
        <v/>
      </c>
      <c r="AC801" s="2074">
        <f>IFERROR(BDP(MO.Ticker.Bloomberg&amp;" Equity","INTERVAL_AVG","MARKET_DATA_OVERRIDE=PX_LAST","START_DATE_OVERRIDE",TEXT(INDEX(MO_SNA_FPStartDate,0,COLUMN()),"YYYYMMDD"),"END_DATE_OVERRIDE",TEXT(INDEX(MO_Common_QEndDate,0,COLUMN()),"YYYYMMDD")),"N/A")</f>
        <v/>
      </c>
      <c r="AD801" s="2074">
        <f>IFERROR(BDP(MO.Ticker.Bloomberg&amp;" Equity","INTERVAL_AVG","MARKET_DATA_OVERRIDE=PX_LAST","START_DATE_OVERRIDE",TEXT(INDEX(MO_SNA_FPStartDate,0,COLUMN()),"YYYYMMDD"),"END_DATE_OVERRIDE",TEXT(INDEX(MO_Common_QEndDate,0,COLUMN()),"YYYYMMDD")),"N/A")</f>
        <v/>
      </c>
      <c r="AE801" s="2074">
        <f>IFERROR(BDP(MO.Ticker.Bloomberg&amp;" Equity","INTERVAL_AVG","MARKET_DATA_OVERRIDE=PX_LAST","START_DATE_OVERRIDE",TEXT(INDEX(MO_SNA_FPStartDate,0,COLUMN()),"YYYYMMDD"),"END_DATE_OVERRIDE",TEXT(INDEX(MO_Common_QEndDate,0,COLUMN()),"YYYYMMDD")),"N/A")</f>
        <v/>
      </c>
      <c r="AF801" s="2074">
        <f>IFERROR(BDP(MO.Ticker.Bloomberg&amp;" Equity","INTERVAL_AVG","MARKET_DATA_OVERRIDE=PX_LAST","START_DATE_OVERRIDE",TEXT(INDEX(MO_SNA_FPStartDate,0,COLUMN()),"YYYYMMDD"),"END_DATE_OVERRIDE",TEXT(INDEX(MO_Common_QEndDate,0,COLUMN()),"YYYYMMDD")),"N/A")</f>
        <v/>
      </c>
      <c r="AG801" s="2074">
        <f>IFERROR(BDP(MO.Ticker.Bloomberg&amp;" Equity","INTERVAL_AVG","MARKET_DATA_OVERRIDE=PX_LAST","START_DATE_OVERRIDE",TEXT(INDEX(MO_SNA_FPStartDate,0,COLUMN()),"YYYYMMDD"),"END_DATE_OVERRIDE",TEXT(INDEX(MO_Common_QEndDate,0,COLUMN()),"YYYYMMDD")),"N/A")</f>
        <v/>
      </c>
      <c r="AH801" s="2074">
        <f>IFERROR(BDP(MO.Ticker.Bloomberg&amp;" Equity","INTERVAL_AVG","MARKET_DATA_OVERRIDE=PX_LAST","START_DATE_OVERRIDE",TEXT(INDEX(MO_SNA_FPStartDate,0,COLUMN()),"YYYYMMDD"),"END_DATE_OVERRIDE",TEXT(INDEX(MO_Common_QEndDate,0,COLUMN()),"YYYYMMDD")),"N/A")</f>
        <v/>
      </c>
      <c r="AI801" s="2074">
        <f>IFERROR(BDP(MO.Ticker.Bloomberg&amp;" Equity","INTERVAL_AVG","MARKET_DATA_OVERRIDE=PX_LAST","START_DATE_OVERRIDE",TEXT(INDEX(MO_SNA_FPStartDate,0,COLUMN()),"YYYYMMDD"),"END_DATE_OVERRIDE",TEXT(INDEX(MO_Common_QEndDate,0,COLUMN()),"YYYYMMDD")),"N/A")</f>
        <v/>
      </c>
      <c r="AJ801" s="2074">
        <f>IFERROR(BDP(MO.Ticker.Bloomberg&amp;" Equity","INTERVAL_AVG","MARKET_DATA_OVERRIDE=PX_LAST","START_DATE_OVERRIDE",TEXT(INDEX(MO_SNA_FPStartDate,0,COLUMN()),"YYYYMMDD"),"END_DATE_OVERRIDE",TEXT(INDEX(MO_Common_QEndDate,0,COLUMN()),"YYYYMMDD")),"N/A")</f>
        <v/>
      </c>
      <c r="AK801" s="2074">
        <f>IFERROR(BDP(MO.Ticker.Bloomberg&amp;" Equity","INTERVAL_AVG","MARKET_DATA_OVERRIDE=PX_LAST","START_DATE_OVERRIDE",TEXT(INDEX(MO_SNA_FPStartDate,0,COLUMN()),"YYYYMMDD"),"END_DATE_OVERRIDE",TEXT(INDEX(MO_Common_QEndDate,0,COLUMN()),"YYYYMMDD")),"N/A")</f>
        <v/>
      </c>
      <c r="AL801" s="2074">
        <f>IFERROR(BDP(MO.Ticker.Bloomberg&amp;" Equity","INTERVAL_AVG","MARKET_DATA_OVERRIDE=PX_LAST","START_DATE_OVERRIDE",TEXT(INDEX(MO_SNA_FPStartDate,0,COLUMN()),"YYYYMMDD"),"END_DATE_OVERRIDE",TEXT(INDEX(MO_Common_QEndDate,0,COLUMN()),"YYYYMMDD")),"N/A")</f>
        <v/>
      </c>
      <c r="AM801" s="2074">
        <f>IFERROR(BDP(MO.Ticker.Bloomberg&amp;" Equity","INTERVAL_AVG","MARKET_DATA_OVERRIDE=PX_LAST","START_DATE_OVERRIDE",TEXT(INDEX(MO_SNA_FPStartDate,0,COLUMN()),"YYYYMMDD"),"END_DATE_OVERRIDE",TEXT(INDEX(MO_Common_QEndDate,0,COLUMN()),"YYYYMMDD")),"N/A")</f>
        <v/>
      </c>
      <c r="AN801" s="2074">
        <f>IFERROR(BDP(MO.Ticker.Bloomberg&amp;" Equity","INTERVAL_AVG","MARKET_DATA_OVERRIDE=PX_LAST","START_DATE_OVERRIDE",TEXT(INDEX(MO_SNA_FPStartDate,0,COLUMN()),"YYYYMMDD"),"END_DATE_OVERRIDE",TEXT(INDEX(MO_Common_QEndDate,0,COLUMN()),"YYYYMMDD")),"N/A")</f>
        <v/>
      </c>
      <c r="AO801" s="2074">
        <f>IFERROR(BDP(MO.Ticker.Bloomberg&amp;" Equity","INTERVAL_AVG","MARKET_DATA_OVERRIDE=PX_LAST","START_DATE_OVERRIDE",TEXT(INDEX(MO_SNA_FPStartDate,0,COLUMN()),"YYYYMMDD"),"END_DATE_OVERRIDE",TEXT(INDEX(MO_Common_QEndDate,0,COLUMN()),"YYYYMMDD")),"N/A")</f>
        <v/>
      </c>
      <c r="AP801" s="2074">
        <f>IFERROR(BDP(MO.Ticker.Bloomberg&amp;" Equity","INTERVAL_AVG","MARKET_DATA_OVERRIDE=PX_LAST","START_DATE_OVERRIDE",TEXT(INDEX(MO_SNA_FPStartDate,0,COLUMN()),"YYYYMMDD"),"END_DATE_OVERRIDE",TEXT(INDEX(MO_Common_QEndDate,0,COLUMN()),"YYYYMMDD")),"N/A")</f>
        <v/>
      </c>
      <c r="AQ801" s="2074">
        <f>IFERROR(BDP(MO.Ticker.Bloomberg&amp;" Equity","INTERVAL_AVG","MARKET_DATA_OVERRIDE=PX_LAST","START_DATE_OVERRIDE",TEXT(INDEX(MO_SNA_FPStartDate,0,COLUMN()),"YYYYMMDD"),"END_DATE_OVERRIDE",TEXT(INDEX(MO_Common_QEndDate,0,COLUMN()),"YYYYMMDD")),"N/A")</f>
        <v/>
      </c>
      <c r="AR801" s="2074">
        <f>IFERROR(BDP(MO.Ticker.Bloomberg&amp;" Equity","INTERVAL_AVG","MARKET_DATA_OVERRIDE=PX_LAST","START_DATE_OVERRIDE",TEXT(INDEX(MO_SNA_FPStartDate,0,COLUMN()),"YYYYMMDD"),"END_DATE_OVERRIDE",TEXT(INDEX(MO_Common_QEndDate,0,COLUMN()),"YYYYMMDD")),"N/A")</f>
        <v/>
      </c>
      <c r="AS801" s="2074">
        <f>IFERROR(BDP(MO.Ticker.Bloomberg&amp;" Equity","INTERVAL_AVG","MARKET_DATA_OVERRIDE=PX_LAST","START_DATE_OVERRIDE",TEXT(INDEX(MO_SNA_FPStartDate,0,COLUMN()),"YYYYMMDD"),"END_DATE_OVERRIDE",TEXT(INDEX(MO_Common_QEndDate,0,COLUMN()),"YYYYMMDD")),"N/A")</f>
        <v/>
      </c>
      <c r="AT801" s="2074">
        <f>IFERROR(BDP(MO.Ticker.Bloomberg&amp;" Equity","INTERVAL_AVG","MARKET_DATA_OVERRIDE=PX_LAST","START_DATE_OVERRIDE",TEXT(INDEX(MO_SNA_FPStartDate,0,COLUMN()),"YYYYMMDD"),"END_DATE_OVERRIDE",TEXT(INDEX(MO_Common_QEndDate,0,COLUMN()),"YYYYMMDD")),"N/A")</f>
        <v/>
      </c>
      <c r="AU801" s="2074">
        <f>IFERROR(BDP(MO.Ticker.Bloomberg&amp;" Equity","INTERVAL_AVG","MARKET_DATA_OVERRIDE=PX_LAST","START_DATE_OVERRIDE",TEXT(INDEX(MO_SNA_FPStartDate,0,COLUMN()),"YYYYMMDD"),"END_DATE_OVERRIDE",TEXT(INDEX(MO_Common_QEndDate,0,COLUMN()),"YYYYMMDD")),"N/A")</f>
        <v/>
      </c>
      <c r="AV801" s="2074">
        <f>IFERROR(BDP(MO.Ticker.Bloomberg&amp;" Equity","INTERVAL_AVG","MARKET_DATA_OVERRIDE=PX_LAST","START_DATE_OVERRIDE",TEXT(INDEX(MO_SNA_FPStartDate,0,COLUMN()),"YYYYMMDD"),"END_DATE_OVERRIDE",TEXT(INDEX(MO_Common_QEndDate,0,COLUMN()),"YYYYMMDD")),"N/A")</f>
        <v/>
      </c>
      <c r="AW801" s="2074">
        <f>IFERROR(BDP(MO.Ticker.Bloomberg&amp;" Equity","INTERVAL_AVG","MARKET_DATA_OVERRIDE=PX_LAST","START_DATE_OVERRIDE",TEXT(INDEX(MO_SNA_FPStartDate,0,COLUMN()),"YYYYMMDD"),"END_DATE_OVERRIDE",TEXT(INDEX(MO_Common_QEndDate,0,COLUMN()),"YYYYMMDD")),"N/A")</f>
        <v/>
      </c>
      <c r="AX801" s="2074">
        <f>IFERROR(BDP(MO.Ticker.Bloomberg&amp;" Equity","INTERVAL_AVG","MARKET_DATA_OVERRIDE=PX_LAST","START_DATE_OVERRIDE",TEXT(INDEX(MO_SNA_FPStartDate,0,COLUMN()),"YYYYMMDD"),"END_DATE_OVERRIDE",TEXT(INDEX(MO_Common_QEndDate,0,COLUMN()),"YYYYMMDD")),"N/A")</f>
        <v/>
      </c>
      <c r="AY801" s="2074">
        <f>IFERROR(BDP(MO.Ticker.Bloomberg&amp;" Equity","INTERVAL_AVG","MARKET_DATA_OVERRIDE=PX_LAST","START_DATE_OVERRIDE",TEXT(INDEX(MO_SNA_FPStartDate,0,COLUMN()),"YYYYMMDD"),"END_DATE_OVERRIDE",TEXT(INDEX(MO_Common_QEndDate,0,COLUMN()),"YYYYMMDD")),"N/A")</f>
        <v/>
      </c>
      <c r="AZ801" s="2074">
        <f>IFERROR(BDP(MO.Ticker.Bloomberg&amp;" Equity","INTERVAL_AVG","MARKET_DATA_OVERRIDE=PX_LAST","START_DATE_OVERRIDE",TEXT(INDEX(MO_SNA_FPStartDate,0,COLUMN()),"YYYYMMDD"),"END_DATE_OVERRIDE",TEXT(INDEX(MO_Common_QEndDate,0,COLUMN()),"YYYYMMDD")),"N/A")</f>
        <v/>
      </c>
      <c r="BA801" s="2074">
        <f>IFERROR(BDP(MO.Ticker.Bloomberg&amp;" Equity","INTERVAL_AVG","MARKET_DATA_OVERRIDE=PX_LAST","START_DATE_OVERRIDE",TEXT(INDEX(MO_SNA_FPStartDate,0,COLUMN()),"YYYYMMDD"),"END_DATE_OVERRIDE",TEXT(INDEX(MO_Common_QEndDate,0,COLUMN()),"YYYYMMDD")),"N/A")</f>
        <v/>
      </c>
      <c r="BB801" s="2074">
        <f>IFERROR(BDP(MO.Ticker.Bloomberg&amp;" Equity","INTERVAL_AVG","MARKET_DATA_OVERRIDE=PX_LAST","START_DATE_OVERRIDE",TEXT(INDEX(MO_SNA_FPStartDate,0,COLUMN()),"YYYYMMDD"),"END_DATE_OVERRIDE",TEXT(INDEX(MO_Common_QEndDate,0,COLUMN()),"YYYYMMDD")),"N/A")</f>
        <v/>
      </c>
      <c r="BC801" s="2074">
        <f>IFERROR(BDP(MO.Ticker.Bloomberg&amp;" Equity","INTERVAL_AVG","MARKET_DATA_OVERRIDE=PX_LAST","START_DATE_OVERRIDE",TEXT(INDEX(MO_SNA_FPStartDate,0,COLUMN()),"YYYYMMDD"),"END_DATE_OVERRIDE",TEXT(INDEX(MO_Common_QEndDate,0,COLUMN()),"YYYYMMDD")),"N/A")</f>
        <v/>
      </c>
      <c r="BD801" s="2074">
        <f>IFERROR(BDP(MO.Ticker.Bloomberg&amp;" Equity","INTERVAL_AVG","MARKET_DATA_OVERRIDE=PX_LAST","START_DATE_OVERRIDE",TEXT(INDEX(MO_SNA_FPStartDate,0,COLUMN()),"YYYYMMDD"),"END_DATE_OVERRIDE",TEXT(INDEX(MO_Common_QEndDate,0,COLUMN()),"YYYYMMDD")),"N/A")</f>
        <v/>
      </c>
      <c r="BE801" s="2074">
        <f>IFERROR(BDP(MO.Ticker.Bloomberg&amp;" Equity","INTERVAL_AVG","MARKET_DATA_OVERRIDE=PX_LAST","START_DATE_OVERRIDE",TEXT(INDEX(MO_SNA_FPStartDate,0,COLUMN()),"YYYYMMDD"),"END_DATE_OVERRIDE",TEXT(INDEX(MO_Common_QEndDate,0,COLUMN()),"YYYYMMDD")),"N/A")</f>
        <v/>
      </c>
      <c r="BF801" s="2074">
        <f>IFERROR(BDP(MO.Ticker.Bloomberg&amp;" Equity","INTERVAL_AVG","MARKET_DATA_OVERRIDE=PX_LAST","START_DATE_OVERRIDE",TEXT(INDEX(MO_SNA_FPStartDate,0,COLUMN()),"YYYYMMDD"),"END_DATE_OVERRIDE",TEXT(INDEX(MO_Common_QEndDate,0,COLUMN()),"YYYYMMDD")),"N/A")</f>
        <v/>
      </c>
      <c r="BG801" s="2074">
        <f>IFERROR(BDP(MO.Ticker.Bloomberg&amp;" Equity","INTERVAL_AVG","MARKET_DATA_OVERRIDE=PX_LAST","START_DATE_OVERRIDE",TEXT(INDEX(MO_SNA_FPStartDate,0,COLUMN()),"YYYYMMDD"),"END_DATE_OVERRIDE",TEXT(INDEX(MO_Common_QEndDate,0,COLUMN()),"YYYYMMDD")),"N/A")</f>
        <v/>
      </c>
      <c r="BH801" s="2074">
        <f>IFERROR(BDP(MO.Ticker.Bloomberg&amp;" Equity","INTERVAL_AVG","MARKET_DATA_OVERRIDE=PX_LAST","START_DATE_OVERRIDE",TEXT(INDEX(MO_SNA_FPStartDate,0,COLUMN()),"YYYYMMDD"),"END_DATE_OVERRIDE",TEXT(INDEX(MO_Common_QEndDate,0,COLUMN()),"YYYYMMDD")),"N/A")</f>
        <v/>
      </c>
      <c r="BI801" s="2074">
        <f>IFERROR(BDP(MO.Ticker.Bloomberg&amp;" Equity","INTERVAL_AVG","MARKET_DATA_OVERRIDE=PX_LAST","START_DATE_OVERRIDE",TEXT(INDEX(MO_SNA_FPStartDate,0,COLUMN()),"YYYYMMDD"),"END_DATE_OVERRIDE",TEXT(INDEX(MO_Common_QEndDate,0,COLUMN()),"YYYYMMDD")),"N/A")</f>
        <v/>
      </c>
      <c r="BJ801" s="2074">
        <f>IFERROR(BDP(MO.Ticker.Bloomberg&amp;" Equity","INTERVAL_AVG","MARKET_DATA_OVERRIDE=PX_LAST","START_DATE_OVERRIDE",TEXT(INDEX(MO_SNA_FPStartDate,0,COLUMN()),"YYYYMMDD"),"END_DATE_OVERRIDE",TEXT(INDEX(MO_Common_QEndDate,0,COLUMN()),"YYYYMMDD")),"N/A")</f>
        <v/>
      </c>
      <c r="BK801" s="2074">
        <f>IFERROR(BDP(MO.Ticker.Bloomberg&amp;" Equity","INTERVAL_AVG","MARKET_DATA_OVERRIDE=PX_LAST","START_DATE_OVERRIDE",TEXT(INDEX(MO_SNA_FPStartDate,0,COLUMN()),"YYYYMMDD"),"END_DATE_OVERRIDE",TEXT(INDEX(MO_Common_QEndDate,0,COLUMN()),"YYYYMMDD")),"N/A")</f>
        <v/>
      </c>
      <c r="BL801" s="2074">
        <f>IFERROR(BDP(MO.Ticker.Bloomberg&amp;" Equity","INTERVAL_AVG","MARKET_DATA_OVERRIDE=PX_LAST","START_DATE_OVERRIDE",TEXT(INDEX(MO_SNA_FPStartDate,0,COLUMN()),"YYYYMMDD"),"END_DATE_OVERRIDE",TEXT(INDEX(MO_Common_QEndDate,0,COLUMN()),"YYYYMMDD")),"N/A")</f>
        <v/>
      </c>
      <c r="BM801" s="2074">
        <f>IFERROR(BDP(MO.Ticker.Bloomberg&amp;" Equity","INTERVAL_AVG","MARKET_DATA_OVERRIDE=PX_LAST","START_DATE_OVERRIDE",TEXT(INDEX(MO_SNA_FPStartDate,0,COLUMN()),"YYYYMMDD"),"END_DATE_OVERRIDE",TEXT(INDEX(MO_Common_QEndDate,0,COLUMN()),"YYYYMMDD")),"N/A")</f>
        <v/>
      </c>
      <c r="BN801" s="2074">
        <f>IFERROR(BDP(MO.Ticker.Bloomberg&amp;" Equity","INTERVAL_AVG","MARKET_DATA_OVERRIDE=PX_LAST","START_DATE_OVERRIDE",TEXT(INDEX(MO_SNA_FPStartDate,0,COLUMN()),"YYYYMMDD"),"END_DATE_OVERRIDE",TEXT(INDEX(MO_Common_QEndDate,0,COLUMN()),"YYYYMMDD")),"N/A")</f>
        <v/>
      </c>
      <c r="BO801" s="2076">
        <f>IFERROR(BDP(MO.Ticker.Bloomberg&amp;" Equity","INTERVAL_AVG","MARKET_DATA_OVERRIDE=PX_LAST","START_DATE_OVERRIDE",TEXT(INDEX(MO_SNA_FPStartDate,0,COLUMN()),"YYYYMMDD"),"END_DATE_OVERRIDE",TEXT(INDEX(MO_Common_QEndDate,0,COLUMN()),"YYYYMMDD")),"N/A")</f>
        <v/>
      </c>
      <c r="BP801" s="2074">
        <f>IFERROR(BDP(MO.Ticker.Bloomberg&amp;" Equity","INTERVAL_AVG","MARKET_DATA_OVERRIDE=PX_LAST","START_DATE_OVERRIDE",TEXT(INDEX(MO_SNA_FPStartDate,0,COLUMN()),"YYYYMMDD"),"END_DATE_OVERRIDE",TEXT(INDEX(MO_Common_QEndDate,0,COLUMN()),"YYYYMMDD")),"N/A")</f>
        <v/>
      </c>
      <c r="BQ801" s="2074">
        <f>IFERROR(BDP(MO.Ticker.Bloomberg&amp;" Equity","INTERVAL_AVG","MARKET_DATA_OVERRIDE=PX_LAST","START_DATE_OVERRIDE",TEXT(INDEX(MO_SNA_FPStartDate,0,COLUMN()),"YYYYMMDD"),"END_DATE_OVERRIDE",TEXT(INDEX(MO_Common_QEndDate,0,COLUMN()),"YYYYMMDD")),"N/A")</f>
        <v/>
      </c>
      <c r="BR801" s="2074">
        <f>IFERROR(BDP(MO.Ticker.Bloomberg&amp;" Equity","INTERVAL_AVG","MARKET_DATA_OVERRIDE=PX_LAST","START_DATE_OVERRIDE",TEXT(INDEX(MO_SNA_FPStartDate,0,COLUMN()),"YYYYMMDD"),"END_DATE_OVERRIDE",TEXT(INDEX(MO_Common_QEndDate,0,COLUMN()),"YYYYMMDD")),"N/A")</f>
        <v/>
      </c>
      <c r="BS801" s="2074">
        <f>IFERROR(BDP(MO.Ticker.Bloomberg&amp;" Equity","INTERVAL_AVG","MARKET_DATA_OVERRIDE=PX_LAST","START_DATE_OVERRIDE",TEXT(INDEX(MO_SNA_FPStartDate,0,COLUMN()),"YYYYMMDD"),"END_DATE_OVERRIDE",TEXT(INDEX(MO_Common_QEndDate,0,COLUMN()),"YYYYMMDD")),"N/A")</f>
        <v/>
      </c>
      <c r="BT801" s="2074">
        <f>IFERROR(BDP(MO.Ticker.Bloomberg&amp;" Equity","INTERVAL_AVG","MARKET_DATA_OVERRIDE=PX_LAST","START_DATE_OVERRIDE",TEXT(INDEX(MO_SNA_FPStartDate,0,COLUMN()),"YYYYMMDD"),"END_DATE_OVERRIDE",TEXT(INDEX(MO_Common_QEndDate,0,COLUMN()),"YYYYMMDD")),"N/A")</f>
        <v/>
      </c>
      <c r="BU801" s="2074">
        <f>IFERROR(BDP(MO.Ticker.Bloomberg&amp;" Equity","INTERVAL_AVG","MARKET_DATA_OVERRIDE=PX_LAST","START_DATE_OVERRIDE",TEXT(INDEX(MO_SNA_FPStartDate,0,COLUMN()),"YYYYMMDD"),"END_DATE_OVERRIDE",TEXT(INDEX(MO_Common_QEndDate,0,COLUMN()),"YYYYMMDD")),"N/A")</f>
        <v/>
      </c>
      <c r="BV801" s="2074">
        <f>IFERROR(BDP(MO.Ticker.Bloomberg&amp;" Equity","INTERVAL_AVG","MARKET_DATA_OVERRIDE=PX_LAST","START_DATE_OVERRIDE",TEXT(INDEX(MO_SNA_FPStartDate,0,COLUMN()),"YYYYMMDD"),"END_DATE_OVERRIDE",TEXT(INDEX(MO_Common_QEndDate,0,COLUMN()),"YYYYMMDD")),"N/A")</f>
        <v/>
      </c>
      <c r="BW801" s="2074">
        <f>IFERROR(BDP(MO.Ticker.Bloomberg&amp;" Equity","INTERVAL_AVG","MARKET_DATA_OVERRIDE=PX_LAST","START_DATE_OVERRIDE",TEXT(INDEX(MO_SNA_FPStartDate,0,COLUMN()),"YYYYMMDD"),"END_DATE_OVERRIDE",TEXT(INDEX(MO_Common_QEndDate,0,COLUMN()),"YYYYMMDD")),"N/A")</f>
        <v/>
      </c>
      <c r="BX801" s="2074">
        <f>IFERROR(BDP(MO.Ticker.Bloomberg&amp;" Equity","INTERVAL_AVG","MARKET_DATA_OVERRIDE=PX_LAST","START_DATE_OVERRIDE",TEXT(INDEX(MO_SNA_FPStartDate,0,COLUMN()),"YYYYMMDD"),"END_DATE_OVERRIDE",TEXT(INDEX(MO_Common_QEndDate,0,COLUMN()),"YYYYMMDD")),"N/A")</f>
        <v/>
      </c>
      <c r="BY801" s="2074">
        <f>IFERROR(BDP(MO.Ticker.Bloomberg&amp;" Equity","INTERVAL_AVG","MARKET_DATA_OVERRIDE=PX_LAST","START_DATE_OVERRIDE",TEXT(INDEX(MO_SNA_FPStartDate,0,COLUMN()),"YYYYMMDD"),"END_DATE_OVERRIDE",TEXT(INDEX(MO_Common_QEndDate,0,COLUMN()),"YYYYMMDD")),"N/A")</f>
        <v/>
      </c>
      <c r="BZ801" s="2074">
        <f>IFERROR(BDP(MO.Ticker.Bloomberg&amp;" Equity","INTERVAL_AVG","MARKET_DATA_OVERRIDE=PX_LAST","START_DATE_OVERRIDE",TEXT(INDEX(MO_SNA_FPStartDate,0,COLUMN()),"YYYYMMDD"),"END_DATE_OVERRIDE",TEXT(INDEX(MO_Common_QEndDate,0,COLUMN()),"YYYYMMDD")),"N/A")</f>
        <v/>
      </c>
      <c r="CA801" s="2074">
        <f>IFERROR(BDP(MO.Ticker.Bloomberg&amp;" Equity","INTERVAL_AVG","MARKET_DATA_OVERRIDE=PX_LAST","START_DATE_OVERRIDE",TEXT(INDEX(MO_SNA_FPStartDate,0,COLUMN()),"YYYYMMDD"),"END_DATE_OVERRIDE",TEXT(INDEX(MO_Common_QEndDate,0,COLUMN()),"YYYYMMDD")),"N/A")</f>
        <v/>
      </c>
      <c r="CB801" s="2077">
        <f>IFERROR(BDP(MO.Ticker.Bloomberg&amp;" Equity","INTERVAL_AVG","MARKET_DATA_OVERRIDE=PX_LAST","START_DATE_OVERRIDE",TEXT(INDEX(MO_SNA_FPStartDate,0,COLUMN()),"YYYYMMDD"),"END_DATE_OVERRIDE",TEXT(INDEX(MO_Common_QEndDate,0,COLUMN()),"YYYYMMDD")),"N/A")</f>
        <v/>
      </c>
      <c r="CC801" s="2078" t="n"/>
    </row>
    <row r="802" hidden="1" outlineLevel="1" ht="15" customFormat="1" customHeight="1" s="1945">
      <c r="A802" s="2079" t="inlineStr">
        <is>
          <t>Capital IQ</t>
        </is>
      </c>
      <c r="B802" s="2074" t="n"/>
      <c r="C802" s="2075">
        <f>IFERROR(CIQAVG(MO.Ticker.CapIQ,"IQ_LASTSALEPRICE",INDEX(MO_SNA_FPStartDate,0,COLUMN()),INDEX(MO_Common_QEndDate,0,COLUMN())),"N/A")</f>
        <v/>
      </c>
      <c r="D802" s="2075">
        <f>IFERROR(CIQAVG(MO.Ticker.CapIQ,"IQ_LASTSALEPRICE",INDEX(MO_SNA_FPStartDate,0,COLUMN()),INDEX(MO_Common_QEndDate,0,COLUMN())),"N/A")</f>
        <v/>
      </c>
      <c r="E802" s="2074">
        <f>IFERROR(CIQAVG(MO.Ticker.CapIQ,"IQ_LASTSALEPRICE",INDEX(MO_SNA_FPStartDate,0,COLUMN()),INDEX(MO_Common_QEndDate,0,COLUMN())),"N/A")</f>
        <v/>
      </c>
      <c r="F802" s="2074">
        <f>IFERROR(CIQAVG(MO.Ticker.CapIQ,"IQ_LASTSALEPRICE",INDEX(MO_SNA_FPStartDate,0,COLUMN()),INDEX(MO_Common_QEndDate,0,COLUMN())),"N/A")</f>
        <v/>
      </c>
      <c r="G802" s="2074">
        <f>IFERROR(CIQAVG(MO.Ticker.CapIQ,"IQ_LASTSALEPRICE",INDEX(MO_SNA_FPStartDate,0,COLUMN()),INDEX(MO_Common_QEndDate,0,COLUMN())),"N/A")</f>
        <v/>
      </c>
      <c r="H802" s="2074">
        <f>IFERROR(CIQAVG(MO.Ticker.CapIQ,"IQ_LASTSALEPRICE",INDEX(MO_SNA_FPStartDate,0,COLUMN()),INDEX(MO_Common_QEndDate,0,COLUMN())),"N/A")</f>
        <v/>
      </c>
      <c r="I802" s="2074">
        <f>IFERROR(CIQAVG(MO.Ticker.CapIQ,"IQ_LASTSALEPRICE",INDEX(MO_SNA_FPStartDate,0,COLUMN()),INDEX(MO_Common_QEndDate,0,COLUMN())),"N/A")</f>
        <v/>
      </c>
      <c r="J802" s="2074">
        <f>IFERROR(CIQAVG(MO.Ticker.CapIQ,"IQ_LASTSALEPRICE",INDEX(MO_SNA_FPStartDate,0,COLUMN()),INDEX(MO_Common_QEndDate,0,COLUMN())),"N/A")</f>
        <v/>
      </c>
      <c r="K802" s="2074">
        <f>IFERROR(CIQAVG(MO.Ticker.CapIQ,"IQ_LASTSALEPRICE",INDEX(MO_SNA_FPStartDate,0,COLUMN()),INDEX(MO_Common_QEndDate,0,COLUMN())),"N/A")</f>
        <v/>
      </c>
      <c r="L802" s="2074">
        <f>IFERROR(CIQAVG(MO.Ticker.CapIQ,"IQ_LASTSALEPRICE",INDEX(MO_SNA_FPStartDate,0,COLUMN()),INDEX(MO_Common_QEndDate,0,COLUMN())),"N/A")</f>
        <v/>
      </c>
      <c r="M802" s="2074">
        <f>IFERROR(CIQAVG(MO.Ticker.CapIQ,"IQ_LASTSALEPRICE",INDEX(MO_SNA_FPStartDate,0,COLUMN()),INDEX(MO_Common_QEndDate,0,COLUMN())),"N/A")</f>
        <v/>
      </c>
      <c r="N802" s="2074">
        <f>IFERROR(CIQAVG(MO.Ticker.CapIQ,"IQ_LASTSALEPRICE",INDEX(MO_SNA_FPStartDate,0,COLUMN()),INDEX(MO_Common_QEndDate,0,COLUMN())),"N/A")</f>
        <v/>
      </c>
      <c r="O802" s="2074">
        <f>IFERROR(CIQAVG(MO.Ticker.CapIQ,"IQ_LASTSALEPRICE",INDEX(MO_SNA_FPStartDate,0,COLUMN()),INDEX(MO_Common_QEndDate,0,COLUMN())),"N/A")</f>
        <v/>
      </c>
      <c r="P802" s="2074">
        <f>IFERROR(CIQAVG(MO.Ticker.CapIQ,"IQ_LASTSALEPRICE",INDEX(MO_SNA_FPStartDate,0,COLUMN()),INDEX(MO_Common_QEndDate,0,COLUMN())),"N/A")</f>
        <v/>
      </c>
      <c r="Q802" s="2074">
        <f>IFERROR(CIQAVG(MO.Ticker.CapIQ,"IQ_LASTSALEPRICE",INDEX(MO_SNA_FPStartDate,0,COLUMN()),INDEX(MO_Common_QEndDate,0,COLUMN())),"N/A")</f>
        <v/>
      </c>
      <c r="R802" s="2074">
        <f>IFERROR(CIQAVG(MO.Ticker.CapIQ,"IQ_LASTSALEPRICE",INDEX(MO_SNA_FPStartDate,0,COLUMN()),INDEX(MO_Common_QEndDate,0,COLUMN())),"N/A")</f>
        <v/>
      </c>
      <c r="S802" s="2074">
        <f>IFERROR(CIQAVG(MO.Ticker.CapIQ,"IQ_LASTSALEPRICE",INDEX(MO_SNA_FPStartDate,0,COLUMN()),INDEX(MO_Common_QEndDate,0,COLUMN())),"N/A")</f>
        <v/>
      </c>
      <c r="T802" s="2074">
        <f>IFERROR(CIQAVG(MO.Ticker.CapIQ,"IQ_LASTSALEPRICE",INDEX(MO_SNA_FPStartDate,0,COLUMN()),INDEX(MO_Common_QEndDate,0,COLUMN())),"N/A")</f>
        <v/>
      </c>
      <c r="U802" s="2074">
        <f>IFERROR(CIQAVG(MO.Ticker.CapIQ,"IQ_LASTSALEPRICE",INDEX(MO_SNA_FPStartDate,0,COLUMN()),INDEX(MO_Common_QEndDate,0,COLUMN())),"N/A")</f>
        <v/>
      </c>
      <c r="V802" s="2074">
        <f>IFERROR(CIQAVG(MO.Ticker.CapIQ,"IQ_LASTSALEPRICE",INDEX(MO_SNA_FPStartDate,0,COLUMN()),INDEX(MO_Common_QEndDate,0,COLUMN())),"N/A")</f>
        <v/>
      </c>
      <c r="W802" s="2074">
        <f>IFERROR(CIQAVG(MO.Ticker.CapIQ,"IQ_LASTSALEPRICE",INDEX(MO_SNA_FPStartDate,0,COLUMN()),INDEX(MO_Common_QEndDate,0,COLUMN())),"N/A")</f>
        <v/>
      </c>
      <c r="X802" s="2074">
        <f>IFERROR(CIQAVG(MO.Ticker.CapIQ,"IQ_LASTSALEPRICE",INDEX(MO_SNA_FPStartDate,0,COLUMN()),INDEX(MO_Common_QEndDate,0,COLUMN())),"N/A")</f>
        <v/>
      </c>
      <c r="Y802" s="2074">
        <f>IFERROR(CIQAVG(MO.Ticker.CapIQ,"IQ_LASTSALEPRICE",INDEX(MO_SNA_FPStartDate,0,COLUMN()),INDEX(MO_Common_QEndDate,0,COLUMN())),"N/A")</f>
        <v/>
      </c>
      <c r="Z802" s="2074">
        <f>IFERROR(CIQAVG(MO.Ticker.CapIQ,"IQ_LASTSALEPRICE",INDEX(MO_SNA_FPStartDate,0,COLUMN()),INDEX(MO_Common_QEndDate,0,COLUMN())),"N/A")</f>
        <v/>
      </c>
      <c r="AA802" s="2074">
        <f>IFERROR(CIQAVG(MO.Ticker.CapIQ,"IQ_LASTSALEPRICE",INDEX(MO_SNA_FPStartDate,0,COLUMN()),INDEX(MO_Common_QEndDate,0,COLUMN())),"N/A")</f>
        <v/>
      </c>
      <c r="AB802" s="2074">
        <f>IFERROR(CIQAVG(MO.Ticker.CapIQ,"IQ_LASTSALEPRICE",INDEX(MO_SNA_FPStartDate,0,COLUMN()),INDEX(MO_Common_QEndDate,0,COLUMN())),"N/A")</f>
        <v/>
      </c>
      <c r="AC802" s="2074">
        <f>IFERROR(CIQAVG(MO.Ticker.CapIQ,"IQ_LASTSALEPRICE",INDEX(MO_SNA_FPStartDate,0,COLUMN()),INDEX(MO_Common_QEndDate,0,COLUMN())),"N/A")</f>
        <v/>
      </c>
      <c r="AD802" s="2074">
        <f>IFERROR(CIQAVG(MO.Ticker.CapIQ,"IQ_LASTSALEPRICE",INDEX(MO_SNA_FPStartDate,0,COLUMN()),INDEX(MO_Common_QEndDate,0,COLUMN())),"N/A")</f>
        <v/>
      </c>
      <c r="AE802" s="2074">
        <f>IFERROR(CIQAVG(MO.Ticker.CapIQ,"IQ_LASTSALEPRICE",INDEX(MO_SNA_FPStartDate,0,COLUMN()),INDEX(MO_Common_QEndDate,0,COLUMN())),"N/A")</f>
        <v/>
      </c>
      <c r="AF802" s="2074">
        <f>IFERROR(CIQAVG(MO.Ticker.CapIQ,"IQ_LASTSALEPRICE",INDEX(MO_SNA_FPStartDate,0,COLUMN()),INDEX(MO_Common_QEndDate,0,COLUMN())),"N/A")</f>
        <v/>
      </c>
      <c r="AG802" s="2074">
        <f>IFERROR(CIQAVG(MO.Ticker.CapIQ,"IQ_LASTSALEPRICE",INDEX(MO_SNA_FPStartDate,0,COLUMN()),INDEX(MO_Common_QEndDate,0,COLUMN())),"N/A")</f>
        <v/>
      </c>
      <c r="AH802" s="2074">
        <f>IFERROR(CIQAVG(MO.Ticker.CapIQ,"IQ_LASTSALEPRICE",INDEX(MO_SNA_FPStartDate,0,COLUMN()),INDEX(MO_Common_QEndDate,0,COLUMN())),"N/A")</f>
        <v/>
      </c>
      <c r="AI802" s="2074">
        <f>IFERROR(CIQAVG(MO.Ticker.CapIQ,"IQ_LASTSALEPRICE",INDEX(MO_SNA_FPStartDate,0,COLUMN()),INDEX(MO_Common_QEndDate,0,COLUMN())),"N/A")</f>
        <v/>
      </c>
      <c r="AJ802" s="2074">
        <f>IFERROR(CIQAVG(MO.Ticker.CapIQ,"IQ_LASTSALEPRICE",INDEX(MO_SNA_FPStartDate,0,COLUMN()),INDEX(MO_Common_QEndDate,0,COLUMN())),"N/A")</f>
        <v/>
      </c>
      <c r="AK802" s="2074">
        <f>IFERROR(CIQAVG(MO.Ticker.CapIQ,"IQ_LASTSALEPRICE",INDEX(MO_SNA_FPStartDate,0,COLUMN()),INDEX(MO_Common_QEndDate,0,COLUMN())),"N/A")</f>
        <v/>
      </c>
      <c r="AL802" s="2074">
        <f>IFERROR(CIQAVG(MO.Ticker.CapIQ,"IQ_LASTSALEPRICE",INDEX(MO_SNA_FPStartDate,0,COLUMN()),INDEX(MO_Common_QEndDate,0,COLUMN())),"N/A")</f>
        <v/>
      </c>
      <c r="AM802" s="2074">
        <f>IFERROR(CIQAVG(MO.Ticker.CapIQ,"IQ_LASTSALEPRICE",INDEX(MO_SNA_FPStartDate,0,COLUMN()),INDEX(MO_Common_QEndDate,0,COLUMN())),"N/A")</f>
        <v/>
      </c>
      <c r="AN802" s="2074">
        <f>IFERROR(CIQAVG(MO.Ticker.CapIQ,"IQ_LASTSALEPRICE",INDEX(MO_SNA_FPStartDate,0,COLUMN()),INDEX(MO_Common_QEndDate,0,COLUMN())),"N/A")</f>
        <v/>
      </c>
      <c r="AO802" s="2074">
        <f>IFERROR(CIQAVG(MO.Ticker.CapIQ,"IQ_LASTSALEPRICE",INDEX(MO_SNA_FPStartDate,0,COLUMN()),INDEX(MO_Common_QEndDate,0,COLUMN())),"N/A")</f>
        <v/>
      </c>
      <c r="AP802" s="2074">
        <f>IFERROR(CIQAVG(MO.Ticker.CapIQ,"IQ_LASTSALEPRICE",INDEX(MO_SNA_FPStartDate,0,COLUMN()),INDEX(MO_Common_QEndDate,0,COLUMN())),"N/A")</f>
        <v/>
      </c>
      <c r="AQ802" s="2074">
        <f>IFERROR(CIQAVG(MO.Ticker.CapIQ,"IQ_LASTSALEPRICE",INDEX(MO_SNA_FPStartDate,0,COLUMN()),INDEX(MO_Common_QEndDate,0,COLUMN())),"N/A")</f>
        <v/>
      </c>
      <c r="AR802" s="2074">
        <f>IFERROR(CIQAVG(MO.Ticker.CapIQ,"IQ_LASTSALEPRICE",INDEX(MO_SNA_FPStartDate,0,COLUMN()),INDEX(MO_Common_QEndDate,0,COLUMN())),"N/A")</f>
        <v/>
      </c>
      <c r="AS802" s="2074">
        <f>IFERROR(CIQAVG(MO.Ticker.CapIQ,"IQ_LASTSALEPRICE",INDEX(MO_SNA_FPStartDate,0,COLUMN()),INDEX(MO_Common_QEndDate,0,COLUMN())),"N/A")</f>
        <v/>
      </c>
      <c r="AT802" s="2074">
        <f>IFERROR(CIQAVG(MO.Ticker.CapIQ,"IQ_LASTSALEPRICE",INDEX(MO_SNA_FPStartDate,0,COLUMN()),INDEX(MO_Common_QEndDate,0,COLUMN())),"N/A")</f>
        <v/>
      </c>
      <c r="AU802" s="2074">
        <f>IFERROR(CIQAVG(MO.Ticker.CapIQ,"IQ_LASTSALEPRICE",INDEX(MO_SNA_FPStartDate,0,COLUMN()),INDEX(MO_Common_QEndDate,0,COLUMN())),"N/A")</f>
        <v/>
      </c>
      <c r="AV802" s="2074">
        <f>IFERROR(CIQAVG(MO.Ticker.CapIQ,"IQ_LASTSALEPRICE",INDEX(MO_SNA_FPStartDate,0,COLUMN()),INDEX(MO_Common_QEndDate,0,COLUMN())),"N/A")</f>
        <v/>
      </c>
      <c r="AW802" s="2074">
        <f>IFERROR(CIQAVG(MO.Ticker.CapIQ,"IQ_LASTSALEPRICE",INDEX(MO_SNA_FPStartDate,0,COLUMN()),INDEX(MO_Common_QEndDate,0,COLUMN())),"N/A")</f>
        <v/>
      </c>
      <c r="AX802" s="2074">
        <f>IFERROR(CIQAVG(MO.Ticker.CapIQ,"IQ_LASTSALEPRICE",INDEX(MO_SNA_FPStartDate,0,COLUMN()),INDEX(MO_Common_QEndDate,0,COLUMN())),"N/A")</f>
        <v/>
      </c>
      <c r="AY802" s="2074">
        <f>IFERROR(CIQAVG(MO.Ticker.CapIQ,"IQ_LASTSALEPRICE",INDEX(MO_SNA_FPStartDate,0,COLUMN()),INDEX(MO_Common_QEndDate,0,COLUMN())),"N/A")</f>
        <v/>
      </c>
      <c r="AZ802" s="2074">
        <f>IFERROR(CIQAVG(MO.Ticker.CapIQ,"IQ_LASTSALEPRICE",INDEX(MO_SNA_FPStartDate,0,COLUMN()),INDEX(MO_Common_QEndDate,0,COLUMN())),"N/A")</f>
        <v/>
      </c>
      <c r="BA802" s="2074">
        <f>IFERROR(CIQAVG(MO.Ticker.CapIQ,"IQ_LASTSALEPRICE",INDEX(MO_SNA_FPStartDate,0,COLUMN()),INDEX(MO_Common_QEndDate,0,COLUMN())),"N/A")</f>
        <v/>
      </c>
      <c r="BB802" s="2074">
        <f>IFERROR(CIQAVG(MO.Ticker.CapIQ,"IQ_LASTSALEPRICE",INDEX(MO_SNA_FPStartDate,0,COLUMN()),INDEX(MO_Common_QEndDate,0,COLUMN())),"N/A")</f>
        <v/>
      </c>
      <c r="BC802" s="2074">
        <f>IFERROR(CIQAVG(MO.Ticker.CapIQ,"IQ_LASTSALEPRICE",INDEX(MO_SNA_FPStartDate,0,COLUMN()),INDEX(MO_Common_QEndDate,0,COLUMN())),"N/A")</f>
        <v/>
      </c>
      <c r="BD802" s="2074">
        <f>IFERROR(CIQAVG(MO.Ticker.CapIQ,"IQ_LASTSALEPRICE",INDEX(MO_SNA_FPStartDate,0,COLUMN()),INDEX(MO_Common_QEndDate,0,COLUMN())),"N/A")</f>
        <v/>
      </c>
      <c r="BE802" s="2074">
        <f>IFERROR(CIQAVG(MO.Ticker.CapIQ,"IQ_LASTSALEPRICE",INDEX(MO_SNA_FPStartDate,0,COLUMN()),INDEX(MO_Common_QEndDate,0,COLUMN())),"N/A")</f>
        <v/>
      </c>
      <c r="BF802" s="2074">
        <f>IFERROR(CIQAVG(MO.Ticker.CapIQ,"IQ_LASTSALEPRICE",INDEX(MO_SNA_FPStartDate,0,COLUMN()),INDEX(MO_Common_QEndDate,0,COLUMN())),"N/A")</f>
        <v/>
      </c>
      <c r="BG802" s="2074">
        <f>IFERROR(CIQAVG(MO.Ticker.CapIQ,"IQ_LASTSALEPRICE",INDEX(MO_SNA_FPStartDate,0,COLUMN()),INDEX(MO_Common_QEndDate,0,COLUMN())),"N/A")</f>
        <v/>
      </c>
      <c r="BH802" s="2074">
        <f>IFERROR(CIQAVG(MO.Ticker.CapIQ,"IQ_LASTSALEPRICE",INDEX(MO_SNA_FPStartDate,0,COLUMN()),INDEX(MO_Common_QEndDate,0,COLUMN())),"N/A")</f>
        <v/>
      </c>
      <c r="BI802" s="2074">
        <f>IFERROR(CIQAVG(MO.Ticker.CapIQ,"IQ_LASTSALEPRICE",INDEX(MO_SNA_FPStartDate,0,COLUMN()),INDEX(MO_Common_QEndDate,0,COLUMN())),"N/A")</f>
        <v/>
      </c>
      <c r="BJ802" s="2074">
        <f>IFERROR(CIQAVG(MO.Ticker.CapIQ,"IQ_LASTSALEPRICE",INDEX(MO_SNA_FPStartDate,0,COLUMN()),INDEX(MO_Common_QEndDate,0,COLUMN())),"N/A")</f>
        <v/>
      </c>
      <c r="BK802" s="2074">
        <f>IFERROR(CIQAVG(MO.Ticker.CapIQ,"IQ_LASTSALEPRICE",INDEX(MO_SNA_FPStartDate,0,COLUMN()),INDEX(MO_Common_QEndDate,0,COLUMN())),"N/A")</f>
        <v/>
      </c>
      <c r="BL802" s="2074">
        <f>IFERROR(CIQAVG(MO.Ticker.CapIQ,"IQ_LASTSALEPRICE",INDEX(MO_SNA_FPStartDate,0,COLUMN()),INDEX(MO_Common_QEndDate,0,COLUMN())),"N/A")</f>
        <v/>
      </c>
      <c r="BM802" s="2074">
        <f>IFERROR(CIQAVG(MO.Ticker.CapIQ,"IQ_LASTSALEPRICE",INDEX(MO_SNA_FPStartDate,0,COLUMN()),INDEX(MO_Common_QEndDate,0,COLUMN())),"N/A")</f>
        <v/>
      </c>
      <c r="BN802" s="2074">
        <f>IFERROR(CIQAVG(MO.Ticker.CapIQ,"IQ_LASTSALEPRICE",INDEX(MO_SNA_FPStartDate,0,COLUMN()),INDEX(MO_Common_QEndDate,0,COLUMN())),"N/A")</f>
        <v/>
      </c>
      <c r="BO802" s="2076">
        <f>IFERROR(CIQAVG(MO.Ticker.CapIQ,"IQ_LASTSALEPRICE",INDEX(MO_SNA_FPStartDate,0,COLUMN()),INDEX(MO_Common_QEndDate,0,COLUMN())),"N/A")</f>
        <v/>
      </c>
      <c r="BP802" s="2074">
        <f>IFERROR(CIQAVG(MO.Ticker.CapIQ,"IQ_LASTSALEPRICE",INDEX(MO_SNA_FPStartDate,0,COLUMN()),INDEX(MO_Common_QEndDate,0,COLUMN())),"N/A")</f>
        <v/>
      </c>
      <c r="BQ802" s="2074">
        <f>IFERROR(CIQAVG(MO.Ticker.CapIQ,"IQ_LASTSALEPRICE",INDEX(MO_SNA_FPStartDate,0,COLUMN()),INDEX(MO_Common_QEndDate,0,COLUMN())),"N/A")</f>
        <v/>
      </c>
      <c r="BR802" s="2074">
        <f>IFERROR(CIQAVG(MO.Ticker.CapIQ,"IQ_LASTSALEPRICE",INDEX(MO_SNA_FPStartDate,0,COLUMN()),INDEX(MO_Common_QEndDate,0,COLUMN())),"N/A")</f>
        <v/>
      </c>
      <c r="BS802" s="2074">
        <f>IFERROR(CIQAVG(MO.Ticker.CapIQ,"IQ_LASTSALEPRICE",INDEX(MO_SNA_FPStartDate,0,COLUMN()),INDEX(MO_Common_QEndDate,0,COLUMN())),"N/A")</f>
        <v/>
      </c>
      <c r="BT802" s="2074">
        <f>IFERROR(CIQAVG(MO.Ticker.CapIQ,"IQ_LASTSALEPRICE",INDEX(MO_SNA_FPStartDate,0,COLUMN()),INDEX(MO_Common_QEndDate,0,COLUMN())),"N/A")</f>
        <v/>
      </c>
      <c r="BU802" s="2074">
        <f>IFERROR(CIQAVG(MO.Ticker.CapIQ,"IQ_LASTSALEPRICE",INDEX(MO_SNA_FPStartDate,0,COLUMN()),INDEX(MO_Common_QEndDate,0,COLUMN())),"N/A")</f>
        <v/>
      </c>
      <c r="BV802" s="2074">
        <f>IFERROR(CIQAVG(MO.Ticker.CapIQ,"IQ_LASTSALEPRICE",INDEX(MO_SNA_FPStartDate,0,COLUMN()),INDEX(MO_Common_QEndDate,0,COLUMN())),"N/A")</f>
        <v/>
      </c>
      <c r="BW802" s="2074">
        <f>IFERROR(CIQAVG(MO.Ticker.CapIQ,"IQ_LASTSALEPRICE",INDEX(MO_SNA_FPStartDate,0,COLUMN()),INDEX(MO_Common_QEndDate,0,COLUMN())),"N/A")</f>
        <v/>
      </c>
      <c r="BX802" s="2074">
        <f>IFERROR(CIQAVG(MO.Ticker.CapIQ,"IQ_LASTSALEPRICE",INDEX(MO_SNA_FPStartDate,0,COLUMN()),INDEX(MO_Common_QEndDate,0,COLUMN())),"N/A")</f>
        <v/>
      </c>
      <c r="BY802" s="2074">
        <f>IFERROR(CIQAVG(MO.Ticker.CapIQ,"IQ_LASTSALEPRICE",INDEX(MO_SNA_FPStartDate,0,COLUMN()),INDEX(MO_Common_QEndDate,0,COLUMN())),"N/A")</f>
        <v/>
      </c>
      <c r="BZ802" s="2074">
        <f>IFERROR(CIQAVG(MO.Ticker.CapIQ,"IQ_LASTSALEPRICE",INDEX(MO_SNA_FPStartDate,0,COLUMN()),INDEX(MO_Common_QEndDate,0,COLUMN())),"N/A")</f>
        <v/>
      </c>
      <c r="CA802" s="2074">
        <f>IFERROR(CIQAVG(MO.Ticker.CapIQ,"IQ_LASTSALEPRICE",INDEX(MO_SNA_FPStartDate,0,COLUMN()),INDEX(MO_Common_QEndDate,0,COLUMN())),"N/A")</f>
        <v/>
      </c>
      <c r="CB802" s="2077">
        <f>IFERROR(CIQAVG(MO.Ticker.CapIQ,"IQ_LASTSALEPRICE",INDEX(MO_SNA_FPStartDate,0,COLUMN()),INDEX(MO_Common_QEndDate,0,COLUMN())),"N/A")</f>
        <v/>
      </c>
      <c r="CC802" s="2078" t="n"/>
    </row>
    <row r="803" hidden="1" outlineLevel="1" ht="15" customFormat="1" customHeight="1" s="1945">
      <c r="A803" s="2079" t="inlineStr">
        <is>
          <t>FactSet</t>
        </is>
      </c>
      <c r="B803" s="2074" t="n"/>
      <c r="C803" s="2075">
        <f>IFERROR(FDS(MO.Ticker.FactSet,"P_PRICE_AVG"&amp;"("&amp;INDEX(MO_SNA_FPStartDate,0,COLUMN())&amp;","&amp;INDEX(MO_Common_QEndDate,0,COLUMN())&amp;",,,,""PRICE"",""CLOSE"")"),"N/A")</f>
        <v/>
      </c>
      <c r="D803" s="2075">
        <f>IFERROR(FDS(MO.Ticker.FactSet,"P_PRICE_AVG"&amp;"("&amp;INDEX(MO_SNA_FPStartDate,0,COLUMN())&amp;","&amp;INDEX(MO_Common_QEndDate,0,COLUMN())&amp;",,,,""PRICE"",""CLOSE"")"),"N/A")</f>
        <v/>
      </c>
      <c r="E803" s="2074">
        <f>IFERROR(FDS(MO.Ticker.FactSet,"P_PRICE_AVG"&amp;"("&amp;INDEX(MO_SNA_FPStartDate,0,COLUMN())&amp;","&amp;INDEX(MO_Common_QEndDate,0,COLUMN())&amp;",,,,""PRICE"",""CLOSE"")"),"N/A")</f>
        <v/>
      </c>
      <c r="F803" s="2074">
        <f>IFERROR(FDS(MO.Ticker.FactSet,"P_PRICE_AVG"&amp;"("&amp;INDEX(MO_SNA_FPStartDate,0,COLUMN())&amp;","&amp;INDEX(MO_Common_QEndDate,0,COLUMN())&amp;",,,,""PRICE"",""CLOSE"")"),"N/A")</f>
        <v/>
      </c>
      <c r="G803" s="2074">
        <f>IFERROR(FDS(MO.Ticker.FactSet,"P_PRICE_AVG"&amp;"("&amp;INDEX(MO_SNA_FPStartDate,0,COLUMN())&amp;","&amp;INDEX(MO_Common_QEndDate,0,COLUMN())&amp;",,,,""PRICE"",""CLOSE"")"),"N/A")</f>
        <v/>
      </c>
      <c r="H803" s="2074">
        <f>IFERROR(FDS(MO.Ticker.FactSet,"P_PRICE_AVG"&amp;"("&amp;INDEX(MO_SNA_FPStartDate,0,COLUMN())&amp;","&amp;INDEX(MO_Common_QEndDate,0,COLUMN())&amp;",,,,""PRICE"",""CLOSE"")"),"N/A")</f>
        <v/>
      </c>
      <c r="I803" s="2074">
        <f>IFERROR(FDS(MO.Ticker.FactSet,"P_PRICE_AVG"&amp;"("&amp;INDEX(MO_SNA_FPStartDate,0,COLUMN())&amp;","&amp;INDEX(MO_Common_QEndDate,0,COLUMN())&amp;",,,,""PRICE"",""CLOSE"")"),"N/A")</f>
        <v/>
      </c>
      <c r="J803" s="2074">
        <f>IFERROR(FDS(MO.Ticker.FactSet,"P_PRICE_AVG"&amp;"("&amp;INDEX(MO_SNA_FPStartDate,0,COLUMN())&amp;","&amp;INDEX(MO_Common_QEndDate,0,COLUMN())&amp;",,,,""PRICE"",""CLOSE"")"),"N/A")</f>
        <v/>
      </c>
      <c r="K803" s="2074">
        <f>IFERROR(FDS(MO.Ticker.FactSet,"P_PRICE_AVG"&amp;"("&amp;INDEX(MO_SNA_FPStartDate,0,COLUMN())&amp;","&amp;INDEX(MO_Common_QEndDate,0,COLUMN())&amp;",,,,""PRICE"",""CLOSE"")"),"N/A")</f>
        <v/>
      </c>
      <c r="L803" s="2074">
        <f>IFERROR(FDS(MO.Ticker.FactSet,"P_PRICE_AVG"&amp;"("&amp;INDEX(MO_SNA_FPStartDate,0,COLUMN())&amp;","&amp;INDEX(MO_Common_QEndDate,0,COLUMN())&amp;",,,,""PRICE"",""CLOSE"")"),"N/A")</f>
        <v/>
      </c>
      <c r="M803" s="2074">
        <f>IFERROR(FDS(MO.Ticker.FactSet,"P_PRICE_AVG"&amp;"("&amp;INDEX(MO_SNA_FPStartDate,0,COLUMN())&amp;","&amp;INDEX(MO_Common_QEndDate,0,COLUMN())&amp;",,,,""PRICE"",""CLOSE"")"),"N/A")</f>
        <v/>
      </c>
      <c r="N803" s="2074">
        <f>IFERROR(FDS(MO.Ticker.FactSet,"P_PRICE_AVG"&amp;"("&amp;INDEX(MO_SNA_FPStartDate,0,COLUMN())&amp;","&amp;INDEX(MO_Common_QEndDate,0,COLUMN())&amp;",,,,""PRICE"",""CLOSE"")"),"N/A")</f>
        <v/>
      </c>
      <c r="O803" s="2074">
        <f>IFERROR(FDS(MO.Ticker.FactSet,"P_PRICE_AVG"&amp;"("&amp;INDEX(MO_SNA_FPStartDate,0,COLUMN())&amp;","&amp;INDEX(MO_Common_QEndDate,0,COLUMN())&amp;",,,,""PRICE"",""CLOSE"")"),"N/A")</f>
        <v/>
      </c>
      <c r="P803" s="2074">
        <f>IFERROR(FDS(MO.Ticker.FactSet,"P_PRICE_AVG"&amp;"("&amp;INDEX(MO_SNA_FPStartDate,0,COLUMN())&amp;","&amp;INDEX(MO_Common_QEndDate,0,COLUMN())&amp;",,,,""PRICE"",""CLOSE"")"),"N/A")</f>
        <v/>
      </c>
      <c r="Q803" s="2074">
        <f>IFERROR(FDS(MO.Ticker.FactSet,"P_PRICE_AVG"&amp;"("&amp;INDEX(MO_SNA_FPStartDate,0,COLUMN())&amp;","&amp;INDEX(MO_Common_QEndDate,0,COLUMN())&amp;",,,,""PRICE"",""CLOSE"")"),"N/A")</f>
        <v/>
      </c>
      <c r="R803" s="2074">
        <f>IFERROR(FDS(MO.Ticker.FactSet,"P_PRICE_AVG"&amp;"("&amp;INDEX(MO_SNA_FPStartDate,0,COLUMN())&amp;","&amp;INDEX(MO_Common_QEndDate,0,COLUMN())&amp;",,,,""PRICE"",""CLOSE"")"),"N/A")</f>
        <v/>
      </c>
      <c r="S803" s="2074">
        <f>IFERROR(FDS(MO.Ticker.FactSet,"P_PRICE_AVG"&amp;"("&amp;INDEX(MO_SNA_FPStartDate,0,COLUMN())&amp;","&amp;INDEX(MO_Common_QEndDate,0,COLUMN())&amp;",,,,""PRICE"",""CLOSE"")"),"N/A")</f>
        <v/>
      </c>
      <c r="T803" s="2074">
        <f>IFERROR(FDS(MO.Ticker.FactSet,"P_PRICE_AVG"&amp;"("&amp;INDEX(MO_SNA_FPStartDate,0,COLUMN())&amp;","&amp;INDEX(MO_Common_QEndDate,0,COLUMN())&amp;",,,,""PRICE"",""CLOSE"")"),"N/A")</f>
        <v/>
      </c>
      <c r="U803" s="2074">
        <f>IFERROR(FDS(MO.Ticker.FactSet,"P_PRICE_AVG"&amp;"("&amp;INDEX(MO_SNA_FPStartDate,0,COLUMN())&amp;","&amp;INDEX(MO_Common_QEndDate,0,COLUMN())&amp;",,,,""PRICE"",""CLOSE"")"),"N/A")</f>
        <v/>
      </c>
      <c r="V803" s="2074">
        <f>IFERROR(FDS(MO.Ticker.FactSet,"P_PRICE_AVG"&amp;"("&amp;INDEX(MO_SNA_FPStartDate,0,COLUMN())&amp;","&amp;INDEX(MO_Common_QEndDate,0,COLUMN())&amp;",,,,""PRICE"",""CLOSE"")"),"N/A")</f>
        <v/>
      </c>
      <c r="W803" s="2074">
        <f>IFERROR(FDS(MO.Ticker.FactSet,"P_PRICE_AVG"&amp;"("&amp;INDEX(MO_SNA_FPStartDate,0,COLUMN())&amp;","&amp;INDEX(MO_Common_QEndDate,0,COLUMN())&amp;",,,,""PRICE"",""CLOSE"")"),"N/A")</f>
        <v/>
      </c>
      <c r="X803" s="2074">
        <f>IFERROR(FDS(MO.Ticker.FactSet,"P_PRICE_AVG"&amp;"("&amp;INDEX(MO_SNA_FPStartDate,0,COLUMN())&amp;","&amp;INDEX(MO_Common_QEndDate,0,COLUMN())&amp;",,,,""PRICE"",""CLOSE"")"),"N/A")</f>
        <v/>
      </c>
      <c r="Y803" s="2074">
        <f>IFERROR(FDS(MO.Ticker.FactSet,"P_PRICE_AVG"&amp;"("&amp;INDEX(MO_SNA_FPStartDate,0,COLUMN())&amp;","&amp;INDEX(MO_Common_QEndDate,0,COLUMN())&amp;",,,,""PRICE"",""CLOSE"")"),"N/A")</f>
        <v/>
      </c>
      <c r="Z803" s="2074">
        <f>IFERROR(FDS(MO.Ticker.FactSet,"P_PRICE_AVG"&amp;"("&amp;INDEX(MO_SNA_FPStartDate,0,COLUMN())&amp;","&amp;INDEX(MO_Common_QEndDate,0,COLUMN())&amp;",,,,""PRICE"",""CLOSE"")"),"N/A")</f>
        <v/>
      </c>
      <c r="AA803" s="2074">
        <f>IFERROR(FDS(MO.Ticker.FactSet,"P_PRICE_AVG"&amp;"("&amp;INDEX(MO_SNA_FPStartDate,0,COLUMN())&amp;","&amp;INDEX(MO_Common_QEndDate,0,COLUMN())&amp;",,,,""PRICE"",""CLOSE"")"),"N/A")</f>
        <v/>
      </c>
      <c r="AB803" s="2074">
        <f>IFERROR(FDS(MO.Ticker.FactSet,"P_PRICE_AVG"&amp;"("&amp;INDEX(MO_SNA_FPStartDate,0,COLUMN())&amp;","&amp;INDEX(MO_Common_QEndDate,0,COLUMN())&amp;",,,,""PRICE"",""CLOSE"")"),"N/A")</f>
        <v/>
      </c>
      <c r="AC803" s="2074">
        <f>IFERROR(FDS(MO.Ticker.FactSet,"P_PRICE_AVG"&amp;"("&amp;INDEX(MO_SNA_FPStartDate,0,COLUMN())&amp;","&amp;INDEX(MO_Common_QEndDate,0,COLUMN())&amp;",,,,""PRICE"",""CLOSE"")"),"N/A")</f>
        <v/>
      </c>
      <c r="AD803" s="2074">
        <f>IFERROR(FDS(MO.Ticker.FactSet,"P_PRICE_AVG"&amp;"("&amp;INDEX(MO_SNA_FPStartDate,0,COLUMN())&amp;","&amp;INDEX(MO_Common_QEndDate,0,COLUMN())&amp;",,,,""PRICE"",""CLOSE"")"),"N/A")</f>
        <v/>
      </c>
      <c r="AE803" s="2074">
        <f>IFERROR(FDS(MO.Ticker.FactSet,"P_PRICE_AVG"&amp;"("&amp;INDEX(MO_SNA_FPStartDate,0,COLUMN())&amp;","&amp;INDEX(MO_Common_QEndDate,0,COLUMN())&amp;",,,,""PRICE"",""CLOSE"")"),"N/A")</f>
        <v/>
      </c>
      <c r="AF803" s="2074">
        <f>IFERROR(FDS(MO.Ticker.FactSet,"P_PRICE_AVG"&amp;"("&amp;INDEX(MO_SNA_FPStartDate,0,COLUMN())&amp;","&amp;INDEX(MO_Common_QEndDate,0,COLUMN())&amp;",,,,""PRICE"",""CLOSE"")"),"N/A")</f>
        <v/>
      </c>
      <c r="AG803" s="2074">
        <f>IFERROR(FDS(MO.Ticker.FactSet,"P_PRICE_AVG"&amp;"("&amp;INDEX(MO_SNA_FPStartDate,0,COLUMN())&amp;","&amp;INDEX(MO_Common_QEndDate,0,COLUMN())&amp;",,,,""PRICE"",""CLOSE"")"),"N/A")</f>
        <v/>
      </c>
      <c r="AH803" s="2074">
        <f>IFERROR(FDS(MO.Ticker.FactSet,"P_PRICE_AVG"&amp;"("&amp;INDEX(MO_SNA_FPStartDate,0,COLUMN())&amp;","&amp;INDEX(MO_Common_QEndDate,0,COLUMN())&amp;",,,,""PRICE"",""CLOSE"")"),"N/A")</f>
        <v/>
      </c>
      <c r="AI803" s="2074">
        <f>IFERROR(FDS(MO.Ticker.FactSet,"P_PRICE_AVG"&amp;"("&amp;INDEX(MO_SNA_FPStartDate,0,COLUMN())&amp;","&amp;INDEX(MO_Common_QEndDate,0,COLUMN())&amp;",,,,""PRICE"",""CLOSE"")"),"N/A")</f>
        <v/>
      </c>
      <c r="AJ803" s="2074">
        <f>IFERROR(FDS(MO.Ticker.FactSet,"P_PRICE_AVG"&amp;"("&amp;INDEX(MO_SNA_FPStartDate,0,COLUMN())&amp;","&amp;INDEX(MO_Common_QEndDate,0,COLUMN())&amp;",,,,""PRICE"",""CLOSE"")"),"N/A")</f>
        <v/>
      </c>
      <c r="AK803" s="2074">
        <f>IFERROR(FDS(MO.Ticker.FactSet,"P_PRICE_AVG"&amp;"("&amp;INDEX(MO_SNA_FPStartDate,0,COLUMN())&amp;","&amp;INDEX(MO_Common_QEndDate,0,COLUMN())&amp;",,,,""PRICE"",""CLOSE"")"),"N/A")</f>
        <v/>
      </c>
      <c r="AL803" s="2074">
        <f>IFERROR(FDS(MO.Ticker.FactSet,"P_PRICE_AVG"&amp;"("&amp;INDEX(MO_SNA_FPStartDate,0,COLUMN())&amp;","&amp;INDEX(MO_Common_QEndDate,0,COLUMN())&amp;",,,,""PRICE"",""CLOSE"")"),"N/A")</f>
        <v/>
      </c>
      <c r="AM803" s="2074">
        <f>IFERROR(FDS(MO.Ticker.FactSet,"P_PRICE_AVG"&amp;"("&amp;INDEX(MO_SNA_FPStartDate,0,COLUMN())&amp;","&amp;INDEX(MO_Common_QEndDate,0,COLUMN())&amp;",,,,""PRICE"",""CLOSE"")"),"N/A")</f>
        <v/>
      </c>
      <c r="AN803" s="2074">
        <f>IFERROR(FDS(MO.Ticker.FactSet,"P_PRICE_AVG"&amp;"("&amp;INDEX(MO_SNA_FPStartDate,0,COLUMN())&amp;","&amp;INDEX(MO_Common_QEndDate,0,COLUMN())&amp;",,,,""PRICE"",""CLOSE"")"),"N/A")</f>
        <v/>
      </c>
      <c r="AO803" s="2074">
        <f>IFERROR(FDS(MO.Ticker.FactSet,"P_PRICE_AVG"&amp;"("&amp;INDEX(MO_SNA_FPStartDate,0,COLUMN())&amp;","&amp;INDEX(MO_Common_QEndDate,0,COLUMN())&amp;",,,,""PRICE"",""CLOSE"")"),"N/A")</f>
        <v/>
      </c>
      <c r="AP803" s="2074">
        <f>IFERROR(FDS(MO.Ticker.FactSet,"P_PRICE_AVG"&amp;"("&amp;INDEX(MO_SNA_FPStartDate,0,COLUMN())&amp;","&amp;INDEX(MO_Common_QEndDate,0,COLUMN())&amp;",,,,""PRICE"",""CLOSE"")"),"N/A")</f>
        <v/>
      </c>
      <c r="AQ803" s="2074">
        <f>IFERROR(FDS(MO.Ticker.FactSet,"P_PRICE_AVG"&amp;"("&amp;INDEX(MO_SNA_FPStartDate,0,COLUMN())&amp;","&amp;INDEX(MO_Common_QEndDate,0,COLUMN())&amp;",,,,""PRICE"",""CLOSE"")"),"N/A")</f>
        <v/>
      </c>
      <c r="AR803" s="2074">
        <f>IFERROR(FDS(MO.Ticker.FactSet,"P_PRICE_AVG"&amp;"("&amp;INDEX(MO_SNA_FPStartDate,0,COLUMN())&amp;","&amp;INDEX(MO_Common_QEndDate,0,COLUMN())&amp;",,,,""PRICE"",""CLOSE"")"),"N/A")</f>
        <v/>
      </c>
      <c r="AS803" s="2074">
        <f>IFERROR(FDS(MO.Ticker.FactSet,"P_PRICE_AVG"&amp;"("&amp;INDEX(MO_SNA_FPStartDate,0,COLUMN())&amp;","&amp;INDEX(MO_Common_QEndDate,0,COLUMN())&amp;",,,,""PRICE"",""CLOSE"")"),"N/A")</f>
        <v/>
      </c>
      <c r="AT803" s="2074">
        <f>IFERROR(FDS(MO.Ticker.FactSet,"P_PRICE_AVG"&amp;"("&amp;INDEX(MO_SNA_FPStartDate,0,COLUMN())&amp;","&amp;INDEX(MO_Common_QEndDate,0,COLUMN())&amp;",,,,""PRICE"",""CLOSE"")"),"N/A")</f>
        <v/>
      </c>
      <c r="AU803" s="2074">
        <f>IFERROR(FDS(MO.Ticker.FactSet,"P_PRICE_AVG"&amp;"("&amp;INDEX(MO_SNA_FPStartDate,0,COLUMN())&amp;","&amp;INDEX(MO_Common_QEndDate,0,COLUMN())&amp;",,,,""PRICE"",""CLOSE"")"),"N/A")</f>
        <v/>
      </c>
      <c r="AV803" s="2074">
        <f>IFERROR(FDS(MO.Ticker.FactSet,"P_PRICE_AVG"&amp;"("&amp;INDEX(MO_SNA_FPStartDate,0,COLUMN())&amp;","&amp;INDEX(MO_Common_QEndDate,0,COLUMN())&amp;",,,,""PRICE"",""CLOSE"")"),"N/A")</f>
        <v/>
      </c>
      <c r="AW803" s="2074">
        <f>IFERROR(FDS(MO.Ticker.FactSet,"P_PRICE_AVG"&amp;"("&amp;INDEX(MO_SNA_FPStartDate,0,COLUMN())&amp;","&amp;INDEX(MO_Common_QEndDate,0,COLUMN())&amp;",,,,""PRICE"",""CLOSE"")"),"N/A")</f>
        <v/>
      </c>
      <c r="AX803" s="2074">
        <f>IFERROR(FDS(MO.Ticker.FactSet,"P_PRICE_AVG"&amp;"("&amp;INDEX(MO_SNA_FPStartDate,0,COLUMN())&amp;","&amp;INDEX(MO_Common_QEndDate,0,COLUMN())&amp;",,,,""PRICE"",""CLOSE"")"),"N/A")</f>
        <v/>
      </c>
      <c r="AY803" s="2074">
        <f>IFERROR(FDS(MO.Ticker.FactSet,"P_PRICE_AVG"&amp;"("&amp;INDEX(MO_SNA_FPStartDate,0,COLUMN())&amp;","&amp;INDEX(MO_Common_QEndDate,0,COLUMN())&amp;",,,,""PRICE"",""CLOSE"")"),"N/A")</f>
        <v/>
      </c>
      <c r="AZ803" s="2074">
        <f>IFERROR(FDS(MO.Ticker.FactSet,"P_PRICE_AVG"&amp;"("&amp;INDEX(MO_SNA_FPStartDate,0,COLUMN())&amp;","&amp;INDEX(MO_Common_QEndDate,0,COLUMN())&amp;",,,,""PRICE"",""CLOSE"")"),"N/A")</f>
        <v/>
      </c>
      <c r="BA803" s="2074">
        <f>IFERROR(FDS(MO.Ticker.FactSet,"P_PRICE_AVG"&amp;"("&amp;INDEX(MO_SNA_FPStartDate,0,COLUMN())&amp;","&amp;INDEX(MO_Common_QEndDate,0,COLUMN())&amp;",,,,""PRICE"",""CLOSE"")"),"N/A")</f>
        <v/>
      </c>
      <c r="BB803" s="2074">
        <f>IFERROR(FDS(MO.Ticker.FactSet,"P_PRICE_AVG"&amp;"("&amp;INDEX(MO_SNA_FPStartDate,0,COLUMN())&amp;","&amp;INDEX(MO_Common_QEndDate,0,COLUMN())&amp;",,,,""PRICE"",""CLOSE"")"),"N/A")</f>
        <v/>
      </c>
      <c r="BC803" s="2074">
        <f>IFERROR(FDS(MO.Ticker.FactSet,"P_PRICE_AVG"&amp;"("&amp;INDEX(MO_SNA_FPStartDate,0,COLUMN())&amp;","&amp;INDEX(MO_Common_QEndDate,0,COLUMN())&amp;",,,,""PRICE"",""CLOSE"")"),"N/A")</f>
        <v/>
      </c>
      <c r="BD803" s="2074">
        <f>IFERROR(FDS(MO.Ticker.FactSet,"P_PRICE_AVG"&amp;"("&amp;INDEX(MO_SNA_FPStartDate,0,COLUMN())&amp;","&amp;INDEX(MO_Common_QEndDate,0,COLUMN())&amp;",,,,""PRICE"",""CLOSE"")"),"N/A")</f>
        <v/>
      </c>
      <c r="BE803" s="2074">
        <f>IFERROR(FDS(MO.Ticker.FactSet,"P_PRICE_AVG"&amp;"("&amp;INDEX(MO_SNA_FPStartDate,0,COLUMN())&amp;","&amp;INDEX(MO_Common_QEndDate,0,COLUMN())&amp;",,,,""PRICE"",""CLOSE"")"),"N/A")</f>
        <v/>
      </c>
      <c r="BF803" s="2074">
        <f>IFERROR(FDS(MO.Ticker.FactSet,"P_PRICE_AVG"&amp;"("&amp;INDEX(MO_SNA_FPStartDate,0,COLUMN())&amp;","&amp;INDEX(MO_Common_QEndDate,0,COLUMN())&amp;",,,,""PRICE"",""CLOSE"")"),"N/A")</f>
        <v/>
      </c>
      <c r="BG803" s="2074">
        <f>IFERROR(FDS(MO.Ticker.FactSet,"P_PRICE_AVG"&amp;"("&amp;INDEX(MO_SNA_FPStartDate,0,COLUMN())&amp;","&amp;INDEX(MO_Common_QEndDate,0,COLUMN())&amp;",,,,""PRICE"",""CLOSE"")"),"N/A")</f>
        <v/>
      </c>
      <c r="BH803" s="2074">
        <f>IFERROR(FDS(MO.Ticker.FactSet,"P_PRICE_AVG"&amp;"("&amp;INDEX(MO_SNA_FPStartDate,0,COLUMN())&amp;","&amp;INDEX(MO_Common_QEndDate,0,COLUMN())&amp;",,,,""PRICE"",""CLOSE"")"),"N/A")</f>
        <v/>
      </c>
      <c r="BI803" s="2074">
        <f>IFERROR(FDS(MO.Ticker.FactSet,"P_PRICE_AVG"&amp;"("&amp;INDEX(MO_SNA_FPStartDate,0,COLUMN())&amp;","&amp;INDEX(MO_Common_QEndDate,0,COLUMN())&amp;",,,,""PRICE"",""CLOSE"")"),"N/A")</f>
        <v/>
      </c>
      <c r="BJ803" s="2074">
        <f>IFERROR(FDS(MO.Ticker.FactSet,"P_PRICE_AVG"&amp;"("&amp;INDEX(MO_SNA_FPStartDate,0,COLUMN())&amp;","&amp;INDEX(MO_Common_QEndDate,0,COLUMN())&amp;",,,,""PRICE"",""CLOSE"")"),"N/A")</f>
        <v/>
      </c>
      <c r="BK803" s="2074">
        <f>IFERROR(FDS(MO.Ticker.FactSet,"P_PRICE_AVG"&amp;"("&amp;INDEX(MO_SNA_FPStartDate,0,COLUMN())&amp;","&amp;INDEX(MO_Common_QEndDate,0,COLUMN())&amp;",,,,""PRICE"",""CLOSE"")"),"N/A")</f>
        <v/>
      </c>
      <c r="BL803" s="2074">
        <f>IFERROR(FDS(MO.Ticker.FactSet,"P_PRICE_AVG"&amp;"("&amp;INDEX(MO_SNA_FPStartDate,0,COLUMN())&amp;","&amp;INDEX(MO_Common_QEndDate,0,COLUMN())&amp;",,,,""PRICE"",""CLOSE"")"),"N/A")</f>
        <v/>
      </c>
      <c r="BM803" s="2074">
        <f>IFERROR(FDS(MO.Ticker.FactSet,"P_PRICE_AVG"&amp;"("&amp;INDEX(MO_SNA_FPStartDate,0,COLUMN())&amp;","&amp;INDEX(MO_Common_QEndDate,0,COLUMN())&amp;",,,,""PRICE"",""CLOSE"")"),"N/A")</f>
        <v/>
      </c>
      <c r="BN803" s="2074">
        <f>IFERROR(FDS(MO.Ticker.FactSet,"P_PRICE_AVG"&amp;"("&amp;INDEX(MO_SNA_FPStartDate,0,COLUMN())&amp;","&amp;INDEX(MO_Common_QEndDate,0,COLUMN())&amp;",,,,""PRICE"",""CLOSE"")"),"N/A")</f>
        <v/>
      </c>
      <c r="BO803" s="2076">
        <f>IFERROR(FDS(MO.Ticker.FactSet,"P_PRICE_AVG"&amp;"("&amp;INDEX(MO_SNA_FPStartDate,0,COLUMN())&amp;","&amp;INDEX(MO_Common_QEndDate,0,COLUMN())&amp;",,,,""PRICE"",""CLOSE"")"),"N/A")</f>
        <v/>
      </c>
      <c r="BP803" s="2074">
        <f>IFERROR(FDS(MO.Ticker.FactSet,"P_PRICE_AVG"&amp;"("&amp;INDEX(MO_SNA_FPStartDate,0,COLUMN())&amp;","&amp;INDEX(MO_Common_QEndDate,0,COLUMN())&amp;",,,,""PRICE"",""CLOSE"")"),"N/A")</f>
        <v/>
      </c>
      <c r="BQ803" s="2074">
        <f>IFERROR(FDS(MO.Ticker.FactSet,"P_PRICE_AVG"&amp;"("&amp;INDEX(MO_SNA_FPStartDate,0,COLUMN())&amp;","&amp;INDEX(MO_Common_QEndDate,0,COLUMN())&amp;",,,,""PRICE"",""CLOSE"")"),"N/A")</f>
        <v/>
      </c>
      <c r="BR803" s="2074">
        <f>IFERROR(FDS(MO.Ticker.FactSet,"P_PRICE_AVG"&amp;"("&amp;INDEX(MO_SNA_FPStartDate,0,COLUMN())&amp;","&amp;INDEX(MO_Common_QEndDate,0,COLUMN())&amp;",,,,""PRICE"",""CLOSE"")"),"N/A")</f>
        <v/>
      </c>
      <c r="BS803" s="2074">
        <f>IFERROR(FDS(MO.Ticker.FactSet,"P_PRICE_AVG"&amp;"("&amp;INDEX(MO_SNA_FPStartDate,0,COLUMN())&amp;","&amp;INDEX(MO_Common_QEndDate,0,COLUMN())&amp;",,,,""PRICE"",""CLOSE"")"),"N/A")</f>
        <v/>
      </c>
      <c r="BT803" s="2074">
        <f>IFERROR(FDS(MO.Ticker.FactSet,"P_PRICE_AVG"&amp;"("&amp;INDEX(MO_SNA_FPStartDate,0,COLUMN())&amp;","&amp;INDEX(MO_Common_QEndDate,0,COLUMN())&amp;",,,,""PRICE"",""CLOSE"")"),"N/A")</f>
        <v/>
      </c>
      <c r="BU803" s="2074">
        <f>IFERROR(FDS(MO.Ticker.FactSet,"P_PRICE_AVG"&amp;"("&amp;INDEX(MO_SNA_FPStartDate,0,COLUMN())&amp;","&amp;INDEX(MO_Common_QEndDate,0,COLUMN())&amp;",,,,""PRICE"",""CLOSE"")"),"N/A")</f>
        <v/>
      </c>
      <c r="BV803" s="2074">
        <f>IFERROR(FDS(MO.Ticker.FactSet,"P_PRICE_AVG"&amp;"("&amp;INDEX(MO_SNA_FPStartDate,0,COLUMN())&amp;","&amp;INDEX(MO_Common_QEndDate,0,COLUMN())&amp;",,,,""PRICE"",""CLOSE"")"),"N/A")</f>
        <v/>
      </c>
      <c r="BW803" s="2074">
        <f>IFERROR(FDS(MO.Ticker.FactSet,"P_PRICE_AVG"&amp;"("&amp;INDEX(MO_SNA_FPStartDate,0,COLUMN())&amp;","&amp;INDEX(MO_Common_QEndDate,0,COLUMN())&amp;",,,,""PRICE"",""CLOSE"")"),"N/A")</f>
        <v/>
      </c>
      <c r="BX803" s="2074">
        <f>IFERROR(FDS(MO.Ticker.FactSet,"P_PRICE_AVG"&amp;"("&amp;INDEX(MO_SNA_FPStartDate,0,COLUMN())&amp;","&amp;INDEX(MO_Common_QEndDate,0,COLUMN())&amp;",,,,""PRICE"",""CLOSE"")"),"N/A")</f>
        <v/>
      </c>
      <c r="BY803" s="2074">
        <f>IFERROR(FDS(MO.Ticker.FactSet,"P_PRICE_AVG"&amp;"("&amp;INDEX(MO_SNA_FPStartDate,0,COLUMN())&amp;","&amp;INDEX(MO_Common_QEndDate,0,COLUMN())&amp;",,,,""PRICE"",""CLOSE"")"),"N/A")</f>
        <v/>
      </c>
      <c r="BZ803" s="2074">
        <f>IFERROR(FDS(MO.Ticker.FactSet,"P_PRICE_AVG"&amp;"("&amp;INDEX(MO_SNA_FPStartDate,0,COLUMN())&amp;","&amp;INDEX(MO_Common_QEndDate,0,COLUMN())&amp;",,,,""PRICE"",""CLOSE"")"),"N/A")</f>
        <v/>
      </c>
      <c r="CA803" s="2074">
        <f>IFERROR(FDS(MO.Ticker.FactSet,"P_PRICE_AVG"&amp;"("&amp;INDEX(MO_SNA_FPStartDate,0,COLUMN())&amp;","&amp;INDEX(MO_Common_QEndDate,0,COLUMN())&amp;",,,,""PRICE"",""CLOSE"")"),"N/A")</f>
        <v/>
      </c>
      <c r="CB803" s="2077">
        <f>IFERROR(FDS(MO.Ticker.FactSet,"P_PRICE_AVG"&amp;"("&amp;INDEX(MO_SNA_FPStartDate,0,COLUMN())&amp;","&amp;INDEX(MO_Common_QEndDate,0,COLUMN())&amp;",,,,""PRICE"",""CLOSE"")"),"N/A")</f>
        <v/>
      </c>
      <c r="CC803" s="2078" t="n"/>
    </row>
    <row r="804" hidden="1" outlineLevel="1" ht="15" customFormat="1" customHeight="1" s="1945">
      <c r="A804" s="2079" t="inlineStr">
        <is>
          <t>Refinitiv</t>
        </is>
      </c>
      <c r="B804" s="2074" t="n"/>
      <c r="C804" s="2075">
        <f>IFERROR(_xll.TR(MO.Ticker.Thomson,"AVG(TR.Priceclose)","sdate:#1 edate:#2",,INDEX(MO_SNA_FPStartDate,0,COLUMN()),INDEX(MO_Common_QEndDate,0,COLUMN())),"N/A")</f>
        <v/>
      </c>
      <c r="D804" s="2075">
        <f>IFERROR(_xll.TR(MO.Ticker.Thomson,"AVG(TR.Priceclose)","sdate:#1 edate:#2",,INDEX(MO_SNA_FPStartDate,0,COLUMN()),INDEX(MO_Common_QEndDate,0,COLUMN())),"N/A")</f>
        <v/>
      </c>
      <c r="E804" s="2074">
        <f>IFERROR(_xll.TR(MO.Ticker.Thomson,"AVG(TR.Priceclose)","sdate:#1 edate:#2",,INDEX(MO_SNA_FPStartDate,0,COLUMN()),INDEX(MO_Common_QEndDate,0,COLUMN())),"N/A")</f>
        <v/>
      </c>
      <c r="F804" s="2074">
        <f>IFERROR(_xll.TR(MO.Ticker.Thomson,"AVG(TR.Priceclose)","sdate:#1 edate:#2",,INDEX(MO_SNA_FPStartDate,0,COLUMN()),INDEX(MO_Common_QEndDate,0,COLUMN())),"N/A")</f>
        <v/>
      </c>
      <c r="G804" s="2074">
        <f>IFERROR(_xll.TR(MO.Ticker.Thomson,"AVG(TR.Priceclose)","sdate:#1 edate:#2",,INDEX(MO_SNA_FPStartDate,0,COLUMN()),INDEX(MO_Common_QEndDate,0,COLUMN())),"N/A")</f>
        <v/>
      </c>
      <c r="H804" s="2074">
        <f>IFERROR(_xll.TR(MO.Ticker.Thomson,"AVG(TR.Priceclose)","sdate:#1 edate:#2",,INDEX(MO_SNA_FPStartDate,0,COLUMN()),INDEX(MO_Common_QEndDate,0,COLUMN())),"N/A")</f>
        <v/>
      </c>
      <c r="I804" s="2074">
        <f>IFERROR(_xll.TR(MO.Ticker.Thomson,"AVG(TR.Priceclose)","sdate:#1 edate:#2",,INDEX(MO_SNA_FPStartDate,0,COLUMN()),INDEX(MO_Common_QEndDate,0,COLUMN())),"N/A")</f>
        <v/>
      </c>
      <c r="J804" s="2074">
        <f>IFERROR(_xll.TR(MO.Ticker.Thomson,"AVG(TR.Priceclose)","sdate:#1 edate:#2",,INDEX(MO_SNA_FPStartDate,0,COLUMN()),INDEX(MO_Common_QEndDate,0,COLUMN())),"N/A")</f>
        <v/>
      </c>
      <c r="K804" s="2074">
        <f>IFERROR(_xll.TR(MO.Ticker.Thomson,"AVG(TR.Priceclose)","sdate:#1 edate:#2",,INDEX(MO_SNA_FPStartDate,0,COLUMN()),INDEX(MO_Common_QEndDate,0,COLUMN())),"N/A")</f>
        <v/>
      </c>
      <c r="L804" s="2074">
        <f>IFERROR(_xll.TR(MO.Ticker.Thomson,"AVG(TR.Priceclose)","sdate:#1 edate:#2",,INDEX(MO_SNA_FPStartDate,0,COLUMN()),INDEX(MO_Common_QEndDate,0,COLUMN())),"N/A")</f>
        <v/>
      </c>
      <c r="M804" s="2074">
        <f>IFERROR(_xll.TR(MO.Ticker.Thomson,"AVG(TR.Priceclose)","sdate:#1 edate:#2",,INDEX(MO_SNA_FPStartDate,0,COLUMN()),INDEX(MO_Common_QEndDate,0,COLUMN())),"N/A")</f>
        <v/>
      </c>
      <c r="N804" s="2074">
        <f>IFERROR(_xll.TR(MO.Ticker.Thomson,"AVG(TR.Priceclose)","sdate:#1 edate:#2",,INDEX(MO_SNA_FPStartDate,0,COLUMN()),INDEX(MO_Common_QEndDate,0,COLUMN())),"N/A")</f>
        <v/>
      </c>
      <c r="O804" s="2074">
        <f>IFERROR(_xll.TR(MO.Ticker.Thomson,"AVG(TR.Priceclose)","sdate:#1 edate:#2",,INDEX(MO_SNA_FPStartDate,0,COLUMN()),INDEX(MO_Common_QEndDate,0,COLUMN())),"N/A")</f>
        <v/>
      </c>
      <c r="P804" s="2074">
        <f>IFERROR(_xll.TR(MO.Ticker.Thomson,"AVG(TR.Priceclose)","sdate:#1 edate:#2",,INDEX(MO_SNA_FPStartDate,0,COLUMN()),INDEX(MO_Common_QEndDate,0,COLUMN())),"N/A")</f>
        <v/>
      </c>
      <c r="Q804" s="2074">
        <f>IFERROR(_xll.TR(MO.Ticker.Thomson,"AVG(TR.Priceclose)","sdate:#1 edate:#2",,INDEX(MO_SNA_FPStartDate,0,COLUMN()),INDEX(MO_Common_QEndDate,0,COLUMN())),"N/A")</f>
        <v/>
      </c>
      <c r="R804" s="2074">
        <f>IFERROR(_xll.TR(MO.Ticker.Thomson,"AVG(TR.Priceclose)","sdate:#1 edate:#2",,INDEX(MO_SNA_FPStartDate,0,COLUMN()),INDEX(MO_Common_QEndDate,0,COLUMN())),"N/A")</f>
        <v/>
      </c>
      <c r="S804" s="2074">
        <f>IFERROR(_xll.TR(MO.Ticker.Thomson,"AVG(TR.Priceclose)","sdate:#1 edate:#2",,INDEX(MO_SNA_FPStartDate,0,COLUMN()),INDEX(MO_Common_QEndDate,0,COLUMN())),"N/A")</f>
        <v/>
      </c>
      <c r="T804" s="2074">
        <f>IFERROR(_xll.TR(MO.Ticker.Thomson,"AVG(TR.Priceclose)","sdate:#1 edate:#2",,INDEX(MO_SNA_FPStartDate,0,COLUMN()),INDEX(MO_Common_QEndDate,0,COLUMN())),"N/A")</f>
        <v/>
      </c>
      <c r="U804" s="2074">
        <f>IFERROR(_xll.TR(MO.Ticker.Thomson,"AVG(TR.Priceclose)","sdate:#1 edate:#2",,INDEX(MO_SNA_FPStartDate,0,COLUMN()),INDEX(MO_Common_QEndDate,0,COLUMN())),"N/A")</f>
        <v/>
      </c>
      <c r="V804" s="2074">
        <f>IFERROR(_xll.TR(MO.Ticker.Thomson,"AVG(TR.Priceclose)","sdate:#1 edate:#2",,INDEX(MO_SNA_FPStartDate,0,COLUMN()),INDEX(MO_Common_QEndDate,0,COLUMN())),"N/A")</f>
        <v/>
      </c>
      <c r="W804" s="2074">
        <f>IFERROR(_xll.TR(MO.Ticker.Thomson,"AVG(TR.Priceclose)","sdate:#1 edate:#2",,INDEX(MO_SNA_FPStartDate,0,COLUMN()),INDEX(MO_Common_QEndDate,0,COLUMN())),"N/A")</f>
        <v/>
      </c>
      <c r="X804" s="2074">
        <f>IFERROR(_xll.TR(MO.Ticker.Thomson,"AVG(TR.Priceclose)","sdate:#1 edate:#2",,INDEX(MO_SNA_FPStartDate,0,COLUMN()),INDEX(MO_Common_QEndDate,0,COLUMN())),"N/A")</f>
        <v/>
      </c>
      <c r="Y804" s="2074">
        <f>IFERROR(_xll.TR(MO.Ticker.Thomson,"AVG(TR.Priceclose)","sdate:#1 edate:#2",,INDEX(MO_SNA_FPStartDate,0,COLUMN()),INDEX(MO_Common_QEndDate,0,COLUMN())),"N/A")</f>
        <v/>
      </c>
      <c r="Z804" s="2074">
        <f>IFERROR(_xll.TR(MO.Ticker.Thomson,"AVG(TR.Priceclose)","sdate:#1 edate:#2",,INDEX(MO_SNA_FPStartDate,0,COLUMN()),INDEX(MO_Common_QEndDate,0,COLUMN())),"N/A")</f>
        <v/>
      </c>
      <c r="AA804" s="2074">
        <f>IFERROR(_xll.TR(MO.Ticker.Thomson,"AVG(TR.Priceclose)","sdate:#1 edate:#2",,INDEX(MO_SNA_FPStartDate,0,COLUMN()),INDEX(MO_Common_QEndDate,0,COLUMN())),"N/A")</f>
        <v/>
      </c>
      <c r="AB804" s="2074">
        <f>IFERROR(_xll.TR(MO.Ticker.Thomson,"AVG(TR.Priceclose)","sdate:#1 edate:#2",,INDEX(MO_SNA_FPStartDate,0,COLUMN()),INDEX(MO_Common_QEndDate,0,COLUMN())),"N/A")</f>
        <v/>
      </c>
      <c r="AC804" s="2074">
        <f>IFERROR(_xll.TR(MO.Ticker.Thomson,"AVG(TR.Priceclose)","sdate:#1 edate:#2",,INDEX(MO_SNA_FPStartDate,0,COLUMN()),INDEX(MO_Common_QEndDate,0,COLUMN())),"N/A")</f>
        <v/>
      </c>
      <c r="AD804" s="2074">
        <f>IFERROR(_xll.TR(MO.Ticker.Thomson,"AVG(TR.Priceclose)","sdate:#1 edate:#2",,INDEX(MO_SNA_FPStartDate,0,COLUMN()),INDEX(MO_Common_QEndDate,0,COLUMN())),"N/A")</f>
        <v/>
      </c>
      <c r="AE804" s="2074">
        <f>IFERROR(_xll.TR(MO.Ticker.Thomson,"AVG(TR.Priceclose)","sdate:#1 edate:#2",,INDEX(MO_SNA_FPStartDate,0,COLUMN()),INDEX(MO_Common_QEndDate,0,COLUMN())),"N/A")</f>
        <v/>
      </c>
      <c r="AF804" s="2074">
        <f>IFERROR(_xll.TR(MO.Ticker.Thomson,"AVG(TR.Priceclose)","sdate:#1 edate:#2",,INDEX(MO_SNA_FPStartDate,0,COLUMN()),INDEX(MO_Common_QEndDate,0,COLUMN())),"N/A")</f>
        <v/>
      </c>
      <c r="AG804" s="2074">
        <f>IFERROR(_xll.TR(MO.Ticker.Thomson,"AVG(TR.Priceclose)","sdate:#1 edate:#2",,INDEX(MO_SNA_FPStartDate,0,COLUMN()),INDEX(MO_Common_QEndDate,0,COLUMN())),"N/A")</f>
        <v/>
      </c>
      <c r="AH804" s="2074">
        <f>IFERROR(_xll.TR(MO.Ticker.Thomson,"AVG(TR.Priceclose)","sdate:#1 edate:#2",,INDEX(MO_SNA_FPStartDate,0,COLUMN()),INDEX(MO_Common_QEndDate,0,COLUMN())),"N/A")</f>
        <v/>
      </c>
      <c r="AI804" s="2074">
        <f>IFERROR(_xll.TR(MO.Ticker.Thomson,"AVG(TR.Priceclose)","sdate:#1 edate:#2",,INDEX(MO_SNA_FPStartDate,0,COLUMN()),INDEX(MO_Common_QEndDate,0,COLUMN())),"N/A")</f>
        <v/>
      </c>
      <c r="AJ804" s="2074">
        <f>IFERROR(_xll.TR(MO.Ticker.Thomson,"AVG(TR.Priceclose)","sdate:#1 edate:#2",,INDEX(MO_SNA_FPStartDate,0,COLUMN()),INDEX(MO_Common_QEndDate,0,COLUMN())),"N/A")</f>
        <v/>
      </c>
      <c r="AK804" s="2074">
        <f>IFERROR(_xll.TR(MO.Ticker.Thomson,"AVG(TR.Priceclose)","sdate:#1 edate:#2",,INDEX(MO_SNA_FPStartDate,0,COLUMN()),INDEX(MO_Common_QEndDate,0,COLUMN())),"N/A")</f>
        <v/>
      </c>
      <c r="AL804" s="2074">
        <f>IFERROR(_xll.TR(MO.Ticker.Thomson,"AVG(TR.Priceclose)","sdate:#1 edate:#2",,INDEX(MO_SNA_FPStartDate,0,COLUMN()),INDEX(MO_Common_QEndDate,0,COLUMN())),"N/A")</f>
        <v/>
      </c>
      <c r="AM804" s="2074">
        <f>IFERROR(_xll.TR(MO.Ticker.Thomson,"AVG(TR.Priceclose)","sdate:#1 edate:#2",,INDEX(MO_SNA_FPStartDate,0,COLUMN()),INDEX(MO_Common_QEndDate,0,COLUMN())),"N/A")</f>
        <v/>
      </c>
      <c r="AN804" s="2074">
        <f>IFERROR(_xll.TR(MO.Ticker.Thomson,"AVG(TR.Priceclose)","sdate:#1 edate:#2",,INDEX(MO_SNA_FPStartDate,0,COLUMN()),INDEX(MO_Common_QEndDate,0,COLUMN())),"N/A")</f>
        <v/>
      </c>
      <c r="AO804" s="2074">
        <f>IFERROR(_xll.TR(MO.Ticker.Thomson,"AVG(TR.Priceclose)","sdate:#1 edate:#2",,INDEX(MO_SNA_FPStartDate,0,COLUMN()),INDEX(MO_Common_QEndDate,0,COLUMN())),"N/A")</f>
        <v/>
      </c>
      <c r="AP804" s="2074">
        <f>IFERROR(_xll.TR(MO.Ticker.Thomson,"AVG(TR.Priceclose)","sdate:#1 edate:#2",,INDEX(MO_SNA_FPStartDate,0,COLUMN()),INDEX(MO_Common_QEndDate,0,COLUMN())),"N/A")</f>
        <v/>
      </c>
      <c r="AQ804" s="2074">
        <f>IFERROR(_xll.TR(MO.Ticker.Thomson,"AVG(TR.Priceclose)","sdate:#1 edate:#2",,INDEX(MO_SNA_FPStartDate,0,COLUMN()),INDEX(MO_Common_QEndDate,0,COLUMN())),"N/A")</f>
        <v/>
      </c>
      <c r="AR804" s="2074">
        <f>IFERROR(_xll.TR(MO.Ticker.Thomson,"AVG(TR.Priceclose)","sdate:#1 edate:#2",,INDEX(MO_SNA_FPStartDate,0,COLUMN()),INDEX(MO_Common_QEndDate,0,COLUMN())),"N/A")</f>
        <v/>
      </c>
      <c r="AS804" s="2074">
        <f>IFERROR(_xll.TR(MO.Ticker.Thomson,"AVG(TR.Priceclose)","sdate:#1 edate:#2",,INDEX(MO_SNA_FPStartDate,0,COLUMN()),INDEX(MO_Common_QEndDate,0,COLUMN())),"N/A")</f>
        <v/>
      </c>
      <c r="AT804" s="2074">
        <f>IFERROR(_xll.TR(MO.Ticker.Thomson,"AVG(TR.Priceclose)","sdate:#1 edate:#2",,INDEX(MO_SNA_FPStartDate,0,COLUMN()),INDEX(MO_Common_QEndDate,0,COLUMN())),"N/A")</f>
        <v/>
      </c>
      <c r="AU804" s="2074">
        <f>IFERROR(_xll.TR(MO.Ticker.Thomson,"AVG(TR.Priceclose)","sdate:#1 edate:#2",,INDEX(MO_SNA_FPStartDate,0,COLUMN()),INDEX(MO_Common_QEndDate,0,COLUMN())),"N/A")</f>
        <v/>
      </c>
      <c r="AV804" s="2074">
        <f>IFERROR(_xll.TR(MO.Ticker.Thomson,"AVG(TR.Priceclose)","sdate:#1 edate:#2",,INDEX(MO_SNA_FPStartDate,0,COLUMN()),INDEX(MO_Common_QEndDate,0,COLUMN())),"N/A")</f>
        <v/>
      </c>
      <c r="AW804" s="2074">
        <f>IFERROR(_xll.TR(MO.Ticker.Thomson,"AVG(TR.Priceclose)","sdate:#1 edate:#2",,INDEX(MO_SNA_FPStartDate,0,COLUMN()),INDEX(MO_Common_QEndDate,0,COLUMN())),"N/A")</f>
        <v/>
      </c>
      <c r="AX804" s="2074">
        <f>IFERROR(_xll.TR(MO.Ticker.Thomson,"AVG(TR.Priceclose)","sdate:#1 edate:#2",,INDEX(MO_SNA_FPStartDate,0,COLUMN()),INDEX(MO_Common_QEndDate,0,COLUMN())),"N/A")</f>
        <v/>
      </c>
      <c r="AY804" s="2074">
        <f>IFERROR(_xll.TR(MO.Ticker.Thomson,"AVG(TR.Priceclose)","sdate:#1 edate:#2",,INDEX(MO_SNA_FPStartDate,0,COLUMN()),INDEX(MO_Common_QEndDate,0,COLUMN())),"N/A")</f>
        <v/>
      </c>
      <c r="AZ804" s="2074">
        <f>IFERROR(_xll.TR(MO.Ticker.Thomson,"AVG(TR.Priceclose)","sdate:#1 edate:#2",,INDEX(MO_SNA_FPStartDate,0,COLUMN()),INDEX(MO_Common_QEndDate,0,COLUMN())),"N/A")</f>
        <v/>
      </c>
      <c r="BA804" s="2074">
        <f>IFERROR(_xll.TR(MO.Ticker.Thomson,"AVG(TR.Priceclose)","sdate:#1 edate:#2",,INDEX(MO_SNA_FPStartDate,0,COLUMN()),INDEX(MO_Common_QEndDate,0,COLUMN())),"N/A")</f>
        <v/>
      </c>
      <c r="BB804" s="2074">
        <f>IFERROR(_xll.TR(MO.Ticker.Thomson,"AVG(TR.Priceclose)","sdate:#1 edate:#2",,INDEX(MO_SNA_FPStartDate,0,COLUMN()),INDEX(MO_Common_QEndDate,0,COLUMN())),"N/A")</f>
        <v/>
      </c>
      <c r="BC804" s="2074">
        <f>IFERROR(_xll.TR(MO.Ticker.Thomson,"AVG(TR.Priceclose)","sdate:#1 edate:#2",,INDEX(MO_SNA_FPStartDate,0,COLUMN()),INDEX(MO_Common_QEndDate,0,COLUMN())),"N/A")</f>
        <v/>
      </c>
      <c r="BD804" s="2074">
        <f>IFERROR(_xll.TR(MO.Ticker.Thomson,"AVG(TR.Priceclose)","sdate:#1 edate:#2",,INDEX(MO_SNA_FPStartDate,0,COLUMN()),INDEX(MO_Common_QEndDate,0,COLUMN())),"N/A")</f>
        <v/>
      </c>
      <c r="BE804" s="2074">
        <f>IFERROR(_xll.TR(MO.Ticker.Thomson,"AVG(TR.Priceclose)","sdate:#1 edate:#2",,INDEX(MO_SNA_FPStartDate,0,COLUMN()),INDEX(MO_Common_QEndDate,0,COLUMN())),"N/A")</f>
        <v/>
      </c>
      <c r="BF804" s="2074">
        <f>IFERROR(_xll.TR(MO.Ticker.Thomson,"AVG(TR.Priceclose)","sdate:#1 edate:#2",,INDEX(MO_SNA_FPStartDate,0,COLUMN()),INDEX(MO_Common_QEndDate,0,COLUMN())),"N/A")</f>
        <v/>
      </c>
      <c r="BG804" s="2074">
        <f>IFERROR(_xll.TR(MO.Ticker.Thomson,"AVG(TR.Priceclose)","sdate:#1 edate:#2",,INDEX(MO_SNA_FPStartDate,0,COLUMN()),INDEX(MO_Common_QEndDate,0,COLUMN())),"N/A")</f>
        <v/>
      </c>
      <c r="BH804" s="2074">
        <f>IFERROR(_xll.TR(MO.Ticker.Thomson,"AVG(TR.Priceclose)","sdate:#1 edate:#2",,INDEX(MO_SNA_FPStartDate,0,COLUMN()),INDEX(MO_Common_QEndDate,0,COLUMN())),"N/A")</f>
        <v/>
      </c>
      <c r="BI804" s="2074">
        <f>IFERROR(_xll.TR(MO.Ticker.Thomson,"AVG(TR.Priceclose)","sdate:#1 edate:#2",,INDEX(MO_SNA_FPStartDate,0,COLUMN()),INDEX(MO_Common_QEndDate,0,COLUMN())),"N/A")</f>
        <v/>
      </c>
      <c r="BJ804" s="2074">
        <f>IFERROR(_xll.TR(MO.Ticker.Thomson,"AVG(TR.Priceclose)","sdate:#1 edate:#2",,INDEX(MO_SNA_FPStartDate,0,COLUMN()),INDEX(MO_Common_QEndDate,0,COLUMN())),"N/A")</f>
        <v/>
      </c>
      <c r="BK804" s="2074">
        <f>IFERROR(_xll.TR(MO.Ticker.Thomson,"AVG(TR.Priceclose)","sdate:#1 edate:#2",,INDEX(MO_SNA_FPStartDate,0,COLUMN()),INDEX(MO_Common_QEndDate,0,COLUMN())),"N/A")</f>
        <v/>
      </c>
      <c r="BL804" s="2074">
        <f>IFERROR(_xll.TR(MO.Ticker.Thomson,"AVG(TR.Priceclose)","sdate:#1 edate:#2",,INDEX(MO_SNA_FPStartDate,0,COLUMN()),INDEX(MO_Common_QEndDate,0,COLUMN())),"N/A")</f>
        <v/>
      </c>
      <c r="BM804" s="2074">
        <f>IFERROR(_xll.TR(MO.Ticker.Thomson,"AVG(TR.Priceclose)","sdate:#1 edate:#2",,INDEX(MO_SNA_FPStartDate,0,COLUMN()),INDEX(MO_Common_QEndDate,0,COLUMN())),"N/A")</f>
        <v/>
      </c>
      <c r="BN804" s="2074">
        <f>IFERROR(_xll.TR(MO.Ticker.Thomson,"AVG(TR.Priceclose)","sdate:#1 edate:#2",,INDEX(MO_SNA_FPStartDate,0,COLUMN()),INDEX(MO_Common_QEndDate,0,COLUMN())),"N/A")</f>
        <v/>
      </c>
      <c r="BO804" s="2076">
        <f>IFERROR(_xll.TR(MO.Ticker.Thomson,"AVG(TR.Priceclose)","sdate:#1 edate:#2",,INDEX(MO_SNA_FPStartDate,0,COLUMN()),INDEX(MO_Common_QEndDate,0,COLUMN())),"N/A")</f>
        <v/>
      </c>
      <c r="BP804" s="2074">
        <f>IFERROR(_xll.TR(MO.Ticker.Thomson,"AVG(TR.Priceclose)","sdate:#1 edate:#2",,INDEX(MO_SNA_FPStartDate,0,COLUMN()),INDEX(MO_Common_QEndDate,0,COLUMN())),"N/A")</f>
        <v/>
      </c>
      <c r="BQ804" s="2074">
        <f>IFERROR(_xll.TR(MO.Ticker.Thomson,"AVG(TR.Priceclose)","sdate:#1 edate:#2",,INDEX(MO_SNA_FPStartDate,0,COLUMN()),INDEX(MO_Common_QEndDate,0,COLUMN())),"N/A")</f>
        <v/>
      </c>
      <c r="BR804" s="2074">
        <f>IFERROR(_xll.TR(MO.Ticker.Thomson,"AVG(TR.Priceclose)","sdate:#1 edate:#2",,INDEX(MO_SNA_FPStartDate,0,COLUMN()),INDEX(MO_Common_QEndDate,0,COLUMN())),"N/A")</f>
        <v/>
      </c>
      <c r="BS804" s="2074">
        <f>IFERROR(_xll.TR(MO.Ticker.Thomson,"AVG(TR.Priceclose)","sdate:#1 edate:#2",,INDEX(MO_SNA_FPStartDate,0,COLUMN()),INDEX(MO_Common_QEndDate,0,COLUMN())),"N/A")</f>
        <v/>
      </c>
      <c r="BT804" s="2074">
        <f>IFERROR(_xll.TR(MO.Ticker.Thomson,"AVG(TR.Priceclose)","sdate:#1 edate:#2",,INDEX(MO_SNA_FPStartDate,0,COLUMN()),INDEX(MO_Common_QEndDate,0,COLUMN())),"N/A")</f>
        <v/>
      </c>
      <c r="BU804" s="2074">
        <f>IFERROR(_xll.TR(MO.Ticker.Thomson,"AVG(TR.Priceclose)","sdate:#1 edate:#2",,INDEX(MO_SNA_FPStartDate,0,COLUMN()),INDEX(MO_Common_QEndDate,0,COLUMN())),"N/A")</f>
        <v/>
      </c>
      <c r="BV804" s="2074">
        <f>IFERROR(_xll.TR(MO.Ticker.Thomson,"AVG(TR.Priceclose)","sdate:#1 edate:#2",,INDEX(MO_SNA_FPStartDate,0,COLUMN()),INDEX(MO_Common_QEndDate,0,COLUMN())),"N/A")</f>
        <v/>
      </c>
      <c r="BW804" s="2074">
        <f>IFERROR(_xll.TR(MO.Ticker.Thomson,"AVG(TR.Priceclose)","sdate:#1 edate:#2",,INDEX(MO_SNA_FPStartDate,0,COLUMN()),INDEX(MO_Common_QEndDate,0,COLUMN())),"N/A")</f>
        <v/>
      </c>
      <c r="BX804" s="2074">
        <f>IFERROR(_xll.TR(MO.Ticker.Thomson,"AVG(TR.Priceclose)","sdate:#1 edate:#2",,INDEX(MO_SNA_FPStartDate,0,COLUMN()),INDEX(MO_Common_QEndDate,0,COLUMN())),"N/A")</f>
        <v/>
      </c>
      <c r="BY804" s="2074">
        <f>IFERROR(_xll.TR(MO.Ticker.Thomson,"AVG(TR.Priceclose)","sdate:#1 edate:#2",,INDEX(MO_SNA_FPStartDate,0,COLUMN()),INDEX(MO_Common_QEndDate,0,COLUMN())),"N/A")</f>
        <v/>
      </c>
      <c r="BZ804" s="2074">
        <f>IFERROR(_xll.TR(MO.Ticker.Thomson,"AVG(TR.Priceclose)","sdate:#1 edate:#2",,INDEX(MO_SNA_FPStartDate,0,COLUMN()),INDEX(MO_Common_QEndDate,0,COLUMN())),"N/A")</f>
        <v/>
      </c>
      <c r="CA804" s="2074">
        <f>IFERROR(_xll.TR(MO.Ticker.Thomson,"AVG(TR.Priceclose)","sdate:#1 edate:#2",,INDEX(MO_SNA_FPStartDate,0,COLUMN()),INDEX(MO_Common_QEndDate,0,COLUMN())),"N/A")</f>
        <v/>
      </c>
      <c r="CB804" s="2077">
        <f>IFERROR(_xll.TR(MO.Ticker.Thomson,"AVG(TR.Priceclose)","sdate:#1 edate:#2",,INDEX(MO_SNA_FPStartDate,0,COLUMN()),INDEX(MO_Common_QEndDate,0,COLUMN())),"N/A")</f>
        <v/>
      </c>
      <c r="CC804" s="2078" t="n"/>
    </row>
    <row r="805" hidden="1" outlineLevel="1" ht="15" customFormat="1" customHeight="1" s="1561">
      <c r="A805" s="2083" t="n"/>
      <c r="B805" s="1562" t="n"/>
      <c r="C805" s="2009" t="n"/>
      <c r="D805" s="2009" t="n"/>
      <c r="E805" s="1562" t="n"/>
      <c r="F805" s="1562" t="n"/>
      <c r="G805" s="1562" t="n"/>
      <c r="H805" s="1562" t="n"/>
      <c r="I805" s="1562" t="n"/>
      <c r="J805" s="1562" t="n"/>
      <c r="K805" s="1562" t="n"/>
      <c r="L805" s="1562" t="n"/>
      <c r="M805" s="1562" t="n"/>
      <c r="N805" s="1562" t="n"/>
      <c r="O805" s="1562" t="n"/>
      <c r="P805" s="1562" t="n"/>
      <c r="Q805" s="1562" t="n"/>
      <c r="R805" s="1562" t="n"/>
      <c r="S805" s="1562" t="n"/>
      <c r="T805" s="1562" t="n"/>
      <c r="U805" s="1562" t="n"/>
      <c r="V805" s="1562" t="n"/>
      <c r="W805" s="1562" t="n"/>
      <c r="X805" s="1562" t="n"/>
      <c r="Y805" s="1562" t="n"/>
      <c r="Z805" s="1562" t="n"/>
      <c r="AA805" s="1562" t="n"/>
      <c r="AB805" s="1562" t="n"/>
      <c r="AC805" s="1562" t="n"/>
      <c r="AD805" s="1562" t="n"/>
      <c r="AE805" s="1562" t="n"/>
      <c r="AF805" s="1562" t="n"/>
      <c r="AG805" s="1562" t="n"/>
      <c r="AH805" s="1562" t="n"/>
      <c r="AI805" s="1562" t="n"/>
      <c r="AJ805" s="1562" t="n"/>
      <c r="AK805" s="1562" t="n"/>
      <c r="AL805" s="1562" t="n"/>
      <c r="AM805" s="1562" t="n"/>
      <c r="AN805" s="1562" t="n"/>
      <c r="AO805" s="1562" t="n"/>
      <c r="AP805" s="1562" t="n"/>
      <c r="AQ805" s="1562" t="n"/>
      <c r="AR805" s="1562" t="n"/>
      <c r="AS805" s="1562" t="n"/>
      <c r="AT805" s="1562" t="n"/>
      <c r="AU805" s="1562" t="n"/>
      <c r="AV805" s="1562" t="n"/>
      <c r="AW805" s="1562" t="n"/>
      <c r="AX805" s="1562" t="n"/>
      <c r="AY805" s="1562" t="n"/>
      <c r="AZ805" s="1562" t="n"/>
      <c r="BA805" s="1562" t="n"/>
      <c r="BB805" s="1562" t="n"/>
      <c r="BC805" s="1562" t="n"/>
      <c r="BD805" s="1562" t="n"/>
      <c r="BE805" s="1562" t="n"/>
      <c r="BF805" s="1562" t="n"/>
      <c r="BG805" s="1562" t="n"/>
      <c r="BH805" s="1562" t="n"/>
      <c r="BI805" s="1562" t="n"/>
      <c r="BJ805" s="1562" t="n"/>
      <c r="BK805" s="1562" t="n"/>
      <c r="BL805" s="1562" t="n"/>
      <c r="BM805" s="1562" t="n"/>
      <c r="BN805" s="1562" t="n"/>
      <c r="BO805" s="1563" t="n"/>
      <c r="BP805" s="1562" t="n"/>
      <c r="BQ805" s="1562" t="n"/>
      <c r="BR805" s="1562" t="n"/>
      <c r="BS805" s="1562" t="n"/>
      <c r="BT805" s="1562" t="n"/>
      <c r="BU805" s="1562" t="n"/>
      <c r="BV805" s="1562" t="n"/>
      <c r="BW805" s="1562" t="n"/>
      <c r="BX805" s="1562" t="n"/>
      <c r="BY805" s="1562" t="n"/>
      <c r="BZ805" s="1562" t="n"/>
      <c r="CA805" s="1562" t="n"/>
      <c r="CB805" s="2084" t="n"/>
      <c r="CC805" s="2056" t="n"/>
    </row>
    <row r="806" collapsed="1" ht="15" customFormat="1" customHeight="1" s="1954">
      <c r="A806" s="2085">
        <f>"FX Average: "&amp;IF(OR(MO.RealTimeStockPriceToggle=FALSE,VLOOKUP(MO.DataSourceName,MO_SPT_FXAverage_Sources,COLUMN()+2,FALSE)="N/A"),"Real-Time Off Source",MO.DataSourceName)</f>
        <v/>
      </c>
      <c r="B806" s="2086" t="n"/>
      <c r="C806" s="2087">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D806" s="2087">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E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F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G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H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I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J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K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L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M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N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O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P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Q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R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S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T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U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V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W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X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Y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Z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A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B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C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D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E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F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G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H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I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J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K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L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M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N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O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P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Q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R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S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T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U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V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W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X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Y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Z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A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B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C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D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E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F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G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H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I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J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K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L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M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N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O806" s="2088">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P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Q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R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S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T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U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V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W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X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Y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BZ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CA806" s="2086">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CB806" s="2089">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CC806" s="2090" t="n"/>
    </row>
    <row r="807" hidden="1" outlineLevel="1" ht="15" customFormat="1" customHeight="1" s="1954">
      <c r="A807" s="2091" t="inlineStr">
        <is>
          <t>Real-Time Off Source</t>
        </is>
      </c>
      <c r="B807" s="2086" t="n"/>
      <c r="C807" s="2092" t="n">
        <v>1</v>
      </c>
      <c r="D807" s="2092" t="n">
        <v>1</v>
      </c>
      <c r="E807" s="2093" t="n">
        <v>1</v>
      </c>
      <c r="F807" s="2093" t="n">
        <v>1</v>
      </c>
      <c r="G807" s="2093" t="n">
        <v>1</v>
      </c>
      <c r="H807" s="2093" t="n">
        <v>1</v>
      </c>
      <c r="I807" s="2093" t="n">
        <v>1</v>
      </c>
      <c r="J807" s="2093" t="n">
        <v>1</v>
      </c>
      <c r="K807" s="2093" t="n">
        <v>1</v>
      </c>
      <c r="L807" s="2093" t="n">
        <v>1</v>
      </c>
      <c r="M807" s="2093" t="n">
        <v>1</v>
      </c>
      <c r="N807" s="2093" t="n">
        <v>1</v>
      </c>
      <c r="O807" s="2093" t="n">
        <v>1</v>
      </c>
      <c r="P807" s="2093" t="n">
        <v>1</v>
      </c>
      <c r="Q807" s="2093" t="n">
        <v>1</v>
      </c>
      <c r="R807" s="2093" t="n">
        <v>1</v>
      </c>
      <c r="S807" s="2093" t="n">
        <v>1</v>
      </c>
      <c r="T807" s="2093" t="n">
        <v>1</v>
      </c>
      <c r="U807" s="2093" t="n">
        <v>1</v>
      </c>
      <c r="V807" s="2093" t="n">
        <v>1</v>
      </c>
      <c r="W807" s="2093" t="n">
        <v>1</v>
      </c>
      <c r="X807" s="2093" t="n">
        <v>1</v>
      </c>
      <c r="Y807" s="2093" t="n">
        <v>1</v>
      </c>
      <c r="Z807" s="2093" t="n">
        <v>1</v>
      </c>
      <c r="AA807" s="2093" t="n">
        <v>1</v>
      </c>
      <c r="AB807" s="2093" t="n">
        <v>1</v>
      </c>
      <c r="AC807" s="2093" t="n">
        <v>1</v>
      </c>
      <c r="AD807" s="2093" t="n">
        <v>1</v>
      </c>
      <c r="AE807" s="2093" t="n">
        <v>1</v>
      </c>
      <c r="AF807" s="2093" t="n">
        <v>1</v>
      </c>
      <c r="AG807" s="2093" t="n">
        <v>1</v>
      </c>
      <c r="AH807" s="2093" t="n">
        <v>1</v>
      </c>
      <c r="AI807" s="2093" t="n">
        <v>1</v>
      </c>
      <c r="AJ807" s="2093" t="n">
        <v>1</v>
      </c>
      <c r="AK807" s="2093" t="n">
        <v>1</v>
      </c>
      <c r="AL807" s="2093" t="n">
        <v>1</v>
      </c>
      <c r="AM807" s="2093" t="n">
        <v>1</v>
      </c>
      <c r="AN807" s="2093" t="n">
        <v>1</v>
      </c>
      <c r="AO807" s="2093" t="n">
        <v>1</v>
      </c>
      <c r="AP807" s="2093" t="n">
        <v>1</v>
      </c>
      <c r="AQ807" s="2093" t="n">
        <v>1</v>
      </c>
      <c r="AR807" s="2093" t="n">
        <v>1</v>
      </c>
      <c r="AS807" s="2093" t="n">
        <v>1</v>
      </c>
      <c r="AT807" s="2093" t="n">
        <v>1</v>
      </c>
      <c r="AU807" s="2093" t="n">
        <v>1</v>
      </c>
      <c r="AV807" s="2093" t="n">
        <v>1</v>
      </c>
      <c r="AW807" s="2093" t="n">
        <v>1</v>
      </c>
      <c r="AX807" s="2093" t="n">
        <v>1</v>
      </c>
      <c r="AY807" s="2093" t="n">
        <v>1</v>
      </c>
      <c r="AZ807" s="2093" t="n">
        <v>1</v>
      </c>
      <c r="BA807" s="2093" t="n">
        <v>1</v>
      </c>
      <c r="BB807" s="2093" t="n">
        <v>1</v>
      </c>
      <c r="BC807" s="2093" t="n">
        <v>1</v>
      </c>
      <c r="BD807" s="2093" t="n">
        <v>1</v>
      </c>
      <c r="BE807" s="2093" t="n">
        <v>1</v>
      </c>
      <c r="BF807" s="2093" t="n">
        <v>1</v>
      </c>
      <c r="BG807" s="2093" t="n">
        <v>1</v>
      </c>
      <c r="BH807" s="2093" t="n">
        <v>1</v>
      </c>
      <c r="BI807" s="2093" t="n">
        <v>1</v>
      </c>
      <c r="BJ807" s="2093" t="n">
        <v>1</v>
      </c>
      <c r="BK807" s="2093" t="n">
        <v>1</v>
      </c>
      <c r="BL807" s="2093" t="n">
        <v>1</v>
      </c>
      <c r="BM807" s="2093" t="n">
        <v>1</v>
      </c>
      <c r="BN807" s="2093" t="n">
        <v>1</v>
      </c>
      <c r="BO807" s="2094" t="n">
        <v>1</v>
      </c>
      <c r="BP807" s="2086">
        <f>MO.MRFX.Hardcoded</f>
        <v/>
      </c>
      <c r="BQ807" s="2086">
        <f>MO.MRFX.Hardcoded</f>
        <v/>
      </c>
      <c r="BR807" s="2086">
        <f>MO.MRFX.Hardcoded</f>
        <v/>
      </c>
      <c r="BS807" s="2086">
        <f>MO.MRFX.Hardcoded</f>
        <v/>
      </c>
      <c r="BT807" s="2086">
        <f>MO.MRFX.Hardcoded</f>
        <v/>
      </c>
      <c r="BU807" s="2086">
        <f>MO.MRFX.Hardcoded</f>
        <v/>
      </c>
      <c r="BV807" s="2086">
        <f>MO.MRFX.Hardcoded</f>
        <v/>
      </c>
      <c r="BW807" s="2086">
        <f>MO.MRFX.Hardcoded</f>
        <v/>
      </c>
      <c r="BX807" s="2086">
        <f>MO.MRFX.Hardcoded</f>
        <v/>
      </c>
      <c r="BY807" s="2086">
        <f>MO.MRFX.Hardcoded</f>
        <v/>
      </c>
      <c r="BZ807" s="2086">
        <f>MO.MRFX.Hardcoded</f>
        <v/>
      </c>
      <c r="CA807" s="2086">
        <f>MO.MRFX.Hardcoded</f>
        <v/>
      </c>
      <c r="CB807" s="2089">
        <f>MO.MRFX.Hardcoded</f>
        <v/>
      </c>
      <c r="CC807" s="2090" t="n"/>
    </row>
    <row r="808" hidden="1" outlineLevel="1" ht="15" customFormat="1" customHeight="1" s="1954">
      <c r="A808" s="2091" t="inlineStr">
        <is>
          <t>Bloomberg</t>
        </is>
      </c>
      <c r="B808" s="2086" t="n"/>
      <c r="C808" s="2087">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D808" s="2087">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E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F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G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H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I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J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K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L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M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N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O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P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Q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R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S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T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U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V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W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X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Y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Z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A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B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C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D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E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F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G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H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I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J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K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L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M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N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O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P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Q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R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S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T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U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V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W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X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Y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Z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A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B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C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D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E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F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G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H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I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J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K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L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M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N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O808" s="2088">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P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Q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R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S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T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U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V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W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X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Y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BZ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CA808" s="2086">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CB808" s="2089">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CC808" s="2090" t="n"/>
    </row>
    <row r="809" hidden="1" outlineLevel="1" ht="15" customFormat="1" customHeight="1" s="1954">
      <c r="A809" s="2091" t="inlineStr">
        <is>
          <t>Capital IQ</t>
        </is>
      </c>
      <c r="B809" s="2086" t="n"/>
      <c r="C809" s="2087">
        <f>IFERROR(IF(INDEX(MO_Common_QEndDate,0,COLUMN())&gt;TODAY(),_xll.ciqfunctions.udf.CIQ("$"&amp;HP.TradeCurrency&amp;MO.ReportCurrency,"IQ_LASTSALEPRICE"),_xll.ciqfunctions.udf.CIQAVG("$"&amp;HP.TradeCurrency&amp;MO.ReportCurrency,"IQ_LASTSALEPRICE",INDEX(MO_SNA_FPStartDate,0,COLUMN()),INDEX(MO_Common_QEndDate,0,COLUMN()))),"N/A")</f>
        <v/>
      </c>
      <c r="D809" s="2087">
        <f>IFERROR(IF(INDEX(MO_Common_QEndDate,0,COLUMN())&gt;TODAY(),_xll.ciqfunctions.udf.CIQ("$"&amp;HP.TradeCurrency&amp;MO.ReportCurrency,"IQ_LASTSALEPRICE"),_xll.ciqfunctions.udf.CIQAVG("$"&amp;HP.TradeCurrency&amp;MO.ReportCurrency,"IQ_LASTSALEPRICE",INDEX(MO_SNA_FPStartDate,0,COLUMN()),INDEX(MO_Common_QEndDate,0,COLUMN()))),"N/A")</f>
        <v/>
      </c>
      <c r="E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F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G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H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I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J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K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L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M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N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O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P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Q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R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S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T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U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V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W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X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Y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Z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A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B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C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D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E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F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G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H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I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J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K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L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M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N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O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P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Q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R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S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T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U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V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W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X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Y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AZ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A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B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C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D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E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F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G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H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I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J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K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L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M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N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O809" s="2088">
        <f>IFERROR(IF(INDEX(MO_Common_QEndDate,0,COLUMN())&gt;TODAY(),_xll.ciqfunctions.udf.CIQ("$"&amp;HP.TradeCurrency&amp;MO.ReportCurrency,"IQ_LASTSALEPRICE"),_xll.ciqfunctions.udf.CIQAVG("$"&amp;HP.TradeCurrency&amp;MO.ReportCurrency,"IQ_LASTSALEPRICE",INDEX(MO_SNA_FPStartDate,0,COLUMN()),INDEX(MO_Common_QEndDate,0,COLUMN()))),"N/A")</f>
        <v/>
      </c>
      <c r="BP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Q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R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S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T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U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V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W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X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Y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BZ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CA809" s="2086">
        <f>IFERROR(IF(INDEX(MO_Common_QEndDate,0,COLUMN())&gt;TODAY(),_xll.ciqfunctions.udf.CIQ("$"&amp;HP.TradeCurrency&amp;MO.ReportCurrency,"IQ_LASTSALEPRICE"),_xll.ciqfunctions.udf.CIQAVG("$"&amp;HP.TradeCurrency&amp;MO.ReportCurrency,"IQ_LASTSALEPRICE",INDEX(MO_SNA_FPStartDate,0,COLUMN()),INDEX(MO_Common_QEndDate,0,COLUMN()))),"N/A")</f>
        <v/>
      </c>
      <c r="CB809" s="2089">
        <f>IFERROR(IF(INDEX(MO_Common_QEndDate,0,COLUMN())&gt;TODAY(),_xll.ciqfunctions.udf.CIQ("$"&amp;HP.TradeCurrency&amp;MO.ReportCurrency,"IQ_LASTSALEPRICE"),_xll.ciqfunctions.udf.CIQAVG("$"&amp;HP.TradeCurrency&amp;MO.ReportCurrency,"IQ_LASTSALEPRICE",INDEX(MO_SNA_FPStartDate,0,COLUMN()),INDEX(MO_Common_QEndDate,0,COLUMN()))),"N/A")</f>
        <v/>
      </c>
      <c r="CC809" s="2090" t="n"/>
    </row>
    <row r="810" hidden="1" outlineLevel="1" ht="15" customFormat="1" customHeight="1" s="1954">
      <c r="A810" s="2091" t="inlineStr">
        <is>
          <t>FactSet</t>
        </is>
      </c>
      <c r="B810" s="2086" t="n"/>
      <c r="C810" s="2087">
        <f>IFERROR(IF(INDEX(MO_Common_QEndDate,0,COLUMN())&gt;TODAY(),FDS(MO.ReportCurrency&amp;HP.TradeCurrency,"FG_PRICE(NOW)"),FDS(MO.ReportCurrency&amp;HP.TradeCurrency,"P_PRICE_AVG("&amp;INDEX(MO_SNA_FPStartDate,0,COLUMN())&amp;","&amp;INDEX(MO_Common_QEndDate,0,COLUMN())&amp;",,,,0)")),"N/A")</f>
        <v/>
      </c>
      <c r="D810" s="2087">
        <f>IFERROR(IF(INDEX(MO_Common_QEndDate,0,COLUMN())&gt;TODAY(),FDS(MO.ReportCurrency&amp;HP.TradeCurrency,"FG_PRICE(NOW)"),FDS(MO.ReportCurrency&amp;HP.TradeCurrency,"P_PRICE_AVG("&amp;INDEX(MO_SNA_FPStartDate,0,COLUMN())&amp;","&amp;INDEX(MO_Common_QEndDate,0,COLUMN())&amp;",,,,0)")),"N/A")</f>
        <v/>
      </c>
      <c r="E810" s="2086">
        <f>IFERROR(IF(INDEX(MO_Common_QEndDate,0,COLUMN())&gt;TODAY(),FDS(MO.ReportCurrency&amp;HP.TradeCurrency,"FG_PRICE(NOW)"),FDS(MO.ReportCurrency&amp;HP.TradeCurrency,"P_PRICE_AVG("&amp;INDEX(MO_SNA_FPStartDate,0,COLUMN())&amp;","&amp;INDEX(MO_Common_QEndDate,0,COLUMN())&amp;",,,,0)")),"N/A")</f>
        <v/>
      </c>
      <c r="F810" s="2086">
        <f>IFERROR(IF(INDEX(MO_Common_QEndDate,0,COLUMN())&gt;TODAY(),FDS(MO.ReportCurrency&amp;HP.TradeCurrency,"FG_PRICE(NOW)"),FDS(MO.ReportCurrency&amp;HP.TradeCurrency,"P_PRICE_AVG("&amp;INDEX(MO_SNA_FPStartDate,0,COLUMN())&amp;","&amp;INDEX(MO_Common_QEndDate,0,COLUMN())&amp;",,,,0)")),"N/A")</f>
        <v/>
      </c>
      <c r="G810" s="2086">
        <f>IFERROR(IF(INDEX(MO_Common_QEndDate,0,COLUMN())&gt;TODAY(),FDS(MO.ReportCurrency&amp;HP.TradeCurrency,"FG_PRICE(NOW)"),FDS(MO.ReportCurrency&amp;HP.TradeCurrency,"P_PRICE_AVG("&amp;INDEX(MO_SNA_FPStartDate,0,COLUMN())&amp;","&amp;INDEX(MO_Common_QEndDate,0,COLUMN())&amp;",,,,0)")),"N/A")</f>
        <v/>
      </c>
      <c r="H810" s="2086">
        <f>IFERROR(IF(INDEX(MO_Common_QEndDate,0,COLUMN())&gt;TODAY(),FDS(MO.ReportCurrency&amp;HP.TradeCurrency,"FG_PRICE(NOW)"),FDS(MO.ReportCurrency&amp;HP.TradeCurrency,"P_PRICE_AVG("&amp;INDEX(MO_SNA_FPStartDate,0,COLUMN())&amp;","&amp;INDEX(MO_Common_QEndDate,0,COLUMN())&amp;",,,,0)")),"N/A")</f>
        <v/>
      </c>
      <c r="I810" s="2086">
        <f>IFERROR(IF(INDEX(MO_Common_QEndDate,0,COLUMN())&gt;TODAY(),FDS(MO.ReportCurrency&amp;HP.TradeCurrency,"FG_PRICE(NOW)"),FDS(MO.ReportCurrency&amp;HP.TradeCurrency,"P_PRICE_AVG("&amp;INDEX(MO_SNA_FPStartDate,0,COLUMN())&amp;","&amp;INDEX(MO_Common_QEndDate,0,COLUMN())&amp;",,,,0)")),"N/A")</f>
        <v/>
      </c>
      <c r="J810" s="2086">
        <f>IFERROR(IF(INDEX(MO_Common_QEndDate,0,COLUMN())&gt;TODAY(),FDS(MO.ReportCurrency&amp;HP.TradeCurrency,"FG_PRICE(NOW)"),FDS(MO.ReportCurrency&amp;HP.TradeCurrency,"P_PRICE_AVG("&amp;INDEX(MO_SNA_FPStartDate,0,COLUMN())&amp;","&amp;INDEX(MO_Common_QEndDate,0,COLUMN())&amp;",,,,0)")),"N/A")</f>
        <v/>
      </c>
      <c r="K810" s="2086">
        <f>IFERROR(IF(INDEX(MO_Common_QEndDate,0,COLUMN())&gt;TODAY(),FDS(MO.ReportCurrency&amp;HP.TradeCurrency,"FG_PRICE(NOW)"),FDS(MO.ReportCurrency&amp;HP.TradeCurrency,"P_PRICE_AVG("&amp;INDEX(MO_SNA_FPStartDate,0,COLUMN())&amp;","&amp;INDEX(MO_Common_QEndDate,0,COLUMN())&amp;",,,,0)")),"N/A")</f>
        <v/>
      </c>
      <c r="L810" s="2086">
        <f>IFERROR(IF(INDEX(MO_Common_QEndDate,0,COLUMN())&gt;TODAY(),FDS(MO.ReportCurrency&amp;HP.TradeCurrency,"FG_PRICE(NOW)"),FDS(MO.ReportCurrency&amp;HP.TradeCurrency,"P_PRICE_AVG("&amp;INDEX(MO_SNA_FPStartDate,0,COLUMN())&amp;","&amp;INDEX(MO_Common_QEndDate,0,COLUMN())&amp;",,,,0)")),"N/A")</f>
        <v/>
      </c>
      <c r="M810" s="2086">
        <f>IFERROR(IF(INDEX(MO_Common_QEndDate,0,COLUMN())&gt;TODAY(),FDS(MO.ReportCurrency&amp;HP.TradeCurrency,"FG_PRICE(NOW)"),FDS(MO.ReportCurrency&amp;HP.TradeCurrency,"P_PRICE_AVG("&amp;INDEX(MO_SNA_FPStartDate,0,COLUMN())&amp;","&amp;INDEX(MO_Common_QEndDate,0,COLUMN())&amp;",,,,0)")),"N/A")</f>
        <v/>
      </c>
      <c r="N810" s="2086">
        <f>IFERROR(IF(INDEX(MO_Common_QEndDate,0,COLUMN())&gt;TODAY(),FDS(MO.ReportCurrency&amp;HP.TradeCurrency,"FG_PRICE(NOW)"),FDS(MO.ReportCurrency&amp;HP.TradeCurrency,"P_PRICE_AVG("&amp;INDEX(MO_SNA_FPStartDate,0,COLUMN())&amp;","&amp;INDEX(MO_Common_QEndDate,0,COLUMN())&amp;",,,,0)")),"N/A")</f>
        <v/>
      </c>
      <c r="O810" s="2086">
        <f>IFERROR(IF(INDEX(MO_Common_QEndDate,0,COLUMN())&gt;TODAY(),FDS(MO.ReportCurrency&amp;HP.TradeCurrency,"FG_PRICE(NOW)"),FDS(MO.ReportCurrency&amp;HP.TradeCurrency,"P_PRICE_AVG("&amp;INDEX(MO_SNA_FPStartDate,0,COLUMN())&amp;","&amp;INDEX(MO_Common_QEndDate,0,COLUMN())&amp;",,,,0)")),"N/A")</f>
        <v/>
      </c>
      <c r="P810" s="2086">
        <f>IFERROR(IF(INDEX(MO_Common_QEndDate,0,COLUMN())&gt;TODAY(),FDS(MO.ReportCurrency&amp;HP.TradeCurrency,"FG_PRICE(NOW)"),FDS(MO.ReportCurrency&amp;HP.TradeCurrency,"P_PRICE_AVG("&amp;INDEX(MO_SNA_FPStartDate,0,COLUMN())&amp;","&amp;INDEX(MO_Common_QEndDate,0,COLUMN())&amp;",,,,0)")),"N/A")</f>
        <v/>
      </c>
      <c r="Q810" s="2086">
        <f>IFERROR(IF(INDEX(MO_Common_QEndDate,0,COLUMN())&gt;TODAY(),FDS(MO.ReportCurrency&amp;HP.TradeCurrency,"FG_PRICE(NOW)"),FDS(MO.ReportCurrency&amp;HP.TradeCurrency,"P_PRICE_AVG("&amp;INDEX(MO_SNA_FPStartDate,0,COLUMN())&amp;","&amp;INDEX(MO_Common_QEndDate,0,COLUMN())&amp;",,,,0)")),"N/A")</f>
        <v/>
      </c>
      <c r="R810" s="2086">
        <f>IFERROR(IF(INDEX(MO_Common_QEndDate,0,COLUMN())&gt;TODAY(),FDS(MO.ReportCurrency&amp;HP.TradeCurrency,"FG_PRICE(NOW)"),FDS(MO.ReportCurrency&amp;HP.TradeCurrency,"P_PRICE_AVG("&amp;INDEX(MO_SNA_FPStartDate,0,COLUMN())&amp;","&amp;INDEX(MO_Common_QEndDate,0,COLUMN())&amp;",,,,0)")),"N/A")</f>
        <v/>
      </c>
      <c r="S810" s="2086">
        <f>IFERROR(IF(INDEX(MO_Common_QEndDate,0,COLUMN())&gt;TODAY(),FDS(MO.ReportCurrency&amp;HP.TradeCurrency,"FG_PRICE(NOW)"),FDS(MO.ReportCurrency&amp;HP.TradeCurrency,"P_PRICE_AVG("&amp;INDEX(MO_SNA_FPStartDate,0,COLUMN())&amp;","&amp;INDEX(MO_Common_QEndDate,0,COLUMN())&amp;",,,,0)")),"N/A")</f>
        <v/>
      </c>
      <c r="T810" s="2086">
        <f>IFERROR(IF(INDEX(MO_Common_QEndDate,0,COLUMN())&gt;TODAY(),FDS(MO.ReportCurrency&amp;HP.TradeCurrency,"FG_PRICE(NOW)"),FDS(MO.ReportCurrency&amp;HP.TradeCurrency,"P_PRICE_AVG("&amp;INDEX(MO_SNA_FPStartDate,0,COLUMN())&amp;","&amp;INDEX(MO_Common_QEndDate,0,COLUMN())&amp;",,,,0)")),"N/A")</f>
        <v/>
      </c>
      <c r="U810" s="2086">
        <f>IFERROR(IF(INDEX(MO_Common_QEndDate,0,COLUMN())&gt;TODAY(),FDS(MO.ReportCurrency&amp;HP.TradeCurrency,"FG_PRICE(NOW)"),FDS(MO.ReportCurrency&amp;HP.TradeCurrency,"P_PRICE_AVG("&amp;INDEX(MO_SNA_FPStartDate,0,COLUMN())&amp;","&amp;INDEX(MO_Common_QEndDate,0,COLUMN())&amp;",,,,0)")),"N/A")</f>
        <v/>
      </c>
      <c r="V810" s="2086">
        <f>IFERROR(IF(INDEX(MO_Common_QEndDate,0,COLUMN())&gt;TODAY(),FDS(MO.ReportCurrency&amp;HP.TradeCurrency,"FG_PRICE(NOW)"),FDS(MO.ReportCurrency&amp;HP.TradeCurrency,"P_PRICE_AVG("&amp;INDEX(MO_SNA_FPStartDate,0,COLUMN())&amp;","&amp;INDEX(MO_Common_QEndDate,0,COLUMN())&amp;",,,,0)")),"N/A")</f>
        <v/>
      </c>
      <c r="W810" s="2086">
        <f>IFERROR(IF(INDEX(MO_Common_QEndDate,0,COLUMN())&gt;TODAY(),FDS(MO.ReportCurrency&amp;HP.TradeCurrency,"FG_PRICE(NOW)"),FDS(MO.ReportCurrency&amp;HP.TradeCurrency,"P_PRICE_AVG("&amp;INDEX(MO_SNA_FPStartDate,0,COLUMN())&amp;","&amp;INDEX(MO_Common_QEndDate,0,COLUMN())&amp;",,,,0)")),"N/A")</f>
        <v/>
      </c>
      <c r="X810" s="2086">
        <f>IFERROR(IF(INDEX(MO_Common_QEndDate,0,COLUMN())&gt;TODAY(),FDS(MO.ReportCurrency&amp;HP.TradeCurrency,"FG_PRICE(NOW)"),FDS(MO.ReportCurrency&amp;HP.TradeCurrency,"P_PRICE_AVG("&amp;INDEX(MO_SNA_FPStartDate,0,COLUMN())&amp;","&amp;INDEX(MO_Common_QEndDate,0,COLUMN())&amp;",,,,0)")),"N/A")</f>
        <v/>
      </c>
      <c r="Y810" s="2086">
        <f>IFERROR(IF(INDEX(MO_Common_QEndDate,0,COLUMN())&gt;TODAY(),FDS(MO.ReportCurrency&amp;HP.TradeCurrency,"FG_PRICE(NOW)"),FDS(MO.ReportCurrency&amp;HP.TradeCurrency,"P_PRICE_AVG("&amp;INDEX(MO_SNA_FPStartDate,0,COLUMN())&amp;","&amp;INDEX(MO_Common_QEndDate,0,COLUMN())&amp;",,,,0)")),"N/A")</f>
        <v/>
      </c>
      <c r="Z810" s="2086">
        <f>IFERROR(IF(INDEX(MO_Common_QEndDate,0,COLUMN())&gt;TODAY(),FDS(MO.ReportCurrency&amp;HP.TradeCurrency,"FG_PRICE(NOW)"),FDS(MO.ReportCurrency&amp;HP.TradeCurrency,"P_PRICE_AVG("&amp;INDEX(MO_SNA_FPStartDate,0,COLUMN())&amp;","&amp;INDEX(MO_Common_QEndDate,0,COLUMN())&amp;",,,,0)")),"N/A")</f>
        <v/>
      </c>
      <c r="AA810" s="2086">
        <f>IFERROR(IF(INDEX(MO_Common_QEndDate,0,COLUMN())&gt;TODAY(),FDS(MO.ReportCurrency&amp;HP.TradeCurrency,"FG_PRICE(NOW)"),FDS(MO.ReportCurrency&amp;HP.TradeCurrency,"P_PRICE_AVG("&amp;INDEX(MO_SNA_FPStartDate,0,COLUMN())&amp;","&amp;INDEX(MO_Common_QEndDate,0,COLUMN())&amp;",,,,0)")),"N/A")</f>
        <v/>
      </c>
      <c r="AB810" s="2086">
        <f>IFERROR(IF(INDEX(MO_Common_QEndDate,0,COLUMN())&gt;TODAY(),FDS(MO.ReportCurrency&amp;HP.TradeCurrency,"FG_PRICE(NOW)"),FDS(MO.ReportCurrency&amp;HP.TradeCurrency,"P_PRICE_AVG("&amp;INDEX(MO_SNA_FPStartDate,0,COLUMN())&amp;","&amp;INDEX(MO_Common_QEndDate,0,COLUMN())&amp;",,,,0)")),"N/A")</f>
        <v/>
      </c>
      <c r="AC810" s="2086">
        <f>IFERROR(IF(INDEX(MO_Common_QEndDate,0,COLUMN())&gt;TODAY(),FDS(MO.ReportCurrency&amp;HP.TradeCurrency,"FG_PRICE(NOW)"),FDS(MO.ReportCurrency&amp;HP.TradeCurrency,"P_PRICE_AVG("&amp;INDEX(MO_SNA_FPStartDate,0,COLUMN())&amp;","&amp;INDEX(MO_Common_QEndDate,0,COLUMN())&amp;",,,,0)")),"N/A")</f>
        <v/>
      </c>
      <c r="AD810" s="2086">
        <f>IFERROR(IF(INDEX(MO_Common_QEndDate,0,COLUMN())&gt;TODAY(),FDS(MO.ReportCurrency&amp;HP.TradeCurrency,"FG_PRICE(NOW)"),FDS(MO.ReportCurrency&amp;HP.TradeCurrency,"P_PRICE_AVG("&amp;INDEX(MO_SNA_FPStartDate,0,COLUMN())&amp;","&amp;INDEX(MO_Common_QEndDate,0,COLUMN())&amp;",,,,0)")),"N/A")</f>
        <v/>
      </c>
      <c r="AE810" s="2086">
        <f>IFERROR(IF(INDEX(MO_Common_QEndDate,0,COLUMN())&gt;TODAY(),FDS(MO.ReportCurrency&amp;HP.TradeCurrency,"FG_PRICE(NOW)"),FDS(MO.ReportCurrency&amp;HP.TradeCurrency,"P_PRICE_AVG("&amp;INDEX(MO_SNA_FPStartDate,0,COLUMN())&amp;","&amp;INDEX(MO_Common_QEndDate,0,COLUMN())&amp;",,,,0)")),"N/A")</f>
        <v/>
      </c>
      <c r="AF810" s="2086">
        <f>IFERROR(IF(INDEX(MO_Common_QEndDate,0,COLUMN())&gt;TODAY(),FDS(MO.ReportCurrency&amp;HP.TradeCurrency,"FG_PRICE(NOW)"),FDS(MO.ReportCurrency&amp;HP.TradeCurrency,"P_PRICE_AVG("&amp;INDEX(MO_SNA_FPStartDate,0,COLUMN())&amp;","&amp;INDEX(MO_Common_QEndDate,0,COLUMN())&amp;",,,,0)")),"N/A")</f>
        <v/>
      </c>
      <c r="AG810" s="2086">
        <f>IFERROR(IF(INDEX(MO_Common_QEndDate,0,COLUMN())&gt;TODAY(),FDS(MO.ReportCurrency&amp;HP.TradeCurrency,"FG_PRICE(NOW)"),FDS(MO.ReportCurrency&amp;HP.TradeCurrency,"P_PRICE_AVG("&amp;INDEX(MO_SNA_FPStartDate,0,COLUMN())&amp;","&amp;INDEX(MO_Common_QEndDate,0,COLUMN())&amp;",,,,0)")),"N/A")</f>
        <v/>
      </c>
      <c r="AH810" s="2086">
        <f>IFERROR(IF(INDEX(MO_Common_QEndDate,0,COLUMN())&gt;TODAY(),FDS(MO.ReportCurrency&amp;HP.TradeCurrency,"FG_PRICE(NOW)"),FDS(MO.ReportCurrency&amp;HP.TradeCurrency,"P_PRICE_AVG("&amp;INDEX(MO_SNA_FPStartDate,0,COLUMN())&amp;","&amp;INDEX(MO_Common_QEndDate,0,COLUMN())&amp;",,,,0)")),"N/A")</f>
        <v/>
      </c>
      <c r="AI810" s="2086">
        <f>IFERROR(IF(INDEX(MO_Common_QEndDate,0,COLUMN())&gt;TODAY(),FDS(MO.ReportCurrency&amp;HP.TradeCurrency,"FG_PRICE(NOW)"),FDS(MO.ReportCurrency&amp;HP.TradeCurrency,"P_PRICE_AVG("&amp;INDEX(MO_SNA_FPStartDate,0,COLUMN())&amp;","&amp;INDEX(MO_Common_QEndDate,0,COLUMN())&amp;",,,,0)")),"N/A")</f>
        <v/>
      </c>
      <c r="AJ810" s="2086">
        <f>IFERROR(IF(INDEX(MO_Common_QEndDate,0,COLUMN())&gt;TODAY(),FDS(MO.ReportCurrency&amp;HP.TradeCurrency,"FG_PRICE(NOW)"),FDS(MO.ReportCurrency&amp;HP.TradeCurrency,"P_PRICE_AVG("&amp;INDEX(MO_SNA_FPStartDate,0,COLUMN())&amp;","&amp;INDEX(MO_Common_QEndDate,0,COLUMN())&amp;",,,,0)")),"N/A")</f>
        <v/>
      </c>
      <c r="AK810" s="2086">
        <f>IFERROR(IF(INDEX(MO_Common_QEndDate,0,COLUMN())&gt;TODAY(),FDS(MO.ReportCurrency&amp;HP.TradeCurrency,"FG_PRICE(NOW)"),FDS(MO.ReportCurrency&amp;HP.TradeCurrency,"P_PRICE_AVG("&amp;INDEX(MO_SNA_FPStartDate,0,COLUMN())&amp;","&amp;INDEX(MO_Common_QEndDate,0,COLUMN())&amp;",,,,0)")),"N/A")</f>
        <v/>
      </c>
      <c r="AL810" s="2086">
        <f>IFERROR(IF(INDEX(MO_Common_QEndDate,0,COLUMN())&gt;TODAY(),FDS(MO.ReportCurrency&amp;HP.TradeCurrency,"FG_PRICE(NOW)"),FDS(MO.ReportCurrency&amp;HP.TradeCurrency,"P_PRICE_AVG("&amp;INDEX(MO_SNA_FPStartDate,0,COLUMN())&amp;","&amp;INDEX(MO_Common_QEndDate,0,COLUMN())&amp;",,,,0)")),"N/A")</f>
        <v/>
      </c>
      <c r="AM810" s="2086">
        <f>IFERROR(IF(INDEX(MO_Common_QEndDate,0,COLUMN())&gt;TODAY(),FDS(MO.ReportCurrency&amp;HP.TradeCurrency,"FG_PRICE(NOW)"),FDS(MO.ReportCurrency&amp;HP.TradeCurrency,"P_PRICE_AVG("&amp;INDEX(MO_SNA_FPStartDate,0,COLUMN())&amp;","&amp;INDEX(MO_Common_QEndDate,0,COLUMN())&amp;",,,,0)")),"N/A")</f>
        <v/>
      </c>
      <c r="AN810" s="2086">
        <f>IFERROR(IF(INDEX(MO_Common_QEndDate,0,COLUMN())&gt;TODAY(),FDS(MO.ReportCurrency&amp;HP.TradeCurrency,"FG_PRICE(NOW)"),FDS(MO.ReportCurrency&amp;HP.TradeCurrency,"P_PRICE_AVG("&amp;INDEX(MO_SNA_FPStartDate,0,COLUMN())&amp;","&amp;INDEX(MO_Common_QEndDate,0,COLUMN())&amp;",,,,0)")),"N/A")</f>
        <v/>
      </c>
      <c r="AO810" s="2086">
        <f>IFERROR(IF(INDEX(MO_Common_QEndDate,0,COLUMN())&gt;TODAY(),FDS(MO.ReportCurrency&amp;HP.TradeCurrency,"FG_PRICE(NOW)"),FDS(MO.ReportCurrency&amp;HP.TradeCurrency,"P_PRICE_AVG("&amp;INDEX(MO_SNA_FPStartDate,0,COLUMN())&amp;","&amp;INDEX(MO_Common_QEndDate,0,COLUMN())&amp;",,,,0)")),"N/A")</f>
        <v/>
      </c>
      <c r="AP810" s="2086">
        <f>IFERROR(IF(INDEX(MO_Common_QEndDate,0,COLUMN())&gt;TODAY(),FDS(MO.ReportCurrency&amp;HP.TradeCurrency,"FG_PRICE(NOW)"),FDS(MO.ReportCurrency&amp;HP.TradeCurrency,"P_PRICE_AVG("&amp;INDEX(MO_SNA_FPStartDate,0,COLUMN())&amp;","&amp;INDEX(MO_Common_QEndDate,0,COLUMN())&amp;",,,,0)")),"N/A")</f>
        <v/>
      </c>
      <c r="AQ810" s="2086">
        <f>IFERROR(IF(INDEX(MO_Common_QEndDate,0,COLUMN())&gt;TODAY(),FDS(MO.ReportCurrency&amp;HP.TradeCurrency,"FG_PRICE(NOW)"),FDS(MO.ReportCurrency&amp;HP.TradeCurrency,"P_PRICE_AVG("&amp;INDEX(MO_SNA_FPStartDate,0,COLUMN())&amp;","&amp;INDEX(MO_Common_QEndDate,0,COLUMN())&amp;",,,,0)")),"N/A")</f>
        <v/>
      </c>
      <c r="AR810" s="2086">
        <f>IFERROR(IF(INDEX(MO_Common_QEndDate,0,COLUMN())&gt;TODAY(),FDS(MO.ReportCurrency&amp;HP.TradeCurrency,"FG_PRICE(NOW)"),FDS(MO.ReportCurrency&amp;HP.TradeCurrency,"P_PRICE_AVG("&amp;INDEX(MO_SNA_FPStartDate,0,COLUMN())&amp;","&amp;INDEX(MO_Common_QEndDate,0,COLUMN())&amp;",,,,0)")),"N/A")</f>
        <v/>
      </c>
      <c r="AS810" s="2086">
        <f>IFERROR(IF(INDEX(MO_Common_QEndDate,0,COLUMN())&gt;TODAY(),FDS(MO.ReportCurrency&amp;HP.TradeCurrency,"FG_PRICE(NOW)"),FDS(MO.ReportCurrency&amp;HP.TradeCurrency,"P_PRICE_AVG("&amp;INDEX(MO_SNA_FPStartDate,0,COLUMN())&amp;","&amp;INDEX(MO_Common_QEndDate,0,COLUMN())&amp;",,,,0)")),"N/A")</f>
        <v/>
      </c>
      <c r="AT810" s="2086">
        <f>IFERROR(IF(INDEX(MO_Common_QEndDate,0,COLUMN())&gt;TODAY(),FDS(MO.ReportCurrency&amp;HP.TradeCurrency,"FG_PRICE(NOW)"),FDS(MO.ReportCurrency&amp;HP.TradeCurrency,"P_PRICE_AVG("&amp;INDEX(MO_SNA_FPStartDate,0,COLUMN())&amp;","&amp;INDEX(MO_Common_QEndDate,0,COLUMN())&amp;",,,,0)")),"N/A")</f>
        <v/>
      </c>
      <c r="AU810" s="2086">
        <f>IFERROR(IF(INDEX(MO_Common_QEndDate,0,COLUMN())&gt;TODAY(),FDS(MO.ReportCurrency&amp;HP.TradeCurrency,"FG_PRICE(NOW)"),FDS(MO.ReportCurrency&amp;HP.TradeCurrency,"P_PRICE_AVG("&amp;INDEX(MO_SNA_FPStartDate,0,COLUMN())&amp;","&amp;INDEX(MO_Common_QEndDate,0,COLUMN())&amp;",,,,0)")),"N/A")</f>
        <v/>
      </c>
      <c r="AV810" s="2086">
        <f>IFERROR(IF(INDEX(MO_Common_QEndDate,0,COLUMN())&gt;TODAY(),FDS(MO.ReportCurrency&amp;HP.TradeCurrency,"FG_PRICE(NOW)"),FDS(MO.ReportCurrency&amp;HP.TradeCurrency,"P_PRICE_AVG("&amp;INDEX(MO_SNA_FPStartDate,0,COLUMN())&amp;","&amp;INDEX(MO_Common_QEndDate,0,COLUMN())&amp;",,,,0)")),"N/A")</f>
        <v/>
      </c>
      <c r="AW810" s="2086">
        <f>IFERROR(IF(INDEX(MO_Common_QEndDate,0,COLUMN())&gt;TODAY(),FDS(MO.ReportCurrency&amp;HP.TradeCurrency,"FG_PRICE(NOW)"),FDS(MO.ReportCurrency&amp;HP.TradeCurrency,"P_PRICE_AVG("&amp;INDEX(MO_SNA_FPStartDate,0,COLUMN())&amp;","&amp;INDEX(MO_Common_QEndDate,0,COLUMN())&amp;",,,,0)")),"N/A")</f>
        <v/>
      </c>
      <c r="AX810" s="2086">
        <f>IFERROR(IF(INDEX(MO_Common_QEndDate,0,COLUMN())&gt;TODAY(),FDS(MO.ReportCurrency&amp;HP.TradeCurrency,"FG_PRICE(NOW)"),FDS(MO.ReportCurrency&amp;HP.TradeCurrency,"P_PRICE_AVG("&amp;INDEX(MO_SNA_FPStartDate,0,COLUMN())&amp;","&amp;INDEX(MO_Common_QEndDate,0,COLUMN())&amp;",,,,0)")),"N/A")</f>
        <v/>
      </c>
      <c r="AY810" s="2086">
        <f>IFERROR(IF(INDEX(MO_Common_QEndDate,0,COLUMN())&gt;TODAY(),FDS(MO.ReportCurrency&amp;HP.TradeCurrency,"FG_PRICE(NOW)"),FDS(MO.ReportCurrency&amp;HP.TradeCurrency,"P_PRICE_AVG("&amp;INDEX(MO_SNA_FPStartDate,0,COLUMN())&amp;","&amp;INDEX(MO_Common_QEndDate,0,COLUMN())&amp;",,,,0)")),"N/A")</f>
        <v/>
      </c>
      <c r="AZ810" s="2086">
        <f>IFERROR(IF(INDEX(MO_Common_QEndDate,0,COLUMN())&gt;TODAY(),FDS(MO.ReportCurrency&amp;HP.TradeCurrency,"FG_PRICE(NOW)"),FDS(MO.ReportCurrency&amp;HP.TradeCurrency,"P_PRICE_AVG("&amp;INDEX(MO_SNA_FPStartDate,0,COLUMN())&amp;","&amp;INDEX(MO_Common_QEndDate,0,COLUMN())&amp;",,,,0)")),"N/A")</f>
        <v/>
      </c>
      <c r="BA810" s="2086">
        <f>IFERROR(IF(INDEX(MO_Common_QEndDate,0,COLUMN())&gt;TODAY(),FDS(MO.ReportCurrency&amp;HP.TradeCurrency,"FG_PRICE(NOW)"),FDS(MO.ReportCurrency&amp;HP.TradeCurrency,"P_PRICE_AVG("&amp;INDEX(MO_SNA_FPStartDate,0,COLUMN())&amp;","&amp;INDEX(MO_Common_QEndDate,0,COLUMN())&amp;",,,,0)")),"N/A")</f>
        <v/>
      </c>
      <c r="BB810" s="2086">
        <f>IFERROR(IF(INDEX(MO_Common_QEndDate,0,COLUMN())&gt;TODAY(),FDS(MO.ReportCurrency&amp;HP.TradeCurrency,"FG_PRICE(NOW)"),FDS(MO.ReportCurrency&amp;HP.TradeCurrency,"P_PRICE_AVG("&amp;INDEX(MO_SNA_FPStartDate,0,COLUMN())&amp;","&amp;INDEX(MO_Common_QEndDate,0,COLUMN())&amp;",,,,0)")),"N/A")</f>
        <v/>
      </c>
      <c r="BC810" s="2086">
        <f>IFERROR(IF(INDEX(MO_Common_QEndDate,0,COLUMN())&gt;TODAY(),FDS(MO.ReportCurrency&amp;HP.TradeCurrency,"FG_PRICE(NOW)"),FDS(MO.ReportCurrency&amp;HP.TradeCurrency,"P_PRICE_AVG("&amp;INDEX(MO_SNA_FPStartDate,0,COLUMN())&amp;","&amp;INDEX(MO_Common_QEndDate,0,COLUMN())&amp;",,,,0)")),"N/A")</f>
        <v/>
      </c>
      <c r="BD810" s="2086">
        <f>IFERROR(IF(INDEX(MO_Common_QEndDate,0,COLUMN())&gt;TODAY(),FDS(MO.ReportCurrency&amp;HP.TradeCurrency,"FG_PRICE(NOW)"),FDS(MO.ReportCurrency&amp;HP.TradeCurrency,"P_PRICE_AVG("&amp;INDEX(MO_SNA_FPStartDate,0,COLUMN())&amp;","&amp;INDEX(MO_Common_QEndDate,0,COLUMN())&amp;",,,,0)")),"N/A")</f>
        <v/>
      </c>
      <c r="BE810" s="2086">
        <f>IFERROR(IF(INDEX(MO_Common_QEndDate,0,COLUMN())&gt;TODAY(),FDS(MO.ReportCurrency&amp;HP.TradeCurrency,"FG_PRICE(NOW)"),FDS(MO.ReportCurrency&amp;HP.TradeCurrency,"P_PRICE_AVG("&amp;INDEX(MO_SNA_FPStartDate,0,COLUMN())&amp;","&amp;INDEX(MO_Common_QEndDate,0,COLUMN())&amp;",,,,0)")),"N/A")</f>
        <v/>
      </c>
      <c r="BF810" s="2086">
        <f>IFERROR(IF(INDEX(MO_Common_QEndDate,0,COLUMN())&gt;TODAY(),FDS(MO.ReportCurrency&amp;HP.TradeCurrency,"FG_PRICE(NOW)"),FDS(MO.ReportCurrency&amp;HP.TradeCurrency,"P_PRICE_AVG("&amp;INDEX(MO_SNA_FPStartDate,0,COLUMN())&amp;","&amp;INDEX(MO_Common_QEndDate,0,COLUMN())&amp;",,,,0)")),"N/A")</f>
        <v/>
      </c>
      <c r="BG810" s="2086">
        <f>IFERROR(IF(INDEX(MO_Common_QEndDate,0,COLUMN())&gt;TODAY(),FDS(MO.ReportCurrency&amp;HP.TradeCurrency,"FG_PRICE(NOW)"),FDS(MO.ReportCurrency&amp;HP.TradeCurrency,"P_PRICE_AVG("&amp;INDEX(MO_SNA_FPStartDate,0,COLUMN())&amp;","&amp;INDEX(MO_Common_QEndDate,0,COLUMN())&amp;",,,,0)")),"N/A")</f>
        <v/>
      </c>
      <c r="BH810" s="2086">
        <f>IFERROR(IF(INDEX(MO_Common_QEndDate,0,COLUMN())&gt;TODAY(),FDS(MO.ReportCurrency&amp;HP.TradeCurrency,"FG_PRICE(NOW)"),FDS(MO.ReportCurrency&amp;HP.TradeCurrency,"P_PRICE_AVG("&amp;INDEX(MO_SNA_FPStartDate,0,COLUMN())&amp;","&amp;INDEX(MO_Common_QEndDate,0,COLUMN())&amp;",,,,0)")),"N/A")</f>
        <v/>
      </c>
      <c r="BI810" s="2086">
        <f>IFERROR(IF(INDEX(MO_Common_QEndDate,0,COLUMN())&gt;TODAY(),FDS(MO.ReportCurrency&amp;HP.TradeCurrency,"FG_PRICE(NOW)"),FDS(MO.ReportCurrency&amp;HP.TradeCurrency,"P_PRICE_AVG("&amp;INDEX(MO_SNA_FPStartDate,0,COLUMN())&amp;","&amp;INDEX(MO_Common_QEndDate,0,COLUMN())&amp;",,,,0)")),"N/A")</f>
        <v/>
      </c>
      <c r="BJ810" s="2086">
        <f>IFERROR(IF(INDEX(MO_Common_QEndDate,0,COLUMN())&gt;TODAY(),FDS(MO.ReportCurrency&amp;HP.TradeCurrency,"FG_PRICE(NOW)"),FDS(MO.ReportCurrency&amp;HP.TradeCurrency,"P_PRICE_AVG("&amp;INDEX(MO_SNA_FPStartDate,0,COLUMN())&amp;","&amp;INDEX(MO_Common_QEndDate,0,COLUMN())&amp;",,,,0)")),"N/A")</f>
        <v/>
      </c>
      <c r="BK810" s="2086">
        <f>IFERROR(IF(INDEX(MO_Common_QEndDate,0,COLUMN())&gt;TODAY(),FDS(MO.ReportCurrency&amp;HP.TradeCurrency,"FG_PRICE(NOW)"),FDS(MO.ReportCurrency&amp;HP.TradeCurrency,"P_PRICE_AVG("&amp;INDEX(MO_SNA_FPStartDate,0,COLUMN())&amp;","&amp;INDEX(MO_Common_QEndDate,0,COLUMN())&amp;",,,,0)")),"N/A")</f>
        <v/>
      </c>
      <c r="BL810" s="2086">
        <f>IFERROR(IF(INDEX(MO_Common_QEndDate,0,COLUMN())&gt;TODAY(),FDS(MO.ReportCurrency&amp;HP.TradeCurrency,"FG_PRICE(NOW)"),FDS(MO.ReportCurrency&amp;HP.TradeCurrency,"P_PRICE_AVG("&amp;INDEX(MO_SNA_FPStartDate,0,COLUMN())&amp;","&amp;INDEX(MO_Common_QEndDate,0,COLUMN())&amp;",,,,0)")),"N/A")</f>
        <v/>
      </c>
      <c r="BM810" s="2086">
        <f>IFERROR(IF(INDEX(MO_Common_QEndDate,0,COLUMN())&gt;TODAY(),FDS(MO.ReportCurrency&amp;HP.TradeCurrency,"FG_PRICE(NOW)"),FDS(MO.ReportCurrency&amp;HP.TradeCurrency,"P_PRICE_AVG("&amp;INDEX(MO_SNA_FPStartDate,0,COLUMN())&amp;","&amp;INDEX(MO_Common_QEndDate,0,COLUMN())&amp;",,,,0)")),"N/A")</f>
        <v/>
      </c>
      <c r="BN810" s="2086">
        <f>IFERROR(IF(INDEX(MO_Common_QEndDate,0,COLUMN())&gt;TODAY(),FDS(MO.ReportCurrency&amp;HP.TradeCurrency,"FG_PRICE(NOW)"),FDS(MO.ReportCurrency&amp;HP.TradeCurrency,"P_PRICE_AVG("&amp;INDEX(MO_SNA_FPStartDate,0,COLUMN())&amp;","&amp;INDEX(MO_Common_QEndDate,0,COLUMN())&amp;",,,,0)")),"N/A")</f>
        <v/>
      </c>
      <c r="BO810" s="2088">
        <f>IFERROR(IF(INDEX(MO_Common_QEndDate,0,COLUMN())&gt;TODAY(),FDS(MO.ReportCurrency&amp;HP.TradeCurrency,"FG_PRICE(NOW)"),FDS(MO.ReportCurrency&amp;HP.TradeCurrency,"P_PRICE_AVG("&amp;INDEX(MO_SNA_FPStartDate,0,COLUMN())&amp;","&amp;INDEX(MO_Common_QEndDate,0,COLUMN())&amp;",,,,0)")),"N/A")</f>
        <v/>
      </c>
      <c r="BP810" s="2086">
        <f>IFERROR(IF(INDEX(MO_Common_QEndDate,0,COLUMN())&gt;TODAY(),FDS(MO.ReportCurrency&amp;HP.TradeCurrency,"FG_PRICE(NOW)"),FDS(MO.ReportCurrency&amp;HP.TradeCurrency,"P_PRICE_AVG("&amp;INDEX(MO_SNA_FPStartDate,0,COLUMN())&amp;","&amp;INDEX(MO_Common_QEndDate,0,COLUMN())&amp;",,,,0)")),"N/A")</f>
        <v/>
      </c>
      <c r="BQ810" s="2086">
        <f>IFERROR(IF(INDEX(MO_Common_QEndDate,0,COLUMN())&gt;TODAY(),FDS(MO.ReportCurrency&amp;HP.TradeCurrency,"FG_PRICE(NOW)"),FDS(MO.ReportCurrency&amp;HP.TradeCurrency,"P_PRICE_AVG("&amp;INDEX(MO_SNA_FPStartDate,0,COLUMN())&amp;","&amp;INDEX(MO_Common_QEndDate,0,COLUMN())&amp;",,,,0)")),"N/A")</f>
        <v/>
      </c>
      <c r="BR810" s="2086">
        <f>IFERROR(IF(INDEX(MO_Common_QEndDate,0,COLUMN())&gt;TODAY(),FDS(MO.ReportCurrency&amp;HP.TradeCurrency,"FG_PRICE(NOW)"),FDS(MO.ReportCurrency&amp;HP.TradeCurrency,"P_PRICE_AVG("&amp;INDEX(MO_SNA_FPStartDate,0,COLUMN())&amp;","&amp;INDEX(MO_Common_QEndDate,0,COLUMN())&amp;",,,,0)")),"N/A")</f>
        <v/>
      </c>
      <c r="BS810" s="2086">
        <f>IFERROR(IF(INDEX(MO_Common_QEndDate,0,COLUMN())&gt;TODAY(),FDS(MO.ReportCurrency&amp;HP.TradeCurrency,"FG_PRICE(NOW)"),FDS(MO.ReportCurrency&amp;HP.TradeCurrency,"P_PRICE_AVG("&amp;INDEX(MO_SNA_FPStartDate,0,COLUMN())&amp;","&amp;INDEX(MO_Common_QEndDate,0,COLUMN())&amp;",,,,0)")),"N/A")</f>
        <v/>
      </c>
      <c r="BT810" s="2086">
        <f>IFERROR(IF(INDEX(MO_Common_QEndDate,0,COLUMN())&gt;TODAY(),FDS(MO.ReportCurrency&amp;HP.TradeCurrency,"FG_PRICE(NOW)"),FDS(MO.ReportCurrency&amp;HP.TradeCurrency,"P_PRICE_AVG("&amp;INDEX(MO_SNA_FPStartDate,0,COLUMN())&amp;","&amp;INDEX(MO_Common_QEndDate,0,COLUMN())&amp;",,,,0)")),"N/A")</f>
        <v/>
      </c>
      <c r="BU810" s="2086">
        <f>IFERROR(IF(INDEX(MO_Common_QEndDate,0,COLUMN())&gt;TODAY(),FDS(MO.ReportCurrency&amp;HP.TradeCurrency,"FG_PRICE(NOW)"),FDS(MO.ReportCurrency&amp;HP.TradeCurrency,"P_PRICE_AVG("&amp;INDEX(MO_SNA_FPStartDate,0,COLUMN())&amp;","&amp;INDEX(MO_Common_QEndDate,0,COLUMN())&amp;",,,,0)")),"N/A")</f>
        <v/>
      </c>
      <c r="BV810" s="2086">
        <f>IFERROR(IF(INDEX(MO_Common_QEndDate,0,COLUMN())&gt;TODAY(),FDS(MO.ReportCurrency&amp;HP.TradeCurrency,"FG_PRICE(NOW)"),FDS(MO.ReportCurrency&amp;HP.TradeCurrency,"P_PRICE_AVG("&amp;INDEX(MO_SNA_FPStartDate,0,COLUMN())&amp;","&amp;INDEX(MO_Common_QEndDate,0,COLUMN())&amp;",,,,0)")),"N/A")</f>
        <v/>
      </c>
      <c r="BW810" s="2086">
        <f>IFERROR(IF(INDEX(MO_Common_QEndDate,0,COLUMN())&gt;TODAY(),FDS(MO.ReportCurrency&amp;HP.TradeCurrency,"FG_PRICE(NOW)"),FDS(MO.ReportCurrency&amp;HP.TradeCurrency,"P_PRICE_AVG("&amp;INDEX(MO_SNA_FPStartDate,0,COLUMN())&amp;","&amp;INDEX(MO_Common_QEndDate,0,COLUMN())&amp;",,,,0)")),"N/A")</f>
        <v/>
      </c>
      <c r="BX810" s="2086">
        <f>IFERROR(IF(INDEX(MO_Common_QEndDate,0,COLUMN())&gt;TODAY(),FDS(MO.ReportCurrency&amp;HP.TradeCurrency,"FG_PRICE(NOW)"),FDS(MO.ReportCurrency&amp;HP.TradeCurrency,"P_PRICE_AVG("&amp;INDEX(MO_SNA_FPStartDate,0,COLUMN())&amp;","&amp;INDEX(MO_Common_QEndDate,0,COLUMN())&amp;",,,,0)")),"N/A")</f>
        <v/>
      </c>
      <c r="BY810" s="2086">
        <f>IFERROR(IF(INDEX(MO_Common_QEndDate,0,COLUMN())&gt;TODAY(),FDS(MO.ReportCurrency&amp;HP.TradeCurrency,"FG_PRICE(NOW)"),FDS(MO.ReportCurrency&amp;HP.TradeCurrency,"P_PRICE_AVG("&amp;INDEX(MO_SNA_FPStartDate,0,COLUMN())&amp;","&amp;INDEX(MO_Common_QEndDate,0,COLUMN())&amp;",,,,0)")),"N/A")</f>
        <v/>
      </c>
      <c r="BZ810" s="2086">
        <f>IFERROR(IF(INDEX(MO_Common_QEndDate,0,COLUMN())&gt;TODAY(),FDS(MO.ReportCurrency&amp;HP.TradeCurrency,"FG_PRICE(NOW)"),FDS(MO.ReportCurrency&amp;HP.TradeCurrency,"P_PRICE_AVG("&amp;INDEX(MO_SNA_FPStartDate,0,COLUMN())&amp;","&amp;INDEX(MO_Common_QEndDate,0,COLUMN())&amp;",,,,0)")),"N/A")</f>
        <v/>
      </c>
      <c r="CA810" s="2086">
        <f>IFERROR(IF(INDEX(MO_Common_QEndDate,0,COLUMN())&gt;TODAY(),FDS(MO.ReportCurrency&amp;HP.TradeCurrency,"FG_PRICE(NOW)"),FDS(MO.ReportCurrency&amp;HP.TradeCurrency,"P_PRICE_AVG("&amp;INDEX(MO_SNA_FPStartDate,0,COLUMN())&amp;","&amp;INDEX(MO_Common_QEndDate,0,COLUMN())&amp;",,,,0)")),"N/A")</f>
        <v/>
      </c>
      <c r="CB810" s="2089">
        <f>IFERROR(IF(INDEX(MO_Common_QEndDate,0,COLUMN())&gt;TODAY(),FDS(MO.ReportCurrency&amp;HP.TradeCurrency,"FG_PRICE(NOW)"),FDS(MO.ReportCurrency&amp;HP.TradeCurrency,"P_PRICE_AVG("&amp;INDEX(MO_SNA_FPStartDate,0,COLUMN())&amp;","&amp;INDEX(MO_Common_QEndDate,0,COLUMN())&amp;",,,,0)")),"N/A")</f>
        <v/>
      </c>
      <c r="CC810" s="2090" t="n"/>
    </row>
    <row r="811" hidden="1" outlineLevel="1" ht="15" customFormat="1" customHeight="1" s="1954">
      <c r="A811" s="2091" t="inlineStr">
        <is>
          <t>Refinitiv</t>
        </is>
      </c>
      <c r="B811" s="2086" t="n"/>
      <c r="C811" s="2087">
        <f>"N/A"</f>
        <v/>
      </c>
      <c r="D811" s="2087">
        <f>"N/A"</f>
        <v/>
      </c>
      <c r="E811" s="2086">
        <f>"N/A"</f>
        <v/>
      </c>
      <c r="F811" s="2086">
        <f>"N/A"</f>
        <v/>
      </c>
      <c r="G811" s="2086">
        <f>"N/A"</f>
        <v/>
      </c>
      <c r="H811" s="2086">
        <f>"N/A"</f>
        <v/>
      </c>
      <c r="I811" s="2086">
        <f>"N/A"</f>
        <v/>
      </c>
      <c r="J811" s="2086">
        <f>"N/A"</f>
        <v/>
      </c>
      <c r="K811" s="2086">
        <f>"N/A"</f>
        <v/>
      </c>
      <c r="L811" s="2086">
        <f>"N/A"</f>
        <v/>
      </c>
      <c r="M811" s="2086">
        <f>"N/A"</f>
        <v/>
      </c>
      <c r="N811" s="2086">
        <f>"N/A"</f>
        <v/>
      </c>
      <c r="O811" s="2086">
        <f>"N/A"</f>
        <v/>
      </c>
      <c r="P811" s="2086">
        <f>"N/A"</f>
        <v/>
      </c>
      <c r="Q811" s="2086">
        <f>"N/A"</f>
        <v/>
      </c>
      <c r="R811" s="2086">
        <f>"N/A"</f>
        <v/>
      </c>
      <c r="S811" s="2086">
        <f>"N/A"</f>
        <v/>
      </c>
      <c r="T811" s="2086">
        <f>"N/A"</f>
        <v/>
      </c>
      <c r="U811" s="2086">
        <f>"N/A"</f>
        <v/>
      </c>
      <c r="V811" s="2086">
        <f>"N/A"</f>
        <v/>
      </c>
      <c r="W811" s="2086">
        <f>"N/A"</f>
        <v/>
      </c>
      <c r="X811" s="2086">
        <f>"N/A"</f>
        <v/>
      </c>
      <c r="Y811" s="2086">
        <f>"N/A"</f>
        <v/>
      </c>
      <c r="Z811" s="2086">
        <f>"N/A"</f>
        <v/>
      </c>
      <c r="AA811" s="2086">
        <f>"N/A"</f>
        <v/>
      </c>
      <c r="AB811" s="2086">
        <f>"N/A"</f>
        <v/>
      </c>
      <c r="AC811" s="2086">
        <f>"N/A"</f>
        <v/>
      </c>
      <c r="AD811" s="2086">
        <f>"N/A"</f>
        <v/>
      </c>
      <c r="AE811" s="2086">
        <f>"N/A"</f>
        <v/>
      </c>
      <c r="AF811" s="2086">
        <f>"N/A"</f>
        <v/>
      </c>
      <c r="AG811" s="2086">
        <f>"N/A"</f>
        <v/>
      </c>
      <c r="AH811" s="2086">
        <f>"N/A"</f>
        <v/>
      </c>
      <c r="AI811" s="2086">
        <f>"N/A"</f>
        <v/>
      </c>
      <c r="AJ811" s="2086">
        <f>"N/A"</f>
        <v/>
      </c>
      <c r="AK811" s="2086">
        <f>"N/A"</f>
        <v/>
      </c>
      <c r="AL811" s="2086">
        <f>"N/A"</f>
        <v/>
      </c>
      <c r="AM811" s="2086">
        <f>"N/A"</f>
        <v/>
      </c>
      <c r="AN811" s="2086">
        <f>"N/A"</f>
        <v/>
      </c>
      <c r="AO811" s="2086">
        <f>"N/A"</f>
        <v/>
      </c>
      <c r="AP811" s="2086">
        <f>"N/A"</f>
        <v/>
      </c>
      <c r="AQ811" s="2086">
        <f>"N/A"</f>
        <v/>
      </c>
      <c r="AR811" s="2086">
        <f>"N/A"</f>
        <v/>
      </c>
      <c r="AS811" s="2086">
        <f>"N/A"</f>
        <v/>
      </c>
      <c r="AT811" s="2086">
        <f>"N/A"</f>
        <v/>
      </c>
      <c r="AU811" s="2086">
        <f>"N/A"</f>
        <v/>
      </c>
      <c r="AV811" s="2086">
        <f>"N/A"</f>
        <v/>
      </c>
      <c r="AW811" s="2086">
        <f>"N/A"</f>
        <v/>
      </c>
      <c r="AX811" s="2086">
        <f>"N/A"</f>
        <v/>
      </c>
      <c r="AY811" s="2086">
        <f>"N/A"</f>
        <v/>
      </c>
      <c r="AZ811" s="2086">
        <f>"N/A"</f>
        <v/>
      </c>
      <c r="BA811" s="2086">
        <f>"N/A"</f>
        <v/>
      </c>
      <c r="BB811" s="2086">
        <f>"N/A"</f>
        <v/>
      </c>
      <c r="BC811" s="2086">
        <f>"N/A"</f>
        <v/>
      </c>
      <c r="BD811" s="2086">
        <f>"N/A"</f>
        <v/>
      </c>
      <c r="BE811" s="2086">
        <f>"N/A"</f>
        <v/>
      </c>
      <c r="BF811" s="2086">
        <f>"N/A"</f>
        <v/>
      </c>
      <c r="BG811" s="2086">
        <f>"N/A"</f>
        <v/>
      </c>
      <c r="BH811" s="2086">
        <f>"N/A"</f>
        <v/>
      </c>
      <c r="BI811" s="2086">
        <f>"N/A"</f>
        <v/>
      </c>
      <c r="BJ811" s="2086">
        <f>"N/A"</f>
        <v/>
      </c>
      <c r="BK811" s="2086">
        <f>"N/A"</f>
        <v/>
      </c>
      <c r="BL811" s="2086">
        <f>"N/A"</f>
        <v/>
      </c>
      <c r="BM811" s="2086">
        <f>"N/A"</f>
        <v/>
      </c>
      <c r="BN811" s="2086">
        <f>"N/A"</f>
        <v/>
      </c>
      <c r="BO811" s="2088">
        <f>"N/A"</f>
        <v/>
      </c>
      <c r="BP811" s="2086">
        <f>"N/A"</f>
        <v/>
      </c>
      <c r="BQ811" s="2086">
        <f>"N/A"</f>
        <v/>
      </c>
      <c r="BR811" s="2086">
        <f>"N/A"</f>
        <v/>
      </c>
      <c r="BS811" s="2086">
        <f>"N/A"</f>
        <v/>
      </c>
      <c r="BT811" s="2086">
        <f>"N/A"</f>
        <v/>
      </c>
      <c r="BU811" s="2086">
        <f>"N/A"</f>
        <v/>
      </c>
      <c r="BV811" s="2086">
        <f>"N/A"</f>
        <v/>
      </c>
      <c r="BW811" s="2086">
        <f>"N/A"</f>
        <v/>
      </c>
      <c r="BX811" s="2086">
        <f>"N/A"</f>
        <v/>
      </c>
      <c r="BY811" s="2086">
        <f>"N/A"</f>
        <v/>
      </c>
      <c r="BZ811" s="2086">
        <f>"N/A"</f>
        <v/>
      </c>
      <c r="CA811" s="2086">
        <f>"N/A"</f>
        <v/>
      </c>
      <c r="CB811" s="2089">
        <f>"N/A"</f>
        <v/>
      </c>
      <c r="CC811" s="2090" t="n"/>
    </row>
    <row r="812" hidden="1" outlineLevel="1" ht="15" customFormat="1" customHeight="1" s="1561">
      <c r="A812" s="2083" t="n"/>
      <c r="B812" s="1562" t="n"/>
      <c r="C812" s="2009" t="n"/>
      <c r="D812" s="2009" t="n"/>
      <c r="E812" s="1562" t="n"/>
      <c r="F812" s="1562" t="n"/>
      <c r="G812" s="1562" t="n"/>
      <c r="H812" s="1562" t="n"/>
      <c r="I812" s="1562" t="n"/>
      <c r="J812" s="1562" t="n"/>
      <c r="K812" s="1562" t="n"/>
      <c r="L812" s="1562" t="n"/>
      <c r="M812" s="1562" t="n"/>
      <c r="N812" s="1562" t="n"/>
      <c r="O812" s="1562" t="n"/>
      <c r="P812" s="1562" t="n"/>
      <c r="Q812" s="1562" t="n"/>
      <c r="R812" s="1562" t="n"/>
      <c r="S812" s="1562" t="n"/>
      <c r="T812" s="1562" t="n"/>
      <c r="U812" s="1562" t="n"/>
      <c r="V812" s="1562" t="n"/>
      <c r="W812" s="1562" t="n"/>
      <c r="X812" s="1562" t="n"/>
      <c r="Y812" s="1562" t="n"/>
      <c r="Z812" s="1562" t="n"/>
      <c r="AA812" s="1562" t="n"/>
      <c r="AB812" s="1562" t="n"/>
      <c r="AC812" s="1562" t="n"/>
      <c r="AD812" s="1562" t="n"/>
      <c r="AE812" s="1562" t="n"/>
      <c r="AF812" s="1562" t="n"/>
      <c r="AG812" s="1562" t="n"/>
      <c r="AH812" s="1562" t="n"/>
      <c r="AI812" s="1562" t="n"/>
      <c r="AJ812" s="1562" t="n"/>
      <c r="AK812" s="1562" t="n"/>
      <c r="AL812" s="1562" t="n"/>
      <c r="AM812" s="1562" t="n"/>
      <c r="AN812" s="1562" t="n"/>
      <c r="AO812" s="1562" t="n"/>
      <c r="AP812" s="1562" t="n"/>
      <c r="AQ812" s="1562" t="n"/>
      <c r="AR812" s="1562" t="n"/>
      <c r="AS812" s="1562" t="n"/>
      <c r="AT812" s="1562" t="n"/>
      <c r="AU812" s="1562" t="n"/>
      <c r="AV812" s="1562" t="n"/>
      <c r="AW812" s="1562" t="n"/>
      <c r="AX812" s="1562" t="n"/>
      <c r="AY812" s="1562" t="n"/>
      <c r="AZ812" s="1562" t="n"/>
      <c r="BA812" s="1562" t="n"/>
      <c r="BB812" s="1562" t="n"/>
      <c r="BC812" s="1562" t="n"/>
      <c r="BD812" s="1562" t="n"/>
      <c r="BE812" s="1562" t="n"/>
      <c r="BF812" s="1562" t="n"/>
      <c r="BG812" s="1562" t="n"/>
      <c r="BH812" s="1562" t="n"/>
      <c r="BI812" s="1562" t="n"/>
      <c r="BJ812" s="1562" t="n"/>
      <c r="BK812" s="1562" t="n"/>
      <c r="BL812" s="1562" t="n"/>
      <c r="BM812" s="1562" t="n"/>
      <c r="BN812" s="1562" t="n"/>
      <c r="BO812" s="1563" t="n"/>
      <c r="BP812" s="1562" t="n"/>
      <c r="BQ812" s="1562" t="n"/>
      <c r="BR812" s="1562" t="n"/>
      <c r="BS812" s="1562" t="n"/>
      <c r="BT812" s="1562" t="n"/>
      <c r="BU812" s="1562" t="n"/>
      <c r="BV812" s="1562" t="n"/>
      <c r="BW812" s="1562" t="n"/>
      <c r="BX812" s="1562" t="n"/>
      <c r="BY812" s="1562" t="n"/>
      <c r="BZ812" s="1562" t="n"/>
      <c r="CA812" s="1562" t="n"/>
      <c r="CB812" s="2084" t="n"/>
      <c r="CC812" s="2056" t="n"/>
    </row>
    <row r="813" collapsed="1" ht="15" customFormat="1" customHeight="1" s="1561">
      <c r="A813" s="2083" t="inlineStr">
        <is>
          <t>Last Working Day In Period</t>
        </is>
      </c>
      <c r="B813" s="1562" t="n"/>
      <c r="C813" s="760">
        <f>WORKDAY(INDEX(MO_Common_QEndDate,0,COLUMN()),-1)</f>
        <v/>
      </c>
      <c r="D813" s="760">
        <f>WORKDAY(INDEX(MO_Common_QEndDate,0,COLUMN()),-1)</f>
        <v/>
      </c>
      <c r="E813" s="761">
        <f>WORKDAY(INDEX(MO_Common_QEndDate,0,COLUMN()),-1)</f>
        <v/>
      </c>
      <c r="F813" s="761">
        <f>WORKDAY(INDEX(MO_Common_QEndDate,0,COLUMN()),-1)</f>
        <v/>
      </c>
      <c r="G813" s="761">
        <f>WORKDAY(INDEX(MO_Common_QEndDate,0,COLUMN()),-1)</f>
        <v/>
      </c>
      <c r="H813" s="761">
        <f>WORKDAY(INDEX(MO_Common_QEndDate,0,COLUMN()),-1)</f>
        <v/>
      </c>
      <c r="I813" s="761">
        <f>WORKDAY(INDEX(MO_Common_QEndDate,0,COLUMN()),-1)</f>
        <v/>
      </c>
      <c r="J813" s="761">
        <f>WORKDAY(INDEX(MO_Common_QEndDate,0,COLUMN()),-1)</f>
        <v/>
      </c>
      <c r="K813" s="761">
        <f>WORKDAY(INDEX(MO_Common_QEndDate,0,COLUMN()),-1)</f>
        <v/>
      </c>
      <c r="L813" s="761">
        <f>WORKDAY(INDEX(MO_Common_QEndDate,0,COLUMN()),-1)</f>
        <v/>
      </c>
      <c r="M813" s="761">
        <f>WORKDAY(INDEX(MO_Common_QEndDate,0,COLUMN()),-1)</f>
        <v/>
      </c>
      <c r="N813" s="761">
        <f>WORKDAY(INDEX(MO_Common_QEndDate,0,COLUMN()),-1)</f>
        <v/>
      </c>
      <c r="O813" s="761">
        <f>WORKDAY(INDEX(MO_Common_QEndDate,0,COLUMN()),-1)</f>
        <v/>
      </c>
      <c r="P813" s="761">
        <f>WORKDAY(INDEX(MO_Common_QEndDate,0,COLUMN()),-1)</f>
        <v/>
      </c>
      <c r="Q813" s="761">
        <f>WORKDAY(INDEX(MO_Common_QEndDate,0,COLUMN()),-1)</f>
        <v/>
      </c>
      <c r="R813" s="761">
        <f>WORKDAY(INDEX(MO_Common_QEndDate,0,COLUMN()),-1)</f>
        <v/>
      </c>
      <c r="S813" s="761">
        <f>WORKDAY(INDEX(MO_Common_QEndDate,0,COLUMN()),-1)</f>
        <v/>
      </c>
      <c r="T813" s="761">
        <f>WORKDAY(INDEX(MO_Common_QEndDate,0,COLUMN()),-1)</f>
        <v/>
      </c>
      <c r="U813" s="761">
        <f>WORKDAY(INDEX(MO_Common_QEndDate,0,COLUMN()),-1)</f>
        <v/>
      </c>
      <c r="V813" s="761">
        <f>WORKDAY(INDEX(MO_Common_QEndDate,0,COLUMN()),-1)</f>
        <v/>
      </c>
      <c r="W813" s="761">
        <f>WORKDAY(INDEX(MO_Common_QEndDate,0,COLUMN()),-1)</f>
        <v/>
      </c>
      <c r="X813" s="761">
        <f>WORKDAY(INDEX(MO_Common_QEndDate,0,COLUMN()),-1)</f>
        <v/>
      </c>
      <c r="Y813" s="761">
        <f>WORKDAY(INDEX(MO_Common_QEndDate,0,COLUMN()),-1)</f>
        <v/>
      </c>
      <c r="Z813" s="761">
        <f>WORKDAY(INDEX(MO_Common_QEndDate,0,COLUMN()),-1)</f>
        <v/>
      </c>
      <c r="AA813" s="761">
        <f>WORKDAY(INDEX(MO_Common_QEndDate,0,COLUMN()),-1)</f>
        <v/>
      </c>
      <c r="AB813" s="761">
        <f>WORKDAY(INDEX(MO_Common_QEndDate,0,COLUMN()),-1)</f>
        <v/>
      </c>
      <c r="AC813" s="761">
        <f>WORKDAY(INDEX(MO_Common_QEndDate,0,COLUMN()),-1)</f>
        <v/>
      </c>
      <c r="AD813" s="761">
        <f>WORKDAY(INDEX(MO_Common_QEndDate,0,COLUMN()),-1)</f>
        <v/>
      </c>
      <c r="AE813" s="761">
        <f>WORKDAY(INDEX(MO_Common_QEndDate,0,COLUMN()),-1)</f>
        <v/>
      </c>
      <c r="AF813" s="761">
        <f>WORKDAY(INDEX(MO_Common_QEndDate,0,COLUMN()),-1)</f>
        <v/>
      </c>
      <c r="AG813" s="761">
        <f>WORKDAY(INDEX(MO_Common_QEndDate,0,COLUMN()),-1)</f>
        <v/>
      </c>
      <c r="AH813" s="761">
        <f>WORKDAY(INDEX(MO_Common_QEndDate,0,COLUMN()),-1)</f>
        <v/>
      </c>
      <c r="AI813" s="761">
        <f>WORKDAY(INDEX(MO_Common_QEndDate,0,COLUMN()),-1)</f>
        <v/>
      </c>
      <c r="AJ813" s="761">
        <f>WORKDAY(INDEX(MO_Common_QEndDate,0,COLUMN()),-1)</f>
        <v/>
      </c>
      <c r="AK813" s="761">
        <f>WORKDAY(INDEX(MO_Common_QEndDate,0,COLUMN()),-1)</f>
        <v/>
      </c>
      <c r="AL813" s="761">
        <f>WORKDAY(INDEX(MO_Common_QEndDate,0,COLUMN()),-1)</f>
        <v/>
      </c>
      <c r="AM813" s="761">
        <f>WORKDAY(INDEX(MO_Common_QEndDate,0,COLUMN()),-1)</f>
        <v/>
      </c>
      <c r="AN813" s="761">
        <f>WORKDAY(INDEX(MO_Common_QEndDate,0,COLUMN()),-1)</f>
        <v/>
      </c>
      <c r="AO813" s="761">
        <f>WORKDAY(INDEX(MO_Common_QEndDate,0,COLUMN()),-1)</f>
        <v/>
      </c>
      <c r="AP813" s="761">
        <f>WORKDAY(INDEX(MO_Common_QEndDate,0,COLUMN()),-1)</f>
        <v/>
      </c>
      <c r="AQ813" s="761">
        <f>WORKDAY(INDEX(MO_Common_QEndDate,0,COLUMN()),-1)</f>
        <v/>
      </c>
      <c r="AR813" s="761">
        <f>WORKDAY(INDEX(MO_Common_QEndDate,0,COLUMN()),-1)</f>
        <v/>
      </c>
      <c r="AS813" s="761">
        <f>WORKDAY(INDEX(MO_Common_QEndDate,0,COLUMN()),-1)</f>
        <v/>
      </c>
      <c r="AT813" s="761">
        <f>WORKDAY(INDEX(MO_Common_QEndDate,0,COLUMN()),-1)</f>
        <v/>
      </c>
      <c r="AU813" s="761">
        <f>WORKDAY(INDEX(MO_Common_QEndDate,0,COLUMN()),-1)</f>
        <v/>
      </c>
      <c r="AV813" s="761">
        <f>WORKDAY(INDEX(MO_Common_QEndDate,0,COLUMN()),-1)</f>
        <v/>
      </c>
      <c r="AW813" s="761">
        <f>WORKDAY(INDEX(MO_Common_QEndDate,0,COLUMN()),-1)</f>
        <v/>
      </c>
      <c r="AX813" s="761">
        <f>WORKDAY(INDEX(MO_Common_QEndDate,0,COLUMN()),-1)</f>
        <v/>
      </c>
      <c r="AY813" s="761">
        <f>WORKDAY(INDEX(MO_Common_QEndDate,0,COLUMN()),-1)</f>
        <v/>
      </c>
      <c r="AZ813" s="761">
        <f>WORKDAY(INDEX(MO_Common_QEndDate,0,COLUMN()),-1)</f>
        <v/>
      </c>
      <c r="BA813" s="761">
        <f>WORKDAY(INDEX(MO_Common_QEndDate,0,COLUMN()),-1)</f>
        <v/>
      </c>
      <c r="BB813" s="761">
        <f>WORKDAY(INDEX(MO_Common_QEndDate,0,COLUMN()),-1)</f>
        <v/>
      </c>
      <c r="BC813" s="761">
        <f>WORKDAY(INDEX(MO_Common_QEndDate,0,COLUMN()),-1)</f>
        <v/>
      </c>
      <c r="BD813" s="761">
        <f>WORKDAY(INDEX(MO_Common_QEndDate,0,COLUMN()),-1)</f>
        <v/>
      </c>
      <c r="BE813" s="761">
        <f>WORKDAY(INDEX(MO_Common_QEndDate,0,COLUMN()),-1)</f>
        <v/>
      </c>
      <c r="BF813" s="761">
        <f>WORKDAY(INDEX(MO_Common_QEndDate,0,COLUMN()),-1)</f>
        <v/>
      </c>
      <c r="BG813" s="761">
        <f>WORKDAY(INDEX(MO_Common_QEndDate,0,COLUMN()),-1)</f>
        <v/>
      </c>
      <c r="BH813" s="761">
        <f>WORKDAY(INDEX(MO_Common_QEndDate,0,COLUMN()),-1)</f>
        <v/>
      </c>
      <c r="BI813" s="761">
        <f>WORKDAY(INDEX(MO_Common_QEndDate,0,COLUMN()),-1)</f>
        <v/>
      </c>
      <c r="BJ813" s="761">
        <f>WORKDAY(INDEX(MO_Common_QEndDate,0,COLUMN()),-1)</f>
        <v/>
      </c>
      <c r="BK813" s="761">
        <f>WORKDAY(INDEX(MO_Common_QEndDate,0,COLUMN()),-1)</f>
        <v/>
      </c>
      <c r="BL813" s="761">
        <f>WORKDAY(INDEX(MO_Common_QEndDate,0,COLUMN()),-1)</f>
        <v/>
      </c>
      <c r="BM813" s="761">
        <f>WORKDAY(INDEX(MO_Common_QEndDate,0,COLUMN()),-1)</f>
        <v/>
      </c>
      <c r="BN813" s="761">
        <f>WORKDAY(INDEX(MO_Common_QEndDate,0,COLUMN()),-1)</f>
        <v/>
      </c>
      <c r="BO813" s="594">
        <f>WORKDAY(INDEX(MO_Common_QEndDate,0,COLUMN()),-1)</f>
        <v/>
      </c>
      <c r="BP813" s="761">
        <f>WORKDAY(INDEX(MO_Common_QEndDate,0,COLUMN()),-1)</f>
        <v/>
      </c>
      <c r="BQ813" s="761">
        <f>WORKDAY(INDEX(MO_Common_QEndDate,0,COLUMN()),-1)</f>
        <v/>
      </c>
      <c r="BR813" s="761">
        <f>WORKDAY(INDEX(MO_Common_QEndDate,0,COLUMN()),-1)</f>
        <v/>
      </c>
      <c r="BS813" s="761">
        <f>WORKDAY(INDEX(MO_Common_QEndDate,0,COLUMN()),-1)</f>
        <v/>
      </c>
      <c r="BT813" s="761">
        <f>WORKDAY(INDEX(MO_Common_QEndDate,0,COLUMN()),-1)</f>
        <v/>
      </c>
      <c r="BU813" s="761">
        <f>WORKDAY(INDEX(MO_Common_QEndDate,0,COLUMN()),-1)</f>
        <v/>
      </c>
      <c r="BV813" s="761">
        <f>WORKDAY(INDEX(MO_Common_QEndDate,0,COLUMN()),-1)</f>
        <v/>
      </c>
      <c r="BW813" s="761">
        <f>WORKDAY(INDEX(MO_Common_QEndDate,0,COLUMN()),-1)</f>
        <v/>
      </c>
      <c r="BX813" s="761">
        <f>WORKDAY(INDEX(MO_Common_QEndDate,0,COLUMN()),-1)</f>
        <v/>
      </c>
      <c r="BY813" s="761">
        <f>WORKDAY(INDEX(MO_Common_QEndDate,0,COLUMN()),-1)</f>
        <v/>
      </c>
      <c r="BZ813" s="761">
        <f>WORKDAY(INDEX(MO_Common_QEndDate,0,COLUMN()),-1)</f>
        <v/>
      </c>
      <c r="CA813" s="761">
        <f>WORKDAY(INDEX(MO_Common_QEndDate,0,COLUMN()),-1)</f>
        <v/>
      </c>
      <c r="CB813" s="468">
        <f>WORKDAY(INDEX(MO_Common_QEndDate,0,COLUMN()),-1)</f>
        <v/>
      </c>
      <c r="CC813" s="2056" t="n"/>
    </row>
    <row r="814" ht="15" customFormat="1" customHeight="1" s="1945">
      <c r="A814" s="2073" t="inlineStr">
        <is>
          <t>Stock Price EoP</t>
        </is>
      </c>
      <c r="B814" s="2074" t="n"/>
      <c r="C814" s="2080" t="n">
        <v>31.103896</v>
      </c>
      <c r="D814" s="2080" t="n">
        <v>37.668831</v>
      </c>
      <c r="E814" s="2081" t="n">
        <v>42.175325</v>
      </c>
      <c r="F814" s="2081" t="n">
        <v>47.885</v>
      </c>
      <c r="G814" s="2081" t="n">
        <v>67.93000000000001</v>
      </c>
      <c r="H814" s="2081" t="n">
        <v>67.15000000000001</v>
      </c>
      <c r="I814" s="2081" t="n">
        <v>67.62</v>
      </c>
      <c r="J814" s="2081" t="n">
        <v>78.56</v>
      </c>
      <c r="K814" s="2081" t="n">
        <v>88.81999999999999</v>
      </c>
      <c r="L814" s="2081" t="n">
        <v>88.81999999999999</v>
      </c>
      <c r="M814" s="2081" t="n">
        <v>92.37</v>
      </c>
      <c r="N814" s="2081" t="n">
        <v>98.73999999999999</v>
      </c>
      <c r="O814" s="2081" t="n">
        <v>77.15000000000001</v>
      </c>
      <c r="P814" s="2081" t="n">
        <v>84.09</v>
      </c>
      <c r="Q814" s="2081" t="n">
        <v>84.09</v>
      </c>
      <c r="R814" s="2081" t="n">
        <v>87.91</v>
      </c>
      <c r="S814" s="2081" t="n">
        <v>88.09</v>
      </c>
      <c r="T814" s="2081" t="n">
        <v>97.69</v>
      </c>
      <c r="U814" s="2081" t="n">
        <v>106.65</v>
      </c>
      <c r="V814" s="2081" t="n">
        <v>106.65</v>
      </c>
      <c r="W814" s="2081" t="n">
        <v>124.4</v>
      </c>
      <c r="X814" s="2081" t="n">
        <v>114.1</v>
      </c>
      <c r="Y814" s="2081" t="n">
        <v>144.05</v>
      </c>
      <c r="Z814" s="2081" t="n">
        <v>145.25</v>
      </c>
      <c r="AA814" s="2081" t="n">
        <v>145.25</v>
      </c>
      <c r="AB814" s="2081" t="n">
        <v>160.15</v>
      </c>
      <c r="AC814" s="2081" t="n">
        <v>169.7</v>
      </c>
      <c r="AD814" s="2081" t="n">
        <v>160.9</v>
      </c>
      <c r="AE814" s="2081" t="n">
        <v>136.62</v>
      </c>
      <c r="AF814" s="2081" t="n">
        <v>136.62</v>
      </c>
      <c r="AG814" s="2081" t="n">
        <v>167.2</v>
      </c>
      <c r="AH814" s="2081" t="n">
        <v>183.74</v>
      </c>
      <c r="AI814" s="2081" t="n">
        <v>225.45</v>
      </c>
      <c r="AJ814" s="2081" t="n">
        <v>262.9</v>
      </c>
      <c r="AK814" s="2081" t="n">
        <v>262.9</v>
      </c>
      <c r="AL814" s="2081" t="n">
        <v>229.5</v>
      </c>
      <c r="AM814" s="2081" t="n">
        <v>324</v>
      </c>
      <c r="AN814" s="2081" t="n">
        <v>307.2</v>
      </c>
      <c r="AO814" s="2081" t="n">
        <v>398.5</v>
      </c>
      <c r="AP814" s="2081" t="n">
        <v>398.5</v>
      </c>
      <c r="AQ814" s="2081" t="n">
        <v>529.3</v>
      </c>
      <c r="AR814" s="2081" t="n">
        <v>579</v>
      </c>
      <c r="AS814" s="2081" t="n">
        <v>632.5</v>
      </c>
      <c r="AT814" s="2081" t="n">
        <v>710.4</v>
      </c>
      <c r="AU814" s="2081" t="n">
        <v>710.4</v>
      </c>
      <c r="AV814" s="2081" t="n">
        <v>606.7</v>
      </c>
      <c r="AW814" s="2081" t="n">
        <v>431.25</v>
      </c>
      <c r="AX814" s="2081" t="n">
        <v>433.6</v>
      </c>
      <c r="AY814" s="2081" t="n">
        <v>503.8</v>
      </c>
      <c r="AZ814" s="2081" t="n">
        <v>503.8</v>
      </c>
      <c r="BA814" s="2081" t="n">
        <v>625.2</v>
      </c>
      <c r="BB814" s="2081" t="n">
        <v>663</v>
      </c>
      <c r="BC814" s="2081" t="n">
        <v>559.1</v>
      </c>
      <c r="BD814" s="2081" t="n">
        <v>681.7</v>
      </c>
      <c r="BE814" s="2081" t="n">
        <v>681.7</v>
      </c>
      <c r="BF814" s="2081" t="n">
        <v>892.2</v>
      </c>
      <c r="BG814" s="2081" t="n">
        <v>964.2</v>
      </c>
      <c r="BH814" s="2081" t="n">
        <v>757.3</v>
      </c>
      <c r="BI814" s="2081" t="n">
        <v>671.9</v>
      </c>
      <c r="BJ814" s="2081" t="n">
        <v>671.9</v>
      </c>
      <c r="BK814" s="2081" t="n">
        <v>625.6</v>
      </c>
      <c r="BL814" s="2081" t="n">
        <v>682.5</v>
      </c>
      <c r="BM814" s="2081" t="n">
        <v>812.8</v>
      </c>
      <c r="BN814" s="2081" t="n">
        <v>918.4</v>
      </c>
      <c r="BO814" s="2082" t="n">
        <v>918.4</v>
      </c>
      <c r="BP814" s="2074" t="n"/>
      <c r="BQ814" s="2074" t="n"/>
      <c r="BR814" s="2074" t="n"/>
      <c r="BS814" s="2074" t="n"/>
      <c r="BT814" s="2074" t="n"/>
      <c r="BU814" s="2074" t="n"/>
      <c r="BV814" s="2074" t="n"/>
      <c r="BW814" s="2074" t="n"/>
      <c r="BX814" s="2074" t="n"/>
      <c r="BY814" s="2074" t="n"/>
      <c r="BZ814" s="2074" t="n"/>
      <c r="CA814" s="2074" t="n"/>
      <c r="CB814" s="2077" t="n"/>
      <c r="CC814" s="2078" t="n"/>
    </row>
    <row r="815" ht="15" customFormat="1" customHeight="1" s="1561">
      <c r="A815" s="2083" t="inlineStr">
        <is>
          <t>FX EoP</t>
        </is>
      </c>
      <c r="B815" s="1562" t="n"/>
      <c r="C815" s="2092" t="n">
        <v>1</v>
      </c>
      <c r="D815" s="2092" t="n">
        <v>1</v>
      </c>
      <c r="E815" s="2093" t="n">
        <v>1</v>
      </c>
      <c r="F815" s="2093" t="n">
        <v>1</v>
      </c>
      <c r="G815" s="2093" t="n">
        <v>1</v>
      </c>
      <c r="H815" s="2093" t="n">
        <v>1</v>
      </c>
      <c r="I815" s="2093" t="n">
        <v>1</v>
      </c>
      <c r="J815" s="2093" t="n">
        <v>1</v>
      </c>
      <c r="K815" s="2093" t="n">
        <v>1</v>
      </c>
      <c r="L815" s="2093" t="n">
        <v>1</v>
      </c>
      <c r="M815" s="2093" t="n">
        <v>1</v>
      </c>
      <c r="N815" s="2093" t="n">
        <v>1</v>
      </c>
      <c r="O815" s="2093" t="n">
        <v>1</v>
      </c>
      <c r="P815" s="2093" t="n">
        <v>1</v>
      </c>
      <c r="Q815" s="2093" t="n">
        <v>1</v>
      </c>
      <c r="R815" s="2093" t="n">
        <v>1</v>
      </c>
      <c r="S815" s="2093" t="n">
        <v>1</v>
      </c>
      <c r="T815" s="2093" t="n">
        <v>1</v>
      </c>
      <c r="U815" s="2093" t="n">
        <v>1</v>
      </c>
      <c r="V815" s="2093" t="n">
        <v>1</v>
      </c>
      <c r="W815" s="2093" t="n">
        <v>1</v>
      </c>
      <c r="X815" s="2093" t="n">
        <v>1</v>
      </c>
      <c r="Y815" s="2093" t="n">
        <v>1</v>
      </c>
      <c r="Z815" s="2093" t="n">
        <v>1</v>
      </c>
      <c r="AA815" s="2093" t="n">
        <v>1</v>
      </c>
      <c r="AB815" s="2093" t="n">
        <v>1</v>
      </c>
      <c r="AC815" s="2093" t="n">
        <v>1</v>
      </c>
      <c r="AD815" s="2093" t="n">
        <v>1</v>
      </c>
      <c r="AE815" s="2093" t="n">
        <v>1</v>
      </c>
      <c r="AF815" s="2093" t="n">
        <v>1</v>
      </c>
      <c r="AG815" s="2093" t="n">
        <v>1</v>
      </c>
      <c r="AH815" s="2093" t="n">
        <v>1</v>
      </c>
      <c r="AI815" s="2093" t="n">
        <v>1</v>
      </c>
      <c r="AJ815" s="2093" t="n">
        <v>1</v>
      </c>
      <c r="AK815" s="2093" t="n">
        <v>1</v>
      </c>
      <c r="AL815" s="2093" t="n">
        <v>1</v>
      </c>
      <c r="AM815" s="2093" t="n">
        <v>1</v>
      </c>
      <c r="AN815" s="2093" t="n">
        <v>1</v>
      </c>
      <c r="AO815" s="2093" t="n">
        <v>1</v>
      </c>
      <c r="AP815" s="2093" t="n">
        <v>1</v>
      </c>
      <c r="AQ815" s="2093" t="n">
        <v>1</v>
      </c>
      <c r="AR815" s="2093" t="n">
        <v>1</v>
      </c>
      <c r="AS815" s="2093" t="n">
        <v>1</v>
      </c>
      <c r="AT815" s="2093" t="n">
        <v>1</v>
      </c>
      <c r="AU815" s="2093" t="n">
        <v>1</v>
      </c>
      <c r="AV815" s="2093" t="n">
        <v>1</v>
      </c>
      <c r="AW815" s="2093" t="n">
        <v>1</v>
      </c>
      <c r="AX815" s="2093" t="n">
        <v>1</v>
      </c>
      <c r="AY815" s="2093" t="n">
        <v>1</v>
      </c>
      <c r="AZ815" s="2093" t="n">
        <v>1</v>
      </c>
      <c r="BA815" s="2093" t="n">
        <v>1</v>
      </c>
      <c r="BB815" s="2093" t="n">
        <v>1</v>
      </c>
      <c r="BC815" s="2093" t="n">
        <v>1</v>
      </c>
      <c r="BD815" s="2093" t="n">
        <v>1</v>
      </c>
      <c r="BE815" s="2093" t="n">
        <v>1</v>
      </c>
      <c r="BF815" s="2093" t="n">
        <v>1</v>
      </c>
      <c r="BG815" s="2093" t="n">
        <v>1</v>
      </c>
      <c r="BH815" s="2093" t="n">
        <v>1</v>
      </c>
      <c r="BI815" s="2093" t="n">
        <v>1</v>
      </c>
      <c r="BJ815" s="2093" t="n">
        <v>1</v>
      </c>
      <c r="BK815" s="2093" t="n">
        <v>1</v>
      </c>
      <c r="BL815" s="2093" t="n">
        <v>1</v>
      </c>
      <c r="BM815" s="2093" t="n">
        <v>1</v>
      </c>
      <c r="BN815" s="2093" t="n">
        <v>1</v>
      </c>
      <c r="BO815" s="2094" t="n">
        <v>1</v>
      </c>
      <c r="BP815" s="2086" t="n"/>
      <c r="BQ815" s="2086" t="n"/>
      <c r="BR815" s="2086" t="n"/>
      <c r="BS815" s="2086" t="n"/>
      <c r="BT815" s="2086" t="n"/>
      <c r="BU815" s="2086" t="n"/>
      <c r="BV815" s="2086" t="n"/>
      <c r="BW815" s="2086" t="n"/>
      <c r="BX815" s="2086" t="n"/>
      <c r="BY815" s="2086" t="n"/>
      <c r="BZ815" s="2086" t="n"/>
      <c r="CA815" s="2086" t="n"/>
      <c r="CB815" s="2089" t="n"/>
      <c r="CC815" s="2056" t="n"/>
    </row>
    <row r="816" ht="15" customFormat="1" customHeight="1" s="1561">
      <c r="A816" s="2095" t="n"/>
      <c r="B816" s="1710" t="n"/>
      <c r="C816" s="2096" t="n"/>
      <c r="D816" s="2096" t="n"/>
      <c r="E816" s="2097" t="n"/>
      <c r="F816" s="2097" t="n"/>
      <c r="G816" s="2097" t="n"/>
      <c r="H816" s="2097" t="n"/>
      <c r="I816" s="2097" t="n"/>
      <c r="J816" s="2097" t="n"/>
      <c r="K816" s="2097" t="n"/>
      <c r="L816" s="2097" t="n"/>
      <c r="M816" s="2097" t="n"/>
      <c r="N816" s="2097" t="n"/>
      <c r="O816" s="2097" t="n"/>
      <c r="P816" s="2097" t="n"/>
      <c r="Q816" s="2097" t="n"/>
      <c r="R816" s="2097" t="n"/>
      <c r="S816" s="2097" t="n"/>
      <c r="T816" s="2097" t="n"/>
      <c r="U816" s="2097" t="n"/>
      <c r="V816" s="2097" t="n"/>
      <c r="W816" s="2097" t="n"/>
      <c r="X816" s="2097" t="n"/>
      <c r="Y816" s="2097" t="n"/>
      <c r="Z816" s="2097" t="n"/>
      <c r="AA816" s="2097" t="n"/>
      <c r="AB816" s="2097" t="n"/>
      <c r="AC816" s="2097" t="n"/>
      <c r="AD816" s="2097" t="n"/>
      <c r="AE816" s="2097" t="n"/>
      <c r="AF816" s="2097" t="n"/>
      <c r="AG816" s="2097" t="n"/>
      <c r="AH816" s="2097" t="n"/>
      <c r="AI816" s="2097" t="n"/>
      <c r="AJ816" s="2097" t="n"/>
      <c r="AK816" s="2097" t="n"/>
      <c r="AL816" s="2097" t="n"/>
      <c r="AM816" s="2097" t="n"/>
      <c r="AN816" s="2097" t="n"/>
      <c r="AO816" s="2097" t="n"/>
      <c r="AP816" s="2097" t="n"/>
      <c r="AQ816" s="2097" t="n"/>
      <c r="AR816" s="2097" t="n"/>
      <c r="AS816" s="2097" t="n"/>
      <c r="AT816" s="2097" t="n"/>
      <c r="AU816" s="2097" t="n"/>
      <c r="AV816" s="2097" t="n"/>
      <c r="AW816" s="2097" t="n"/>
      <c r="AX816" s="2097" t="n"/>
      <c r="AY816" s="2097" t="n"/>
      <c r="AZ816" s="2097" t="n"/>
      <c r="BA816" s="2097" t="n"/>
      <c r="BB816" s="2097" t="n"/>
      <c r="BC816" s="2097" t="n"/>
      <c r="BD816" s="2097" t="n"/>
      <c r="BE816" s="2097" t="n"/>
      <c r="BF816" s="2097" t="n"/>
      <c r="BG816" s="2097" t="n"/>
      <c r="BH816" s="2097" t="n"/>
      <c r="BI816" s="2097" t="n"/>
      <c r="BJ816" s="2097" t="n"/>
      <c r="BK816" s="2097" t="n"/>
      <c r="BL816" s="2097" t="n"/>
      <c r="BM816" s="2097" t="n"/>
      <c r="BN816" s="2097" t="n"/>
      <c r="BO816" s="2098" t="n"/>
      <c r="BP816" s="2097" t="n"/>
      <c r="BQ816" s="2097" t="n"/>
      <c r="BR816" s="2097" t="n"/>
      <c r="BS816" s="2097" t="n"/>
      <c r="BT816" s="2097" t="n"/>
      <c r="BU816" s="2097" t="n"/>
      <c r="BV816" s="2097" t="n"/>
      <c r="BW816" s="2097" t="n"/>
      <c r="BX816" s="2097" t="n"/>
      <c r="BY816" s="2097" t="n"/>
      <c r="BZ816" s="2097" t="n"/>
      <c r="CA816" s="2097" t="n"/>
      <c r="CB816" s="2099" t="n"/>
      <c r="CC816" s="2056" t="n"/>
    </row>
    <row r="817" ht="15" customFormat="1" customHeight="1" s="1561">
      <c r="A817" s="2019" t="n"/>
      <c r="B817" s="2064" t="n"/>
      <c r="C817" s="2069" t="n"/>
      <c r="D817" s="2069" t="n"/>
      <c r="E817" s="2068" t="n"/>
      <c r="F817" s="2068" t="n"/>
      <c r="G817" s="2068" t="n"/>
      <c r="H817" s="2068" t="n"/>
      <c r="I817" s="2068" t="n"/>
      <c r="J817" s="2068" t="n"/>
      <c r="K817" s="2068" t="n"/>
      <c r="L817" s="2068" t="n"/>
      <c r="M817" s="2068" t="n"/>
      <c r="N817" s="2068" t="n"/>
      <c r="O817" s="2068" t="n"/>
      <c r="P817" s="2068" t="n"/>
      <c r="Q817" s="2068" t="n"/>
      <c r="R817" s="2068" t="n"/>
      <c r="S817" s="2068" t="n"/>
      <c r="T817" s="2068" t="n"/>
      <c r="U817" s="2068" t="n"/>
      <c r="V817" s="2068" t="n"/>
      <c r="W817" s="2068" t="n"/>
      <c r="X817" s="2068" t="n"/>
      <c r="Y817" s="2068" t="n"/>
      <c r="Z817" s="2068" t="n"/>
      <c r="AA817" s="2068" t="n"/>
      <c r="AB817" s="2068" t="n"/>
      <c r="AC817" s="2068" t="n"/>
      <c r="AD817" s="2068" t="n"/>
      <c r="AE817" s="2068" t="n"/>
      <c r="AF817" s="2068" t="n"/>
      <c r="AG817" s="2068" t="n"/>
      <c r="AH817" s="2068" t="n"/>
      <c r="AI817" s="2068" t="n"/>
      <c r="AJ817" s="2068" t="n"/>
      <c r="AK817" s="2068" t="n"/>
      <c r="AL817" s="2068" t="n"/>
      <c r="AM817" s="2068" t="n"/>
      <c r="AN817" s="2068" t="n"/>
      <c r="AO817" s="2068" t="n"/>
      <c r="AP817" s="2068" t="n"/>
      <c r="AQ817" s="2068" t="n"/>
      <c r="AR817" s="2068" t="n"/>
      <c r="AS817" s="2068" t="n"/>
      <c r="AT817" s="2068" t="n"/>
      <c r="AU817" s="2068" t="n"/>
      <c r="AV817" s="2068" t="n"/>
      <c r="AW817" s="2068" t="n"/>
      <c r="AX817" s="2068" t="n"/>
      <c r="AY817" s="2068" t="n"/>
      <c r="AZ817" s="2068" t="n"/>
      <c r="BA817" s="2068" t="n"/>
      <c r="BB817" s="2068" t="n"/>
      <c r="BC817" s="2068" t="n"/>
      <c r="BD817" s="2068" t="n"/>
      <c r="BE817" s="2068" t="n"/>
      <c r="BF817" s="2068" t="n"/>
      <c r="BG817" s="2068" t="n"/>
      <c r="BH817" s="2068" t="n"/>
      <c r="BI817" s="2068" t="n"/>
      <c r="BJ817" s="2068" t="n"/>
      <c r="BK817" s="2068" t="n"/>
      <c r="BL817" s="2068" t="n"/>
      <c r="BM817" s="2068" t="n"/>
      <c r="BN817" s="2068" t="n"/>
      <c r="BO817" s="2070" t="n"/>
      <c r="BP817" s="2068" t="n"/>
      <c r="BQ817" s="2068" t="n"/>
      <c r="BR817" s="2068" t="n"/>
      <c r="BS817" s="2068" t="n"/>
      <c r="BT817" s="2068" t="n"/>
      <c r="BU817" s="2068" t="n"/>
      <c r="BV817" s="2068" t="n"/>
      <c r="BW817" s="2068" t="n"/>
      <c r="BX817" s="2068" t="n"/>
      <c r="BY817" s="2068" t="n"/>
      <c r="BZ817" s="2068" t="n"/>
      <c r="CA817" s="2068" t="n"/>
      <c r="CB817" s="2068" t="n"/>
      <c r="CC817" s="1564" t="n"/>
    </row>
    <row r="818" ht="15" customFormat="1" customHeight="1" s="1561">
      <c r="A818" s="2100" t="inlineStr">
        <is>
          <t>General Table</t>
        </is>
      </c>
      <c r="B818" s="2068" t="n"/>
      <c r="C818" s="1562" t="n"/>
      <c r="D818" s="1562" t="n"/>
      <c r="E818" s="1562" t="n"/>
      <c r="F818" s="1562" t="n"/>
      <c r="G818" s="1562" t="n"/>
      <c r="H818" s="1562" t="n"/>
      <c r="I818" s="1562" t="n"/>
      <c r="J818" s="1562" t="n"/>
      <c r="K818" s="1562" t="n"/>
      <c r="L818" s="1562" t="n"/>
      <c r="M818" s="1562" t="n"/>
      <c r="N818" s="1562" t="n"/>
      <c r="O818" s="1562" t="n"/>
      <c r="P818" s="1562" t="n"/>
      <c r="Q818" s="1562" t="n"/>
      <c r="R818" s="1562" t="n"/>
      <c r="S818" s="1562" t="n"/>
      <c r="T818" s="1562" t="n"/>
      <c r="U818" s="1562" t="n"/>
      <c r="V818" s="1562" t="n"/>
      <c r="W818" s="1562" t="n"/>
      <c r="X818" s="1562" t="n"/>
      <c r="Y818" s="1562" t="n"/>
      <c r="Z818" s="1562" t="n"/>
      <c r="AA818" s="1562" t="n"/>
      <c r="AB818" s="1562" t="n"/>
      <c r="AC818" s="1562" t="n"/>
      <c r="AD818" s="1562" t="n"/>
      <c r="AE818" s="1562" t="n"/>
      <c r="AF818" s="1562" t="n"/>
      <c r="AG818" s="1562" t="n"/>
      <c r="AH818" s="1562" t="n"/>
      <c r="AI818" s="1562" t="n"/>
      <c r="AJ818" s="1562" t="n"/>
      <c r="AK818" s="1562" t="n"/>
      <c r="AL818" s="1562" t="n"/>
      <c r="AM818" s="1562" t="n"/>
      <c r="AN818" s="1562" t="n"/>
      <c r="AO818" s="1562" t="n"/>
      <c r="AP818" s="1562" t="n"/>
      <c r="AQ818" s="1562" t="n"/>
      <c r="AR818" s="1562" t="n"/>
      <c r="AS818" s="1562" t="n"/>
      <c r="AT818" s="1562" t="n"/>
      <c r="AU818" s="1562" t="n"/>
      <c r="AV818" s="1562" t="n"/>
      <c r="AW818" s="1562" t="n"/>
      <c r="AX818" s="1562" t="n"/>
      <c r="AY818" s="1562" t="n"/>
      <c r="AZ818" s="1562" t="n"/>
      <c r="BA818" s="1562" t="n"/>
      <c r="BB818" s="1562" t="n"/>
      <c r="BC818" s="1562" t="n"/>
      <c r="BD818" s="1562" t="n"/>
      <c r="BE818" s="1562" t="n"/>
      <c r="BF818" s="1562" t="n"/>
      <c r="BG818" s="1562" t="n"/>
      <c r="BH818" s="1562" t="n"/>
      <c r="BI818" s="1562" t="n"/>
      <c r="BJ818" s="1562" t="n"/>
      <c r="BK818" s="1562" t="n"/>
      <c r="BL818" s="1562" t="n"/>
      <c r="BM818" s="1562" t="n"/>
      <c r="BN818" s="1562" t="n"/>
      <c r="BO818" s="1563" t="n"/>
      <c r="BP818" s="1562" t="n"/>
      <c r="BQ818" s="1562" t="n"/>
      <c r="BR818" s="1562" t="n"/>
      <c r="BS818" s="1562" t="n"/>
      <c r="BT818" s="1562" t="n"/>
      <c r="BU818" s="1562" t="n"/>
      <c r="BV818" s="1562" t="n"/>
      <c r="BW818" s="1562" t="n"/>
      <c r="BX818" s="1562" t="n"/>
      <c r="BY818" s="1562" t="n"/>
      <c r="BZ818" s="1562" t="n"/>
      <c r="CA818" s="1562" t="n"/>
      <c r="CB818" s="1562" t="n"/>
      <c r="CC818" s="1564" t="n"/>
    </row>
    <row r="819" ht="15" customFormat="1" customHeight="1" s="2101">
      <c r="A819" s="1964" t="inlineStr">
        <is>
          <t>Last Price</t>
        </is>
      </c>
      <c r="B819" s="2074">
        <f>FP.LastPrice</f>
        <v/>
      </c>
      <c r="C819" s="2102" t="n"/>
      <c r="D819" s="2102" t="n"/>
      <c r="E819" s="2102" t="n"/>
      <c r="F819" s="2102" t="n"/>
      <c r="G819" s="2102" t="n"/>
      <c r="H819" s="2102" t="n"/>
      <c r="I819" s="2102" t="n"/>
      <c r="J819" s="2102" t="n"/>
      <c r="K819" s="2102" t="n"/>
      <c r="L819" s="2102" t="n"/>
      <c r="M819" s="2102" t="n"/>
      <c r="N819" s="2102" t="n"/>
      <c r="O819" s="2102" t="n"/>
      <c r="P819" s="2102" t="n"/>
      <c r="Q819" s="2102" t="n"/>
      <c r="R819" s="2102" t="n"/>
      <c r="S819" s="2102" t="n"/>
      <c r="T819" s="2102" t="n"/>
      <c r="U819" s="2102" t="n"/>
      <c r="V819" s="2102" t="n"/>
      <c r="W819" s="2102" t="n"/>
      <c r="X819" s="2102" t="n"/>
      <c r="Y819" s="2102" t="n"/>
      <c r="Z819" s="2102" t="n"/>
      <c r="AA819" s="2102" t="n"/>
      <c r="AB819" s="2102" t="n"/>
      <c r="AC819" s="2102" t="n"/>
      <c r="AD819" s="2102" t="n"/>
      <c r="AE819" s="2102" t="n"/>
      <c r="AF819" s="2102" t="n"/>
      <c r="AG819" s="2102" t="n"/>
      <c r="AH819" s="2102" t="n"/>
      <c r="AI819" s="2102" t="n"/>
      <c r="AJ819" s="2102" t="n"/>
      <c r="AK819" s="2102" t="n"/>
      <c r="AL819" s="2102" t="n"/>
      <c r="AM819" s="2102" t="n"/>
      <c r="AN819" s="2102" t="n"/>
      <c r="AO819" s="2102" t="n"/>
      <c r="AP819" s="2102" t="n"/>
      <c r="AQ819" s="2102" t="n"/>
      <c r="AR819" s="2102" t="n"/>
      <c r="AS819" s="2102" t="n"/>
      <c r="AT819" s="2102" t="n"/>
      <c r="AU819" s="2102" t="n"/>
      <c r="AV819" s="2102" t="n"/>
      <c r="AW819" s="2102" t="n"/>
      <c r="AX819" s="2102" t="n"/>
      <c r="AY819" s="2102" t="n"/>
      <c r="AZ819" s="2102" t="n"/>
      <c r="BA819" s="2102" t="n"/>
      <c r="BB819" s="2102" t="n"/>
      <c r="BC819" s="2102" t="n"/>
      <c r="BD819" s="2102" t="n"/>
      <c r="BE819" s="2102" t="n"/>
      <c r="BF819" s="2102" t="n"/>
      <c r="BG819" s="2102" t="n"/>
      <c r="BH819" s="2102" t="n"/>
      <c r="BI819" s="2102" t="n"/>
      <c r="BJ819" s="2102" t="n"/>
      <c r="BK819" s="2102" t="n"/>
      <c r="BL819" s="2102" t="n"/>
      <c r="BM819" s="2102" t="n"/>
      <c r="BN819" s="2102" t="n"/>
      <c r="BO819" s="2103" t="n"/>
      <c r="BP819" s="2102" t="n"/>
      <c r="BQ819" s="2102" t="n"/>
      <c r="BR819" s="2102" t="n"/>
      <c r="BS819" s="2102" t="n"/>
      <c r="BT819" s="2102" t="n"/>
      <c r="BU819" s="2102" t="n"/>
      <c r="BV819" s="2102" t="n"/>
      <c r="BW819" s="2102" t="n"/>
      <c r="BX819" s="2102" t="n"/>
      <c r="BY819" s="2102" t="n"/>
      <c r="BZ819" s="2102" t="n"/>
      <c r="CA819" s="2102" t="n"/>
      <c r="CB819" s="2102" t="n"/>
      <c r="CC819" s="1966" t="n"/>
    </row>
    <row r="820" ht="15" customHeight="1" s="595">
      <c r="A820" s="1721" t="inlineStr">
        <is>
          <t>Last Price Date</t>
        </is>
      </c>
      <c r="B820" s="2104">
        <f>FP.LastPriceDate</f>
        <v/>
      </c>
      <c r="C820" s="652" t="n"/>
      <c r="D820" s="652" t="n"/>
      <c r="E820" s="652" t="n"/>
      <c r="F820" s="652" t="n"/>
      <c r="G820" s="652" t="n"/>
      <c r="H820" s="652" t="n"/>
      <c r="I820" s="652" t="n"/>
      <c r="J820" s="652" t="n"/>
      <c r="K820" s="652" t="n"/>
      <c r="L820" s="652" t="n"/>
      <c r="M820" s="652" t="n"/>
      <c r="N820" s="652" t="n"/>
      <c r="O820" s="652" t="n"/>
      <c r="P820" s="652" t="n"/>
      <c r="Q820" s="652" t="n"/>
      <c r="R820" s="652" t="n"/>
      <c r="S820" s="652" t="n"/>
      <c r="T820" s="652" t="n"/>
      <c r="U820" s="652" t="n"/>
      <c r="V820" s="652" t="n"/>
      <c r="W820" s="652" t="n"/>
      <c r="X820" s="652" t="n"/>
      <c r="Y820" s="652" t="n"/>
      <c r="Z820" s="652" t="n"/>
      <c r="AA820" s="652" t="n"/>
      <c r="AB820" s="652" t="n"/>
      <c r="AC820" s="652" t="n"/>
      <c r="AD820" s="652" t="n"/>
      <c r="AE820" s="652" t="n"/>
      <c r="AF820" s="652" t="n"/>
      <c r="AG820" s="652" t="n"/>
      <c r="AH820" s="652" t="n"/>
      <c r="AI820" s="652" t="n"/>
      <c r="AJ820" s="652" t="n"/>
      <c r="AK820" s="652" t="n"/>
      <c r="AL820" s="652" t="n"/>
      <c r="AM820" s="652" t="n"/>
      <c r="AN820" s="652" t="n"/>
      <c r="AO820" s="652" t="n"/>
      <c r="AP820" s="652" t="n"/>
      <c r="AQ820" s="652" t="n"/>
      <c r="AR820" s="652" t="n"/>
      <c r="AS820" s="652" t="n"/>
      <c r="AT820" s="652" t="n"/>
      <c r="AU820" s="652" t="n"/>
      <c r="AV820" s="652" t="n"/>
      <c r="AW820" s="652" t="n"/>
      <c r="AX820" s="652" t="n"/>
      <c r="AY820" s="652" t="n"/>
      <c r="AZ820" s="652" t="n"/>
      <c r="BA820" s="652" t="n"/>
      <c r="BB820" s="652" t="n"/>
      <c r="BC820" s="652" t="n"/>
      <c r="BD820" s="652" t="n"/>
      <c r="BE820" s="652" t="n"/>
      <c r="BF820" s="652" t="n"/>
      <c r="BG820" s="652" t="n"/>
      <c r="BH820" s="652" t="n"/>
      <c r="BI820" s="652" t="n"/>
      <c r="BJ820" s="652" t="n"/>
      <c r="BK820" s="652" t="n"/>
      <c r="BL820" s="652" t="n"/>
      <c r="BM820" s="652" t="n"/>
      <c r="BN820" s="652" t="n"/>
      <c r="BO820" s="350" t="n"/>
      <c r="BP820" s="652" t="n"/>
      <c r="BQ820" s="652" t="n"/>
      <c r="BR820" s="652" t="n"/>
      <c r="BS820" s="652" t="n"/>
      <c r="BT820" s="652" t="n"/>
      <c r="BU820" s="652" t="n"/>
      <c r="BV820" s="652" t="n"/>
      <c r="BW820" s="652" t="n"/>
      <c r="BX820" s="652" t="n"/>
      <c r="BY820" s="652" t="n"/>
      <c r="BZ820" s="652" t="n"/>
      <c r="CA820" s="652" t="n"/>
      <c r="CB820" s="652" t="n"/>
      <c r="CC820" s="768" t="n"/>
    </row>
    <row r="821" ht="15" customHeight="1" s="595">
      <c r="A821" s="1721" t="inlineStr">
        <is>
          <t>Real-Time Stock Price</t>
        </is>
      </c>
      <c r="B821" s="768">
        <f>IF(FP.RealTimeToggle="ON",TRUE,FALSE)</f>
        <v/>
      </c>
      <c r="C821" s="652" t="n"/>
      <c r="D821" s="652" t="n"/>
      <c r="E821" s="652" t="n"/>
      <c r="F821" s="652" t="n"/>
      <c r="G821" s="652" t="n"/>
      <c r="H821" s="652" t="n"/>
      <c r="I821" s="652" t="n"/>
      <c r="J821" s="652" t="n"/>
      <c r="K821" s="652" t="n"/>
      <c r="L821" s="652" t="n"/>
      <c r="M821" s="652" t="n"/>
      <c r="N821" s="652" t="n"/>
      <c r="O821" s="652" t="n"/>
      <c r="P821" s="652" t="n"/>
      <c r="Q821" s="652" t="n"/>
      <c r="R821" s="652" t="n"/>
      <c r="S821" s="652" t="n"/>
      <c r="T821" s="652" t="n"/>
      <c r="U821" s="652" t="n"/>
      <c r="V821" s="652" t="n"/>
      <c r="W821" s="652" t="n"/>
      <c r="X821" s="652" t="n"/>
      <c r="Y821" s="652" t="n"/>
      <c r="Z821" s="652" t="n"/>
      <c r="AA821" s="652" t="n"/>
      <c r="AB821" s="652" t="n"/>
      <c r="AC821" s="652" t="n"/>
      <c r="AD821" s="652" t="n"/>
      <c r="AE821" s="652" t="n"/>
      <c r="AF821" s="652" t="n"/>
      <c r="AG821" s="652" t="n"/>
      <c r="AH821" s="652" t="n"/>
      <c r="AI821" s="652" t="n"/>
      <c r="AJ821" s="652" t="n"/>
      <c r="AK821" s="652" t="n"/>
      <c r="AL821" s="652" t="n"/>
      <c r="AM821" s="652" t="n"/>
      <c r="AN821" s="652" t="n"/>
      <c r="AO821" s="652" t="n"/>
      <c r="AP821" s="652" t="n"/>
      <c r="AQ821" s="652" t="n"/>
      <c r="AR821" s="652" t="n"/>
      <c r="AS821" s="652" t="n"/>
      <c r="AT821" s="652" t="n"/>
      <c r="AU821" s="652" t="n"/>
      <c r="AV821" s="652" t="n"/>
      <c r="AW821" s="652" t="n"/>
      <c r="AX821" s="652" t="n"/>
      <c r="AY821" s="652" t="n"/>
      <c r="AZ821" s="652" t="n"/>
      <c r="BA821" s="652" t="n"/>
      <c r="BB821" s="652" t="n"/>
      <c r="BC821" s="652" t="n"/>
      <c r="BD821" s="652" t="n"/>
      <c r="BE821" s="652" t="n"/>
      <c r="BF821" s="652" t="n"/>
      <c r="BG821" s="652" t="n"/>
      <c r="BH821" s="652" t="n"/>
      <c r="BI821" s="652" t="n"/>
      <c r="BJ821" s="652" t="n"/>
      <c r="BK821" s="652" t="n"/>
      <c r="BL821" s="652" t="n"/>
      <c r="BM821" s="652" t="n"/>
      <c r="BN821" s="652" t="n"/>
      <c r="BO821" s="350" t="n"/>
      <c r="BP821" s="652" t="n"/>
      <c r="BQ821" s="652" t="n"/>
      <c r="BR821" s="652" t="n"/>
      <c r="BS821" s="652" t="n"/>
      <c r="BT821" s="652" t="n"/>
      <c r="BU821" s="652" t="n"/>
      <c r="BV821" s="652" t="n"/>
      <c r="BW821" s="652" t="n"/>
      <c r="BX821" s="652" t="n"/>
      <c r="BY821" s="652" t="n"/>
      <c r="BZ821" s="652" t="n"/>
      <c r="CA821" s="652" t="n"/>
      <c r="CB821" s="652" t="n"/>
      <c r="CC821" s="768" t="n"/>
    </row>
    <row r="822" ht="15" customFormat="1" customHeight="1" s="2101">
      <c r="A822" s="1964" t="inlineStr">
        <is>
          <t>Last Price Formula</t>
        </is>
      </c>
      <c r="B822" s="1966">
        <f>IFERROR(CHOOSE(MO.DataSourceIndex,BDP(MO.Ticker.Bloomberg&amp;" EQUITY","PX_LAST"),CIQ(MO.Ticker.CapIQ,"IQ_LASTSALEPRICE"),FDS(MO.Ticker.FactSet,"FG_PRICE(NOW)"),_xll.TR(MO.Ticker.Thomson,"TRDPRC_1")),"N/A")</f>
        <v/>
      </c>
      <c r="C822" s="2102" t="n"/>
      <c r="D822" s="2102" t="n"/>
      <c r="E822" s="2102" t="n"/>
      <c r="F822" s="2102" t="n"/>
      <c r="G822" s="2102" t="n"/>
      <c r="H822" s="2102" t="n"/>
      <c r="I822" s="2102" t="n"/>
      <c r="J822" s="2102" t="n"/>
      <c r="K822" s="2102" t="n"/>
      <c r="L822" s="2102" t="n"/>
      <c r="M822" s="2102" t="n"/>
      <c r="N822" s="2102" t="n"/>
      <c r="O822" s="2102" t="n"/>
      <c r="P822" s="2102" t="n"/>
      <c r="Q822" s="2102" t="n"/>
      <c r="R822" s="2102" t="n"/>
      <c r="S822" s="2102" t="n"/>
      <c r="T822" s="2102" t="n"/>
      <c r="U822" s="2102" t="n"/>
      <c r="V822" s="2102" t="n"/>
      <c r="W822" s="2102" t="n"/>
      <c r="X822" s="2102" t="n"/>
      <c r="Y822" s="2102" t="n"/>
      <c r="Z822" s="2102" t="n"/>
      <c r="AA822" s="2102" t="n"/>
      <c r="AB822" s="2102" t="n"/>
      <c r="AC822" s="2102" t="n"/>
      <c r="AD822" s="2102" t="n"/>
      <c r="AE822" s="2102" t="n"/>
      <c r="AF822" s="2102" t="n"/>
      <c r="AG822" s="2102" t="n"/>
      <c r="AH822" s="2102" t="n"/>
      <c r="AI822" s="2102" t="n"/>
      <c r="AJ822" s="2102" t="n"/>
      <c r="AK822" s="2102" t="n"/>
      <c r="AL822" s="2102" t="n"/>
      <c r="AM822" s="2102" t="n"/>
      <c r="AN822" s="2102" t="n"/>
      <c r="AO822" s="2102" t="n"/>
      <c r="AP822" s="2102" t="n"/>
      <c r="AQ822" s="2102" t="n"/>
      <c r="AR822" s="2102" t="n"/>
      <c r="AS822" s="2102" t="n"/>
      <c r="AT822" s="2102" t="n"/>
      <c r="AU822" s="2102" t="n"/>
      <c r="AV822" s="2102" t="n"/>
      <c r="AW822" s="2102" t="n"/>
      <c r="AX822" s="2102" t="n"/>
      <c r="AY822" s="2102" t="n"/>
      <c r="AZ822" s="2102" t="n"/>
      <c r="BA822" s="2102" t="n"/>
      <c r="BB822" s="2102" t="n"/>
      <c r="BC822" s="2102" t="n"/>
      <c r="BD822" s="2102" t="n"/>
      <c r="BE822" s="2102" t="n"/>
      <c r="BF822" s="2102" t="n"/>
      <c r="BG822" s="2102" t="n"/>
      <c r="BH822" s="2102" t="n"/>
      <c r="BI822" s="2102" t="n"/>
      <c r="BJ822" s="2102" t="n"/>
      <c r="BK822" s="2102" t="n"/>
      <c r="BL822" s="2102" t="n"/>
      <c r="BM822" s="2102" t="n"/>
      <c r="BN822" s="2102" t="n"/>
      <c r="BO822" s="2103" t="n"/>
      <c r="BP822" s="2102" t="n"/>
      <c r="BQ822" s="2102" t="n"/>
      <c r="BR822" s="2102" t="n"/>
      <c r="BS822" s="2102" t="n"/>
      <c r="BT822" s="2102" t="n"/>
      <c r="BU822" s="2102" t="n"/>
      <c r="BV822" s="2102" t="n"/>
      <c r="BW822" s="2102" t="n"/>
      <c r="BX822" s="2102" t="n"/>
      <c r="BY822" s="2102" t="n"/>
      <c r="BZ822" s="2102" t="n"/>
      <c r="CA822" s="2102" t="n"/>
      <c r="CB822" s="2102" t="n"/>
      <c r="CC822" s="1966" t="n"/>
    </row>
    <row r="823" ht="15" customFormat="1" customHeight="1" s="2101">
      <c r="A823" s="1964" t="inlineStr">
        <is>
          <t>Apply Trade Currency Scaling</t>
        </is>
      </c>
      <c r="B823" s="1966">
        <f>OR(AND(OR(EXACT(HP.TradeCurrency.HardCoded,"GBp"),EXACT(HP.TradeCurrency.HardCoded,"GBX")),EXACT(HP.ReportCurrency,"GBP")),AND(OR(EXACT(HP.TradeCurrency.HardCoded,"ZAc"),EXACT(HP.TradeCurrency.HardCoded,"ZAC")),EXACT(HP.ReportCurrency,"ZAR")))</f>
        <v/>
      </c>
      <c r="C823" s="2102" t="n"/>
      <c r="D823" s="2102" t="n"/>
      <c r="E823" s="2102" t="n"/>
      <c r="F823" s="2102" t="n"/>
      <c r="G823" s="2102" t="n"/>
      <c r="H823" s="2102" t="n"/>
      <c r="I823" s="2102" t="n"/>
      <c r="J823" s="2102" t="n"/>
      <c r="K823" s="2102" t="n"/>
      <c r="L823" s="2102" t="n"/>
      <c r="M823" s="2102" t="n"/>
      <c r="N823" s="2102" t="n"/>
      <c r="O823" s="2102" t="n"/>
      <c r="P823" s="2102" t="n"/>
      <c r="Q823" s="2102" t="n"/>
      <c r="R823" s="2102" t="n"/>
      <c r="S823" s="2102" t="n"/>
      <c r="T823" s="2102" t="n"/>
      <c r="U823" s="2102" t="n"/>
      <c r="V823" s="2102" t="n"/>
      <c r="W823" s="2102" t="n"/>
      <c r="X823" s="2102" t="n"/>
      <c r="Y823" s="2102" t="n"/>
      <c r="Z823" s="2102" t="n"/>
      <c r="AA823" s="2102" t="n"/>
      <c r="AB823" s="2102" t="n"/>
      <c r="AC823" s="2102" t="n"/>
      <c r="AD823" s="2102" t="n"/>
      <c r="AE823" s="2102" t="n"/>
      <c r="AF823" s="2102" t="n"/>
      <c r="AG823" s="2102" t="n"/>
      <c r="AH823" s="2102" t="n"/>
      <c r="AI823" s="2102" t="n"/>
      <c r="AJ823" s="2102" t="n"/>
      <c r="AK823" s="2102" t="n"/>
      <c r="AL823" s="2102" t="n"/>
      <c r="AM823" s="2102" t="n"/>
      <c r="AN823" s="2102" t="n"/>
      <c r="AO823" s="2102" t="n"/>
      <c r="AP823" s="2102" t="n"/>
      <c r="AQ823" s="2102" t="n"/>
      <c r="AR823" s="2102" t="n"/>
      <c r="AS823" s="2102" t="n"/>
      <c r="AT823" s="2102" t="n"/>
      <c r="AU823" s="2102" t="n"/>
      <c r="AV823" s="2102" t="n"/>
      <c r="AW823" s="2102" t="n"/>
      <c r="AX823" s="2102" t="n"/>
      <c r="AY823" s="2102" t="n"/>
      <c r="AZ823" s="2102" t="n"/>
      <c r="BA823" s="2102" t="n"/>
      <c r="BB823" s="2102" t="n"/>
      <c r="BC823" s="2102" t="n"/>
      <c r="BD823" s="2102" t="n"/>
      <c r="BE823" s="2102" t="n"/>
      <c r="BF823" s="2102" t="n"/>
      <c r="BG823" s="2102" t="n"/>
      <c r="BH823" s="2102" t="n"/>
      <c r="BI823" s="2102" t="n"/>
      <c r="BJ823" s="2102" t="n"/>
      <c r="BK823" s="2102" t="n"/>
      <c r="BL823" s="2102" t="n"/>
      <c r="BM823" s="2102" t="n"/>
      <c r="BN823" s="2102" t="n"/>
      <c r="BO823" s="2103" t="n"/>
      <c r="BP823" s="2102" t="n"/>
      <c r="BQ823" s="2102" t="n"/>
      <c r="BR823" s="2102" t="n"/>
      <c r="BS823" s="2102" t="n"/>
      <c r="BT823" s="2102" t="n"/>
      <c r="BU823" s="2102" t="n"/>
      <c r="BV823" s="2102" t="n"/>
      <c r="BW823" s="2102" t="n"/>
      <c r="BX823" s="2102" t="n"/>
      <c r="BY823" s="2102" t="n"/>
      <c r="BZ823" s="2102" t="n"/>
      <c r="CA823" s="2102" t="n"/>
      <c r="CB823" s="2102" t="n"/>
      <c r="CC823" s="1966" t="n"/>
    </row>
    <row r="824" ht="15" customFormat="1" customHeight="1" s="2101">
      <c r="A824" s="1964" t="inlineStr">
        <is>
          <t>Trade Currency</t>
        </is>
      </c>
      <c r="B824" s="1966">
        <f>IFERROR(CHOOSE(MO.DataSourceIndex,BDP(HP.Ticker&amp;" Equity","CRNCY"),CIQ(HP.Ticker,"IQ_TRADING_CURRENCY"),FDS(HP.Ticker,"P_CURRENCY(""ISO"")"),_xll.TR(HP.Ticker,"Currency")),HP.TradeCurrency.HardCoded)</f>
        <v/>
      </c>
      <c r="C824" s="2102" t="n"/>
      <c r="D824" s="2102" t="n"/>
      <c r="E824" s="2102" t="n"/>
      <c r="F824" s="2102" t="n"/>
      <c r="G824" s="2102" t="n"/>
      <c r="H824" s="2102" t="n"/>
      <c r="I824" s="2102" t="n"/>
      <c r="J824" s="2102" t="n"/>
      <c r="K824" s="2102" t="n"/>
      <c r="L824" s="2102" t="n"/>
      <c r="M824" s="2102" t="n"/>
      <c r="N824" s="2102" t="n"/>
      <c r="O824" s="2102" t="n"/>
      <c r="P824" s="2102" t="n"/>
      <c r="Q824" s="2102" t="n"/>
      <c r="R824" s="2102" t="n"/>
      <c r="S824" s="2102" t="n"/>
      <c r="T824" s="2102" t="n"/>
      <c r="U824" s="2102" t="n"/>
      <c r="V824" s="2102" t="n"/>
      <c r="W824" s="2102" t="n"/>
      <c r="X824" s="2102" t="n"/>
      <c r="Y824" s="2102" t="n"/>
      <c r="Z824" s="2102" t="n"/>
      <c r="AA824" s="2102" t="n"/>
      <c r="AB824" s="2102" t="n"/>
      <c r="AC824" s="2102" t="n"/>
      <c r="AD824" s="2102" t="n"/>
      <c r="AE824" s="2102" t="n"/>
      <c r="AF824" s="2102" t="n"/>
      <c r="AG824" s="2102" t="n"/>
      <c r="AH824" s="2102" t="n"/>
      <c r="AI824" s="2102" t="n"/>
      <c r="AJ824" s="2102" t="n"/>
      <c r="AK824" s="2102" t="n"/>
      <c r="AL824" s="2102" t="n"/>
      <c r="AM824" s="2102" t="n"/>
      <c r="AN824" s="2102" t="n"/>
      <c r="AO824" s="2102" t="n"/>
      <c r="AP824" s="2102" t="n"/>
      <c r="AQ824" s="2102" t="n"/>
      <c r="AR824" s="2102" t="n"/>
      <c r="AS824" s="2102" t="n"/>
      <c r="AT824" s="2102" t="n"/>
      <c r="AU824" s="2102" t="n"/>
      <c r="AV824" s="2102" t="n"/>
      <c r="AW824" s="2102" t="n"/>
      <c r="AX824" s="2102" t="n"/>
      <c r="AY824" s="2102" t="n"/>
      <c r="AZ824" s="2102" t="n"/>
      <c r="BA824" s="2102" t="n"/>
      <c r="BB824" s="2102" t="n"/>
      <c r="BC824" s="2102" t="n"/>
      <c r="BD824" s="2102" t="n"/>
      <c r="BE824" s="2102" t="n"/>
      <c r="BF824" s="2102" t="n"/>
      <c r="BG824" s="2102" t="n"/>
      <c r="BH824" s="2102" t="n"/>
      <c r="BI824" s="2102" t="n"/>
      <c r="BJ824" s="2102" t="n"/>
      <c r="BK824" s="2102" t="n"/>
      <c r="BL824" s="2102" t="n"/>
      <c r="BM824" s="2102" t="n"/>
      <c r="BN824" s="2102" t="n"/>
      <c r="BO824" s="2103" t="n"/>
      <c r="BP824" s="2102" t="n"/>
      <c r="BQ824" s="2102" t="n"/>
      <c r="BR824" s="2102" t="n"/>
      <c r="BS824" s="2102" t="n"/>
      <c r="BT824" s="2102" t="n"/>
      <c r="BU824" s="2102" t="n"/>
      <c r="BV824" s="2102" t="n"/>
      <c r="BW824" s="2102" t="n"/>
      <c r="BX824" s="2102" t="n"/>
      <c r="BY824" s="2102" t="n"/>
      <c r="BZ824" s="2102" t="n"/>
      <c r="CA824" s="2102" t="n"/>
      <c r="CB824" s="2102" t="n"/>
      <c r="CC824" s="1966" t="n"/>
    </row>
    <row r="825" ht="15" customFormat="1" customHeight="1" s="2101">
      <c r="A825" s="1964" t="inlineStr">
        <is>
          <t>Trade Currency Hardcoded</t>
        </is>
      </c>
      <c r="B825" s="2105" t="inlineStr">
        <is>
          <t>EUR</t>
        </is>
      </c>
      <c r="C825" s="2102" t="n"/>
      <c r="D825" s="2102" t="n"/>
      <c r="E825" s="2102" t="n"/>
      <c r="F825" s="2102" t="n"/>
      <c r="G825" s="2102" t="n"/>
      <c r="H825" s="2102" t="n"/>
      <c r="I825" s="2102" t="n"/>
      <c r="J825" s="2102" t="n"/>
      <c r="K825" s="2102" t="n"/>
      <c r="L825" s="2102" t="n"/>
      <c r="M825" s="2102" t="n"/>
      <c r="N825" s="2102" t="n"/>
      <c r="O825" s="2102" t="n"/>
      <c r="P825" s="2102" t="n"/>
      <c r="Q825" s="2102" t="n"/>
      <c r="R825" s="2102" t="n"/>
      <c r="S825" s="2102" t="n"/>
      <c r="T825" s="2102" t="n"/>
      <c r="U825" s="2102" t="n"/>
      <c r="V825" s="2102" t="n"/>
      <c r="W825" s="2102" t="n"/>
      <c r="X825" s="2102" t="n"/>
      <c r="Y825" s="2102" t="n"/>
      <c r="Z825" s="2102" t="n"/>
      <c r="AA825" s="2102" t="n"/>
      <c r="AB825" s="2102" t="n"/>
      <c r="AC825" s="2102" t="n"/>
      <c r="AD825" s="2102" t="n"/>
      <c r="AE825" s="2102" t="n"/>
      <c r="AF825" s="2102" t="n"/>
      <c r="AG825" s="2102" t="n"/>
      <c r="AH825" s="2102" t="n"/>
      <c r="AI825" s="2102" t="n"/>
      <c r="AJ825" s="2102" t="n"/>
      <c r="AK825" s="2102" t="n"/>
      <c r="AL825" s="2102" t="n"/>
      <c r="AM825" s="2102" t="n"/>
      <c r="AN825" s="2102" t="n"/>
      <c r="AO825" s="2102" t="n"/>
      <c r="AP825" s="2102" t="n"/>
      <c r="AQ825" s="2102" t="n"/>
      <c r="AR825" s="2102" t="n"/>
      <c r="AS825" s="2102" t="n"/>
      <c r="AT825" s="2102" t="n"/>
      <c r="AU825" s="2102" t="n"/>
      <c r="AV825" s="2102" t="n"/>
      <c r="AW825" s="2102" t="n"/>
      <c r="AX825" s="2102" t="n"/>
      <c r="AY825" s="2102" t="n"/>
      <c r="AZ825" s="2102" t="n"/>
      <c r="BA825" s="2102" t="n"/>
      <c r="BB825" s="2102" t="n"/>
      <c r="BC825" s="2102" t="n"/>
      <c r="BD825" s="2102" t="n"/>
      <c r="BE825" s="2102" t="n"/>
      <c r="BF825" s="2102" t="n"/>
      <c r="BG825" s="2102" t="n"/>
      <c r="BH825" s="2102" t="n"/>
      <c r="BI825" s="2102" t="n"/>
      <c r="BJ825" s="2102" t="n"/>
      <c r="BK825" s="2102" t="n"/>
      <c r="BL825" s="2102" t="n"/>
      <c r="BM825" s="2102" t="n"/>
      <c r="BN825" s="2102" t="n"/>
      <c r="BO825" s="2103" t="n"/>
      <c r="BP825" s="2102" t="n"/>
      <c r="BQ825" s="2102" t="n"/>
      <c r="BR825" s="2102" t="n"/>
      <c r="BS825" s="2102" t="n"/>
      <c r="BT825" s="2102" t="n"/>
      <c r="BU825" s="2102" t="n"/>
      <c r="BV825" s="2102" t="n"/>
      <c r="BW825" s="2102" t="n"/>
      <c r="BX825" s="2102" t="n"/>
      <c r="BY825" s="2102" t="n"/>
      <c r="BZ825" s="2102" t="n"/>
      <c r="CA825" s="2102" t="n"/>
      <c r="CB825" s="2102" t="n"/>
      <c r="CC825" s="1966" t="n"/>
    </row>
    <row r="826" ht="15" customFormat="1" customHeight="1" s="2101">
      <c r="A826" s="1964" t="inlineStr">
        <is>
          <t>Model Sheet Currency Hardcoded</t>
        </is>
      </c>
      <c r="B826" s="2105" t="inlineStr">
        <is>
          <t>EUR</t>
        </is>
      </c>
      <c r="C826" s="2102" t="n"/>
      <c r="D826" s="2102" t="n"/>
      <c r="E826" s="2102" t="n"/>
      <c r="F826" s="2102" t="n"/>
      <c r="G826" s="2102" t="n"/>
      <c r="H826" s="2102" t="n"/>
      <c r="I826" s="2102" t="n"/>
      <c r="J826" s="2102" t="n"/>
      <c r="K826" s="2102" t="n"/>
      <c r="L826" s="2102" t="n"/>
      <c r="M826" s="2102" t="n"/>
      <c r="N826" s="2102" t="n"/>
      <c r="O826" s="2102" t="n"/>
      <c r="P826" s="2102" t="n"/>
      <c r="Q826" s="2102" t="n"/>
      <c r="R826" s="2102" t="n"/>
      <c r="S826" s="2102" t="n"/>
      <c r="T826" s="2102" t="n"/>
      <c r="U826" s="2102" t="n"/>
      <c r="V826" s="2102" t="n"/>
      <c r="W826" s="2102" t="n"/>
      <c r="X826" s="2102" t="n"/>
      <c r="Y826" s="2102" t="n"/>
      <c r="Z826" s="2102" t="n"/>
      <c r="AA826" s="2102" t="n"/>
      <c r="AB826" s="2102" t="n"/>
      <c r="AC826" s="2102" t="n"/>
      <c r="AD826" s="2102" t="n"/>
      <c r="AE826" s="2102" t="n"/>
      <c r="AF826" s="2102" t="n"/>
      <c r="AG826" s="2102" t="n"/>
      <c r="AH826" s="2102" t="n"/>
      <c r="AI826" s="2102" t="n"/>
      <c r="AJ826" s="2102" t="n"/>
      <c r="AK826" s="2102" t="n"/>
      <c r="AL826" s="2102" t="n"/>
      <c r="AM826" s="2102" t="n"/>
      <c r="AN826" s="2102" t="n"/>
      <c r="AO826" s="2102" t="n"/>
      <c r="AP826" s="2102" t="n"/>
      <c r="AQ826" s="2102" t="n"/>
      <c r="AR826" s="2102" t="n"/>
      <c r="AS826" s="2102" t="n"/>
      <c r="AT826" s="2102" t="n"/>
      <c r="AU826" s="2102" t="n"/>
      <c r="AV826" s="2102" t="n"/>
      <c r="AW826" s="2102" t="n"/>
      <c r="AX826" s="2102" t="n"/>
      <c r="AY826" s="2102" t="n"/>
      <c r="AZ826" s="2102" t="n"/>
      <c r="BA826" s="2102" t="n"/>
      <c r="BB826" s="2102" t="n"/>
      <c r="BC826" s="2102" t="n"/>
      <c r="BD826" s="2102" t="n"/>
      <c r="BE826" s="2102" t="n"/>
      <c r="BF826" s="2102" t="n"/>
      <c r="BG826" s="2102" t="n"/>
      <c r="BH826" s="2102" t="n"/>
      <c r="BI826" s="2102" t="n"/>
      <c r="BJ826" s="2102" t="n"/>
      <c r="BK826" s="2102" t="n"/>
      <c r="BL826" s="2102" t="n"/>
      <c r="BM826" s="2102" t="n"/>
      <c r="BN826" s="2102" t="n"/>
      <c r="BO826" s="2103" t="n"/>
      <c r="BP826" s="2102" t="n"/>
      <c r="BQ826" s="2102" t="n"/>
      <c r="BR826" s="2102" t="n"/>
      <c r="BS826" s="2102" t="n"/>
      <c r="BT826" s="2102" t="n"/>
      <c r="BU826" s="2102" t="n"/>
      <c r="BV826" s="2102" t="n"/>
      <c r="BW826" s="2102" t="n"/>
      <c r="BX826" s="2102" t="n"/>
      <c r="BY826" s="2102" t="n"/>
      <c r="BZ826" s="2102" t="n"/>
      <c r="CA826" s="2102" t="n"/>
      <c r="CB826" s="2102" t="n"/>
      <c r="CC826" s="1966" t="n"/>
    </row>
    <row r="827" ht="15" customFormat="1" customHeight="1" s="2101">
      <c r="A827" s="1964" t="inlineStr">
        <is>
          <t>Most Recent FX</t>
        </is>
      </c>
      <c r="B827" s="1962">
        <f>IF(EXACT(MO.ReportFX,HP.TradeCurrency),1,IF(OR(INDEX(MO_SPT_FXAverage,1,MO.MRFPColumnNumber+1)="N/A",ISERROR(INDEX(MO_SPT_FXAverage,1,MO.MRFPColumnNumber+1))),MO.MRFX.Hardcoded,INDEX(MO_SPT_FXAverage,1,MO.MRFPColumnNumber+1)))</f>
        <v/>
      </c>
      <c r="C827" s="2102" t="n"/>
      <c r="D827" s="2102" t="n"/>
      <c r="E827" s="2102" t="n"/>
      <c r="F827" s="2102" t="n"/>
      <c r="G827" s="2102" t="n"/>
      <c r="H827" s="2102" t="n"/>
      <c r="I827" s="2102" t="n"/>
      <c r="J827" s="2102" t="n"/>
      <c r="K827" s="2102" t="n"/>
      <c r="L827" s="2102" t="n"/>
      <c r="M827" s="2102" t="n"/>
      <c r="N827" s="2102" t="n"/>
      <c r="O827" s="2102" t="n"/>
      <c r="P827" s="2102" t="n"/>
      <c r="Q827" s="2102" t="n"/>
      <c r="R827" s="2102" t="n"/>
      <c r="S827" s="2102" t="n"/>
      <c r="T827" s="2102" t="n"/>
      <c r="U827" s="2102" t="n"/>
      <c r="V827" s="2102" t="n"/>
      <c r="W827" s="2102" t="n"/>
      <c r="X827" s="2102" t="n"/>
      <c r="Y827" s="2102" t="n"/>
      <c r="Z827" s="2102" t="n"/>
      <c r="AA827" s="2102" t="n"/>
      <c r="AB827" s="2102" t="n"/>
      <c r="AC827" s="2102" t="n"/>
      <c r="AD827" s="2102" t="n"/>
      <c r="AE827" s="2102" t="n"/>
      <c r="AF827" s="2102" t="n"/>
      <c r="AG827" s="2102" t="n"/>
      <c r="AH827" s="2102" t="n"/>
      <c r="AI827" s="2102" t="n"/>
      <c r="AJ827" s="2102" t="n"/>
      <c r="AK827" s="2102" t="n"/>
      <c r="AL827" s="2102" t="n"/>
      <c r="AM827" s="2102" t="n"/>
      <c r="AN827" s="2102" t="n"/>
      <c r="AO827" s="2102" t="n"/>
      <c r="AP827" s="2102" t="n"/>
      <c r="AQ827" s="2102" t="n"/>
      <c r="AR827" s="2102" t="n"/>
      <c r="AS827" s="2102" t="n"/>
      <c r="AT827" s="2102" t="n"/>
      <c r="AU827" s="2102" t="n"/>
      <c r="AV827" s="2102" t="n"/>
      <c r="AW827" s="2102" t="n"/>
      <c r="AX827" s="2102" t="n"/>
      <c r="AY827" s="2102" t="n"/>
      <c r="AZ827" s="2102" t="n"/>
      <c r="BA827" s="2102" t="n"/>
      <c r="BB827" s="2102" t="n"/>
      <c r="BC827" s="2102" t="n"/>
      <c r="BD827" s="2102" t="n"/>
      <c r="BE827" s="2102" t="n"/>
      <c r="BF827" s="2102" t="n"/>
      <c r="BG827" s="2102" t="n"/>
      <c r="BH827" s="2102" t="n"/>
      <c r="BI827" s="2102" t="n"/>
      <c r="BJ827" s="2102" t="n"/>
      <c r="BK827" s="2102" t="n"/>
      <c r="BL827" s="2102" t="n"/>
      <c r="BM827" s="2102" t="n"/>
      <c r="BN827" s="2102" t="n"/>
      <c r="BO827" s="2103" t="n"/>
      <c r="BP827" s="2102" t="n"/>
      <c r="BQ827" s="2102" t="n"/>
      <c r="BR827" s="2102" t="n"/>
      <c r="BS827" s="2102" t="n"/>
      <c r="BT827" s="2102" t="n"/>
      <c r="BU827" s="2102" t="n"/>
      <c r="BV827" s="2102" t="n"/>
      <c r="BW827" s="2102" t="n"/>
      <c r="BX827" s="2102" t="n"/>
      <c r="BY827" s="2102" t="n"/>
      <c r="BZ827" s="2102" t="n"/>
      <c r="CA827" s="2102" t="n"/>
      <c r="CB827" s="2102" t="n"/>
      <c r="CC827" s="1966" t="n"/>
    </row>
    <row r="828" ht="15" customFormat="1" customHeight="1" s="2101">
      <c r="A828" s="1964" t="inlineStr">
        <is>
          <t>Most Recent FX Hardcoded</t>
        </is>
      </c>
      <c r="B828" s="2093" t="n">
        <v>1</v>
      </c>
      <c r="C828" s="2102" t="n"/>
      <c r="D828" s="2102" t="n"/>
      <c r="E828" s="2102" t="n"/>
      <c r="F828" s="2102" t="n"/>
      <c r="G828" s="2102" t="n"/>
      <c r="H828" s="2102" t="n"/>
      <c r="I828" s="2102" t="n"/>
      <c r="J828" s="2102" t="n"/>
      <c r="K828" s="2102" t="n"/>
      <c r="L828" s="2102" t="n"/>
      <c r="M828" s="2102" t="n"/>
      <c r="N828" s="2102" t="n"/>
      <c r="O828" s="2102" t="n"/>
      <c r="P828" s="2102" t="n"/>
      <c r="Q828" s="2102" t="n"/>
      <c r="R828" s="2102" t="n"/>
      <c r="S828" s="2102" t="n"/>
      <c r="T828" s="2102" t="n"/>
      <c r="U828" s="2102" t="n"/>
      <c r="V828" s="2102" t="n"/>
      <c r="W828" s="2102" t="n"/>
      <c r="X828" s="2102" t="n"/>
      <c r="Y828" s="2102" t="n"/>
      <c r="Z828" s="2102" t="n"/>
      <c r="AA828" s="2102" t="n"/>
      <c r="AB828" s="2102" t="n"/>
      <c r="AC828" s="2102" t="n"/>
      <c r="AD828" s="2102" t="n"/>
      <c r="AE828" s="2102" t="n"/>
      <c r="AF828" s="2102" t="n"/>
      <c r="AG828" s="2102" t="n"/>
      <c r="AH828" s="2102" t="n"/>
      <c r="AI828" s="2102" t="n"/>
      <c r="AJ828" s="2102" t="n"/>
      <c r="AK828" s="2102" t="n"/>
      <c r="AL828" s="2102" t="n"/>
      <c r="AM828" s="2102" t="n"/>
      <c r="AN828" s="2102" t="n"/>
      <c r="AO828" s="2102" t="n"/>
      <c r="AP828" s="2102" t="n"/>
      <c r="AQ828" s="2102" t="n"/>
      <c r="AR828" s="2102" t="n"/>
      <c r="AS828" s="2102" t="n"/>
      <c r="AT828" s="2102" t="n"/>
      <c r="AU828" s="2102" t="n"/>
      <c r="AV828" s="2102" t="n"/>
      <c r="AW828" s="2102" t="n"/>
      <c r="AX828" s="2102" t="n"/>
      <c r="AY828" s="2102" t="n"/>
      <c r="AZ828" s="2102" t="n"/>
      <c r="BA828" s="2102" t="n"/>
      <c r="BB828" s="2102" t="n"/>
      <c r="BC828" s="2102" t="n"/>
      <c r="BD828" s="2102" t="n"/>
      <c r="BE828" s="2102" t="n"/>
      <c r="BF828" s="2102" t="n"/>
      <c r="BG828" s="2102" t="n"/>
      <c r="BH828" s="2102" t="n"/>
      <c r="BI828" s="2102" t="n"/>
      <c r="BJ828" s="2102" t="n"/>
      <c r="BK828" s="2102" t="n"/>
      <c r="BL828" s="2102" t="n"/>
      <c r="BM828" s="2102" t="n"/>
      <c r="BN828" s="2102" t="n"/>
      <c r="BO828" s="2103" t="n"/>
      <c r="BP828" s="2102" t="n"/>
      <c r="BQ828" s="2102" t="n"/>
      <c r="BR828" s="2102" t="n"/>
      <c r="BS828" s="2102" t="n"/>
      <c r="BT828" s="2102" t="n"/>
      <c r="BU828" s="2102" t="n"/>
      <c r="BV828" s="2102" t="n"/>
      <c r="BW828" s="2102" t="n"/>
      <c r="BX828" s="2102" t="n"/>
      <c r="BY828" s="2102" t="n"/>
      <c r="BZ828" s="2102" t="n"/>
      <c r="CA828" s="2102" t="n"/>
      <c r="CB828" s="2102" t="n"/>
      <c r="CC828" s="1966" t="n"/>
    </row>
    <row r="829" ht="15" customFormat="1" customHeight="1" s="1574">
      <c r="A829" s="1693" t="inlineStr">
        <is>
          <t>MRFP Column Number</t>
        </is>
      </c>
      <c r="B829" s="1582">
        <f>MATCH(MO.MRFP,MO_Common_ColumnHeader,0)</f>
        <v/>
      </c>
      <c r="C829" s="1675" t="n"/>
      <c r="D829" s="1675" t="n"/>
      <c r="E829" s="1675" t="n"/>
      <c r="F829" s="1675" t="n"/>
      <c r="G829" s="1675" t="n"/>
      <c r="H829" s="1675" t="n"/>
      <c r="I829" s="1675" t="n"/>
      <c r="J829" s="1675" t="n"/>
      <c r="K829" s="1675" t="n"/>
      <c r="L829" s="1675" t="n"/>
      <c r="M829" s="1675" t="n"/>
      <c r="N829" s="1675" t="n"/>
      <c r="O829" s="1675" t="n"/>
      <c r="P829" s="1675" t="n"/>
      <c r="Q829" s="1675" t="n"/>
      <c r="R829" s="1675" t="n"/>
      <c r="S829" s="1675" t="n"/>
      <c r="T829" s="1675" t="n"/>
      <c r="U829" s="1675" t="n"/>
      <c r="V829" s="1675" t="n"/>
      <c r="W829" s="1675" t="n"/>
      <c r="X829" s="1675" t="n"/>
      <c r="Y829" s="1675" t="n"/>
      <c r="Z829" s="1675" t="n"/>
      <c r="AA829" s="1675" t="n"/>
      <c r="AB829" s="1675" t="n"/>
      <c r="AC829" s="1675" t="n"/>
      <c r="AD829" s="1675" t="n"/>
      <c r="AE829" s="1675" t="n"/>
      <c r="AF829" s="1675" t="n"/>
      <c r="AG829" s="1675" t="n"/>
      <c r="AH829" s="1675" t="n"/>
      <c r="AI829" s="1675" t="n"/>
      <c r="AJ829" s="1675" t="n"/>
      <c r="AK829" s="1675" t="n"/>
      <c r="AL829" s="1675" t="n"/>
      <c r="AM829" s="1675" t="n"/>
      <c r="AN829" s="1675" t="n"/>
      <c r="AO829" s="1675" t="n"/>
      <c r="AP829" s="1675" t="n"/>
      <c r="AQ829" s="1675" t="n"/>
      <c r="AR829" s="1675" t="n"/>
      <c r="AS829" s="1675" t="n"/>
      <c r="AT829" s="1675" t="n"/>
      <c r="AU829" s="1675" t="n"/>
      <c r="AV829" s="1675" t="n"/>
      <c r="AW829" s="1675" t="n"/>
      <c r="AX829" s="1675" t="n"/>
      <c r="AY829" s="1675" t="n"/>
      <c r="AZ829" s="1675" t="n"/>
      <c r="BA829" s="1675" t="n"/>
      <c r="BB829" s="1675" t="n"/>
      <c r="BC829" s="1675" t="n"/>
      <c r="BD829" s="1675" t="n"/>
      <c r="BE829" s="1675" t="n"/>
      <c r="BF829" s="1675" t="n"/>
      <c r="BG829" s="1675" t="n"/>
      <c r="BH829" s="1675" t="n"/>
      <c r="BI829" s="1675" t="n"/>
      <c r="BJ829" s="1675" t="n"/>
      <c r="BK829" s="1675" t="n"/>
      <c r="BL829" s="1675" t="n"/>
      <c r="BM829" s="1675" t="n"/>
      <c r="BN829" s="1675" t="n"/>
      <c r="BO829" s="2013" t="n"/>
      <c r="BP829" s="1675" t="n"/>
      <c r="BQ829" s="1675" t="n"/>
      <c r="BR829" s="1675" t="n"/>
      <c r="BS829" s="1675" t="n"/>
      <c r="BT829" s="1675" t="n"/>
      <c r="BU829" s="1675" t="n"/>
      <c r="BV829" s="1675" t="n"/>
      <c r="BW829" s="1675" t="n"/>
      <c r="BX829" s="1675" t="n"/>
      <c r="BY829" s="1675" t="n"/>
      <c r="BZ829" s="1675" t="n"/>
      <c r="CA829" s="1675" t="n"/>
      <c r="CB829" s="1675" t="n"/>
      <c r="CC829" s="1582" t="n"/>
    </row>
    <row r="830" ht="15" customFormat="1" customHeight="1" s="1574">
      <c r="A830" s="1693" t="inlineStr">
        <is>
          <t>Most Recent Fiscal Period (MRFP)</t>
        </is>
      </c>
      <c r="B830" s="1676" t="inlineStr">
        <is>
          <t>FY2025</t>
        </is>
      </c>
      <c r="C830" s="1675" t="n"/>
      <c r="D830" s="1675" t="n"/>
      <c r="E830" s="1675" t="n"/>
      <c r="F830" s="1675" t="n"/>
      <c r="G830" s="1675" t="n"/>
      <c r="H830" s="1675" t="n"/>
      <c r="I830" s="1675" t="n"/>
      <c r="J830" s="1675" t="n"/>
      <c r="K830" s="1675" t="n"/>
      <c r="L830" s="1675" t="n"/>
      <c r="M830" s="1675" t="n"/>
      <c r="N830" s="1675" t="n"/>
      <c r="O830" s="1675" t="n"/>
      <c r="P830" s="1675" t="n"/>
      <c r="Q830" s="1675" t="n"/>
      <c r="R830" s="1675" t="n"/>
      <c r="S830" s="1675" t="n"/>
      <c r="T830" s="1675" t="n"/>
      <c r="U830" s="1675" t="n"/>
      <c r="V830" s="1675" t="n"/>
      <c r="W830" s="1675" t="n"/>
      <c r="X830" s="1675" t="n"/>
      <c r="Y830" s="1675" t="n"/>
      <c r="Z830" s="1675" t="n"/>
      <c r="AA830" s="1675" t="n"/>
      <c r="AB830" s="1675" t="n"/>
      <c r="AC830" s="1675" t="n"/>
      <c r="AD830" s="1675" t="n"/>
      <c r="AE830" s="1675" t="n"/>
      <c r="AF830" s="1675" t="n"/>
      <c r="AG830" s="1675" t="n"/>
      <c r="AH830" s="1675" t="n"/>
      <c r="AI830" s="1675" t="n"/>
      <c r="AJ830" s="1675" t="n"/>
      <c r="AK830" s="1675" t="n"/>
      <c r="AL830" s="1675" t="n"/>
      <c r="AM830" s="1675" t="n"/>
      <c r="AN830" s="1675" t="n"/>
      <c r="AO830" s="1675" t="n"/>
      <c r="AP830" s="1675" t="n"/>
      <c r="AQ830" s="1675" t="n"/>
      <c r="AR830" s="1675" t="n"/>
      <c r="AS830" s="1675" t="n"/>
      <c r="AT830" s="1675" t="n"/>
      <c r="AU830" s="1675" t="n"/>
      <c r="AV830" s="1675" t="n"/>
      <c r="AW830" s="1675" t="n"/>
      <c r="AX830" s="1675" t="n"/>
      <c r="AY830" s="1675" t="n"/>
      <c r="AZ830" s="1675" t="n"/>
      <c r="BA830" s="1675" t="n"/>
      <c r="BB830" s="1675" t="n"/>
      <c r="BC830" s="1675" t="n"/>
      <c r="BD830" s="1675" t="n"/>
      <c r="BE830" s="1675" t="n"/>
      <c r="BF830" s="1675" t="n"/>
      <c r="BG830" s="1675" t="n"/>
      <c r="BH830" s="1675" t="n"/>
      <c r="BI830" s="1675" t="n"/>
      <c r="BJ830" s="1675" t="n"/>
      <c r="BK830" s="1675" t="n"/>
      <c r="BL830" s="1675" t="n"/>
      <c r="BM830" s="1675" t="n"/>
      <c r="BN830" s="1675" t="n"/>
      <c r="BO830" s="2013" t="n"/>
      <c r="BP830" s="1675" t="n"/>
      <c r="BQ830" s="1675" t="n"/>
      <c r="BR830" s="1675" t="n"/>
      <c r="BS830" s="1675" t="n"/>
      <c r="BT830" s="1675" t="n"/>
      <c r="BU830" s="1675" t="n"/>
      <c r="BV830" s="1675" t="n"/>
      <c r="BW830" s="1675" t="n"/>
      <c r="BX830" s="1675" t="n"/>
      <c r="BY830" s="1675" t="n"/>
      <c r="BZ830" s="1675" t="n"/>
      <c r="CA830" s="1675" t="n"/>
      <c r="CB830" s="1675" t="n"/>
      <c r="CC830" s="1582" t="n"/>
    </row>
    <row r="831" ht="15" customFormat="1" customHeight="1" s="1574">
      <c r="A831" s="1693" t="inlineStr">
        <is>
          <t>Current Fiscal Year</t>
        </is>
      </c>
      <c r="B831" s="1582">
        <f>"FY"&amp;RIGHT(MO.MRFP,4)</f>
        <v/>
      </c>
      <c r="C831" s="1675" t="n"/>
      <c r="D831" s="1675" t="n"/>
      <c r="E831" s="1675" t="n"/>
      <c r="F831" s="1675" t="n"/>
      <c r="G831" s="1675" t="n"/>
      <c r="H831" s="1675" t="n"/>
      <c r="I831" s="1675" t="n"/>
      <c r="J831" s="1675" t="n"/>
      <c r="K831" s="1675" t="n"/>
      <c r="L831" s="1675" t="n"/>
      <c r="M831" s="1675" t="n"/>
      <c r="N831" s="1675" t="n"/>
      <c r="O831" s="1675" t="n"/>
      <c r="P831" s="1675" t="n"/>
      <c r="Q831" s="1675" t="n"/>
      <c r="R831" s="1675" t="n"/>
      <c r="S831" s="1675" t="n"/>
      <c r="T831" s="1675" t="n"/>
      <c r="U831" s="1675" t="n"/>
      <c r="V831" s="1675" t="n"/>
      <c r="W831" s="1675" t="n"/>
      <c r="X831" s="1675" t="n"/>
      <c r="Y831" s="1675" t="n"/>
      <c r="Z831" s="1675" t="n"/>
      <c r="AA831" s="1675" t="n"/>
      <c r="AB831" s="1675" t="n"/>
      <c r="AC831" s="1675" t="n"/>
      <c r="AD831" s="1675" t="n"/>
      <c r="AE831" s="1675" t="n"/>
      <c r="AF831" s="1675" t="n"/>
      <c r="AG831" s="1675" t="n"/>
      <c r="AH831" s="1675" t="n"/>
      <c r="AI831" s="1675" t="n"/>
      <c r="AJ831" s="1675" t="n"/>
      <c r="AK831" s="1675" t="n"/>
      <c r="AL831" s="1675" t="n"/>
      <c r="AM831" s="1675" t="n"/>
      <c r="AN831" s="1675" t="n"/>
      <c r="AO831" s="1675" t="n"/>
      <c r="AP831" s="1675" t="n"/>
      <c r="AQ831" s="1675" t="n"/>
      <c r="AR831" s="1675" t="n"/>
      <c r="AS831" s="1675" t="n"/>
      <c r="AT831" s="1675" t="n"/>
      <c r="AU831" s="1675" t="n"/>
      <c r="AV831" s="1675" t="n"/>
      <c r="AW831" s="1675" t="n"/>
      <c r="AX831" s="1675" t="n"/>
      <c r="AY831" s="1675" t="n"/>
      <c r="AZ831" s="1675" t="n"/>
      <c r="BA831" s="1675" t="n"/>
      <c r="BB831" s="1675" t="n"/>
      <c r="BC831" s="1675" t="n"/>
      <c r="BD831" s="1675" t="n"/>
      <c r="BE831" s="1675" t="n"/>
      <c r="BF831" s="1675" t="n"/>
      <c r="BG831" s="1675" t="n"/>
      <c r="BH831" s="1675" t="n"/>
      <c r="BI831" s="1675" t="n"/>
      <c r="BJ831" s="1675" t="n"/>
      <c r="BK831" s="1675" t="n"/>
      <c r="BL831" s="1675" t="n"/>
      <c r="BM831" s="1675" t="n"/>
      <c r="BN831" s="1675" t="n"/>
      <c r="BO831" s="2013" t="n"/>
      <c r="BP831" s="1675" t="n"/>
      <c r="BQ831" s="1675" t="n"/>
      <c r="BR831" s="1675" t="n"/>
      <c r="BS831" s="1675" t="n"/>
      <c r="BT831" s="1675" t="n"/>
      <c r="BU831" s="1675" t="n"/>
      <c r="BV831" s="1675" t="n"/>
      <c r="BW831" s="1675" t="n"/>
      <c r="BX831" s="1675" t="n"/>
      <c r="BY831" s="1675" t="n"/>
      <c r="BZ831" s="1675" t="n"/>
      <c r="CA831" s="1675" t="n"/>
      <c r="CB831" s="1675" t="n"/>
      <c r="CC831" s="1582" t="n"/>
    </row>
    <row r="832" ht="15" customFormat="1" customHeight="1" s="1574">
      <c r="A832" s="1693" t="inlineStr">
        <is>
          <t>First Forecast Fiscal Year</t>
        </is>
      </c>
      <c r="B832" s="1582">
        <f>"FY"&amp;RIGHT(MO.MRFP,4)+IF(LEFT(MO.MRFP,2)="FY",1,0)</f>
        <v/>
      </c>
      <c r="C832" s="1675" t="n"/>
      <c r="D832" s="1675" t="n"/>
      <c r="E832" s="1675" t="n"/>
      <c r="F832" s="1675" t="n"/>
      <c r="G832" s="1675" t="n"/>
      <c r="H832" s="1675" t="n"/>
      <c r="I832" s="1675" t="n"/>
      <c r="J832" s="1675" t="n"/>
      <c r="K832" s="1675" t="n"/>
      <c r="L832" s="1675" t="n"/>
      <c r="M832" s="1675" t="n"/>
      <c r="N832" s="1675" t="n"/>
      <c r="O832" s="1675" t="n"/>
      <c r="P832" s="1675" t="n"/>
      <c r="Q832" s="1675" t="n"/>
      <c r="R832" s="1675" t="n"/>
      <c r="S832" s="1675" t="n"/>
      <c r="T832" s="1675" t="n"/>
      <c r="U832" s="1675" t="n"/>
      <c r="V832" s="1675" t="n"/>
      <c r="W832" s="1675" t="n"/>
      <c r="X832" s="1675" t="n"/>
      <c r="Y832" s="1675" t="n"/>
      <c r="Z832" s="1675" t="n"/>
      <c r="AA832" s="1675" t="n"/>
      <c r="AB832" s="1675" t="n"/>
      <c r="AC832" s="1675" t="n"/>
      <c r="AD832" s="1675" t="n"/>
      <c r="AE832" s="1675" t="n"/>
      <c r="AF832" s="1675" t="n"/>
      <c r="AG832" s="1675" t="n"/>
      <c r="AH832" s="1675" t="n"/>
      <c r="AI832" s="1675" t="n"/>
      <c r="AJ832" s="1675" t="n"/>
      <c r="AK832" s="1675" t="n"/>
      <c r="AL832" s="1675" t="n"/>
      <c r="AM832" s="1675" t="n"/>
      <c r="AN832" s="1675" t="n"/>
      <c r="AO832" s="1675" t="n"/>
      <c r="AP832" s="1675" t="n"/>
      <c r="AQ832" s="1675" t="n"/>
      <c r="AR832" s="1675" t="n"/>
      <c r="AS832" s="1675" t="n"/>
      <c r="AT832" s="1675" t="n"/>
      <c r="AU832" s="1675" t="n"/>
      <c r="AV832" s="1675" t="n"/>
      <c r="AW832" s="1675" t="n"/>
      <c r="AX832" s="1675" t="n"/>
      <c r="AY832" s="1675" t="n"/>
      <c r="AZ832" s="1675" t="n"/>
      <c r="BA832" s="1675" t="n"/>
      <c r="BB832" s="1675" t="n"/>
      <c r="BC832" s="1675" t="n"/>
      <c r="BD832" s="1675" t="n"/>
      <c r="BE832" s="1675" t="n"/>
      <c r="BF832" s="1675" t="n"/>
      <c r="BG832" s="1675" t="n"/>
      <c r="BH832" s="1675" t="n"/>
      <c r="BI832" s="1675" t="n"/>
      <c r="BJ832" s="1675" t="n"/>
      <c r="BK832" s="1675" t="n"/>
      <c r="BL832" s="1675" t="n"/>
      <c r="BM832" s="1675" t="n"/>
      <c r="BN832" s="1675" t="n"/>
      <c r="BO832" s="2013" t="n"/>
      <c r="BP832" s="1675" t="n"/>
      <c r="BQ832" s="1675" t="n"/>
      <c r="BR832" s="1675" t="n"/>
      <c r="BS832" s="1675" t="n"/>
      <c r="BT832" s="1675" t="n"/>
      <c r="BU832" s="1675" t="n"/>
      <c r="BV832" s="1675" t="n"/>
      <c r="BW832" s="1675" t="n"/>
      <c r="BX832" s="1675" t="n"/>
      <c r="BY832" s="1675" t="n"/>
      <c r="BZ832" s="1675" t="n"/>
      <c r="CA832" s="1675" t="n"/>
      <c r="CB832" s="1675" t="n"/>
      <c r="CC832" s="1582" t="n"/>
    </row>
    <row r="833" ht="15" customFormat="1" customHeight="1" s="1574">
      <c r="A833" s="1693" t="inlineStr">
        <is>
          <t>KPI Count</t>
        </is>
      </c>
      <c r="B833" s="1582">
        <f>COUNTA(tb_KPIs)-1</f>
        <v/>
      </c>
      <c r="C833" s="1675" t="n"/>
      <c r="D833" s="1675" t="n"/>
      <c r="E833" s="1675" t="n"/>
      <c r="F833" s="1675" t="n"/>
      <c r="G833" s="1675" t="n"/>
      <c r="H833" s="1675" t="n"/>
      <c r="I833" s="1675" t="n"/>
      <c r="J833" s="1675" t="n"/>
      <c r="K833" s="1675" t="n"/>
      <c r="L833" s="1675" t="n"/>
      <c r="M833" s="1675" t="n"/>
      <c r="N833" s="1675" t="n"/>
      <c r="O833" s="1675" t="n"/>
      <c r="P833" s="1675" t="n"/>
      <c r="Q833" s="1675" t="n"/>
      <c r="R833" s="1675" t="n"/>
      <c r="S833" s="1675" t="n"/>
      <c r="T833" s="1675" t="n"/>
      <c r="U833" s="1675" t="n"/>
      <c r="V833" s="1675" t="n"/>
      <c r="W833" s="1675" t="n"/>
      <c r="X833" s="1675" t="n"/>
      <c r="Y833" s="1675" t="n"/>
      <c r="Z833" s="1675" t="n"/>
      <c r="AA833" s="1675" t="n"/>
      <c r="AB833" s="1675" t="n"/>
      <c r="AC833" s="1675" t="n"/>
      <c r="AD833" s="1675" t="n"/>
      <c r="AE833" s="1675" t="n"/>
      <c r="AF833" s="1675" t="n"/>
      <c r="AG833" s="1675" t="n"/>
      <c r="AH833" s="1675" t="n"/>
      <c r="AI833" s="1675" t="n"/>
      <c r="AJ833" s="1675" t="n"/>
      <c r="AK833" s="1675" t="n"/>
      <c r="AL833" s="1675" t="n"/>
      <c r="AM833" s="1675" t="n"/>
      <c r="AN833" s="1675" t="n"/>
      <c r="AO833" s="1675" t="n"/>
      <c r="AP833" s="1675" t="n"/>
      <c r="AQ833" s="1675" t="n"/>
      <c r="AR833" s="1675" t="n"/>
      <c r="AS833" s="1675" t="n"/>
      <c r="AT833" s="1675" t="n"/>
      <c r="AU833" s="1675" t="n"/>
      <c r="AV833" s="1675" t="n"/>
      <c r="AW833" s="1675" t="n"/>
      <c r="AX833" s="1675" t="n"/>
      <c r="AY833" s="1675" t="n"/>
      <c r="AZ833" s="1675" t="n"/>
      <c r="BA833" s="1675" t="n"/>
      <c r="BB833" s="1675" t="n"/>
      <c r="BC833" s="1675" t="n"/>
      <c r="BD833" s="1675" t="n"/>
      <c r="BE833" s="1675" t="n"/>
      <c r="BF833" s="1675" t="n"/>
      <c r="BG833" s="1675" t="n"/>
      <c r="BH833" s="1675" t="n"/>
      <c r="BI833" s="1675" t="n"/>
      <c r="BJ833" s="1675" t="n"/>
      <c r="BK833" s="1675" t="n"/>
      <c r="BL833" s="1675" t="n"/>
      <c r="BM833" s="1675" t="n"/>
      <c r="BN833" s="1675" t="n"/>
      <c r="BO833" s="2013" t="n"/>
      <c r="BP833" s="1675" t="n"/>
      <c r="BQ833" s="1675" t="n"/>
      <c r="BR833" s="1675" t="n"/>
      <c r="BS833" s="1675" t="n"/>
      <c r="BT833" s="1675" t="n"/>
      <c r="BU833" s="1675" t="n"/>
      <c r="BV833" s="1675" t="n"/>
      <c r="BW833" s="1675" t="n"/>
      <c r="BX833" s="1675" t="n"/>
      <c r="BY833" s="1675" t="n"/>
      <c r="BZ833" s="1675" t="n"/>
      <c r="CA833" s="1675" t="n"/>
      <c r="CB833" s="1675" t="n"/>
      <c r="CC833" s="1582" t="n"/>
    </row>
    <row r="834" ht="15" customFormat="1" customHeight="1" s="1574">
      <c r="A834" s="2106" t="inlineStr">
        <is>
          <t>Data Source Index</t>
        </is>
      </c>
      <c r="B834" s="2107">
        <f>IF(MO.DataSourceName="Bloomberg",1,IF(MO.DataSourceName="Capital IQ",2,IF(MO.DataSourceName="FactSet",3,IF(MO.DataSourceName="Refinitiv",4,1))))</f>
        <v/>
      </c>
      <c r="C834" s="1675" t="n"/>
      <c r="D834" s="1675" t="n"/>
      <c r="E834" s="1675" t="n"/>
      <c r="F834" s="1675" t="n"/>
      <c r="G834" s="1675" t="n"/>
      <c r="H834" s="1675" t="n"/>
      <c r="I834" s="1675" t="n"/>
      <c r="J834" s="1675" t="n"/>
      <c r="K834" s="1675" t="n"/>
      <c r="L834" s="1675" t="n"/>
      <c r="M834" s="1675" t="n"/>
      <c r="N834" s="1675" t="n"/>
      <c r="O834" s="1675" t="n"/>
      <c r="P834" s="1675" t="n"/>
      <c r="Q834" s="1675" t="n"/>
      <c r="R834" s="1675" t="n"/>
      <c r="S834" s="1675" t="n"/>
      <c r="T834" s="1675" t="n"/>
      <c r="U834" s="1675" t="n"/>
      <c r="V834" s="1675" t="n"/>
      <c r="W834" s="1675" t="n"/>
      <c r="X834" s="1675" t="n"/>
      <c r="Y834" s="1675" t="n"/>
      <c r="Z834" s="1675" t="n"/>
      <c r="AA834" s="1675" t="n"/>
      <c r="AB834" s="1675" t="n"/>
      <c r="AC834" s="1675" t="n"/>
      <c r="AD834" s="1675" t="n"/>
      <c r="AE834" s="1675" t="n"/>
      <c r="AF834" s="1675" t="n"/>
      <c r="AG834" s="1675" t="n"/>
      <c r="AH834" s="1675" t="n"/>
      <c r="AI834" s="1675" t="n"/>
      <c r="AJ834" s="1675" t="n"/>
      <c r="AK834" s="1675" t="n"/>
      <c r="AL834" s="1675" t="n"/>
      <c r="AM834" s="1675" t="n"/>
      <c r="AN834" s="1675" t="n"/>
      <c r="AO834" s="1675" t="n"/>
      <c r="AP834" s="1675" t="n"/>
      <c r="AQ834" s="1675" t="n"/>
      <c r="AR834" s="1675" t="n"/>
      <c r="AS834" s="1675" t="n"/>
      <c r="AT834" s="1675" t="n"/>
      <c r="AU834" s="1675" t="n"/>
      <c r="AV834" s="1675" t="n"/>
      <c r="AW834" s="1675" t="n"/>
      <c r="AX834" s="1675" t="n"/>
      <c r="AY834" s="1675" t="n"/>
      <c r="AZ834" s="1675" t="n"/>
      <c r="BA834" s="1675" t="n"/>
      <c r="BB834" s="1675" t="n"/>
      <c r="BC834" s="1675" t="n"/>
      <c r="BD834" s="1675" t="n"/>
      <c r="BE834" s="1675" t="n"/>
      <c r="BF834" s="1675" t="n"/>
      <c r="BG834" s="1675" t="n"/>
      <c r="BH834" s="1675" t="n"/>
      <c r="BI834" s="1675" t="n"/>
      <c r="BJ834" s="1675" t="n"/>
      <c r="BK834" s="1675" t="n"/>
      <c r="BL834" s="1675" t="n"/>
      <c r="BM834" s="1675" t="n"/>
      <c r="BN834" s="1675" t="n"/>
      <c r="BO834" s="2013" t="n"/>
      <c r="BP834" s="1675" t="n"/>
      <c r="BQ834" s="1675" t="n"/>
      <c r="BR834" s="1675" t="n"/>
      <c r="BS834" s="1675" t="n"/>
      <c r="BT834" s="1675" t="n"/>
      <c r="BU834" s="1675" t="n"/>
      <c r="BV834" s="1675" t="n"/>
      <c r="BW834" s="1675" t="n"/>
      <c r="BX834" s="1675" t="n"/>
      <c r="BY834" s="1675" t="n"/>
      <c r="BZ834" s="1675" t="n"/>
      <c r="CA834" s="1675" t="n"/>
      <c r="CB834" s="1675" t="n"/>
      <c r="CC834" s="1582" t="n"/>
    </row>
    <row r="835" ht="15" customHeight="1" s="595">
      <c r="A835" s="332" t="n"/>
      <c r="B835" s="332" t="n"/>
      <c r="C835" s="652" t="n"/>
      <c r="D835" s="652" t="n"/>
      <c r="E835" s="652" t="n"/>
      <c r="F835" s="652" t="n"/>
      <c r="G835" s="652" t="n"/>
      <c r="H835" s="652" t="n"/>
      <c r="I835" s="652" t="n"/>
      <c r="J835" s="652" t="n"/>
      <c r="K835" s="652" t="n"/>
      <c r="L835" s="652" t="n"/>
      <c r="M835" s="652" t="n"/>
      <c r="N835" s="652" t="n"/>
      <c r="O835" s="652" t="n"/>
      <c r="P835" s="652" t="n"/>
      <c r="Q835" s="652" t="n"/>
      <c r="R835" s="652" t="n"/>
      <c r="S835" s="652" t="n"/>
      <c r="T835" s="652" t="n"/>
      <c r="U835" s="652" t="n"/>
      <c r="V835" s="652" t="n"/>
      <c r="W835" s="652" t="n"/>
      <c r="X835" s="652" t="n"/>
      <c r="Y835" s="652" t="n"/>
      <c r="Z835" s="652" t="n"/>
      <c r="AA835" s="652" t="n"/>
      <c r="AB835" s="652" t="n"/>
      <c r="AC835" s="652" t="n"/>
      <c r="AD835" s="652" t="n"/>
      <c r="AE835" s="652" t="n"/>
      <c r="AF835" s="652" t="n"/>
      <c r="AG835" s="652" t="n"/>
      <c r="AH835" s="652" t="n"/>
      <c r="AI835" s="652" t="n"/>
      <c r="AJ835" s="652" t="n"/>
      <c r="AK835" s="652" t="n"/>
      <c r="AL835" s="652" t="n"/>
      <c r="AM835" s="652" t="n"/>
      <c r="AN835" s="652" t="n"/>
      <c r="AO835" s="652" t="n"/>
      <c r="AP835" s="652" t="n"/>
      <c r="AQ835" s="652" t="n"/>
      <c r="AR835" s="652" t="n"/>
      <c r="AS835" s="652" t="n"/>
      <c r="AT835" s="652" t="n"/>
      <c r="AU835" s="652" t="n"/>
      <c r="AV835" s="652" t="n"/>
      <c r="AW835" s="652" t="n"/>
      <c r="AX835" s="652" t="n"/>
      <c r="AY835" s="652" t="n"/>
      <c r="AZ835" s="652" t="n"/>
      <c r="BA835" s="652" t="n"/>
      <c r="BB835" s="652" t="n"/>
      <c r="BC835" s="652" t="n"/>
      <c r="BD835" s="652" t="n"/>
      <c r="BE835" s="652" t="n"/>
      <c r="BF835" s="652" t="n"/>
      <c r="BG835" s="652" t="n"/>
      <c r="BH835" s="652" t="n"/>
      <c r="BI835" s="652" t="n"/>
      <c r="BJ835" s="652" t="n"/>
      <c r="BK835" s="652" t="n"/>
      <c r="BL835" s="652" t="n"/>
      <c r="BM835" s="652" t="n"/>
      <c r="BN835" s="652" t="n"/>
      <c r="BO835" s="350" t="n"/>
      <c r="BP835" s="652" t="n"/>
      <c r="BQ835" s="652" t="n"/>
      <c r="BR835" s="652" t="n"/>
      <c r="BS835" s="652" t="n"/>
      <c r="BT835" s="652" t="n"/>
      <c r="BU835" s="652" t="n"/>
      <c r="BV835" s="652" t="n"/>
      <c r="BW835" s="652" t="n"/>
      <c r="BX835" s="652" t="n"/>
      <c r="BY835" s="652" t="n"/>
      <c r="BZ835" s="652" t="n"/>
      <c r="CA835" s="652" t="n"/>
      <c r="CB835" s="652" t="n"/>
      <c r="CC835" s="768" t="n"/>
    </row>
    <row r="836" ht="15" customHeight="1" s="595">
      <c r="A836" s="2108" t="inlineStr">
        <is>
          <t>Tegus</t>
        </is>
      </c>
      <c r="B836" s="767" t="n"/>
      <c r="C836" s="767" t="n"/>
      <c r="D836" s="767" t="n"/>
      <c r="E836" s="767" t="n"/>
      <c r="F836" s="767" t="n"/>
      <c r="G836" s="767" t="n"/>
      <c r="H836" s="767" t="n"/>
      <c r="I836" s="767" t="n"/>
      <c r="J836" s="767" t="n"/>
      <c r="K836" s="767" t="n"/>
      <c r="L836" s="767" t="n"/>
      <c r="M836" s="767" t="n"/>
      <c r="N836" s="767" t="n"/>
      <c r="O836" s="767" t="n"/>
      <c r="P836" s="767" t="n"/>
      <c r="Q836" s="767" t="n"/>
      <c r="R836" s="767" t="n"/>
      <c r="S836" s="767" t="n"/>
      <c r="T836" s="767" t="n"/>
      <c r="U836" s="767" t="n"/>
      <c r="V836" s="767" t="n"/>
      <c r="W836" s="767" t="n"/>
      <c r="X836" s="767" t="n"/>
      <c r="Y836" s="767" t="n"/>
      <c r="Z836" s="767" t="n"/>
      <c r="AA836" s="767" t="n"/>
      <c r="AB836" s="767" t="n"/>
      <c r="AC836" s="767" t="n"/>
      <c r="AD836" s="767" t="n"/>
      <c r="AE836" s="767" t="n"/>
      <c r="AF836" s="767" t="n"/>
      <c r="AG836" s="767" t="n"/>
      <c r="AH836" s="767" t="n"/>
      <c r="AI836" s="767" t="n"/>
      <c r="AJ836" s="767" t="n"/>
      <c r="AK836" s="767" t="n"/>
      <c r="AL836" s="767" t="n"/>
      <c r="AM836" s="767" t="n"/>
      <c r="AN836" s="767" t="n"/>
      <c r="AO836" s="767" t="n"/>
      <c r="AP836" s="767" t="n"/>
      <c r="AQ836" s="767" t="n"/>
      <c r="AR836" s="767" t="n"/>
      <c r="AS836" s="767" t="n"/>
      <c r="AT836" s="767" t="n"/>
      <c r="AU836" s="767" t="n"/>
      <c r="AV836" s="767" t="n"/>
      <c r="AW836" s="767" t="n"/>
      <c r="AX836" s="767" t="n"/>
      <c r="AY836" s="767" t="n"/>
      <c r="AZ836" s="767" t="n"/>
      <c r="BA836" s="767" t="n"/>
      <c r="BB836" s="767" t="n"/>
      <c r="BC836" s="767" t="n"/>
      <c r="BD836" s="767" t="n"/>
      <c r="BE836" s="767" t="n"/>
      <c r="BF836" s="767" t="n"/>
      <c r="BG836" s="767" t="n"/>
      <c r="BH836" s="767" t="n"/>
      <c r="BI836" s="767" t="n"/>
      <c r="BJ836" s="767" t="n"/>
      <c r="BK836" s="767" t="n"/>
      <c r="BL836" s="767" t="n"/>
      <c r="BM836" s="767" t="n"/>
      <c r="BN836" s="767" t="n"/>
      <c r="BO836" s="767" t="n"/>
      <c r="BP836" s="767" t="n"/>
      <c r="BQ836" s="767" t="n"/>
      <c r="BR836" s="767" t="n"/>
      <c r="BS836" s="767" t="n"/>
      <c r="BT836" s="767" t="n"/>
      <c r="BU836" s="767" t="n"/>
      <c r="BV836" s="767" t="n"/>
      <c r="BW836" s="767" t="n"/>
      <c r="BX836" s="767" t="n"/>
      <c r="BY836" s="767" t="n"/>
      <c r="BZ836" s="767" t="n"/>
      <c r="CA836" s="767" t="n"/>
      <c r="CB836" s="767" t="n"/>
      <c r="CC836" s="768" t="n"/>
    </row>
    <row r="837" ht="15" customHeight="1" s="595">
      <c r="A837" s="768" t="n"/>
      <c r="B837" s="768" t="n"/>
      <c r="C837" s="768" t="n"/>
      <c r="D837" s="768" t="n"/>
      <c r="E837" s="768" t="n"/>
      <c r="F837" s="768" t="n"/>
      <c r="G837" s="768" t="n"/>
      <c r="H837" s="768" t="n"/>
      <c r="I837" s="768" t="n"/>
      <c r="J837" s="768" t="n"/>
      <c r="K837" s="768" t="n"/>
      <c r="L837" s="768" t="n"/>
      <c r="M837" s="768" t="n"/>
      <c r="N837" s="768" t="n"/>
      <c r="O837" s="768" t="n"/>
      <c r="P837" s="768" t="n"/>
      <c r="Q837" s="768" t="n"/>
      <c r="R837" s="768" t="n"/>
      <c r="S837" s="768" t="n"/>
      <c r="T837" s="768" t="n"/>
      <c r="U837" s="768" t="n"/>
      <c r="V837" s="768" t="n"/>
      <c r="W837" s="768" t="n"/>
      <c r="X837" s="768" t="n"/>
      <c r="Y837" s="768" t="n"/>
      <c r="Z837" s="768" t="n"/>
      <c r="AA837" s="768" t="n"/>
      <c r="AB837" s="768" t="n"/>
      <c r="AC837" s="768" t="n"/>
      <c r="AD837" s="768" t="n"/>
      <c r="AE837" s="768" t="n"/>
      <c r="AF837" s="768" t="n"/>
      <c r="AG837" s="768" t="n"/>
      <c r="AH837" s="768" t="n"/>
      <c r="AI837" s="768" t="n"/>
      <c r="AJ837" s="768" t="n"/>
      <c r="AK837" s="768" t="n"/>
      <c r="AL837" s="768" t="n"/>
      <c r="AM837" s="768" t="n"/>
      <c r="AN837" s="768" t="n"/>
      <c r="AO837" s="768" t="n"/>
      <c r="AP837" s="768" t="n"/>
      <c r="AQ837" s="768" t="n"/>
      <c r="AR837" s="768" t="n"/>
      <c r="AS837" s="768" t="n"/>
      <c r="AT837" s="768" t="n"/>
      <c r="AU837" s="768" t="n"/>
      <c r="AV837" s="768" t="n"/>
      <c r="AW837" s="768" t="n"/>
      <c r="AX837" s="768" t="n"/>
      <c r="AY837" s="768" t="n"/>
      <c r="AZ837" s="768" t="n"/>
      <c r="BA837" s="768" t="n"/>
      <c r="BB837" s="768" t="n"/>
      <c r="BC837" s="768" t="n"/>
      <c r="BD837" s="768" t="n"/>
      <c r="BE837" s="768" t="n"/>
      <c r="BF837" s="768" t="n"/>
      <c r="BG837" s="768" t="n"/>
      <c r="BH837" s="768" t="n"/>
      <c r="BI837" s="768" t="n"/>
      <c r="BJ837" s="768" t="n"/>
      <c r="BK837" s="768" t="n"/>
      <c r="BL837" s="768" t="n"/>
      <c r="BM837" s="768" t="n"/>
      <c r="BN837" s="768" t="n"/>
      <c r="BO837" s="768" t="n"/>
      <c r="BP837" s="768" t="n"/>
      <c r="BQ837" s="768" t="n"/>
      <c r="BR837" s="768" t="n"/>
      <c r="BS837" s="768" t="n"/>
      <c r="BT837" s="768" t="n"/>
      <c r="BU837" s="768" t="n"/>
      <c r="BV837" s="768" t="n"/>
      <c r="BW837" s="768" t="n"/>
      <c r="BX837" s="768" t="n"/>
      <c r="BY837" s="768" t="n"/>
      <c r="BZ837" s="768" t="n"/>
      <c r="CA837" s="768" t="n"/>
      <c r="CB837" s="768" t="n"/>
      <c r="CC837" s="768" t="n"/>
    </row>
  </sheetData>
  <conditionalFormatting sqref="C320:J320 L320:O320 Q320:CB320">
    <cfRule type="cellIs" priority="1069" operator="equal" dxfId="1">
      <formula>0</formula>
    </cfRule>
    <cfRule type="cellIs" priority="1068" operator="notEqual" dxfId="0">
      <formula>0</formula>
    </cfRule>
  </conditionalFormatting>
  <conditionalFormatting sqref="C580:CB580">
    <cfRule type="cellIs" priority="1067" operator="equal" dxfId="1">
      <formula>0</formula>
    </cfRule>
    <cfRule type="cellIs" priority="1066" operator="notEqual" dxfId="0">
      <formula>0</formula>
    </cfRule>
  </conditionalFormatting>
  <conditionalFormatting sqref="C685:CB685">
    <cfRule type="cellIs" priority="1065" operator="equal" dxfId="1">
      <formula>0</formula>
    </cfRule>
    <cfRule type="cellIs" priority="1064" operator="notEqual" dxfId="0">
      <formula>0</formula>
    </cfRule>
  </conditionalFormatting>
  <conditionalFormatting sqref="C688:J688 C689:CB700 C701:J701 C702:K703 C704:CB708 L688:O688 L701:CB701 M702:P703 Q688:CB688 R702:CB703">
    <cfRule type="cellIs" priority="1063" operator="equal" dxfId="1">
      <formula>0</formula>
    </cfRule>
    <cfRule type="cellIs" priority="1062" operator="notEqual" dxfId="0">
      <formula>0</formula>
    </cfRule>
  </conditionalFormatting>
  <dataValidations count="1">
    <dataValidation sqref="B445" showDropDown="0" showInputMessage="1" showErrorMessage="1" allowBlank="1" type="list">
      <formula1>OFFSET(tb_ValuationToggle,1,0,4,1)</formula1>
    </dataValidation>
  </dataValidations>
  <hyperlinks>
    <hyperlink xmlns:r="http://schemas.openxmlformats.org/officeDocument/2006/relationships" ref="A1" display="ASML Holdings N.V." r:id="rId1"/>
  </hyperlinks>
  <pageMargins left="0" right="0" top="0.393700787401575" bottom="0" header="0.196850393700787" footer="0"/>
  <pageSetup orientation="landscape" paperSize="1" scale="18" fitToHeight="0"/>
  <headerFooter>
    <oddHeader>&amp;CASML Holdings N.V.&amp;RPage &amp;P</oddHeader>
    <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3">
    <outlinePr summaryBelow="1" summaryRight="1"/>
    <pageSetUpPr/>
  </sheetPr>
  <dimension ref="A1:U294"/>
  <sheetViews>
    <sheetView topLeftCell="A1" workbookViewId="0">
      <selection activeCell="A1" sqref="A1"/>
    </sheetView>
  </sheetViews>
  <sheetFormatPr baseColWidth="8" defaultColWidth="8.71428571428571" defaultRowHeight="15"/>
  <cols>
    <col width="3.42857142857143" customWidth="1" style="625" min="1" max="1"/>
    <col width="9.28571428571429" bestFit="1" customWidth="1" style="595" min="2" max="2"/>
    <col width="2.71428571428571" customWidth="1" style="595" min="3" max="3"/>
    <col width="30.5714285714286" bestFit="1" customWidth="1" style="626" min="4" max="4"/>
    <col hidden="1" outlineLevel="1" width="33.2857142857143" customWidth="1" style="627" min="5" max="5"/>
    <col collapsed="1" width="14.4285714285714" bestFit="1" customWidth="1" style="595" min="6" max="6"/>
    <col hidden="1" outlineLevel="1" collapsed="1" width="14.4285714285714" customWidth="1" style="595" min="7" max="7"/>
    <col collapsed="1" width="2.71428571428571" customWidth="1" style="595" min="8" max="8"/>
    <col width="9.428571428571431" bestFit="1" customWidth="1" style="595" min="9" max="11"/>
    <col width="2.71428571428571" customWidth="1" style="595" min="12" max="12"/>
    <col width="8.71428571428571" bestFit="1" customWidth="1" style="595" min="13" max="13"/>
    <col width="11.7142857142857" bestFit="1" customWidth="1" style="626" min="14" max="14"/>
    <col width="2.71428571428571" customWidth="1" style="595" min="15" max="15"/>
    <col width="13.4285714285714" bestFit="1" customWidth="1" style="595" min="16" max="16"/>
    <col width="14.2857142857143" bestFit="1" customWidth="1" style="607" min="17" max="17"/>
    <col width="2.71428571428571" customWidth="1" style="595" min="18" max="18"/>
    <col width="10.7142857142857" bestFit="1" customWidth="1" style="628" min="19" max="19"/>
    <col width="20.4285714285714" bestFit="1" customWidth="1" style="629" min="20" max="20"/>
    <col width="8.71428571428571" customWidth="1" style="595" min="21" max="27"/>
    <col width="8.71428571428571" customWidth="1" style="595" min="28" max="16384"/>
  </cols>
  <sheetData>
    <row r="1" ht="28.5" customHeight="1" s="595">
      <c r="A1" s="101" t="n"/>
      <c r="B1" s="2109">
        <f>MO.CompanyName</f>
        <v/>
      </c>
      <c r="C1" s="652" t="n"/>
      <c r="D1" s="652" t="n"/>
      <c r="E1" s="653" t="n"/>
      <c r="F1" s="652" t="n"/>
      <c r="G1" s="652" t="n"/>
      <c r="H1" s="652" t="n"/>
      <c r="I1" s="652" t="n"/>
      <c r="J1" s="652" t="n"/>
      <c r="K1" s="652" t="n"/>
      <c r="L1" s="652" t="n"/>
      <c r="M1" s="652" t="n"/>
      <c r="N1" s="652" t="n"/>
      <c r="O1" s="652" t="n"/>
      <c r="P1" s="652" t="n"/>
      <c r="Q1" s="646" t="n"/>
      <c r="R1" s="652" t="n"/>
      <c r="S1" s="133" t="n"/>
      <c r="T1" s="652" t="n"/>
      <c r="U1" s="652" t="n"/>
    </row>
    <row r="2" ht="15" customHeight="1" s="595">
      <c r="A2" s="101" t="n"/>
      <c r="B2" s="131" t="inlineStr">
        <is>
          <t>Most Recent Period:</t>
        </is>
      </c>
      <c r="C2" s="652" t="n"/>
      <c r="D2" s="652" t="n"/>
      <c r="E2" s="653" t="n"/>
      <c r="F2" s="652">
        <f>UL.MRQ</f>
        <v/>
      </c>
      <c r="G2" s="652" t="n"/>
      <c r="H2" s="652" t="n"/>
      <c r="I2" s="652" t="n"/>
      <c r="J2" s="652" t="n"/>
      <c r="K2" s="652" t="n"/>
      <c r="L2" s="652" t="n"/>
      <c r="M2" s="652" t="n"/>
      <c r="N2" s="652" t="n"/>
      <c r="O2" s="652" t="n"/>
      <c r="P2" s="652" t="n"/>
      <c r="Q2" s="646" t="n"/>
      <c r="R2" s="652" t="n"/>
      <c r="S2" s="133" t="n"/>
      <c r="T2" s="652" t="n"/>
      <c r="U2" s="652" t="n"/>
    </row>
    <row r="3" ht="15" customHeight="1" s="595">
      <c r="A3" s="101" t="n"/>
      <c r="B3" s="652" t="n"/>
      <c r="C3" s="652" t="n"/>
      <c r="D3" s="652" t="n"/>
      <c r="E3" s="653" t="n"/>
      <c r="F3" s="652" t="n"/>
      <c r="G3" s="652" t="n"/>
      <c r="H3" s="652" t="n"/>
      <c r="I3" s="652" t="n"/>
      <c r="J3" s="652" t="n"/>
      <c r="K3" s="652" t="n"/>
      <c r="L3" s="652" t="n"/>
      <c r="M3" s="652" t="n"/>
      <c r="N3" s="652" t="n"/>
      <c r="O3" s="652" t="n"/>
      <c r="P3" s="652" t="n"/>
      <c r="Q3" s="646" t="n"/>
      <c r="R3" s="652" t="n"/>
      <c r="S3" s="652" t="n"/>
      <c r="T3" s="652" t="n"/>
      <c r="U3" s="652" t="n"/>
    </row>
    <row r="4" ht="15" customFormat="1" customHeight="1" s="630">
      <c r="A4" s="101" t="n"/>
      <c r="B4" s="140" t="n"/>
      <c r="C4" s="149" t="n"/>
      <c r="D4" s="140" t="n"/>
      <c r="E4" s="140" t="n"/>
      <c r="F4" s="140" t="n"/>
      <c r="G4" s="140" t="n"/>
      <c r="H4" s="149" t="n"/>
      <c r="I4" s="141" t="inlineStr">
        <is>
          <t>Guidance</t>
        </is>
      </c>
      <c r="J4" s="141" t="n"/>
      <c r="K4" s="141" t="n"/>
      <c r="L4" s="149" t="n"/>
      <c r="M4" s="141" t="inlineStr">
        <is>
          <t>Model</t>
        </is>
      </c>
      <c r="N4" s="141" t="n"/>
      <c r="O4" s="149" t="n"/>
      <c r="P4" s="141" t="inlineStr">
        <is>
          <t>Difference vs. Mid</t>
        </is>
      </c>
      <c r="Q4" s="141" t="n"/>
      <c r="R4" s="149" t="n"/>
      <c r="S4" s="141" t="inlineStr">
        <is>
          <t>Update Log</t>
        </is>
      </c>
      <c r="T4" s="141" t="n"/>
      <c r="U4" s="133" t="n"/>
    </row>
    <row r="5" ht="15" customFormat="1" customHeight="1" s="631">
      <c r="A5" s="101" t="n"/>
      <c r="B5" s="140" t="inlineStr">
        <is>
          <t>Type</t>
        </is>
      </c>
      <c r="C5" s="150" t="n"/>
      <c r="D5" s="140" t="inlineStr">
        <is>
          <t>Item</t>
        </is>
      </c>
      <c r="E5" s="140" t="inlineStr">
        <is>
          <t>Item Name</t>
        </is>
      </c>
      <c r="F5" s="140" t="inlineStr">
        <is>
          <t>Fiscal Period</t>
        </is>
      </c>
      <c r="G5" s="140" t="inlineStr">
        <is>
          <t>Base Period</t>
        </is>
      </c>
      <c r="H5" s="150" t="n"/>
      <c r="I5" s="142" t="inlineStr">
        <is>
          <t>Low</t>
        </is>
      </c>
      <c r="J5" s="142" t="inlineStr">
        <is>
          <t>High</t>
        </is>
      </c>
      <c r="K5" s="142" t="inlineStr">
        <is>
          <t>Mid</t>
        </is>
      </c>
      <c r="L5" s="150" t="n"/>
      <c r="M5" s="140" t="inlineStr">
        <is>
          <t>Type</t>
        </is>
      </c>
      <c r="N5" s="142" t="inlineStr">
        <is>
          <t>Output</t>
        </is>
      </c>
      <c r="O5" s="150" t="n"/>
      <c r="P5" s="142" t="inlineStr">
        <is>
          <t>Absolute</t>
        </is>
      </c>
      <c r="Q5" s="143" t="inlineStr">
        <is>
          <t>Relative</t>
        </is>
      </c>
      <c r="R5" s="150" t="n"/>
      <c r="S5" s="142" t="inlineStr">
        <is>
          <t>Date</t>
        </is>
      </c>
      <c r="T5" s="142" t="inlineStr">
        <is>
          <t>Link</t>
        </is>
      </c>
      <c r="U5" s="138" t="n"/>
    </row>
    <row r="6" ht="15" customFormat="1" customHeight="1" s="631">
      <c r="A6" s="101" t="n">
        <v>288</v>
      </c>
      <c r="B6" s="144">
        <f>IF(INDEX(MO_SNA_IsHistoricalPeriod,,MATCH(F6,MO_Common_ColumnHeader,0)),"Historical","Forward")</f>
        <v/>
      </c>
      <c r="C6" s="652" t="n"/>
      <c r="D6" s="151">
        <f>INDEX(INDIRECT(E6),0,COLUMN(MO_Common_Column_A))</f>
        <v/>
      </c>
      <c r="E6" s="145" t="inlineStr">
        <is>
          <t>MO_RIS_REV</t>
        </is>
      </c>
      <c r="F6" s="144" t="inlineStr">
        <is>
          <t>FY2026</t>
        </is>
      </c>
      <c r="G6" s="144" t="n"/>
      <c r="H6" s="652" t="n"/>
      <c r="I6" s="1637" t="n">
        <v>34000</v>
      </c>
      <c r="J6" s="1637" t="n">
        <v>39000</v>
      </c>
      <c r="K6" s="1637">
        <f>AVERAGE(I6:J6)</f>
        <v/>
      </c>
      <c r="L6" s="652" t="n"/>
      <c r="M6" s="144">
        <f>IF(INDEX(MO_SNA_IsHistoricalPeriod,,MATCH(F6,MO_Common_ColumnHeader,0)),"Actual","Estimate")</f>
        <v/>
      </c>
      <c r="N6" s="1637">
        <f>IFERROR(INDEX(INDIRECT(E6),0,MATCH(F6,MO_Common_ColumnHeader,0)),"N/A")</f>
        <v/>
      </c>
      <c r="O6" s="652" t="n"/>
      <c r="P6" s="2110">
        <f>IF(ISNUMBER(N6),N6-K6,"N/A")</f>
        <v/>
      </c>
      <c r="Q6" s="153">
        <f>IFERROR(IF(ISNUMBER(N6),(N6-K6)/ABS(K6),"N/A"),"N/A")</f>
        <v/>
      </c>
      <c r="R6" s="652" t="n"/>
      <c r="S6" s="147" t="n">
        <v>46050</v>
      </c>
      <c r="T6" s="154" t="inlineStr">
        <is>
          <t>Investor Presentation</t>
        </is>
      </c>
      <c r="U6" s="652" t="n"/>
    </row>
    <row r="7" ht="15" customFormat="1" customHeight="1" s="631">
      <c r="A7" s="101" t="n">
        <v>287</v>
      </c>
      <c r="B7" s="144">
        <f>IF(INDEX(MO_SNA_IsHistoricalPeriod,,MATCH(F7,MO_Common_ColumnHeader,0)),"Historical","Forward")</f>
        <v/>
      </c>
      <c r="C7" s="652" t="n"/>
      <c r="D7" s="151">
        <f>INDEX(INDIRECT(E7),0,COLUMN(MO_Common_Column_A))</f>
        <v/>
      </c>
      <c r="E7" s="145" t="inlineStr">
        <is>
          <t>MO_MA_GM</t>
        </is>
      </c>
      <c r="F7" s="144" t="inlineStr">
        <is>
          <t>FY2026</t>
        </is>
      </c>
      <c r="G7" s="144" t="n"/>
      <c r="H7" s="652" t="n"/>
      <c r="I7" s="1352" t="n">
        <v>0.51</v>
      </c>
      <c r="J7" s="1352" t="n">
        <v>0.53</v>
      </c>
      <c r="K7" s="1352">
        <f>AVERAGE(I7:J7)</f>
        <v/>
      </c>
      <c r="L7" s="652" t="n"/>
      <c r="M7" s="144">
        <f>IF(INDEX(MO_SNA_IsHistoricalPeriod,,MATCH(F7,MO_Common_ColumnHeader,0)),"Actual","Estimate")</f>
        <v/>
      </c>
      <c r="N7" s="1352">
        <f>IFERROR(INDEX(INDIRECT(E7),0,MATCH(F7,MO_Common_ColumnHeader,0)),"N/A")</f>
        <v/>
      </c>
      <c r="O7" s="652" t="n"/>
      <c r="P7" s="153">
        <f>IF(ISNUMBER(N7),N7-K7,"N/A")</f>
        <v/>
      </c>
      <c r="Q7" s="153">
        <f>IFERROR(IF(ISNUMBER(N7),(N7-K7)/ABS(K7),"N/A"),"N/A")</f>
        <v/>
      </c>
      <c r="R7" s="652" t="n"/>
      <c r="S7" s="147" t="n">
        <v>46050</v>
      </c>
      <c r="T7" s="154" t="inlineStr">
        <is>
          <t>Investor Presentation</t>
        </is>
      </c>
      <c r="U7" s="652" t="n"/>
    </row>
    <row r="8" ht="15" customHeight="1" s="595">
      <c r="A8" s="101" t="n">
        <v>286</v>
      </c>
      <c r="B8" s="144">
        <f>IF(INDEX(MO_SNA_IsHistoricalPeriod,,MATCH(F8,MO_Common_ColumnHeader,0)),"Historical","Forward")</f>
        <v/>
      </c>
      <c r="C8" s="652" t="n"/>
      <c r="D8" s="151" t="inlineStr">
        <is>
          <t>Effective tax rate</t>
        </is>
      </c>
      <c r="E8" s="145" t="n"/>
      <c r="F8" s="144" t="inlineStr">
        <is>
          <t>FY2026</t>
        </is>
      </c>
      <c r="G8" s="144" t="n"/>
      <c r="H8" s="652" t="n"/>
      <c r="I8" s="1352" t="n">
        <v>0.17</v>
      </c>
      <c r="J8" s="1352" t="n">
        <v>0.17</v>
      </c>
      <c r="K8" s="1352">
        <f>AVERAGE(I8:J8)</f>
        <v/>
      </c>
      <c r="L8" s="652" t="n"/>
      <c r="M8" s="144">
        <f>IF(INDEX(MO_SNA_IsHistoricalPeriod,,MATCH(F8,MO_Common_ColumnHeader,0)),"Actual","Estimate")</f>
        <v/>
      </c>
      <c r="N8" s="1352">
        <f>INDEX(MO_RIS_TaxRate_Current,0,MATCH(F8,MO_Common_ColumnHeader,0))+INDEX(MO_RIS_TaxRate_Deferred,0,MATCH(F8,MO_Common_ColumnHeader,0))</f>
        <v/>
      </c>
      <c r="O8" s="652" t="n"/>
      <c r="P8" s="153">
        <f>IF(ISNUMBER(N8),N8-K8,"N/A")</f>
        <v/>
      </c>
      <c r="Q8" s="153">
        <f>IFERROR(IF(ISNUMBER(N8),(N8-K8)/ABS(K8),"N/A"),"N/A")</f>
        <v/>
      </c>
      <c r="R8" s="652" t="n"/>
      <c r="S8" s="147" t="n">
        <v>46050</v>
      </c>
      <c r="T8" s="154" t="inlineStr">
        <is>
          <t>Investor Presentation</t>
        </is>
      </c>
      <c r="U8" s="652" t="n"/>
    </row>
    <row r="9" ht="15" customHeight="1" s="595">
      <c r="A9" s="101" t="n">
        <v>285</v>
      </c>
      <c r="B9" s="652" t="n"/>
      <c r="C9" s="652" t="n"/>
      <c r="D9" s="131" t="n"/>
      <c r="E9" s="653" t="n"/>
      <c r="F9" s="652" t="n"/>
      <c r="G9" s="652" t="n"/>
      <c r="H9" s="652" t="n"/>
      <c r="I9" s="1562" t="n"/>
      <c r="J9" s="1562" t="n"/>
      <c r="K9" s="1562" t="n"/>
      <c r="L9" s="652" t="n"/>
      <c r="M9" s="652" t="n"/>
      <c r="N9" s="1562" t="n"/>
      <c r="O9" s="652" t="n"/>
      <c r="P9" s="2111" t="n"/>
      <c r="Q9" s="271" t="n"/>
      <c r="R9" s="652" t="n"/>
      <c r="S9" s="136" t="n"/>
      <c r="T9" s="155" t="n"/>
      <c r="U9" s="652" t="n"/>
    </row>
    <row r="10" ht="15" customFormat="1" customHeight="1" s="631">
      <c r="A10" s="101" t="n">
        <v>284</v>
      </c>
      <c r="B10" s="144">
        <f>IF(INDEX(MO_SNA_IsHistoricalPeriod,,MATCH(F10,MO_Common_ColumnHeader,0)),"Historical","Forward")</f>
        <v/>
      </c>
      <c r="C10" s="652" t="n"/>
      <c r="D10" s="151">
        <f>INDEX(INDIRECT(E10),0,COLUMN(MO_Common_Column_A))</f>
        <v/>
      </c>
      <c r="E10" s="145" t="inlineStr">
        <is>
          <t>MO_RIS_REV</t>
        </is>
      </c>
      <c r="F10" s="144" t="inlineStr">
        <is>
          <t>Q1-2026</t>
        </is>
      </c>
      <c r="G10" s="144" t="n"/>
      <c r="H10" s="652" t="n"/>
      <c r="I10" s="1637" t="n">
        <v>8200</v>
      </c>
      <c r="J10" s="1637" t="n">
        <v>8900</v>
      </c>
      <c r="K10" s="1637">
        <f>AVERAGE(I10:J10)</f>
        <v/>
      </c>
      <c r="L10" s="652" t="n"/>
      <c r="M10" s="144">
        <f>IF(INDEX(MO_SNA_IsHistoricalPeriod,,MATCH(F10,MO_Common_ColumnHeader,0)),"Actual","Estimate")</f>
        <v/>
      </c>
      <c r="N10" s="1637">
        <f>IFERROR(INDEX(INDIRECT(E10),0,MATCH(F10,MO_Common_ColumnHeader,0)),"N/A")</f>
        <v/>
      </c>
      <c r="O10" s="652" t="n"/>
      <c r="P10" s="2110">
        <f>IF(ISNUMBER(N10),N10-K10,"N/A")</f>
        <v/>
      </c>
      <c r="Q10" s="153">
        <f>IFERROR(IF(ISNUMBER(N10),(N10-K10)/ABS(K10),"N/A"),"N/A")</f>
        <v/>
      </c>
      <c r="R10" s="652" t="n"/>
      <c r="S10" s="147" t="n">
        <v>46050</v>
      </c>
      <c r="T10" s="154" t="inlineStr">
        <is>
          <t>Investor Presentation</t>
        </is>
      </c>
      <c r="U10" s="652" t="n"/>
    </row>
    <row r="11" ht="15" customFormat="1" customHeight="1" s="631">
      <c r="A11" s="101" t="n">
        <v>283</v>
      </c>
      <c r="B11" s="144">
        <f>IF(INDEX(MO_SNA_IsHistoricalPeriod,,MATCH(F11,MO_Common_ColumnHeader,0)),"Historical","Forward")</f>
        <v/>
      </c>
      <c r="C11" s="652" t="n"/>
      <c r="D11" s="151" t="inlineStr">
        <is>
          <t>Installed Base Management sales</t>
        </is>
      </c>
      <c r="E11" s="145" t="inlineStr">
        <is>
          <t>z_I9KH3H0125_MO_OS_Netserviceandfieldoptionsales</t>
        </is>
      </c>
      <c r="F11" s="144" t="inlineStr">
        <is>
          <t>Q1-2026</t>
        </is>
      </c>
      <c r="G11" s="144" t="n"/>
      <c r="H11" s="652" t="n"/>
      <c r="I11" s="1637" t="n">
        <v>2400</v>
      </c>
      <c r="J11" s="1637" t="n">
        <v>2400</v>
      </c>
      <c r="K11" s="1637">
        <f>AVERAGE(I11:J11)</f>
        <v/>
      </c>
      <c r="L11" s="652" t="n"/>
      <c r="M11" s="144">
        <f>IF(INDEX(MO_SNA_IsHistoricalPeriod,,MATCH(F11,MO_Common_ColumnHeader,0)),"Actual","Estimate")</f>
        <v/>
      </c>
      <c r="N11" s="1637">
        <f>IFERROR(INDEX(INDIRECT(E11),0,MATCH(F11,MO_Common_ColumnHeader,0)),"N/A")</f>
        <v/>
      </c>
      <c r="O11" s="652" t="n"/>
      <c r="P11" s="2110">
        <f>IF(ISNUMBER(N11),N11-K11,"N/A")</f>
        <v/>
      </c>
      <c r="Q11" s="153">
        <f>IFERROR(IF(ISNUMBER(N11),(N11-K11)/ABS(K11),"N/A"),"N/A")</f>
        <v/>
      </c>
      <c r="R11" s="652" t="n"/>
      <c r="S11" s="147" t="n">
        <v>46050</v>
      </c>
      <c r="T11" s="154" t="inlineStr">
        <is>
          <t>Investor Presentation</t>
        </is>
      </c>
      <c r="U11" s="652" t="n"/>
    </row>
    <row r="12" ht="15" customFormat="1" customHeight="1" s="631">
      <c r="A12" s="101" t="n">
        <v>282</v>
      </c>
      <c r="B12" s="144">
        <f>IF(INDEX(MO_SNA_IsHistoricalPeriod,,MATCH(F12,MO_Common_ColumnHeader,0)),"Historical","Forward")</f>
        <v/>
      </c>
      <c r="C12" s="652" t="n"/>
      <c r="D12" s="151">
        <f>INDEX(INDIRECT(E12),0,COLUMN(MO_Common_Column_A))</f>
        <v/>
      </c>
      <c r="E12" s="145" t="inlineStr">
        <is>
          <t>MO_MA_GM</t>
        </is>
      </c>
      <c r="F12" s="144" t="inlineStr">
        <is>
          <t>Q1-2026</t>
        </is>
      </c>
      <c r="G12" s="144" t="n"/>
      <c r="H12" s="652" t="n"/>
      <c r="I12" s="1352" t="n">
        <v>0.51</v>
      </c>
      <c r="J12" s="1352" t="n">
        <v>0.53</v>
      </c>
      <c r="K12" s="1352">
        <f>AVERAGE(I12:J12)</f>
        <v/>
      </c>
      <c r="L12" s="652" t="n"/>
      <c r="M12" s="144">
        <f>IF(INDEX(MO_SNA_IsHistoricalPeriod,,MATCH(F12,MO_Common_ColumnHeader,0)),"Actual","Estimate")</f>
        <v/>
      </c>
      <c r="N12" s="1352">
        <f>IFERROR(INDEX(INDIRECT(E12),0,MATCH(F12,MO_Common_ColumnHeader,0)),"N/A")</f>
        <v/>
      </c>
      <c r="O12" s="652" t="n"/>
      <c r="P12" s="153">
        <f>IF(ISNUMBER(N12),N12-K12,"N/A")</f>
        <v/>
      </c>
      <c r="Q12" s="153">
        <f>IFERROR(IF(ISNUMBER(N12),(N12-K12)/ABS(K12),"N/A"),"N/A")</f>
        <v/>
      </c>
      <c r="R12" s="652" t="n"/>
      <c r="S12" s="147" t="n">
        <v>46050</v>
      </c>
      <c r="T12" s="154" t="inlineStr">
        <is>
          <t>Investor Presentation</t>
        </is>
      </c>
      <c r="U12" s="652" t="n"/>
    </row>
    <row r="13" ht="15" customFormat="1" customHeight="1" s="631">
      <c r="A13" s="101" t="n">
        <v>281</v>
      </c>
      <c r="B13" s="144">
        <f>IF(INDEX(MO_SNA_IsHistoricalPeriod,,MATCH(F13,MO_Common_ColumnHeader,0)),"Historical","Forward")</f>
        <v/>
      </c>
      <c r="C13" s="652" t="n"/>
      <c r="D13" s="151" t="inlineStr">
        <is>
          <t>R&amp;D Expense</t>
        </is>
      </c>
      <c r="E13" s="145" t="inlineStr">
        <is>
          <t>MO_RIS_RD</t>
        </is>
      </c>
      <c r="F13" s="144" t="inlineStr">
        <is>
          <t>Q1-2026</t>
        </is>
      </c>
      <c r="G13" s="144" t="n"/>
      <c r="H13" s="652" t="n"/>
      <c r="I13" s="1637" t="n">
        <v>1200</v>
      </c>
      <c r="J13" s="1637" t="n">
        <v>1200</v>
      </c>
      <c r="K13" s="1637">
        <f>AVERAGE(I13:J13)</f>
        <v/>
      </c>
      <c r="L13" s="652" t="n"/>
      <c r="M13" s="144">
        <f>IF(INDEX(MO_SNA_IsHistoricalPeriod,,MATCH(F13,MO_Common_ColumnHeader,0)),"Actual","Estimate")</f>
        <v/>
      </c>
      <c r="N13" s="1637">
        <f>IFERROR(INDEX(INDIRECT(E13),0,MATCH(F13,MO_Common_ColumnHeader,0)),"N/A")</f>
        <v/>
      </c>
      <c r="O13" s="652" t="n"/>
      <c r="P13" s="2110">
        <f>IF(ISNUMBER(N13),N13-K13,"N/A")</f>
        <v/>
      </c>
      <c r="Q13" s="153">
        <f>IFERROR(IF(ISNUMBER(N13),(N13-K13)/ABS(K13),"N/A"),"N/A")</f>
        <v/>
      </c>
      <c r="R13" s="652" t="n"/>
      <c r="S13" s="147" t="n">
        <v>46050</v>
      </c>
      <c r="T13" s="154" t="inlineStr">
        <is>
          <t>Investor Presentation</t>
        </is>
      </c>
      <c r="U13" s="652" t="n"/>
    </row>
    <row r="14" ht="15" customFormat="1" customHeight="1" s="631">
      <c r="A14" s="101" t="n">
        <v>280</v>
      </c>
      <c r="B14" s="144">
        <f>IF(INDEX(MO_SNA_IsHistoricalPeriod,,MATCH(F14,MO_Common_ColumnHeader,0)),"Historical","Forward")</f>
        <v/>
      </c>
      <c r="C14" s="652" t="n"/>
      <c r="D14" s="151">
        <f>INDEX(INDIRECT(E14),0,COLUMN(MO_Common_Column_A))</f>
        <v/>
      </c>
      <c r="E14" s="145" t="inlineStr">
        <is>
          <t>MO_RIS_SGA</t>
        </is>
      </c>
      <c r="F14" s="144" t="inlineStr">
        <is>
          <t>Q1-2026</t>
        </is>
      </c>
      <c r="G14" s="144" t="n"/>
      <c r="H14" s="652" t="n"/>
      <c r="I14" s="1637" t="n">
        <v>300</v>
      </c>
      <c r="J14" s="1637" t="n">
        <v>300</v>
      </c>
      <c r="K14" s="1637">
        <f>AVERAGE(I14:J14)</f>
        <v/>
      </c>
      <c r="L14" s="652" t="n"/>
      <c r="M14" s="144">
        <f>IF(INDEX(MO_SNA_IsHistoricalPeriod,,MATCH(F14,MO_Common_ColumnHeader,0)),"Actual","Estimate")</f>
        <v/>
      </c>
      <c r="N14" s="1637">
        <f>IFERROR(INDEX(INDIRECT(E14),0,MATCH(F14,MO_Common_ColumnHeader,0)),"N/A")</f>
        <v/>
      </c>
      <c r="O14" s="652" t="n"/>
      <c r="P14" s="2110">
        <f>IF(ISNUMBER(N14),N14-K14,"N/A")</f>
        <v/>
      </c>
      <c r="Q14" s="153">
        <f>IFERROR(IF(ISNUMBER(N14),(N14-K14)/ABS(K14),"N/A"),"N/A")</f>
        <v/>
      </c>
      <c r="R14" s="652" t="n"/>
      <c r="S14" s="147" t="n">
        <v>46050</v>
      </c>
      <c r="T14" s="154" t="inlineStr">
        <is>
          <t>Investor Presentation</t>
        </is>
      </c>
      <c r="U14" s="652" t="n"/>
    </row>
    <row r="15" ht="15" customHeight="1" s="595">
      <c r="A15" s="101" t="n">
        <v>279</v>
      </c>
      <c r="B15" s="652" t="n"/>
      <c r="C15" s="652" t="n"/>
      <c r="D15" s="131" t="n"/>
      <c r="E15" s="653" t="n"/>
      <c r="F15" s="652" t="n"/>
      <c r="G15" s="652" t="n"/>
      <c r="H15" s="652" t="n"/>
      <c r="I15" s="1562" t="n"/>
      <c r="J15" s="1562" t="n"/>
      <c r="K15" s="1562" t="n"/>
      <c r="L15" s="652" t="n"/>
      <c r="M15" s="652" t="n"/>
      <c r="N15" s="1562" t="n"/>
      <c r="O15" s="652" t="n"/>
      <c r="P15" s="2111" t="n"/>
      <c r="Q15" s="271" t="n"/>
      <c r="R15" s="652" t="n"/>
      <c r="S15" s="136" t="n"/>
      <c r="T15" s="155" t="n"/>
      <c r="U15" s="652" t="n"/>
    </row>
    <row r="16" ht="15" customFormat="1" customHeight="1" s="631">
      <c r="A16" s="101" t="n">
        <v>278</v>
      </c>
      <c r="B16" s="144">
        <f>IF(INDEX(MO_SNA_IsHistoricalPeriod,,MATCH(F16,MO_Common_ColumnHeader,0)),"Historical","Forward")</f>
        <v/>
      </c>
      <c r="C16" s="652" t="n"/>
      <c r="D16" s="151">
        <f>INDEX(INDIRECT(E16),0,COLUMN(MO_Common_Column_A))</f>
        <v/>
      </c>
      <c r="E16" s="145" t="inlineStr">
        <is>
          <t>MO_RIS_REV</t>
        </is>
      </c>
      <c r="F16" s="144" t="inlineStr">
        <is>
          <t>FY2025</t>
        </is>
      </c>
      <c r="G16" s="144" t="n"/>
      <c r="H16" s="652" t="n"/>
      <c r="I16" s="1637">
        <f>28262.9*1.15</f>
        <v/>
      </c>
      <c r="J16" s="1637">
        <f>28262.9*1.15</f>
        <v/>
      </c>
      <c r="K16" s="1637">
        <f>AVERAGE(I16:J16)</f>
        <v/>
      </c>
      <c r="L16" s="652" t="n"/>
      <c r="M16" s="144">
        <f>IF(INDEX(MO_SNA_IsHistoricalPeriod,,MATCH(F16,MO_Common_ColumnHeader,0)),"Actual","Estimate")</f>
        <v/>
      </c>
      <c r="N16" s="1637">
        <f>IFERROR(INDEX(INDIRECT(E16),0,MATCH(F16,MO_Common_ColumnHeader,0)),"N/A")</f>
        <v/>
      </c>
      <c r="O16" s="652" t="n"/>
      <c r="P16" s="2110">
        <f>IF(ISNUMBER(N16),N16-K16,"N/A")</f>
        <v/>
      </c>
      <c r="Q16" s="153">
        <f>IFERROR(IF(ISNUMBER(N16),(N16-K16)/ABS(K16),"N/A"),"N/A")</f>
        <v/>
      </c>
      <c r="R16" s="652" t="n"/>
      <c r="S16" s="147" t="n">
        <v>45945</v>
      </c>
      <c r="T16" s="154" t="inlineStr">
        <is>
          <t>Investor Presentation</t>
        </is>
      </c>
      <c r="U16" s="652" t="n"/>
    </row>
    <row r="17" ht="15" customFormat="1" customHeight="1" s="631">
      <c r="A17" s="101" t="n">
        <v>277</v>
      </c>
      <c r="B17" s="144">
        <f>IF(INDEX(MO_SNA_IsHistoricalPeriod,,MATCH(F17,MO_Common_ColumnHeader,0)),"Historical","Forward")</f>
        <v/>
      </c>
      <c r="C17" s="652" t="n"/>
      <c r="D17" s="151">
        <f>INDEX(INDIRECT(E17),0,COLUMN(MO_Common_Column_A))</f>
        <v/>
      </c>
      <c r="E17" s="145" t="inlineStr">
        <is>
          <t>MO_MA_GM</t>
        </is>
      </c>
      <c r="F17" s="144" t="inlineStr">
        <is>
          <t>FY2025</t>
        </is>
      </c>
      <c r="G17" s="144" t="n"/>
      <c r="H17" s="652" t="n"/>
      <c r="I17" s="1352" t="n">
        <v>0.52</v>
      </c>
      <c r="J17" s="1352" t="n">
        <v>0.52</v>
      </c>
      <c r="K17" s="1352">
        <f>AVERAGE(I17:J17)</f>
        <v/>
      </c>
      <c r="L17" s="652" t="n"/>
      <c r="M17" s="144">
        <f>IF(INDEX(MO_SNA_IsHistoricalPeriod,,MATCH(F17,MO_Common_ColumnHeader,0)),"Actual","Estimate")</f>
        <v/>
      </c>
      <c r="N17" s="1352">
        <f>IFERROR(INDEX(INDIRECT(E17),0,MATCH(F17,MO_Common_ColumnHeader,0)),"N/A")</f>
        <v/>
      </c>
      <c r="O17" s="652" t="n"/>
      <c r="P17" s="153">
        <f>IF(ISNUMBER(N17),N17-K17,"N/A")</f>
        <v/>
      </c>
      <c r="Q17" s="153">
        <f>IFERROR(IF(ISNUMBER(N17),(N17-K17)/ABS(K17),"N/A"),"N/A")</f>
        <v/>
      </c>
      <c r="R17" s="652" t="n"/>
      <c r="S17" s="147" t="n">
        <v>45945</v>
      </c>
      <c r="T17" s="154" t="inlineStr">
        <is>
          <t>Investor Presentation</t>
        </is>
      </c>
      <c r="U17" s="652" t="n"/>
    </row>
    <row r="18" ht="15" customHeight="1" s="595">
      <c r="A18" s="101" t="n">
        <v>276</v>
      </c>
      <c r="B18" s="144">
        <f>IF(INDEX(MO_SNA_IsHistoricalPeriod,,MATCH(F18,MO_Common_ColumnHeader,0)),"Historical","Forward")</f>
        <v/>
      </c>
      <c r="C18" s="652" t="n"/>
      <c r="D18" s="151" t="inlineStr">
        <is>
          <t>Effective tax rate</t>
        </is>
      </c>
      <c r="E18" s="145" t="n"/>
      <c r="F18" s="144" t="inlineStr">
        <is>
          <t>FY2025</t>
        </is>
      </c>
      <c r="G18" s="144" t="n"/>
      <c r="H18" s="652" t="n"/>
      <c r="I18" s="1352" t="n">
        <v>0.17</v>
      </c>
      <c r="J18" s="1352" t="n">
        <v>0.17</v>
      </c>
      <c r="K18" s="1352">
        <f>AVERAGE(I18:J18)</f>
        <v/>
      </c>
      <c r="L18" s="652" t="n"/>
      <c r="M18" s="144">
        <f>IF(INDEX(MO_SNA_IsHistoricalPeriod,,MATCH(F18,MO_Common_ColumnHeader,0)),"Actual","Estimate")</f>
        <v/>
      </c>
      <c r="N18" s="1352">
        <f>INDEX(MO_RIS_TaxRate_Current,0,MATCH(F18,MO_Common_ColumnHeader,0))+INDEX(MO_RIS_TaxRate_Deferred,0,MATCH(F18,MO_Common_ColumnHeader,0))</f>
        <v/>
      </c>
      <c r="O18" s="652" t="n"/>
      <c r="P18" s="153">
        <f>IF(ISNUMBER(N18),N18-K18,"N/A")</f>
        <v/>
      </c>
      <c r="Q18" s="153">
        <f>IFERROR(IF(ISNUMBER(N18),(N18-K18)/ABS(K18),"N/A"),"N/A")</f>
        <v/>
      </c>
      <c r="R18" s="652" t="n"/>
      <c r="S18" s="147" t="n">
        <v>45945</v>
      </c>
      <c r="T18" s="154" t="inlineStr">
        <is>
          <t>Investor Presentation</t>
        </is>
      </c>
      <c r="U18" s="652" t="n"/>
    </row>
    <row r="19" ht="15" customHeight="1" s="595">
      <c r="A19" s="101" t="n">
        <v>275</v>
      </c>
      <c r="B19" s="652" t="n"/>
      <c r="C19" s="652" t="n"/>
      <c r="D19" s="131" t="n"/>
      <c r="E19" s="653" t="n"/>
      <c r="F19" s="652" t="n"/>
      <c r="G19" s="652" t="n"/>
      <c r="H19" s="652" t="n"/>
      <c r="I19" s="1562" t="n"/>
      <c r="J19" s="1562" t="n"/>
      <c r="K19" s="1562" t="n"/>
      <c r="L19" s="652" t="n"/>
      <c r="M19" s="652" t="n"/>
      <c r="N19" s="1562" t="n"/>
      <c r="O19" s="652" t="n"/>
      <c r="P19" s="2111" t="n"/>
      <c r="Q19" s="271" t="n"/>
      <c r="R19" s="652" t="n"/>
      <c r="S19" s="136" t="n"/>
      <c r="T19" s="155" t="n"/>
      <c r="U19" s="652" t="n"/>
    </row>
    <row r="20" ht="15" customFormat="1" customHeight="1" s="631">
      <c r="A20" s="101" t="n">
        <v>274</v>
      </c>
      <c r="B20" s="144">
        <f>IF(INDEX(MO_SNA_IsHistoricalPeriod,,MATCH(F20,MO_Common_ColumnHeader,0)),"Historical","Forward")</f>
        <v/>
      </c>
      <c r="C20" s="652" t="n"/>
      <c r="D20" s="151">
        <f>INDEX(INDIRECT(E20),0,COLUMN(MO_Common_Column_A))</f>
        <v/>
      </c>
      <c r="E20" s="145" t="inlineStr">
        <is>
          <t>MO_RIS_REV</t>
        </is>
      </c>
      <c r="F20" s="144" t="inlineStr">
        <is>
          <t>Q4-2025</t>
        </is>
      </c>
      <c r="G20" s="144" t="n"/>
      <c r="H20" s="652" t="n"/>
      <c r="I20" s="1637" t="n">
        <v>9200</v>
      </c>
      <c r="J20" s="1637" t="n">
        <v>9800</v>
      </c>
      <c r="K20" s="1637">
        <f>AVERAGE(I20:J20)</f>
        <v/>
      </c>
      <c r="L20" s="652" t="n"/>
      <c r="M20" s="144">
        <f>IF(INDEX(MO_SNA_IsHistoricalPeriod,,MATCH(F20,MO_Common_ColumnHeader,0)),"Actual","Estimate")</f>
        <v/>
      </c>
      <c r="N20" s="1637">
        <f>IFERROR(INDEX(INDIRECT(E20),0,MATCH(F20,MO_Common_ColumnHeader,0)),"N/A")</f>
        <v/>
      </c>
      <c r="O20" s="652" t="n"/>
      <c r="P20" s="2110">
        <f>IF(ISNUMBER(N20),N20-K20,"N/A")</f>
        <v/>
      </c>
      <c r="Q20" s="153">
        <f>IFERROR(IF(ISNUMBER(N20),(N20-K20)/ABS(K20),"N/A"),"N/A")</f>
        <v/>
      </c>
      <c r="R20" s="652" t="n"/>
      <c r="S20" s="147" t="n">
        <v>45945</v>
      </c>
      <c r="T20" s="154" t="inlineStr">
        <is>
          <t>Investor Presentation</t>
        </is>
      </c>
      <c r="U20" s="652" t="n"/>
    </row>
    <row r="21" ht="15" customFormat="1" customHeight="1" s="631">
      <c r="A21" s="101" t="n">
        <v>273</v>
      </c>
      <c r="B21" s="144">
        <f>IF(INDEX(MO_SNA_IsHistoricalPeriod,,MATCH(F21,MO_Common_ColumnHeader,0)),"Historical","Forward")</f>
        <v/>
      </c>
      <c r="C21" s="652" t="n"/>
      <c r="D21" s="151" t="inlineStr">
        <is>
          <t>Installed Base Management sales</t>
        </is>
      </c>
      <c r="E21" s="145" t="inlineStr">
        <is>
          <t>z_I9KH3H0125_MO_OS_Netserviceandfieldoptionsales</t>
        </is>
      </c>
      <c r="F21" s="144" t="inlineStr">
        <is>
          <t>Q4-2025</t>
        </is>
      </c>
      <c r="G21" s="144" t="n"/>
      <c r="H21" s="652" t="n"/>
      <c r="I21" s="1637" t="n">
        <v>2100</v>
      </c>
      <c r="J21" s="1637" t="n">
        <v>2100</v>
      </c>
      <c r="K21" s="1637">
        <f>AVERAGE(I21:J21)</f>
        <v/>
      </c>
      <c r="L21" s="652" t="n"/>
      <c r="M21" s="144">
        <f>IF(INDEX(MO_SNA_IsHistoricalPeriod,,MATCH(F21,MO_Common_ColumnHeader,0)),"Actual","Estimate")</f>
        <v/>
      </c>
      <c r="N21" s="1637">
        <f>IFERROR(INDEX(INDIRECT(E21),0,MATCH(F21,MO_Common_ColumnHeader,0)),"N/A")</f>
        <v/>
      </c>
      <c r="O21" s="652" t="n"/>
      <c r="P21" s="2110">
        <f>IF(ISNUMBER(N21),N21-K21,"N/A")</f>
        <v/>
      </c>
      <c r="Q21" s="153">
        <f>IFERROR(IF(ISNUMBER(N21),(N21-K21)/ABS(K21),"N/A"),"N/A")</f>
        <v/>
      </c>
      <c r="R21" s="652" t="n"/>
      <c r="S21" s="147" t="n">
        <v>45945</v>
      </c>
      <c r="T21" s="154" t="inlineStr">
        <is>
          <t>Investor Presentation</t>
        </is>
      </c>
      <c r="U21" s="652" t="n"/>
    </row>
    <row r="22" ht="15" customFormat="1" customHeight="1" s="631">
      <c r="A22" s="101" t="n">
        <v>272</v>
      </c>
      <c r="B22" s="144">
        <f>IF(INDEX(MO_SNA_IsHistoricalPeriod,,MATCH(F22,MO_Common_ColumnHeader,0)),"Historical","Forward")</f>
        <v/>
      </c>
      <c r="C22" s="652" t="n"/>
      <c r="D22" s="151">
        <f>INDEX(INDIRECT(E22),0,COLUMN(MO_Common_Column_A))</f>
        <v/>
      </c>
      <c r="E22" s="145" t="inlineStr">
        <is>
          <t>MO_MA_GM</t>
        </is>
      </c>
      <c r="F22" s="144" t="inlineStr">
        <is>
          <t>Q4-2025</t>
        </is>
      </c>
      <c r="G22" s="144" t="n"/>
      <c r="H22" s="652" t="n"/>
      <c r="I22" s="1352" t="n">
        <v>0.51</v>
      </c>
      <c r="J22" s="1352" t="n">
        <v>0.53</v>
      </c>
      <c r="K22" s="1352">
        <f>AVERAGE(I22:J22)</f>
        <v/>
      </c>
      <c r="L22" s="652" t="n"/>
      <c r="M22" s="144">
        <f>IF(INDEX(MO_SNA_IsHistoricalPeriod,,MATCH(F22,MO_Common_ColumnHeader,0)),"Actual","Estimate")</f>
        <v/>
      </c>
      <c r="N22" s="1352">
        <f>IFERROR(INDEX(INDIRECT(E22),0,MATCH(F22,MO_Common_ColumnHeader,0)),"N/A")</f>
        <v/>
      </c>
      <c r="O22" s="652" t="n"/>
      <c r="P22" s="153">
        <f>IF(ISNUMBER(N22),N22-K22,"N/A")</f>
        <v/>
      </c>
      <c r="Q22" s="153">
        <f>IFERROR(IF(ISNUMBER(N22),(N22-K22)/ABS(K22),"N/A"),"N/A")</f>
        <v/>
      </c>
      <c r="R22" s="652" t="n"/>
      <c r="S22" s="147" t="n">
        <v>45945</v>
      </c>
      <c r="T22" s="154" t="inlineStr">
        <is>
          <t>Investor Presentation</t>
        </is>
      </c>
      <c r="U22" s="652" t="n"/>
    </row>
    <row r="23" ht="15" customFormat="1" customHeight="1" s="631">
      <c r="A23" s="101" t="n">
        <v>271</v>
      </c>
      <c r="B23" s="144">
        <f>IF(INDEX(MO_SNA_IsHistoricalPeriod,,MATCH(F23,MO_Common_ColumnHeader,0)),"Historical","Forward")</f>
        <v/>
      </c>
      <c r="C23" s="652" t="n"/>
      <c r="D23" s="151" t="inlineStr">
        <is>
          <t>R&amp;D Expense</t>
        </is>
      </c>
      <c r="E23" s="145" t="inlineStr">
        <is>
          <t>MO_RIS_RD</t>
        </is>
      </c>
      <c r="F23" s="144" t="inlineStr">
        <is>
          <t>Q4-2025</t>
        </is>
      </c>
      <c r="G23" s="144" t="n"/>
      <c r="H23" s="652" t="n"/>
      <c r="I23" s="1637" t="n">
        <v>1200</v>
      </c>
      <c r="J23" s="1637" t="n">
        <v>1200</v>
      </c>
      <c r="K23" s="1637">
        <f>AVERAGE(I23:J23)</f>
        <v/>
      </c>
      <c r="L23" s="652" t="n"/>
      <c r="M23" s="144">
        <f>IF(INDEX(MO_SNA_IsHistoricalPeriod,,MATCH(F23,MO_Common_ColumnHeader,0)),"Actual","Estimate")</f>
        <v/>
      </c>
      <c r="N23" s="1637">
        <f>IFERROR(INDEX(INDIRECT(E23),0,MATCH(F23,MO_Common_ColumnHeader,0)),"N/A")</f>
        <v/>
      </c>
      <c r="O23" s="652" t="n"/>
      <c r="P23" s="2110">
        <f>IF(ISNUMBER(N23),N23-K23,"N/A")</f>
        <v/>
      </c>
      <c r="Q23" s="153">
        <f>IFERROR(IF(ISNUMBER(N23),(N23-K23)/ABS(K23),"N/A"),"N/A")</f>
        <v/>
      </c>
      <c r="R23" s="652" t="n"/>
      <c r="S23" s="147" t="n">
        <v>45945</v>
      </c>
      <c r="T23" s="154" t="inlineStr">
        <is>
          <t>Investor Presentation</t>
        </is>
      </c>
      <c r="U23" s="652" t="n"/>
    </row>
    <row r="24" ht="15" customFormat="1" customHeight="1" s="631">
      <c r="A24" s="101" t="n">
        <v>270</v>
      </c>
      <c r="B24" s="144">
        <f>IF(INDEX(MO_SNA_IsHistoricalPeriod,,MATCH(F24,MO_Common_ColumnHeader,0)),"Historical","Forward")</f>
        <v/>
      </c>
      <c r="C24" s="652" t="n"/>
      <c r="D24" s="151">
        <f>INDEX(INDIRECT(E24),0,COLUMN(MO_Common_Column_A))</f>
        <v/>
      </c>
      <c r="E24" s="145" t="inlineStr">
        <is>
          <t>MO_RIS_SGA</t>
        </is>
      </c>
      <c r="F24" s="144" t="inlineStr">
        <is>
          <t>Q4-2025</t>
        </is>
      </c>
      <c r="G24" s="144" t="n"/>
      <c r="H24" s="652" t="n"/>
      <c r="I24" s="1637" t="n">
        <v>320</v>
      </c>
      <c r="J24" s="1637" t="n">
        <v>320</v>
      </c>
      <c r="K24" s="1637">
        <f>AVERAGE(I24:J24)</f>
        <v/>
      </c>
      <c r="L24" s="652" t="n"/>
      <c r="M24" s="144">
        <f>IF(INDEX(MO_SNA_IsHistoricalPeriod,,MATCH(F24,MO_Common_ColumnHeader,0)),"Actual","Estimate")</f>
        <v/>
      </c>
      <c r="N24" s="1637">
        <f>IFERROR(INDEX(INDIRECT(E24),0,MATCH(F24,MO_Common_ColumnHeader,0)),"N/A")</f>
        <v/>
      </c>
      <c r="O24" s="652" t="n"/>
      <c r="P24" s="2110">
        <f>IF(ISNUMBER(N24),N24-K24,"N/A")</f>
        <v/>
      </c>
      <c r="Q24" s="153">
        <f>IFERROR(IF(ISNUMBER(N24),(N24-K24)/ABS(K24),"N/A"),"N/A")</f>
        <v/>
      </c>
      <c r="R24" s="652" t="n"/>
      <c r="S24" s="147" t="n">
        <v>45945</v>
      </c>
      <c r="T24" s="154" t="inlineStr">
        <is>
          <t>Investor Presentation</t>
        </is>
      </c>
      <c r="U24" s="652" t="n"/>
    </row>
    <row r="25" ht="15" customHeight="1" s="595">
      <c r="A25" s="101" t="n">
        <v>269</v>
      </c>
      <c r="B25" s="652" t="n"/>
      <c r="C25" s="652" t="n"/>
      <c r="D25" s="131" t="n"/>
      <c r="E25" s="653" t="n"/>
      <c r="F25" s="652" t="n"/>
      <c r="G25" s="652" t="n"/>
      <c r="H25" s="652" t="n"/>
      <c r="I25" s="1562" t="n"/>
      <c r="J25" s="1562" t="n"/>
      <c r="K25" s="1562" t="n"/>
      <c r="L25" s="652" t="n"/>
      <c r="M25" s="652" t="n"/>
      <c r="N25" s="1562" t="n"/>
      <c r="O25" s="652" t="n"/>
      <c r="P25" s="2111" t="n"/>
      <c r="Q25" s="271" t="n"/>
      <c r="R25" s="652" t="n"/>
      <c r="S25" s="136" t="n"/>
      <c r="T25" s="155" t="n"/>
      <c r="U25" s="652" t="n"/>
    </row>
    <row r="26" ht="15" customFormat="1" customHeight="1" s="631">
      <c r="A26" s="101" t="n">
        <v>268</v>
      </c>
      <c r="B26" s="144">
        <f>IF(INDEX(MO_SNA_IsHistoricalPeriod,,MATCH(F26,MO_Common_ColumnHeader,0)),"Historical","Forward")</f>
        <v/>
      </c>
      <c r="C26" s="652" t="n"/>
      <c r="D26" s="151">
        <f>INDEX(INDIRECT(E26),0,COLUMN(MO_Common_Column_A))</f>
        <v/>
      </c>
      <c r="E26" s="145" t="inlineStr">
        <is>
          <t>MO_RIS_REV</t>
        </is>
      </c>
      <c r="F26" s="144" t="inlineStr">
        <is>
          <t>FY2025</t>
        </is>
      </c>
      <c r="G26" s="144" t="n"/>
      <c r="H26" s="652" t="n"/>
      <c r="I26" s="1637">
        <f>28262.9*1.15</f>
        <v/>
      </c>
      <c r="J26" s="1637">
        <f>28262.9*1.15</f>
        <v/>
      </c>
      <c r="K26" s="1637">
        <f>AVERAGE(I26:J26)</f>
        <v/>
      </c>
      <c r="L26" s="652" t="n"/>
      <c r="M26" s="144">
        <f>IF(INDEX(MO_SNA_IsHistoricalPeriod,,MATCH(F26,MO_Common_ColumnHeader,0)),"Actual","Estimate")</f>
        <v/>
      </c>
      <c r="N26" s="1637">
        <f>IFERROR(INDEX(INDIRECT(E26),0,MATCH(F26,MO_Common_ColumnHeader,0)),"N/A")</f>
        <v/>
      </c>
      <c r="O26" s="652" t="n"/>
      <c r="P26" s="2110">
        <f>IF(ISNUMBER(N26),N26-K26,"N/A")</f>
        <v/>
      </c>
      <c r="Q26" s="153">
        <f>IFERROR(IF(ISNUMBER(N26),(N26-K26)/ABS(K26),"N/A"),"N/A")</f>
        <v/>
      </c>
      <c r="R26" s="652" t="n"/>
      <c r="S26" s="147" t="n">
        <v>45853</v>
      </c>
      <c r="T26" s="154" t="inlineStr">
        <is>
          <t>Investor Presentation</t>
        </is>
      </c>
      <c r="U26" s="652" t="n"/>
    </row>
    <row r="27" ht="15" customFormat="1" customHeight="1" s="631">
      <c r="A27" s="101" t="n">
        <v>267</v>
      </c>
      <c r="B27" s="144">
        <f>IF(INDEX(MO_SNA_IsHistoricalPeriod,,MATCH(F27,MO_Common_ColumnHeader,0)),"Historical","Forward")</f>
        <v/>
      </c>
      <c r="C27" s="652" t="n"/>
      <c r="D27" s="151">
        <f>INDEX(INDIRECT(E27),0,COLUMN(MO_Common_Column_A))</f>
        <v/>
      </c>
      <c r="E27" s="145" t="inlineStr">
        <is>
          <t>MO_MA_GM</t>
        </is>
      </c>
      <c r="F27" s="144" t="inlineStr">
        <is>
          <t>FY2025</t>
        </is>
      </c>
      <c r="G27" s="144" t="n"/>
      <c r="H27" s="652" t="n"/>
      <c r="I27" s="1352" t="n">
        <v>0.52</v>
      </c>
      <c r="J27" s="1352" t="n">
        <v>0.52</v>
      </c>
      <c r="K27" s="1352">
        <f>AVERAGE(I27:J27)</f>
        <v/>
      </c>
      <c r="L27" s="652" t="n"/>
      <c r="M27" s="144">
        <f>IF(INDEX(MO_SNA_IsHistoricalPeriod,,MATCH(F27,MO_Common_ColumnHeader,0)),"Actual","Estimate")</f>
        <v/>
      </c>
      <c r="N27" s="1352">
        <f>IFERROR(INDEX(INDIRECT(E27),0,MATCH(F27,MO_Common_ColumnHeader,0)),"N/A")</f>
        <v/>
      </c>
      <c r="O27" s="652" t="n"/>
      <c r="P27" s="153">
        <f>IF(ISNUMBER(N27),N27-K27,"N/A")</f>
        <v/>
      </c>
      <c r="Q27" s="153">
        <f>IFERROR(IF(ISNUMBER(N27),(N27-K27)/ABS(K27),"N/A"),"N/A")</f>
        <v/>
      </c>
      <c r="R27" s="652" t="n"/>
      <c r="S27" s="147" t="n">
        <v>45853</v>
      </c>
      <c r="T27" s="154" t="inlineStr">
        <is>
          <t>Investor Presentation</t>
        </is>
      </c>
      <c r="U27" s="652" t="n"/>
    </row>
    <row r="28" ht="15" customHeight="1" s="595">
      <c r="A28" s="101" t="n">
        <v>266</v>
      </c>
      <c r="B28" s="144">
        <f>IF(INDEX(MO_SNA_IsHistoricalPeriod,,MATCH(F28,MO_Common_ColumnHeader,0)),"Historical","Forward")</f>
        <v/>
      </c>
      <c r="C28" s="652" t="n"/>
      <c r="D28" s="151" t="inlineStr">
        <is>
          <t>Effective tax rate</t>
        </is>
      </c>
      <c r="E28" s="145" t="n"/>
      <c r="F28" s="144" t="inlineStr">
        <is>
          <t>FY2025</t>
        </is>
      </c>
      <c r="G28" s="144" t="n"/>
      <c r="H28" s="652" t="n"/>
      <c r="I28" s="1352" t="n">
        <v>0.17</v>
      </c>
      <c r="J28" s="1352" t="n">
        <v>0.17</v>
      </c>
      <c r="K28" s="1352">
        <f>AVERAGE(I28:J28)</f>
        <v/>
      </c>
      <c r="L28" s="652" t="n"/>
      <c r="M28" s="144">
        <f>IF(INDEX(MO_SNA_IsHistoricalPeriod,,MATCH(F28,MO_Common_ColumnHeader,0)),"Actual","Estimate")</f>
        <v/>
      </c>
      <c r="N28" s="1352">
        <f>INDEX(MO_RIS_TaxRate_Current,0,MATCH(F28,MO_Common_ColumnHeader,0))+INDEX(MO_RIS_TaxRate_Deferred,0,MATCH(F28,MO_Common_ColumnHeader,0))</f>
        <v/>
      </c>
      <c r="O28" s="652" t="n"/>
      <c r="P28" s="153">
        <f>IF(ISNUMBER(N28),N28-K28,"N/A")</f>
        <v/>
      </c>
      <c r="Q28" s="153">
        <f>IFERROR(IF(ISNUMBER(N28),(N28-K28)/ABS(K28),"N/A"),"N/A")</f>
        <v/>
      </c>
      <c r="R28" s="652" t="n"/>
      <c r="S28" s="147" t="n">
        <v>45853</v>
      </c>
      <c r="T28" s="154" t="inlineStr">
        <is>
          <t>Investor Presentation</t>
        </is>
      </c>
      <c r="U28" s="652" t="n"/>
    </row>
    <row r="29" ht="15" customHeight="1" s="595">
      <c r="A29" s="101" t="n">
        <v>265</v>
      </c>
      <c r="B29" s="652" t="n"/>
      <c r="C29" s="652" t="n"/>
      <c r="D29" s="131" t="n"/>
      <c r="E29" s="653" t="n"/>
      <c r="F29" s="652" t="n"/>
      <c r="G29" s="652" t="n"/>
      <c r="H29" s="652" t="n"/>
      <c r="I29" s="1562" t="n"/>
      <c r="J29" s="1562" t="n"/>
      <c r="K29" s="1562" t="n"/>
      <c r="L29" s="652" t="n"/>
      <c r="M29" s="652" t="n"/>
      <c r="N29" s="1562" t="n"/>
      <c r="O29" s="652" t="n"/>
      <c r="P29" s="2111" t="n"/>
      <c r="Q29" s="271" t="n"/>
      <c r="R29" s="652" t="n"/>
      <c r="S29" s="136" t="n"/>
      <c r="T29" s="155" t="n"/>
      <c r="U29" s="652" t="n"/>
    </row>
    <row r="30" ht="15" customFormat="1" customHeight="1" s="631">
      <c r="A30" s="101" t="n">
        <v>264</v>
      </c>
      <c r="B30" s="144">
        <f>IF(INDEX(MO_SNA_IsHistoricalPeriod,,MATCH(F30,MO_Common_ColumnHeader,0)),"Historical","Forward")</f>
        <v/>
      </c>
      <c r="C30" s="652" t="n"/>
      <c r="D30" s="151">
        <f>INDEX(INDIRECT(E30),0,COLUMN(MO_Common_Column_A))</f>
        <v/>
      </c>
      <c r="E30" s="145" t="inlineStr">
        <is>
          <t>MO_RIS_REV</t>
        </is>
      </c>
      <c r="F30" s="144" t="inlineStr">
        <is>
          <t>Q3-2025</t>
        </is>
      </c>
      <c r="G30" s="144" t="n"/>
      <c r="H30" s="652" t="n"/>
      <c r="I30" s="1637" t="n">
        <v>7400</v>
      </c>
      <c r="J30" s="1637" t="n">
        <v>7900</v>
      </c>
      <c r="K30" s="1637">
        <f>AVERAGE(I30:J30)</f>
        <v/>
      </c>
      <c r="L30" s="652" t="n"/>
      <c r="M30" s="144">
        <f>IF(INDEX(MO_SNA_IsHistoricalPeriod,,MATCH(F30,MO_Common_ColumnHeader,0)),"Actual","Estimate")</f>
        <v/>
      </c>
      <c r="N30" s="1637">
        <f>IFERROR(INDEX(INDIRECT(E30),0,MATCH(F30,MO_Common_ColumnHeader,0)),"N/A")</f>
        <v/>
      </c>
      <c r="O30" s="652" t="n"/>
      <c r="P30" s="2110">
        <f>IF(ISNUMBER(N30),N30-K30,"N/A")</f>
        <v/>
      </c>
      <c r="Q30" s="153">
        <f>IFERROR(IF(ISNUMBER(N30),(N30-K30)/ABS(K30),"N/A"),"N/A")</f>
        <v/>
      </c>
      <c r="R30" s="652" t="n"/>
      <c r="S30" s="147" t="n">
        <v>45853</v>
      </c>
      <c r="T30" s="154" t="inlineStr">
        <is>
          <t>Investor Presentation</t>
        </is>
      </c>
      <c r="U30" s="652" t="n"/>
    </row>
    <row r="31" ht="15" customFormat="1" customHeight="1" s="631">
      <c r="A31" s="101" t="n">
        <v>263</v>
      </c>
      <c r="B31" s="144">
        <f>IF(INDEX(MO_SNA_IsHistoricalPeriod,,MATCH(F31,MO_Common_ColumnHeader,0)),"Historical","Forward")</f>
        <v/>
      </c>
      <c r="C31" s="652" t="n"/>
      <c r="D31" s="151" t="inlineStr">
        <is>
          <t>Installed Base Management sales</t>
        </is>
      </c>
      <c r="E31" s="145" t="inlineStr">
        <is>
          <t>z_I9KH3H0125_MO_OS_Netserviceandfieldoptionsales</t>
        </is>
      </c>
      <c r="F31" s="144" t="inlineStr">
        <is>
          <t>Q3-2025</t>
        </is>
      </c>
      <c r="G31" s="144" t="n"/>
      <c r="H31" s="652" t="n"/>
      <c r="I31" s="1637" t="n">
        <v>2000</v>
      </c>
      <c r="J31" s="1637" t="n">
        <v>2000</v>
      </c>
      <c r="K31" s="1637">
        <f>AVERAGE(I31:J31)</f>
        <v/>
      </c>
      <c r="L31" s="652" t="n"/>
      <c r="M31" s="144">
        <f>IF(INDEX(MO_SNA_IsHistoricalPeriod,,MATCH(F31,MO_Common_ColumnHeader,0)),"Actual","Estimate")</f>
        <v/>
      </c>
      <c r="N31" s="1637">
        <f>IFERROR(INDEX(INDIRECT(E31),0,MATCH(F31,MO_Common_ColumnHeader,0)),"N/A")</f>
        <v/>
      </c>
      <c r="O31" s="652" t="n"/>
      <c r="P31" s="2110">
        <f>IF(ISNUMBER(N31),N31-K31,"N/A")</f>
        <v/>
      </c>
      <c r="Q31" s="153">
        <f>IFERROR(IF(ISNUMBER(N31),(N31-K31)/ABS(K31),"N/A"),"N/A")</f>
        <v/>
      </c>
      <c r="R31" s="652" t="n"/>
      <c r="S31" s="147" t="n">
        <v>45853</v>
      </c>
      <c r="T31" s="154" t="inlineStr">
        <is>
          <t>Investor Presentation</t>
        </is>
      </c>
      <c r="U31" s="652" t="n"/>
    </row>
    <row r="32" ht="15" customFormat="1" customHeight="1" s="631">
      <c r="A32" s="101" t="n">
        <v>262</v>
      </c>
      <c r="B32" s="144">
        <f>IF(INDEX(MO_SNA_IsHistoricalPeriod,,MATCH(F32,MO_Common_ColumnHeader,0)),"Historical","Forward")</f>
        <v/>
      </c>
      <c r="C32" s="652" t="n"/>
      <c r="D32" s="151">
        <f>INDEX(INDIRECT(E32),0,COLUMN(MO_Common_Column_A))</f>
        <v/>
      </c>
      <c r="E32" s="145" t="inlineStr">
        <is>
          <t>MO_MA_GM</t>
        </is>
      </c>
      <c r="F32" s="144" t="inlineStr">
        <is>
          <t>Q3-2025</t>
        </is>
      </c>
      <c r="G32" s="144" t="n"/>
      <c r="H32" s="652" t="n"/>
      <c r="I32" s="1352" t="n">
        <v>0.5</v>
      </c>
      <c r="J32" s="1352" t="n">
        <v>0.52</v>
      </c>
      <c r="K32" s="1352">
        <f>AVERAGE(I32:J32)</f>
        <v/>
      </c>
      <c r="L32" s="652" t="n"/>
      <c r="M32" s="144">
        <f>IF(INDEX(MO_SNA_IsHistoricalPeriod,,MATCH(F32,MO_Common_ColumnHeader,0)),"Actual","Estimate")</f>
        <v/>
      </c>
      <c r="N32" s="1352">
        <f>IFERROR(INDEX(INDIRECT(E32),0,MATCH(F32,MO_Common_ColumnHeader,0)),"N/A")</f>
        <v/>
      </c>
      <c r="O32" s="652" t="n"/>
      <c r="P32" s="153">
        <f>IF(ISNUMBER(N32),N32-K32,"N/A")</f>
        <v/>
      </c>
      <c r="Q32" s="153">
        <f>IFERROR(IF(ISNUMBER(N32),(N32-K32)/ABS(K32),"N/A"),"N/A")</f>
        <v/>
      </c>
      <c r="R32" s="652" t="n"/>
      <c r="S32" s="147" t="n">
        <v>45853</v>
      </c>
      <c r="T32" s="154" t="inlineStr">
        <is>
          <t>Investor Presentation</t>
        </is>
      </c>
      <c r="U32" s="652" t="n"/>
    </row>
    <row r="33" ht="15" customFormat="1" customHeight="1" s="631">
      <c r="A33" s="101" t="n">
        <v>261</v>
      </c>
      <c r="B33" s="144">
        <f>IF(INDEX(MO_SNA_IsHistoricalPeriod,,MATCH(F33,MO_Common_ColumnHeader,0)),"Historical","Forward")</f>
        <v/>
      </c>
      <c r="C33" s="652" t="n"/>
      <c r="D33" s="151" t="inlineStr">
        <is>
          <t>R&amp;D Expense</t>
        </is>
      </c>
      <c r="E33" s="145" t="inlineStr">
        <is>
          <t>MO_RIS_RD</t>
        </is>
      </c>
      <c r="F33" s="144" t="inlineStr">
        <is>
          <t>Q3-2025</t>
        </is>
      </c>
      <c r="G33" s="144" t="n"/>
      <c r="H33" s="652" t="n"/>
      <c r="I33" s="1637" t="n">
        <v>1200</v>
      </c>
      <c r="J33" s="1637" t="n">
        <v>1200</v>
      </c>
      <c r="K33" s="1637">
        <f>AVERAGE(I33:J33)</f>
        <v/>
      </c>
      <c r="L33" s="652" t="n"/>
      <c r="M33" s="144">
        <f>IF(INDEX(MO_SNA_IsHistoricalPeriod,,MATCH(F33,MO_Common_ColumnHeader,0)),"Actual","Estimate")</f>
        <v/>
      </c>
      <c r="N33" s="1637">
        <f>IFERROR(INDEX(INDIRECT(E33),0,MATCH(F33,MO_Common_ColumnHeader,0)),"N/A")</f>
        <v/>
      </c>
      <c r="O33" s="652" t="n"/>
      <c r="P33" s="2110">
        <f>IF(ISNUMBER(N33),N33-K33,"N/A")</f>
        <v/>
      </c>
      <c r="Q33" s="153">
        <f>IFERROR(IF(ISNUMBER(N33),(N33-K33)/ABS(K33),"N/A"),"N/A")</f>
        <v/>
      </c>
      <c r="R33" s="652" t="n"/>
      <c r="S33" s="147" t="n">
        <v>45853</v>
      </c>
      <c r="T33" s="154" t="inlineStr">
        <is>
          <t>Investor Presentation</t>
        </is>
      </c>
      <c r="U33" s="652" t="n"/>
    </row>
    <row r="34" ht="15" customFormat="1" customHeight="1" s="631">
      <c r="A34" s="101" t="n">
        <v>260</v>
      </c>
      <c r="B34" s="144">
        <f>IF(INDEX(MO_SNA_IsHistoricalPeriod,,MATCH(F34,MO_Common_ColumnHeader,0)),"Historical","Forward")</f>
        <v/>
      </c>
      <c r="C34" s="652" t="n"/>
      <c r="D34" s="151">
        <f>INDEX(INDIRECT(E34),0,COLUMN(MO_Common_Column_A))</f>
        <v/>
      </c>
      <c r="E34" s="145" t="inlineStr">
        <is>
          <t>MO_RIS_SGA</t>
        </is>
      </c>
      <c r="F34" s="144" t="inlineStr">
        <is>
          <t>Q3-2025</t>
        </is>
      </c>
      <c r="G34" s="144" t="n"/>
      <c r="H34" s="652" t="n"/>
      <c r="I34" s="1637" t="n">
        <v>310</v>
      </c>
      <c r="J34" s="1637" t="n">
        <v>310</v>
      </c>
      <c r="K34" s="1637">
        <f>AVERAGE(I34:J34)</f>
        <v/>
      </c>
      <c r="L34" s="652" t="n"/>
      <c r="M34" s="144">
        <f>IF(INDEX(MO_SNA_IsHistoricalPeriod,,MATCH(F34,MO_Common_ColumnHeader,0)),"Actual","Estimate")</f>
        <v/>
      </c>
      <c r="N34" s="1637">
        <f>IFERROR(INDEX(INDIRECT(E34),0,MATCH(F34,MO_Common_ColumnHeader,0)),"N/A")</f>
        <v/>
      </c>
      <c r="O34" s="652" t="n"/>
      <c r="P34" s="2110">
        <f>IF(ISNUMBER(N34),N34-K34,"N/A")</f>
        <v/>
      </c>
      <c r="Q34" s="153">
        <f>IFERROR(IF(ISNUMBER(N34),(N34-K34)/ABS(K34),"N/A"),"N/A")</f>
        <v/>
      </c>
      <c r="R34" s="652" t="n"/>
      <c r="S34" s="147" t="n">
        <v>45853</v>
      </c>
      <c r="T34" s="154" t="inlineStr">
        <is>
          <t>Investor Presentation</t>
        </is>
      </c>
      <c r="U34" s="652" t="n"/>
    </row>
    <row r="35" ht="15" customHeight="1" s="595">
      <c r="A35" s="101" t="n">
        <v>259</v>
      </c>
      <c r="B35" s="652" t="n"/>
      <c r="C35" s="652" t="n"/>
      <c r="D35" s="131" t="n"/>
      <c r="E35" s="653" t="n"/>
      <c r="F35" s="652" t="n"/>
      <c r="G35" s="652" t="n"/>
      <c r="H35" s="652" t="n"/>
      <c r="I35" s="1562" t="n"/>
      <c r="J35" s="1562" t="n"/>
      <c r="K35" s="1562" t="n"/>
      <c r="L35" s="652" t="n"/>
      <c r="M35" s="652" t="n"/>
      <c r="N35" s="1562" t="n"/>
      <c r="O35" s="652" t="n"/>
      <c r="P35" s="2111" t="n"/>
      <c r="Q35" s="271" t="n"/>
      <c r="R35" s="652" t="n"/>
      <c r="S35" s="136" t="n"/>
      <c r="T35" s="155" t="n"/>
      <c r="U35" s="652" t="n"/>
    </row>
    <row r="36" ht="15" customFormat="1" customHeight="1" s="631">
      <c r="A36" s="101" t="n">
        <v>258</v>
      </c>
      <c r="B36" s="144">
        <f>IF(INDEX(MO_SNA_IsHistoricalPeriod,,MATCH(F36,MO_Common_ColumnHeader,0)),"Historical","Forward")</f>
        <v/>
      </c>
      <c r="C36" s="652" t="n"/>
      <c r="D36" s="151">
        <f>INDEX(INDIRECT(E36),0,COLUMN(MO_Common_Column_A))</f>
        <v/>
      </c>
      <c r="E36" s="145" t="inlineStr">
        <is>
          <t>MO_RIS_REV</t>
        </is>
      </c>
      <c r="F36" s="144" t="inlineStr">
        <is>
          <t>FY2025</t>
        </is>
      </c>
      <c r="G36" s="144" t="n"/>
      <c r="H36" s="652" t="n"/>
      <c r="I36" s="1637" t="n">
        <v>30000</v>
      </c>
      <c r="J36" s="1637" t="n">
        <v>35000</v>
      </c>
      <c r="K36" s="1637">
        <f>AVERAGE(I36:J36)</f>
        <v/>
      </c>
      <c r="L36" s="652" t="n"/>
      <c r="M36" s="144">
        <f>IF(INDEX(MO_SNA_IsHistoricalPeriod,,MATCH(F36,MO_Common_ColumnHeader,0)),"Actual","Estimate")</f>
        <v/>
      </c>
      <c r="N36" s="1637">
        <f>IFERROR(INDEX(INDIRECT(E36),0,MATCH(F36,MO_Common_ColumnHeader,0)),"N/A")</f>
        <v/>
      </c>
      <c r="O36" s="652" t="n"/>
      <c r="P36" s="2110">
        <f>IF(ISNUMBER(N36),N36-K36,"N/A")</f>
        <v/>
      </c>
      <c r="Q36" s="153">
        <f>IFERROR(IF(ISNUMBER(N36),(N36-K36)/ABS(K36),"N/A"),"N/A")</f>
        <v/>
      </c>
      <c r="R36" s="652" t="n"/>
      <c r="S36" s="147" t="n">
        <v>45762</v>
      </c>
      <c r="T36" s="154" t="inlineStr">
        <is>
          <t>Investor Presentation</t>
        </is>
      </c>
      <c r="U36" s="652" t="n"/>
    </row>
    <row r="37" ht="15" customFormat="1" customHeight="1" s="631">
      <c r="A37" s="101" t="n">
        <v>257</v>
      </c>
      <c r="B37" s="144">
        <f>IF(INDEX(MO_SNA_IsHistoricalPeriod,,MATCH(F37,MO_Common_ColumnHeader,0)),"Historical","Forward")</f>
        <v/>
      </c>
      <c r="C37" s="652" t="n"/>
      <c r="D37" s="151">
        <f>INDEX(INDIRECT(E37),0,COLUMN(MO_Common_Column_A))</f>
        <v/>
      </c>
      <c r="E37" s="145" t="inlineStr">
        <is>
          <t>MO_MA_GM</t>
        </is>
      </c>
      <c r="F37" s="144" t="inlineStr">
        <is>
          <t>FY2025</t>
        </is>
      </c>
      <c r="G37" s="144" t="n"/>
      <c r="H37" s="652" t="n"/>
      <c r="I37" s="1352" t="n">
        <v>0.51</v>
      </c>
      <c r="J37" s="1352" t="n">
        <v>0.53</v>
      </c>
      <c r="K37" s="1352">
        <f>AVERAGE(I37:J37)</f>
        <v/>
      </c>
      <c r="L37" s="652" t="n"/>
      <c r="M37" s="144">
        <f>IF(INDEX(MO_SNA_IsHistoricalPeriod,,MATCH(F37,MO_Common_ColumnHeader,0)),"Actual","Estimate")</f>
        <v/>
      </c>
      <c r="N37" s="1352">
        <f>IFERROR(INDEX(INDIRECT(E37),0,MATCH(F37,MO_Common_ColumnHeader,0)),"N/A")</f>
        <v/>
      </c>
      <c r="O37" s="652" t="n"/>
      <c r="P37" s="153">
        <f>IF(ISNUMBER(N37),N37-K37,"N/A")</f>
        <v/>
      </c>
      <c r="Q37" s="153">
        <f>IFERROR(IF(ISNUMBER(N37),(N37-K37)/ABS(K37),"N/A"),"N/A")</f>
        <v/>
      </c>
      <c r="R37" s="652" t="n"/>
      <c r="S37" s="147" t="n">
        <v>45762</v>
      </c>
      <c r="T37" s="154" t="inlineStr">
        <is>
          <t>Investor Presentation</t>
        </is>
      </c>
      <c r="U37" s="652" t="n"/>
    </row>
    <row r="38" ht="15" customHeight="1" s="595">
      <c r="A38" s="101" t="n">
        <v>256</v>
      </c>
      <c r="B38" s="144">
        <f>IF(INDEX(MO_SNA_IsHistoricalPeriod,,MATCH(F38,MO_Common_ColumnHeader,0)),"Historical","Forward")</f>
        <v/>
      </c>
      <c r="C38" s="652" t="n"/>
      <c r="D38" s="151" t="inlineStr">
        <is>
          <t>Effective tax rate</t>
        </is>
      </c>
      <c r="E38" s="145" t="n"/>
      <c r="F38" s="144" t="inlineStr">
        <is>
          <t>FY2025</t>
        </is>
      </c>
      <c r="G38" s="144" t="n"/>
      <c r="H38" s="652" t="n"/>
      <c r="I38" s="1352" t="n">
        <v>0.17</v>
      </c>
      <c r="J38" s="1352" t="n">
        <v>0.17</v>
      </c>
      <c r="K38" s="1352">
        <f>AVERAGE(I38:J38)</f>
        <v/>
      </c>
      <c r="L38" s="652" t="n"/>
      <c r="M38" s="144">
        <f>IF(INDEX(MO_SNA_IsHistoricalPeriod,,MATCH(F38,MO_Common_ColumnHeader,0)),"Actual","Estimate")</f>
        <v/>
      </c>
      <c r="N38" s="1352">
        <f>INDEX(MO_RIS_TaxRate_Current,0,MATCH(F38,MO_Common_ColumnHeader,0))+INDEX(MO_RIS_TaxRate_Deferred,0,MATCH(F38,MO_Common_ColumnHeader,0))</f>
        <v/>
      </c>
      <c r="O38" s="652" t="n"/>
      <c r="P38" s="153">
        <f>IF(ISNUMBER(N38),N38-K38,"N/A")</f>
        <v/>
      </c>
      <c r="Q38" s="153">
        <f>IFERROR(IF(ISNUMBER(N38),(N38-K38)/ABS(K38),"N/A"),"N/A")</f>
        <v/>
      </c>
      <c r="R38" s="652" t="n"/>
      <c r="S38" s="147" t="n">
        <v>45762</v>
      </c>
      <c r="T38" s="154" t="inlineStr">
        <is>
          <t>Investor Presentation</t>
        </is>
      </c>
      <c r="U38" s="652" t="n"/>
    </row>
    <row r="39" ht="15" customHeight="1" s="595">
      <c r="A39" s="101" t="n">
        <v>255</v>
      </c>
      <c r="B39" s="652" t="n"/>
      <c r="C39" s="652" t="n"/>
      <c r="D39" s="131" t="n"/>
      <c r="E39" s="653" t="n"/>
      <c r="F39" s="652" t="n"/>
      <c r="G39" s="652" t="n"/>
      <c r="H39" s="652" t="n"/>
      <c r="I39" s="1562" t="n"/>
      <c r="J39" s="1562" t="n"/>
      <c r="K39" s="1562" t="n"/>
      <c r="L39" s="652" t="n"/>
      <c r="M39" s="652" t="n"/>
      <c r="N39" s="1562" t="n"/>
      <c r="O39" s="652" t="n"/>
      <c r="P39" s="2111" t="n"/>
      <c r="Q39" s="271" t="n"/>
      <c r="R39" s="652" t="n"/>
      <c r="S39" s="136" t="n"/>
      <c r="T39" s="155" t="n"/>
      <c r="U39" s="652" t="n"/>
    </row>
    <row r="40" ht="15" customFormat="1" customHeight="1" s="631">
      <c r="A40" s="101" t="n">
        <v>254</v>
      </c>
      <c r="B40" s="144">
        <f>IF(INDEX(MO_SNA_IsHistoricalPeriod,,MATCH(F40,MO_Common_ColumnHeader,0)),"Historical","Forward")</f>
        <v/>
      </c>
      <c r="C40" s="652" t="n"/>
      <c r="D40" s="151">
        <f>INDEX(INDIRECT(E40),0,COLUMN(MO_Common_Column_A))</f>
        <v/>
      </c>
      <c r="E40" s="145" t="inlineStr">
        <is>
          <t>MO_RIS_REV</t>
        </is>
      </c>
      <c r="F40" s="144" t="inlineStr">
        <is>
          <t>Q2-2025</t>
        </is>
      </c>
      <c r="G40" s="144" t="n"/>
      <c r="H40" s="652" t="n"/>
      <c r="I40" s="1637" t="n">
        <v>7200</v>
      </c>
      <c r="J40" s="1637" t="n">
        <v>7700</v>
      </c>
      <c r="K40" s="1637">
        <f>AVERAGE(I40:J40)</f>
        <v/>
      </c>
      <c r="L40" s="652" t="n"/>
      <c r="M40" s="144">
        <f>IF(INDEX(MO_SNA_IsHistoricalPeriod,,MATCH(F40,MO_Common_ColumnHeader,0)),"Actual","Estimate")</f>
        <v/>
      </c>
      <c r="N40" s="1637">
        <f>IFERROR(INDEX(INDIRECT(E40),0,MATCH(F40,MO_Common_ColumnHeader,0)),"N/A")</f>
        <v/>
      </c>
      <c r="O40" s="652" t="n"/>
      <c r="P40" s="2110">
        <f>IF(ISNUMBER(N40),N40-K40,"N/A")</f>
        <v/>
      </c>
      <c r="Q40" s="153">
        <f>IFERROR(IF(ISNUMBER(N40),(N40-K40)/ABS(K40),"N/A"),"N/A")</f>
        <v/>
      </c>
      <c r="R40" s="652" t="n"/>
      <c r="S40" s="147" t="n">
        <v>45762</v>
      </c>
      <c r="T40" s="154" t="inlineStr">
        <is>
          <t>Investor Presentation</t>
        </is>
      </c>
      <c r="U40" s="652" t="n"/>
    </row>
    <row r="41" ht="15" customFormat="1" customHeight="1" s="631">
      <c r="A41" s="101" t="n">
        <v>253</v>
      </c>
      <c r="B41" s="144">
        <f>IF(INDEX(MO_SNA_IsHistoricalPeriod,,MATCH(F41,MO_Common_ColumnHeader,0)),"Historical","Forward")</f>
        <v/>
      </c>
      <c r="C41" s="652" t="n"/>
      <c r="D41" s="151" t="inlineStr">
        <is>
          <t>Installed Base Management sales</t>
        </is>
      </c>
      <c r="E41" s="145" t="inlineStr">
        <is>
          <t>z_I9KH3H0125_MO_OS_Netserviceandfieldoptionsales</t>
        </is>
      </c>
      <c r="F41" s="144" t="inlineStr">
        <is>
          <t>Q2-2025</t>
        </is>
      </c>
      <c r="G41" s="144" t="n"/>
      <c r="H41" s="652" t="n"/>
      <c r="I41" s="1637" t="n">
        <v>2000</v>
      </c>
      <c r="J41" s="1637" t="n">
        <v>2000</v>
      </c>
      <c r="K41" s="1637">
        <f>AVERAGE(I41:J41)</f>
        <v/>
      </c>
      <c r="L41" s="652" t="n"/>
      <c r="M41" s="144">
        <f>IF(INDEX(MO_SNA_IsHistoricalPeriod,,MATCH(F41,MO_Common_ColumnHeader,0)),"Actual","Estimate")</f>
        <v/>
      </c>
      <c r="N41" s="1637">
        <f>IFERROR(INDEX(INDIRECT(E41),0,MATCH(F41,MO_Common_ColumnHeader,0)),"N/A")</f>
        <v/>
      </c>
      <c r="O41" s="652" t="n"/>
      <c r="P41" s="2110">
        <f>IF(ISNUMBER(N41),N41-K41,"N/A")</f>
        <v/>
      </c>
      <c r="Q41" s="153">
        <f>IFERROR(IF(ISNUMBER(N41),(N41-K41)/ABS(K41),"N/A"),"N/A")</f>
        <v/>
      </c>
      <c r="R41" s="652" t="n"/>
      <c r="S41" s="147" t="n">
        <v>45762</v>
      </c>
      <c r="T41" s="154" t="inlineStr">
        <is>
          <t>Investor Presentation</t>
        </is>
      </c>
      <c r="U41" s="652" t="n"/>
    </row>
    <row r="42" ht="15" customFormat="1" customHeight="1" s="631">
      <c r="A42" s="101" t="n">
        <v>252</v>
      </c>
      <c r="B42" s="144">
        <f>IF(INDEX(MO_SNA_IsHistoricalPeriod,,MATCH(F42,MO_Common_ColumnHeader,0)),"Historical","Forward")</f>
        <v/>
      </c>
      <c r="C42" s="652" t="n"/>
      <c r="D42" s="151">
        <f>INDEX(INDIRECT(E42),0,COLUMN(MO_Common_Column_A))</f>
        <v/>
      </c>
      <c r="E42" s="145" t="inlineStr">
        <is>
          <t>MO_MA_GM</t>
        </is>
      </c>
      <c r="F42" s="144" t="inlineStr">
        <is>
          <t>Q2-2025</t>
        </is>
      </c>
      <c r="G42" s="144" t="n"/>
      <c r="H42" s="652" t="n"/>
      <c r="I42" s="1352" t="n">
        <v>0.5</v>
      </c>
      <c r="J42" s="1352" t="n">
        <v>0.53</v>
      </c>
      <c r="K42" s="1352">
        <f>AVERAGE(I42:J42)</f>
        <v/>
      </c>
      <c r="L42" s="652" t="n"/>
      <c r="M42" s="144">
        <f>IF(INDEX(MO_SNA_IsHistoricalPeriod,,MATCH(F42,MO_Common_ColumnHeader,0)),"Actual","Estimate")</f>
        <v/>
      </c>
      <c r="N42" s="1352">
        <f>IFERROR(INDEX(INDIRECT(E42),0,MATCH(F42,MO_Common_ColumnHeader,0)),"N/A")</f>
        <v/>
      </c>
      <c r="O42" s="652" t="n"/>
      <c r="P42" s="153">
        <f>IF(ISNUMBER(N42),N42-K42,"N/A")</f>
        <v/>
      </c>
      <c r="Q42" s="153">
        <f>IFERROR(IF(ISNUMBER(N42),(N42-K42)/ABS(K42),"N/A"),"N/A")</f>
        <v/>
      </c>
      <c r="R42" s="652" t="n"/>
      <c r="S42" s="147" t="n">
        <v>45762</v>
      </c>
      <c r="T42" s="154" t="inlineStr">
        <is>
          <t>Investor Presentation</t>
        </is>
      </c>
      <c r="U42" s="652" t="n"/>
    </row>
    <row r="43" ht="15" customFormat="1" customHeight="1" s="631">
      <c r="A43" s="101" t="n">
        <v>251</v>
      </c>
      <c r="B43" s="144">
        <f>IF(INDEX(MO_SNA_IsHistoricalPeriod,,MATCH(F43,MO_Common_ColumnHeader,0)),"Historical","Forward")</f>
        <v/>
      </c>
      <c r="C43" s="652" t="n"/>
      <c r="D43" s="151" t="inlineStr">
        <is>
          <t>R&amp;D Expense</t>
        </is>
      </c>
      <c r="E43" s="145" t="inlineStr">
        <is>
          <t>MO_RIS_RD</t>
        </is>
      </c>
      <c r="F43" s="144" t="inlineStr">
        <is>
          <t>Q2-2025</t>
        </is>
      </c>
      <c r="G43" s="144" t="n"/>
      <c r="H43" s="652" t="n"/>
      <c r="I43" s="1637" t="n">
        <v>1200</v>
      </c>
      <c r="J43" s="1637" t="n">
        <v>1200</v>
      </c>
      <c r="K43" s="1637">
        <f>AVERAGE(I43:J43)</f>
        <v/>
      </c>
      <c r="L43" s="652" t="n"/>
      <c r="M43" s="144">
        <f>IF(INDEX(MO_SNA_IsHistoricalPeriod,,MATCH(F43,MO_Common_ColumnHeader,0)),"Actual","Estimate")</f>
        <v/>
      </c>
      <c r="N43" s="1637">
        <f>IFERROR(INDEX(INDIRECT(E43),0,MATCH(F43,MO_Common_ColumnHeader,0)),"N/A")</f>
        <v/>
      </c>
      <c r="O43" s="652" t="n"/>
      <c r="P43" s="2110">
        <f>IF(ISNUMBER(N43),N43-K43,"N/A")</f>
        <v/>
      </c>
      <c r="Q43" s="153">
        <f>IFERROR(IF(ISNUMBER(N43),(N43-K43)/ABS(K43),"N/A"),"N/A")</f>
        <v/>
      </c>
      <c r="R43" s="652" t="n"/>
      <c r="S43" s="147" t="n">
        <v>45762</v>
      </c>
      <c r="T43" s="154" t="inlineStr">
        <is>
          <t>Investor Presentation</t>
        </is>
      </c>
      <c r="U43" s="652" t="n"/>
    </row>
    <row r="44" ht="15" customFormat="1" customHeight="1" s="631">
      <c r="A44" s="101" t="n">
        <v>250</v>
      </c>
      <c r="B44" s="144">
        <f>IF(INDEX(MO_SNA_IsHistoricalPeriod,,MATCH(F44,MO_Common_ColumnHeader,0)),"Historical","Forward")</f>
        <v/>
      </c>
      <c r="C44" s="652" t="n"/>
      <c r="D44" s="151">
        <f>INDEX(INDIRECT(E44),0,COLUMN(MO_Common_Column_A))</f>
        <v/>
      </c>
      <c r="E44" s="145" t="inlineStr">
        <is>
          <t>MO_RIS_SGA</t>
        </is>
      </c>
      <c r="F44" s="144" t="inlineStr">
        <is>
          <t>Q2-2025</t>
        </is>
      </c>
      <c r="G44" s="144" t="n"/>
      <c r="H44" s="652" t="n"/>
      <c r="I44" s="1637" t="n">
        <v>300</v>
      </c>
      <c r="J44" s="1637" t="n">
        <v>300</v>
      </c>
      <c r="K44" s="1637">
        <f>AVERAGE(I44:J44)</f>
        <v/>
      </c>
      <c r="L44" s="652" t="n"/>
      <c r="M44" s="144">
        <f>IF(INDEX(MO_SNA_IsHistoricalPeriod,,MATCH(F44,MO_Common_ColumnHeader,0)),"Actual","Estimate")</f>
        <v/>
      </c>
      <c r="N44" s="1637">
        <f>IFERROR(INDEX(INDIRECT(E44),0,MATCH(F44,MO_Common_ColumnHeader,0)),"N/A")</f>
        <v/>
      </c>
      <c r="O44" s="652" t="n"/>
      <c r="P44" s="2110">
        <f>IF(ISNUMBER(N44),N44-K44,"N/A")</f>
        <v/>
      </c>
      <c r="Q44" s="153">
        <f>IFERROR(IF(ISNUMBER(N44),(N44-K44)/ABS(K44),"N/A"),"N/A")</f>
        <v/>
      </c>
      <c r="R44" s="652" t="n"/>
      <c r="S44" s="147" t="n">
        <v>45762</v>
      </c>
      <c r="T44" s="154" t="inlineStr">
        <is>
          <t>Investor Presentation</t>
        </is>
      </c>
      <c r="U44" s="652" t="n"/>
    </row>
    <row r="45" ht="15" customHeight="1" s="595">
      <c r="A45" s="101" t="n">
        <v>249</v>
      </c>
      <c r="B45" s="652" t="n"/>
      <c r="C45" s="652" t="n"/>
      <c r="D45" s="131" t="n"/>
      <c r="E45" s="653" t="n"/>
      <c r="F45" s="652" t="n"/>
      <c r="G45" s="652" t="n"/>
      <c r="H45" s="652" t="n"/>
      <c r="I45" s="1562" t="n"/>
      <c r="J45" s="1562" t="n"/>
      <c r="K45" s="1562" t="n"/>
      <c r="L45" s="652" t="n"/>
      <c r="M45" s="652" t="n"/>
      <c r="N45" s="1562" t="n"/>
      <c r="O45" s="652" t="n"/>
      <c r="P45" s="2111" t="n"/>
      <c r="Q45" s="271" t="n"/>
      <c r="R45" s="652" t="n"/>
      <c r="S45" s="136" t="n"/>
      <c r="T45" s="155" t="n"/>
      <c r="U45" s="652" t="n"/>
    </row>
    <row r="46" ht="15" customFormat="1" customHeight="1" s="631">
      <c r="A46" s="101" t="n">
        <v>248</v>
      </c>
      <c r="B46" s="144">
        <f>IF(INDEX(MO_SNA_IsHistoricalPeriod,,MATCH(F46,MO_Common_ColumnHeader,0)),"Historical","Forward")</f>
        <v/>
      </c>
      <c r="C46" s="652" t="n"/>
      <c r="D46" s="151">
        <f>INDEX(INDIRECT(E46),0,COLUMN(MO_Common_Column_A))</f>
        <v/>
      </c>
      <c r="E46" s="145" t="inlineStr">
        <is>
          <t>MO_RIS_REV</t>
        </is>
      </c>
      <c r="F46" s="144" t="inlineStr">
        <is>
          <t>FY2025</t>
        </is>
      </c>
      <c r="G46" s="144" t="n"/>
      <c r="H46" s="652" t="n"/>
      <c r="I46" s="1637" t="n">
        <v>30000</v>
      </c>
      <c r="J46" s="1637" t="n">
        <v>35000</v>
      </c>
      <c r="K46" s="1637">
        <f>AVERAGE(I46:J46)</f>
        <v/>
      </c>
      <c r="L46" s="652" t="n"/>
      <c r="M46" s="144">
        <f>IF(INDEX(MO_SNA_IsHistoricalPeriod,,MATCH(F46,MO_Common_ColumnHeader,0)),"Actual","Estimate")</f>
        <v/>
      </c>
      <c r="N46" s="1637">
        <f>IFERROR(INDEX(INDIRECT(E46),0,MATCH(F46,MO_Common_ColumnHeader,0)),"N/A")</f>
        <v/>
      </c>
      <c r="O46" s="652" t="n"/>
      <c r="P46" s="2110">
        <f>IF(ISNUMBER(N46),N46-K46,"N/A")</f>
        <v/>
      </c>
      <c r="Q46" s="153">
        <f>IFERROR(IF(ISNUMBER(N46),(N46-K46)/ABS(K46),"N/A"),"N/A")</f>
        <v/>
      </c>
      <c r="R46" s="652" t="n"/>
      <c r="S46" s="147" t="n">
        <v>45686</v>
      </c>
      <c r="T46" s="154" t="inlineStr">
        <is>
          <t>Investor Presentation</t>
        </is>
      </c>
      <c r="U46" s="652" t="n"/>
    </row>
    <row r="47" ht="15" customFormat="1" customHeight="1" s="631">
      <c r="A47" s="101" t="n">
        <v>247</v>
      </c>
      <c r="B47" s="144">
        <f>IF(INDEX(MO_SNA_IsHistoricalPeriod,,MATCH(F47,MO_Common_ColumnHeader,0)),"Historical","Forward")</f>
        <v/>
      </c>
      <c r="C47" s="652" t="n"/>
      <c r="D47" s="151">
        <f>INDEX(INDIRECT(E47),0,COLUMN(MO_Common_Column_A))</f>
        <v/>
      </c>
      <c r="E47" s="145" t="inlineStr">
        <is>
          <t>MO_MA_GM</t>
        </is>
      </c>
      <c r="F47" s="144" t="inlineStr">
        <is>
          <t>FY2025</t>
        </is>
      </c>
      <c r="G47" s="144" t="n"/>
      <c r="H47" s="652" t="n"/>
      <c r="I47" s="1352" t="n">
        <v>0.51</v>
      </c>
      <c r="J47" s="1352" t="n">
        <v>0.53</v>
      </c>
      <c r="K47" s="1352">
        <f>AVERAGE(I47:J47)</f>
        <v/>
      </c>
      <c r="L47" s="652" t="n"/>
      <c r="M47" s="144">
        <f>IF(INDEX(MO_SNA_IsHistoricalPeriod,,MATCH(F47,MO_Common_ColumnHeader,0)),"Actual","Estimate")</f>
        <v/>
      </c>
      <c r="N47" s="1352">
        <f>IFERROR(INDEX(INDIRECT(E47),0,MATCH(F47,MO_Common_ColumnHeader,0)),"N/A")</f>
        <v/>
      </c>
      <c r="O47" s="652" t="n"/>
      <c r="P47" s="153">
        <f>IF(ISNUMBER(N47),N47-K47,"N/A")</f>
        <v/>
      </c>
      <c r="Q47" s="153">
        <f>IFERROR(IF(ISNUMBER(N47),(N47-K47)/ABS(K47),"N/A"),"N/A")</f>
        <v/>
      </c>
      <c r="R47" s="652" t="n"/>
      <c r="S47" s="147" t="n">
        <v>45686</v>
      </c>
      <c r="T47" s="154" t="inlineStr">
        <is>
          <t>Investor Presentation</t>
        </is>
      </c>
      <c r="U47" s="652" t="n"/>
    </row>
    <row r="48" ht="15" customHeight="1" s="595">
      <c r="A48" s="101" t="n">
        <v>246</v>
      </c>
      <c r="B48" s="144">
        <f>IF(INDEX(MO_SNA_IsHistoricalPeriod,,MATCH(F48,MO_Common_ColumnHeader,0)),"Historical","Forward")</f>
        <v/>
      </c>
      <c r="C48" s="652" t="n"/>
      <c r="D48" s="151" t="inlineStr">
        <is>
          <t>Effective tax rate</t>
        </is>
      </c>
      <c r="E48" s="145" t="n"/>
      <c r="F48" s="144" t="inlineStr">
        <is>
          <t>FY2025</t>
        </is>
      </c>
      <c r="G48" s="144" t="n"/>
      <c r="H48" s="652" t="n"/>
      <c r="I48" s="1352" t="n">
        <v>0.17</v>
      </c>
      <c r="J48" s="1352" t="n">
        <v>0.17</v>
      </c>
      <c r="K48" s="1352">
        <f>AVERAGE(I48:J48)</f>
        <v/>
      </c>
      <c r="L48" s="652" t="n"/>
      <c r="M48" s="144">
        <f>IF(INDEX(MO_SNA_IsHistoricalPeriod,,MATCH(F48,MO_Common_ColumnHeader,0)),"Actual","Estimate")</f>
        <v/>
      </c>
      <c r="N48" s="1352">
        <f>INDEX(MO_RIS_TaxRate_Current,0,MATCH(F48,MO_Common_ColumnHeader,0))+INDEX(MO_RIS_TaxRate_Deferred,0,MATCH(F48,MO_Common_ColumnHeader,0))</f>
        <v/>
      </c>
      <c r="O48" s="652" t="n"/>
      <c r="P48" s="153">
        <f>IF(ISNUMBER(N48),N48-K48,"N/A")</f>
        <v/>
      </c>
      <c r="Q48" s="153">
        <f>IFERROR(IF(ISNUMBER(N48),(N48-K48)/ABS(K48),"N/A"),"N/A")</f>
        <v/>
      </c>
      <c r="R48" s="652" t="n"/>
      <c r="S48" s="147" t="n">
        <v>45686</v>
      </c>
      <c r="T48" s="154" t="inlineStr">
        <is>
          <t>Investor Presentation</t>
        </is>
      </c>
      <c r="U48" s="652" t="n"/>
    </row>
    <row r="49" ht="15" customHeight="1" s="595">
      <c r="A49" s="101" t="n">
        <v>245</v>
      </c>
      <c r="B49" s="652" t="n"/>
      <c r="C49" s="652" t="n"/>
      <c r="D49" s="131" t="n"/>
      <c r="E49" s="653" t="n"/>
      <c r="F49" s="652" t="n"/>
      <c r="G49" s="652" t="n"/>
      <c r="H49" s="652" t="n"/>
      <c r="I49" s="1562" t="n"/>
      <c r="J49" s="1562" t="n"/>
      <c r="K49" s="1562" t="n"/>
      <c r="L49" s="652" t="n"/>
      <c r="M49" s="652" t="n"/>
      <c r="N49" s="1562" t="n"/>
      <c r="O49" s="652" t="n"/>
      <c r="P49" s="2111" t="n"/>
      <c r="Q49" s="271" t="n"/>
      <c r="R49" s="652" t="n"/>
      <c r="S49" s="136" t="n"/>
      <c r="T49" s="155" t="n"/>
      <c r="U49" s="652" t="n"/>
    </row>
    <row r="50" ht="15" customFormat="1" customHeight="1" s="631">
      <c r="A50" s="101" t="n">
        <v>244</v>
      </c>
      <c r="B50" s="144">
        <f>IF(INDEX(MO_SNA_IsHistoricalPeriod,,MATCH(F50,MO_Common_ColumnHeader,0)),"Historical","Forward")</f>
        <v/>
      </c>
      <c r="C50" s="652" t="n"/>
      <c r="D50" s="151">
        <f>INDEX(INDIRECT(E50),0,COLUMN(MO_Common_Column_A))</f>
        <v/>
      </c>
      <c r="E50" s="145" t="inlineStr">
        <is>
          <t>MO_RIS_REV</t>
        </is>
      </c>
      <c r="F50" s="144" t="inlineStr">
        <is>
          <t>Q1-2025</t>
        </is>
      </c>
      <c r="G50" s="144" t="n"/>
      <c r="H50" s="652" t="n"/>
      <c r="I50" s="1637" t="n">
        <v>7500</v>
      </c>
      <c r="J50" s="1637" t="n">
        <v>8000</v>
      </c>
      <c r="K50" s="1637">
        <f>AVERAGE(I50:J50)</f>
        <v/>
      </c>
      <c r="L50" s="652" t="n"/>
      <c r="M50" s="144">
        <f>IF(INDEX(MO_SNA_IsHistoricalPeriod,,MATCH(F50,MO_Common_ColumnHeader,0)),"Actual","Estimate")</f>
        <v/>
      </c>
      <c r="N50" s="1637">
        <f>IFERROR(INDEX(INDIRECT(E50),0,MATCH(F50,MO_Common_ColumnHeader,0)),"N/A")</f>
        <v/>
      </c>
      <c r="O50" s="652" t="n"/>
      <c r="P50" s="2110">
        <f>IF(ISNUMBER(N50),N50-K50,"N/A")</f>
        <v/>
      </c>
      <c r="Q50" s="153">
        <f>IFERROR(IF(ISNUMBER(N50),(N50-K50)/ABS(K50),"N/A"),"N/A")</f>
        <v/>
      </c>
      <c r="R50" s="652" t="n"/>
      <c r="S50" s="147" t="n">
        <v>45686</v>
      </c>
      <c r="T50" s="154" t="inlineStr">
        <is>
          <t>Investor Presentation</t>
        </is>
      </c>
      <c r="U50" s="652" t="n"/>
    </row>
    <row r="51" ht="15" customFormat="1" customHeight="1" s="631">
      <c r="A51" s="101" t="n">
        <v>243</v>
      </c>
      <c r="B51" s="144">
        <f>IF(INDEX(MO_SNA_IsHistoricalPeriod,,MATCH(F51,MO_Common_ColumnHeader,0)),"Historical","Forward")</f>
        <v/>
      </c>
      <c r="C51" s="652" t="n"/>
      <c r="D51" s="151" t="inlineStr">
        <is>
          <t>Installed Base Management sales</t>
        </is>
      </c>
      <c r="E51" s="145" t="inlineStr">
        <is>
          <t>z_I9KH3H0125_MO_OS_Netserviceandfieldoptionsales</t>
        </is>
      </c>
      <c r="F51" s="144" t="inlineStr">
        <is>
          <t>Q1-2025</t>
        </is>
      </c>
      <c r="G51" s="144" t="n"/>
      <c r="H51" s="652" t="n"/>
      <c r="I51" s="1637" t="n">
        <v>2100</v>
      </c>
      <c r="J51" s="1637" t="n">
        <v>2100</v>
      </c>
      <c r="K51" s="1637">
        <f>AVERAGE(I51:J51)</f>
        <v/>
      </c>
      <c r="L51" s="652" t="n"/>
      <c r="M51" s="144">
        <f>IF(INDEX(MO_SNA_IsHistoricalPeriod,,MATCH(F51,MO_Common_ColumnHeader,0)),"Actual","Estimate")</f>
        <v/>
      </c>
      <c r="N51" s="1637">
        <f>IFERROR(INDEX(INDIRECT(E51),0,MATCH(F51,MO_Common_ColumnHeader,0)),"N/A")</f>
        <v/>
      </c>
      <c r="O51" s="652" t="n"/>
      <c r="P51" s="2110">
        <f>IF(ISNUMBER(N51),N51-K51,"N/A")</f>
        <v/>
      </c>
      <c r="Q51" s="153">
        <f>IFERROR(IF(ISNUMBER(N51),(N51-K51)/ABS(K51),"N/A"),"N/A")</f>
        <v/>
      </c>
      <c r="R51" s="652" t="n"/>
      <c r="S51" s="147" t="n">
        <v>45686</v>
      </c>
      <c r="T51" s="154" t="inlineStr">
        <is>
          <t>Investor Presentation</t>
        </is>
      </c>
      <c r="U51" s="652" t="n"/>
    </row>
    <row r="52" ht="15" customFormat="1" customHeight="1" s="631">
      <c r="A52" s="101" t="n">
        <v>242</v>
      </c>
      <c r="B52" s="144">
        <f>IF(INDEX(MO_SNA_IsHistoricalPeriod,,MATCH(F52,MO_Common_ColumnHeader,0)),"Historical","Forward")</f>
        <v/>
      </c>
      <c r="C52" s="652" t="n"/>
      <c r="D52" s="151">
        <f>INDEX(INDIRECT(E52),0,COLUMN(MO_Common_Column_A))</f>
        <v/>
      </c>
      <c r="E52" s="145" t="inlineStr">
        <is>
          <t>MO_MA_GM</t>
        </is>
      </c>
      <c r="F52" s="144" t="inlineStr">
        <is>
          <t>Q1-2025</t>
        </is>
      </c>
      <c r="G52" s="144" t="n"/>
      <c r="H52" s="652" t="n"/>
      <c r="I52" s="1352" t="n">
        <v>0.52</v>
      </c>
      <c r="J52" s="1352" t="n">
        <v>0.53</v>
      </c>
      <c r="K52" s="1352">
        <f>AVERAGE(I52:J52)</f>
        <v/>
      </c>
      <c r="L52" s="652" t="n"/>
      <c r="M52" s="144">
        <f>IF(INDEX(MO_SNA_IsHistoricalPeriod,,MATCH(F52,MO_Common_ColumnHeader,0)),"Actual","Estimate")</f>
        <v/>
      </c>
      <c r="N52" s="1352">
        <f>IFERROR(INDEX(INDIRECT(E52),0,MATCH(F52,MO_Common_ColumnHeader,0)),"N/A")</f>
        <v/>
      </c>
      <c r="O52" s="652" t="n"/>
      <c r="P52" s="153">
        <f>IF(ISNUMBER(N52),N52-K52,"N/A")</f>
        <v/>
      </c>
      <c r="Q52" s="153">
        <f>IFERROR(IF(ISNUMBER(N52),(N52-K52)/ABS(K52),"N/A"),"N/A")</f>
        <v/>
      </c>
      <c r="R52" s="652" t="n"/>
      <c r="S52" s="147" t="n">
        <v>45686</v>
      </c>
      <c r="T52" s="154" t="inlineStr">
        <is>
          <t>Investor Presentation</t>
        </is>
      </c>
      <c r="U52" s="652" t="n"/>
    </row>
    <row r="53" ht="15" customFormat="1" customHeight="1" s="631">
      <c r="A53" s="101" t="n">
        <v>241</v>
      </c>
      <c r="B53" s="144">
        <f>IF(INDEX(MO_SNA_IsHistoricalPeriod,,MATCH(F53,MO_Common_ColumnHeader,0)),"Historical","Forward")</f>
        <v/>
      </c>
      <c r="C53" s="652" t="n"/>
      <c r="D53" s="151" t="inlineStr">
        <is>
          <t>R&amp;D Expense</t>
        </is>
      </c>
      <c r="E53" s="145" t="inlineStr">
        <is>
          <t>MO_RIS_RD</t>
        </is>
      </c>
      <c r="F53" s="144" t="inlineStr">
        <is>
          <t>Q1-2025</t>
        </is>
      </c>
      <c r="G53" s="144" t="n"/>
      <c r="H53" s="652" t="n"/>
      <c r="I53" s="1637" t="n">
        <v>1140</v>
      </c>
      <c r="J53" s="1637" t="n">
        <v>1140</v>
      </c>
      <c r="K53" s="1637">
        <f>AVERAGE(I53:J53)</f>
        <v/>
      </c>
      <c r="L53" s="652" t="n"/>
      <c r="M53" s="144">
        <f>IF(INDEX(MO_SNA_IsHistoricalPeriod,,MATCH(F53,MO_Common_ColumnHeader,0)),"Actual","Estimate")</f>
        <v/>
      </c>
      <c r="N53" s="1637">
        <f>IFERROR(INDEX(INDIRECT(E53),0,MATCH(F53,MO_Common_ColumnHeader,0)),"N/A")</f>
        <v/>
      </c>
      <c r="O53" s="652" t="n"/>
      <c r="P53" s="2110">
        <f>IF(ISNUMBER(N53),N53-K53,"N/A")</f>
        <v/>
      </c>
      <c r="Q53" s="153">
        <f>IFERROR(IF(ISNUMBER(N53),(N53-K53)/ABS(K53),"N/A"),"N/A")</f>
        <v/>
      </c>
      <c r="R53" s="652" t="n"/>
      <c r="S53" s="147" t="n">
        <v>45686</v>
      </c>
      <c r="T53" s="154" t="inlineStr">
        <is>
          <t>Investor Presentation</t>
        </is>
      </c>
      <c r="U53" s="652" t="n"/>
    </row>
    <row r="54" ht="15" customFormat="1" customHeight="1" s="631">
      <c r="A54" s="101" t="n">
        <v>240</v>
      </c>
      <c r="B54" s="144">
        <f>IF(INDEX(MO_SNA_IsHistoricalPeriod,,MATCH(F54,MO_Common_ColumnHeader,0)),"Historical","Forward")</f>
        <v/>
      </c>
      <c r="C54" s="652" t="n"/>
      <c r="D54" s="151">
        <f>INDEX(INDIRECT(E54),0,COLUMN(MO_Common_Column_A))</f>
        <v/>
      </c>
      <c r="E54" s="145" t="inlineStr">
        <is>
          <t>MO_RIS_SGA</t>
        </is>
      </c>
      <c r="F54" s="144" t="inlineStr">
        <is>
          <t>Q1-2025</t>
        </is>
      </c>
      <c r="G54" s="144" t="n"/>
      <c r="H54" s="652" t="n"/>
      <c r="I54" s="1637" t="n">
        <v>290</v>
      </c>
      <c r="J54" s="1637" t="n">
        <v>290</v>
      </c>
      <c r="K54" s="1637">
        <f>AVERAGE(I54:J54)</f>
        <v/>
      </c>
      <c r="L54" s="652" t="n"/>
      <c r="M54" s="144">
        <f>IF(INDEX(MO_SNA_IsHistoricalPeriod,,MATCH(F54,MO_Common_ColumnHeader,0)),"Actual","Estimate")</f>
        <v/>
      </c>
      <c r="N54" s="1637">
        <f>IFERROR(INDEX(INDIRECT(E54),0,MATCH(F54,MO_Common_ColumnHeader,0)),"N/A")</f>
        <v/>
      </c>
      <c r="O54" s="652" t="n"/>
      <c r="P54" s="2110">
        <f>IF(ISNUMBER(N54),N54-K54,"N/A")</f>
        <v/>
      </c>
      <c r="Q54" s="153">
        <f>IFERROR(IF(ISNUMBER(N54),(N54-K54)/ABS(K54),"N/A"),"N/A")</f>
        <v/>
      </c>
      <c r="R54" s="652" t="n"/>
      <c r="S54" s="147" t="n">
        <v>45686</v>
      </c>
      <c r="T54" s="154" t="inlineStr">
        <is>
          <t>Investor Presentation</t>
        </is>
      </c>
      <c r="U54" s="652" t="n"/>
    </row>
    <row r="55" ht="15" customHeight="1" s="595">
      <c r="A55" s="101" t="n">
        <v>239</v>
      </c>
      <c r="B55" s="652" t="n"/>
      <c r="C55" s="652" t="n"/>
      <c r="D55" s="131" t="n"/>
      <c r="E55" s="653" t="n"/>
      <c r="F55" s="652" t="n"/>
      <c r="G55" s="652" t="n"/>
      <c r="H55" s="652" t="n"/>
      <c r="I55" s="1562" t="n"/>
      <c r="J55" s="1562" t="n"/>
      <c r="K55" s="1562" t="n"/>
      <c r="L55" s="652" t="n"/>
      <c r="M55" s="652" t="n"/>
      <c r="N55" s="1562" t="n"/>
      <c r="O55" s="652" t="n"/>
      <c r="P55" s="2111" t="n"/>
      <c r="Q55" s="271" t="n"/>
      <c r="R55" s="652" t="n"/>
      <c r="S55" s="136" t="n"/>
      <c r="T55" s="155" t="n"/>
      <c r="U55" s="652" t="n"/>
    </row>
    <row r="56" ht="15" customFormat="1" customHeight="1" s="631">
      <c r="A56" s="101" t="n">
        <v>238</v>
      </c>
      <c r="B56" s="144">
        <f>IF(INDEX(MO_SNA_IsHistoricalPeriod,,MATCH(F56,MO_Common_ColumnHeader,0)),"Historical","Forward")</f>
        <v/>
      </c>
      <c r="C56" s="652" t="n"/>
      <c r="D56" s="151">
        <f>INDEX(INDIRECT(E56),0,COLUMN(MO_Common_Column_A))</f>
        <v/>
      </c>
      <c r="E56" s="145" t="inlineStr">
        <is>
          <t>MO_RIS_REV</t>
        </is>
      </c>
      <c r="F56" s="144" t="inlineStr">
        <is>
          <t>FY2024</t>
        </is>
      </c>
      <c r="G56" s="144" t="n"/>
      <c r="H56" s="652" t="n"/>
      <c r="I56" s="1637" t="n">
        <v>28000</v>
      </c>
      <c r="J56" s="1637" t="n">
        <v>28000</v>
      </c>
      <c r="K56" s="1637">
        <f>AVERAGE(I56:J56)</f>
        <v/>
      </c>
      <c r="L56" s="652" t="n"/>
      <c r="M56" s="144">
        <f>IF(INDEX(MO_SNA_IsHistoricalPeriod,,MATCH(F56,MO_Common_ColumnHeader,0)),"Actual","Estimate")</f>
        <v/>
      </c>
      <c r="N56" s="1637">
        <f>IFERROR(INDEX(INDIRECT(E56),0,MATCH(F56,MO_Common_ColumnHeader,0)),"N/A")</f>
        <v/>
      </c>
      <c r="O56" s="652" t="n"/>
      <c r="P56" s="2110">
        <f>IF(ISNUMBER(N56),N56-K56,"N/A")</f>
        <v/>
      </c>
      <c r="Q56" s="153">
        <f>IFERROR(IF(ISNUMBER(N56),(N56-K56)/ABS(K56),"N/A"),"N/A")</f>
        <v/>
      </c>
      <c r="R56" s="652" t="n"/>
      <c r="S56" s="147" t="n">
        <v>45580</v>
      </c>
      <c r="T56" s="154" t="inlineStr">
        <is>
          <t>Investor Presentation</t>
        </is>
      </c>
      <c r="U56" s="652" t="n"/>
    </row>
    <row r="57" ht="15" customFormat="1" customHeight="1" s="631">
      <c r="A57" s="101" t="n">
        <v>237</v>
      </c>
      <c r="B57" s="144">
        <f>IF(INDEX(MO_SNA_IsHistoricalPeriod,,MATCH(F57,MO_Common_ColumnHeader,0)),"Historical","Forward")</f>
        <v/>
      </c>
      <c r="C57" s="652" t="n"/>
      <c r="D57" s="151">
        <f>INDEX(INDIRECT(E57),0,COLUMN(MO_Common_Column_A))</f>
        <v/>
      </c>
      <c r="E57" s="145" t="inlineStr">
        <is>
          <t>MO_MA_GM</t>
        </is>
      </c>
      <c r="F57" s="144" t="inlineStr">
        <is>
          <t>FY2024</t>
        </is>
      </c>
      <c r="G57" s="144" t="n"/>
      <c r="H57" s="652" t="n"/>
      <c r="I57" s="1352" t="n">
        <v>0.506</v>
      </c>
      <c r="J57" s="1352" t="n">
        <v>0.506</v>
      </c>
      <c r="K57" s="1352">
        <f>AVERAGE(I57:J57)</f>
        <v/>
      </c>
      <c r="L57" s="652" t="n"/>
      <c r="M57" s="144">
        <f>IF(INDEX(MO_SNA_IsHistoricalPeriod,,MATCH(F57,MO_Common_ColumnHeader,0)),"Actual","Estimate")</f>
        <v/>
      </c>
      <c r="N57" s="1352">
        <f>IFERROR(INDEX(INDIRECT(E57),0,MATCH(F57,MO_Common_ColumnHeader,0)),"N/A")</f>
        <v/>
      </c>
      <c r="O57" s="652" t="n"/>
      <c r="P57" s="153">
        <f>IF(ISNUMBER(N57),N57-K57,"N/A")</f>
        <v/>
      </c>
      <c r="Q57" s="153">
        <f>IFERROR(IF(ISNUMBER(N57),(N57-K57)/ABS(K57),"N/A"),"N/A")</f>
        <v/>
      </c>
      <c r="R57" s="652" t="n"/>
      <c r="S57" s="147" t="n">
        <v>45580</v>
      </c>
      <c r="T57" s="154" t="inlineStr">
        <is>
          <t>Investor Presentation</t>
        </is>
      </c>
      <c r="U57" s="652" t="n"/>
    </row>
    <row r="58" ht="15" customHeight="1" s="595">
      <c r="A58" s="101" t="n">
        <v>236</v>
      </c>
      <c r="B58" s="144">
        <f>IF(INDEX(MO_SNA_IsHistoricalPeriod,,MATCH(F58,MO_Common_ColumnHeader,0)),"Historical","Forward")</f>
        <v/>
      </c>
      <c r="C58" s="652" t="n"/>
      <c r="D58" s="151" t="inlineStr">
        <is>
          <t>Effective tax rate</t>
        </is>
      </c>
      <c r="E58" s="145" t="n"/>
      <c r="F58" s="144" t="inlineStr">
        <is>
          <t>FY2024</t>
        </is>
      </c>
      <c r="G58" s="144" t="n"/>
      <c r="H58" s="652" t="n"/>
      <c r="I58" s="1352" t="n">
        <v>0.16</v>
      </c>
      <c r="J58" s="1352" t="n">
        <v>0.17</v>
      </c>
      <c r="K58" s="1352">
        <f>AVERAGE(I58:J58)</f>
        <v/>
      </c>
      <c r="L58" s="652" t="n"/>
      <c r="M58" s="144">
        <f>IF(INDEX(MO_SNA_IsHistoricalPeriod,,MATCH(F58,MO_Common_ColumnHeader,0)),"Actual","Estimate")</f>
        <v/>
      </c>
      <c r="N58" s="1352">
        <f>INDEX(MO_RIS_TaxRate_Current,0,MATCH(F58,MO_Common_ColumnHeader,0))+INDEX(MO_RIS_TaxRate_Deferred,0,MATCH(F58,MO_Common_ColumnHeader,0))</f>
        <v/>
      </c>
      <c r="O58" s="652" t="n"/>
      <c r="P58" s="153">
        <f>IF(ISNUMBER(N58),N58-K58,"N/A")</f>
        <v/>
      </c>
      <c r="Q58" s="153">
        <f>IFERROR(IF(ISNUMBER(N58),(N58-K58)/ABS(K58),"N/A"),"N/A")</f>
        <v/>
      </c>
      <c r="R58" s="652" t="n"/>
      <c r="S58" s="147" t="n">
        <v>45580</v>
      </c>
      <c r="T58" s="154" t="inlineStr">
        <is>
          <t>Investor Presentation</t>
        </is>
      </c>
      <c r="U58" s="652" t="n"/>
    </row>
    <row r="59" ht="15" customHeight="1" s="595">
      <c r="A59" s="101" t="n">
        <v>235</v>
      </c>
      <c r="B59" s="652" t="n"/>
      <c r="C59" s="652" t="n"/>
      <c r="D59" s="131" t="n"/>
      <c r="E59" s="653" t="n"/>
      <c r="F59" s="652" t="n"/>
      <c r="G59" s="652" t="n"/>
      <c r="H59" s="652" t="n"/>
      <c r="I59" s="1562" t="n"/>
      <c r="J59" s="1562" t="n"/>
      <c r="K59" s="1562" t="n"/>
      <c r="L59" s="652" t="n"/>
      <c r="M59" s="652" t="n"/>
      <c r="N59" s="1562" t="n"/>
      <c r="O59" s="652" t="n"/>
      <c r="P59" s="2111" t="n"/>
      <c r="Q59" s="271" t="n"/>
      <c r="R59" s="652" t="n"/>
      <c r="S59" s="136" t="n"/>
      <c r="T59" s="155" t="n"/>
      <c r="U59" s="652" t="n"/>
    </row>
    <row r="60" ht="15" customFormat="1" customHeight="1" s="631">
      <c r="A60" s="101" t="n">
        <v>234</v>
      </c>
      <c r="B60" s="144">
        <f>IF(INDEX(MO_SNA_IsHistoricalPeriod,,MATCH(F60,MO_Common_ColumnHeader,0)),"Historical","Forward")</f>
        <v/>
      </c>
      <c r="C60" s="652" t="n"/>
      <c r="D60" s="151">
        <f>INDEX(INDIRECT(E60),0,COLUMN(MO_Common_Column_A))</f>
        <v/>
      </c>
      <c r="E60" s="145" t="inlineStr">
        <is>
          <t>MO_RIS_REV</t>
        </is>
      </c>
      <c r="F60" s="144" t="inlineStr">
        <is>
          <t>Q4-2024</t>
        </is>
      </c>
      <c r="G60" s="144" t="n"/>
      <c r="H60" s="652" t="n"/>
      <c r="I60" s="1637" t="n">
        <v>8800</v>
      </c>
      <c r="J60" s="1637" t="n">
        <v>9200</v>
      </c>
      <c r="K60" s="1637">
        <f>AVERAGE(I60:J60)</f>
        <v/>
      </c>
      <c r="L60" s="652" t="n"/>
      <c r="M60" s="144">
        <f>IF(INDEX(MO_SNA_IsHistoricalPeriod,,MATCH(F60,MO_Common_ColumnHeader,0)),"Actual","Estimate")</f>
        <v/>
      </c>
      <c r="N60" s="1637">
        <f>IFERROR(INDEX(INDIRECT(E60),0,MATCH(F60,MO_Common_ColumnHeader,0)),"N/A")</f>
        <v/>
      </c>
      <c r="O60" s="652" t="n"/>
      <c r="P60" s="2110">
        <f>IF(ISNUMBER(N60),N60-K60,"N/A")</f>
        <v/>
      </c>
      <c r="Q60" s="153">
        <f>IFERROR(IF(ISNUMBER(N60),(N60-K60)/ABS(K60),"N/A"),"N/A")</f>
        <v/>
      </c>
      <c r="R60" s="652" t="n"/>
      <c r="S60" s="147" t="n">
        <v>45580</v>
      </c>
      <c r="T60" s="154" t="inlineStr">
        <is>
          <t>Investor Presentation</t>
        </is>
      </c>
      <c r="U60" s="652" t="n"/>
    </row>
    <row r="61" ht="15" customFormat="1" customHeight="1" s="631">
      <c r="A61" s="101" t="n">
        <v>233</v>
      </c>
      <c r="B61" s="144">
        <f>IF(INDEX(MO_SNA_IsHistoricalPeriod,,MATCH(F61,MO_Common_ColumnHeader,0)),"Historical","Forward")</f>
        <v/>
      </c>
      <c r="C61" s="652" t="n"/>
      <c r="D61" s="151" t="inlineStr">
        <is>
          <t>Installed Base Management sales</t>
        </is>
      </c>
      <c r="E61" s="145" t="inlineStr">
        <is>
          <t>z_I9KH3H0125_MO_OS_Netserviceandfieldoptionsales</t>
        </is>
      </c>
      <c r="F61" s="144" t="inlineStr">
        <is>
          <t>Q4-2024</t>
        </is>
      </c>
      <c r="G61" s="144" t="n"/>
      <c r="H61" s="652" t="n"/>
      <c r="I61" s="1637" t="n">
        <v>1900</v>
      </c>
      <c r="J61" s="1637" t="n">
        <v>1900</v>
      </c>
      <c r="K61" s="1637">
        <f>AVERAGE(I61:J61)</f>
        <v/>
      </c>
      <c r="L61" s="652" t="n"/>
      <c r="M61" s="144">
        <f>IF(INDEX(MO_SNA_IsHistoricalPeriod,,MATCH(F61,MO_Common_ColumnHeader,0)),"Actual","Estimate")</f>
        <v/>
      </c>
      <c r="N61" s="1637">
        <f>IFERROR(INDEX(INDIRECT(E61),0,MATCH(F61,MO_Common_ColumnHeader,0)),"N/A")</f>
        <v/>
      </c>
      <c r="O61" s="652" t="n"/>
      <c r="P61" s="2110">
        <f>IF(ISNUMBER(N61),N61-K61,"N/A")</f>
        <v/>
      </c>
      <c r="Q61" s="153">
        <f>IFERROR(IF(ISNUMBER(N61),(N61-K61)/ABS(K61),"N/A"),"N/A")</f>
        <v/>
      </c>
      <c r="R61" s="652" t="n"/>
      <c r="S61" s="147" t="n">
        <v>45580</v>
      </c>
      <c r="T61" s="154" t="inlineStr">
        <is>
          <t>Investor Presentation</t>
        </is>
      </c>
      <c r="U61" s="652" t="n"/>
    </row>
    <row r="62" ht="15" customFormat="1" customHeight="1" s="631">
      <c r="A62" s="101" t="n">
        <v>232</v>
      </c>
      <c r="B62" s="144">
        <f>IF(INDEX(MO_SNA_IsHistoricalPeriod,,MATCH(F62,MO_Common_ColumnHeader,0)),"Historical","Forward")</f>
        <v/>
      </c>
      <c r="C62" s="652" t="n"/>
      <c r="D62" s="151">
        <f>INDEX(INDIRECT(E62),0,COLUMN(MO_Common_Column_A))</f>
        <v/>
      </c>
      <c r="E62" s="145" t="inlineStr">
        <is>
          <t>MO_MA_GM</t>
        </is>
      </c>
      <c r="F62" s="144" t="inlineStr">
        <is>
          <t>Q4-2024</t>
        </is>
      </c>
      <c r="G62" s="144" t="n"/>
      <c r="H62" s="652" t="n"/>
      <c r="I62" s="1352" t="n">
        <v>0.49</v>
      </c>
      <c r="J62" s="1352" t="n">
        <v>0.5</v>
      </c>
      <c r="K62" s="1352">
        <f>AVERAGE(I62:J62)</f>
        <v/>
      </c>
      <c r="L62" s="652" t="n"/>
      <c r="M62" s="144">
        <f>IF(INDEX(MO_SNA_IsHistoricalPeriod,,MATCH(F62,MO_Common_ColumnHeader,0)),"Actual","Estimate")</f>
        <v/>
      </c>
      <c r="N62" s="1352">
        <f>IFERROR(INDEX(INDIRECT(E62),0,MATCH(F62,MO_Common_ColumnHeader,0)),"N/A")</f>
        <v/>
      </c>
      <c r="O62" s="652" t="n"/>
      <c r="P62" s="153">
        <f>IF(ISNUMBER(N62),N62-K62,"N/A")</f>
        <v/>
      </c>
      <c r="Q62" s="153">
        <f>IFERROR(IF(ISNUMBER(N62),(N62-K62)/ABS(K62),"N/A"),"N/A")</f>
        <v/>
      </c>
      <c r="R62" s="652" t="n"/>
      <c r="S62" s="147" t="n">
        <v>45580</v>
      </c>
      <c r="T62" s="154" t="inlineStr">
        <is>
          <t>Investor Presentation</t>
        </is>
      </c>
      <c r="U62" s="652" t="n"/>
    </row>
    <row r="63" ht="15" customFormat="1" customHeight="1" s="631">
      <c r="A63" s="101" t="n">
        <v>231</v>
      </c>
      <c r="B63" s="144">
        <f>IF(INDEX(MO_SNA_IsHistoricalPeriod,,MATCH(F63,MO_Common_ColumnHeader,0)),"Historical","Forward")</f>
        <v/>
      </c>
      <c r="C63" s="652" t="n"/>
      <c r="D63" s="151" t="inlineStr">
        <is>
          <t>R&amp;D Expense</t>
        </is>
      </c>
      <c r="E63" s="145" t="inlineStr">
        <is>
          <t>MO_RIS_RD</t>
        </is>
      </c>
      <c r="F63" s="144" t="inlineStr">
        <is>
          <t>Q4-2024</t>
        </is>
      </c>
      <c r="G63" s="144" t="n"/>
      <c r="H63" s="652" t="n"/>
      <c r="I63" s="1637" t="n">
        <v>1090</v>
      </c>
      <c r="J63" s="1637" t="n">
        <v>1090</v>
      </c>
      <c r="K63" s="1637">
        <f>AVERAGE(I63:J63)</f>
        <v/>
      </c>
      <c r="L63" s="652" t="n"/>
      <c r="M63" s="144">
        <f>IF(INDEX(MO_SNA_IsHistoricalPeriod,,MATCH(F63,MO_Common_ColumnHeader,0)),"Actual","Estimate")</f>
        <v/>
      </c>
      <c r="N63" s="1637">
        <f>IFERROR(INDEX(INDIRECT(E63),0,MATCH(F63,MO_Common_ColumnHeader,0)),"N/A")</f>
        <v/>
      </c>
      <c r="O63" s="652" t="n"/>
      <c r="P63" s="2110">
        <f>IF(ISNUMBER(N63),N63-K63,"N/A")</f>
        <v/>
      </c>
      <c r="Q63" s="153">
        <f>IFERROR(IF(ISNUMBER(N63),(N63-K63)/ABS(K63),"N/A"),"N/A")</f>
        <v/>
      </c>
      <c r="R63" s="652" t="n"/>
      <c r="S63" s="147" t="n">
        <v>45580</v>
      </c>
      <c r="T63" s="154" t="inlineStr">
        <is>
          <t>Investor Presentation</t>
        </is>
      </c>
      <c r="U63" s="652" t="n"/>
    </row>
    <row r="64" ht="15" customFormat="1" customHeight="1" s="631">
      <c r="A64" s="101" t="n">
        <v>230</v>
      </c>
      <c r="B64" s="144">
        <f>IF(INDEX(MO_SNA_IsHistoricalPeriod,,MATCH(F64,MO_Common_ColumnHeader,0)),"Historical","Forward")</f>
        <v/>
      </c>
      <c r="C64" s="652" t="n"/>
      <c r="D64" s="151">
        <f>INDEX(INDIRECT(E64),0,COLUMN(MO_Common_Column_A))</f>
        <v/>
      </c>
      <c r="E64" s="145" t="inlineStr">
        <is>
          <t>MO_RIS_SGA</t>
        </is>
      </c>
      <c r="F64" s="144" t="inlineStr">
        <is>
          <t>Q4-2024</t>
        </is>
      </c>
      <c r="G64" s="144" t="n"/>
      <c r="H64" s="652" t="n"/>
      <c r="I64" s="1637" t="n">
        <v>300</v>
      </c>
      <c r="J64" s="1637" t="n">
        <v>300</v>
      </c>
      <c r="K64" s="1637">
        <f>AVERAGE(I64:J64)</f>
        <v/>
      </c>
      <c r="L64" s="652" t="n"/>
      <c r="M64" s="144">
        <f>IF(INDEX(MO_SNA_IsHistoricalPeriod,,MATCH(F64,MO_Common_ColumnHeader,0)),"Actual","Estimate")</f>
        <v/>
      </c>
      <c r="N64" s="1637">
        <f>IFERROR(INDEX(INDIRECT(E64),0,MATCH(F64,MO_Common_ColumnHeader,0)),"N/A")</f>
        <v/>
      </c>
      <c r="O64" s="652" t="n"/>
      <c r="P64" s="2110">
        <f>IF(ISNUMBER(N64),N64-K64,"N/A")</f>
        <v/>
      </c>
      <c r="Q64" s="153">
        <f>IFERROR(IF(ISNUMBER(N64),(N64-K64)/ABS(K64),"N/A"),"N/A")</f>
        <v/>
      </c>
      <c r="R64" s="652" t="n"/>
      <c r="S64" s="147" t="n">
        <v>45580</v>
      </c>
      <c r="T64" s="154" t="inlineStr">
        <is>
          <t>Investor Presentation</t>
        </is>
      </c>
      <c r="U64" s="652" t="n"/>
    </row>
    <row r="65" ht="15" customHeight="1" s="595">
      <c r="A65" s="101" t="n">
        <v>229</v>
      </c>
      <c r="B65" s="652" t="n"/>
      <c r="C65" s="652" t="n"/>
      <c r="D65" s="131" t="n"/>
      <c r="E65" s="653" t="n"/>
      <c r="F65" s="652" t="n"/>
      <c r="G65" s="652" t="n"/>
      <c r="H65" s="652" t="n"/>
      <c r="I65" s="1562" t="n"/>
      <c r="J65" s="1562" t="n"/>
      <c r="K65" s="1562" t="n"/>
      <c r="L65" s="652" t="n"/>
      <c r="M65" s="652" t="n"/>
      <c r="N65" s="1562" t="n"/>
      <c r="O65" s="652" t="n"/>
      <c r="P65" s="2111" t="n"/>
      <c r="Q65" s="271" t="n"/>
      <c r="R65" s="652" t="n"/>
      <c r="S65" s="136" t="n"/>
      <c r="T65" s="155" t="n"/>
      <c r="U65" s="652" t="n"/>
    </row>
    <row r="66" ht="15" customFormat="1" customHeight="1" s="631">
      <c r="A66" s="101" t="n">
        <v>228</v>
      </c>
      <c r="B66" s="144">
        <f>IF(INDEX(MO_SNA_IsHistoricalPeriod,,MATCH(F66,MO_Common_ColumnHeader,0)),"Historical","Forward")</f>
        <v/>
      </c>
      <c r="C66" s="652" t="n"/>
      <c r="D66" s="151">
        <f>INDEX(INDIRECT(E66),0,COLUMN(MO_Common_Column_A))</f>
        <v/>
      </c>
      <c r="E66" s="145" t="inlineStr">
        <is>
          <t>MO_GA_TotalRevenue</t>
        </is>
      </c>
      <c r="F66" s="144" t="inlineStr">
        <is>
          <t>FY2024</t>
        </is>
      </c>
      <c r="G66" s="144" t="n"/>
      <c r="H66" s="652" t="n"/>
      <c r="I66" s="1352" t="n">
        <v>0</v>
      </c>
      <c r="J66" s="1352" t="n">
        <v>0</v>
      </c>
      <c r="K66" s="1352">
        <f>AVERAGE(I66:J66)</f>
        <v/>
      </c>
      <c r="L66" s="652" t="n"/>
      <c r="M66" s="144">
        <f>IF(INDEX(MO_SNA_IsHistoricalPeriod,,MATCH(F66,MO_Common_ColumnHeader,0)),"Actual","Estimate")</f>
        <v/>
      </c>
      <c r="N66" s="1352">
        <f>IFERROR(INDEX(INDIRECT(E66),0,MATCH(F66,MO_Common_ColumnHeader,0)),"N/A")</f>
        <v/>
      </c>
      <c r="O66" s="652" t="n"/>
      <c r="P66" s="153">
        <f>IF(ISNUMBER(N66),N66-K66,"N/A")</f>
        <v/>
      </c>
      <c r="Q66" s="153">
        <f>IFERROR(IF(ISNUMBER(N66),(N66-K66)/ABS(K66),"N/A"),"N/A")</f>
        <v/>
      </c>
      <c r="R66" s="652" t="n"/>
      <c r="S66" s="147" t="n">
        <v>45490</v>
      </c>
      <c r="T66" s="154" t="inlineStr">
        <is>
          <t>Investor Presentation</t>
        </is>
      </c>
      <c r="U66" s="652" t="n"/>
    </row>
    <row r="67" ht="15" customHeight="1" s="595">
      <c r="A67" s="101" t="n">
        <v>227</v>
      </c>
      <c r="B67" s="144">
        <f>IF(INDEX(MO_SNA_IsHistoricalPeriod,,MATCH(F67,MO_Common_ColumnHeader,0)),"Historical","Forward")</f>
        <v/>
      </c>
      <c r="C67" s="652" t="n"/>
      <c r="D67" s="151" t="inlineStr">
        <is>
          <t>Effective tax rate</t>
        </is>
      </c>
      <c r="E67" s="145" t="n"/>
      <c r="F67" s="144" t="inlineStr">
        <is>
          <t>FY2024</t>
        </is>
      </c>
      <c r="G67" s="144" t="n"/>
      <c r="H67" s="652" t="n"/>
      <c r="I67" s="1352" t="n">
        <v>0.16</v>
      </c>
      <c r="J67" s="1352" t="n">
        <v>0.17</v>
      </c>
      <c r="K67" s="1352">
        <f>AVERAGE(I67:J67)</f>
        <v/>
      </c>
      <c r="L67" s="652" t="n"/>
      <c r="M67" s="144">
        <f>IF(INDEX(MO_SNA_IsHistoricalPeriod,,MATCH(F67,MO_Common_ColumnHeader,0)),"Actual","Estimate")</f>
        <v/>
      </c>
      <c r="N67" s="1352">
        <f>INDEX(MO_RIS_TaxRate_Current,0,MATCH(F67,MO_Common_ColumnHeader,0))+INDEX(MO_RIS_TaxRate_Deferred,0,MATCH(F67,MO_Common_ColumnHeader,0))</f>
        <v/>
      </c>
      <c r="O67" s="652" t="n"/>
      <c r="P67" s="153">
        <f>IF(ISNUMBER(N67),N67-K67,"N/A")</f>
        <v/>
      </c>
      <c r="Q67" s="153">
        <f>IFERROR(IF(ISNUMBER(N67),(N67-K67)/ABS(K67),"N/A"),"N/A")</f>
        <v/>
      </c>
      <c r="R67" s="652" t="n"/>
      <c r="S67" s="147" t="n">
        <v>45490</v>
      </c>
      <c r="T67" s="154" t="inlineStr">
        <is>
          <t>Investor Presentation</t>
        </is>
      </c>
      <c r="U67" s="652" t="n"/>
    </row>
    <row r="68" ht="15" customHeight="1" s="595">
      <c r="A68" s="101" t="n">
        <v>226</v>
      </c>
      <c r="B68" s="652" t="n"/>
      <c r="C68" s="652" t="n"/>
      <c r="D68" s="131" t="n"/>
      <c r="E68" s="653" t="n"/>
      <c r="F68" s="652" t="n"/>
      <c r="G68" s="652" t="n"/>
      <c r="H68" s="652" t="n"/>
      <c r="I68" s="1562" t="n"/>
      <c r="J68" s="1562" t="n"/>
      <c r="K68" s="1562" t="n"/>
      <c r="L68" s="652" t="n"/>
      <c r="M68" s="652" t="n"/>
      <c r="N68" s="1562" t="n"/>
      <c r="O68" s="652" t="n"/>
      <c r="P68" s="2111" t="n"/>
      <c r="Q68" s="271" t="n"/>
      <c r="R68" s="652" t="n"/>
      <c r="S68" s="136" t="n"/>
      <c r="T68" s="155" t="n"/>
      <c r="U68" s="652" t="n"/>
    </row>
    <row r="69" ht="15" customFormat="1" customHeight="1" s="631">
      <c r="A69" s="101" t="n">
        <v>225</v>
      </c>
      <c r="B69" s="144">
        <f>IF(INDEX(MO_SNA_IsHistoricalPeriod,,MATCH(F69,MO_Common_ColumnHeader,0)),"Historical","Forward")</f>
        <v/>
      </c>
      <c r="C69" s="652" t="n"/>
      <c r="D69" s="151">
        <f>INDEX(INDIRECT(E69),0,COLUMN(MO_Common_Column_A))</f>
        <v/>
      </c>
      <c r="E69" s="145" t="inlineStr">
        <is>
          <t>MO_RIS_REV</t>
        </is>
      </c>
      <c r="F69" s="144" t="inlineStr">
        <is>
          <t>Q3-2024</t>
        </is>
      </c>
      <c r="G69" s="144" t="n"/>
      <c r="H69" s="652" t="n"/>
      <c r="I69" s="1637" t="n">
        <v>6700</v>
      </c>
      <c r="J69" s="1637" t="n">
        <v>7300</v>
      </c>
      <c r="K69" s="1637">
        <f>AVERAGE(I69:J69)</f>
        <v/>
      </c>
      <c r="L69" s="652" t="n"/>
      <c r="M69" s="144">
        <f>IF(INDEX(MO_SNA_IsHistoricalPeriod,,MATCH(F69,MO_Common_ColumnHeader,0)),"Actual","Estimate")</f>
        <v/>
      </c>
      <c r="N69" s="1637">
        <f>IFERROR(INDEX(INDIRECT(E69),0,MATCH(F69,MO_Common_ColumnHeader,0)),"N/A")</f>
        <v/>
      </c>
      <c r="O69" s="652" t="n"/>
      <c r="P69" s="2110">
        <f>IF(ISNUMBER(N69),N69-K69,"N/A")</f>
        <v/>
      </c>
      <c r="Q69" s="153">
        <f>IFERROR(IF(ISNUMBER(N69),(N69-K69)/ABS(K69),"N/A"),"N/A")</f>
        <v/>
      </c>
      <c r="R69" s="652" t="n"/>
      <c r="S69" s="147" t="n">
        <v>45490</v>
      </c>
      <c r="T69" s="154" t="inlineStr">
        <is>
          <t>Investor Presentation</t>
        </is>
      </c>
      <c r="U69" s="652" t="n"/>
    </row>
    <row r="70" ht="15" customFormat="1" customHeight="1" s="631">
      <c r="A70" s="101" t="n">
        <v>224</v>
      </c>
      <c r="B70" s="144">
        <f>IF(INDEX(MO_SNA_IsHistoricalPeriod,,MATCH(F70,MO_Common_ColumnHeader,0)),"Historical","Forward")</f>
        <v/>
      </c>
      <c r="C70" s="652" t="n"/>
      <c r="D70" s="151" t="inlineStr">
        <is>
          <t>Installed Base Management sales</t>
        </is>
      </c>
      <c r="E70" s="145" t="inlineStr">
        <is>
          <t>z_I9KH3H0125_MO_OS_Netserviceandfieldoptionsales</t>
        </is>
      </c>
      <c r="F70" s="144" t="inlineStr">
        <is>
          <t>Q3-2024</t>
        </is>
      </c>
      <c r="G70" s="144" t="n"/>
      <c r="H70" s="652" t="n"/>
      <c r="I70" s="1637" t="n">
        <v>1400</v>
      </c>
      <c r="J70" s="1637" t="n">
        <v>1400</v>
      </c>
      <c r="K70" s="1637">
        <f>AVERAGE(I70:J70)</f>
        <v/>
      </c>
      <c r="L70" s="652" t="n"/>
      <c r="M70" s="144">
        <f>IF(INDEX(MO_SNA_IsHistoricalPeriod,,MATCH(F70,MO_Common_ColumnHeader,0)),"Actual","Estimate")</f>
        <v/>
      </c>
      <c r="N70" s="1637">
        <f>IFERROR(INDEX(INDIRECT(E70),0,MATCH(F70,MO_Common_ColumnHeader,0)),"N/A")</f>
        <v/>
      </c>
      <c r="O70" s="652" t="n"/>
      <c r="P70" s="2110">
        <f>IF(ISNUMBER(N70),N70-K70,"N/A")</f>
        <v/>
      </c>
      <c r="Q70" s="153">
        <f>IFERROR(IF(ISNUMBER(N70),(N70-K70)/ABS(K70),"N/A"),"N/A")</f>
        <v/>
      </c>
      <c r="R70" s="652" t="n"/>
      <c r="S70" s="147" t="n">
        <v>45490</v>
      </c>
      <c r="T70" s="154" t="inlineStr">
        <is>
          <t>Investor Presentation</t>
        </is>
      </c>
      <c r="U70" s="652" t="n"/>
    </row>
    <row r="71" ht="15" customFormat="1" customHeight="1" s="631">
      <c r="A71" s="101" t="n">
        <v>223</v>
      </c>
      <c r="B71" s="144">
        <f>IF(INDEX(MO_SNA_IsHistoricalPeriod,,MATCH(F71,MO_Common_ColumnHeader,0)),"Historical","Forward")</f>
        <v/>
      </c>
      <c r="C71" s="652" t="n"/>
      <c r="D71" s="151">
        <f>INDEX(INDIRECT(E71),0,COLUMN(MO_Common_Column_A))</f>
        <v/>
      </c>
      <c r="E71" s="145" t="inlineStr">
        <is>
          <t>MO_MA_GM</t>
        </is>
      </c>
      <c r="F71" s="144" t="inlineStr">
        <is>
          <t>Q3-2024</t>
        </is>
      </c>
      <c r="G71" s="144" t="n"/>
      <c r="H71" s="652" t="n"/>
      <c r="I71" s="1352" t="n">
        <v>0.5</v>
      </c>
      <c r="J71" s="1352" t="n">
        <v>0.51</v>
      </c>
      <c r="K71" s="1352">
        <f>AVERAGE(I71:J71)</f>
        <v/>
      </c>
      <c r="L71" s="652" t="n"/>
      <c r="M71" s="144">
        <f>IF(INDEX(MO_SNA_IsHistoricalPeriod,,MATCH(F71,MO_Common_ColumnHeader,0)),"Actual","Estimate")</f>
        <v/>
      </c>
      <c r="N71" s="1352">
        <f>IFERROR(INDEX(INDIRECT(E71),0,MATCH(F71,MO_Common_ColumnHeader,0)),"N/A")</f>
        <v/>
      </c>
      <c r="O71" s="652" t="n"/>
      <c r="P71" s="153">
        <f>IF(ISNUMBER(N71),N71-K71,"N/A")</f>
        <v/>
      </c>
      <c r="Q71" s="153">
        <f>IFERROR(IF(ISNUMBER(N71),(N71-K71)/ABS(K71),"N/A"),"N/A")</f>
        <v/>
      </c>
      <c r="R71" s="652" t="n"/>
      <c r="S71" s="147" t="n">
        <v>45490</v>
      </c>
      <c r="T71" s="154" t="inlineStr">
        <is>
          <t>Investor Presentation</t>
        </is>
      </c>
      <c r="U71" s="652" t="n"/>
    </row>
    <row r="72" ht="15" customFormat="1" customHeight="1" s="631">
      <c r="A72" s="101" t="n">
        <v>222</v>
      </c>
      <c r="B72" s="144">
        <f>IF(INDEX(MO_SNA_IsHistoricalPeriod,,MATCH(F72,MO_Common_ColumnHeader,0)),"Historical","Forward")</f>
        <v/>
      </c>
      <c r="C72" s="652" t="n"/>
      <c r="D72" s="151" t="inlineStr">
        <is>
          <t>R&amp;D Expense</t>
        </is>
      </c>
      <c r="E72" s="145" t="inlineStr">
        <is>
          <t>MO_RIS_RD</t>
        </is>
      </c>
      <c r="F72" s="144" t="inlineStr">
        <is>
          <t>Q3-2024</t>
        </is>
      </c>
      <c r="G72" s="144" t="n"/>
      <c r="H72" s="652" t="n"/>
      <c r="I72" s="1637" t="n">
        <v>1100</v>
      </c>
      <c r="J72" s="1637" t="n">
        <v>1100</v>
      </c>
      <c r="K72" s="1637">
        <f>AVERAGE(I72:J72)</f>
        <v/>
      </c>
      <c r="L72" s="652" t="n"/>
      <c r="M72" s="144">
        <f>IF(INDEX(MO_SNA_IsHistoricalPeriod,,MATCH(F72,MO_Common_ColumnHeader,0)),"Actual","Estimate")</f>
        <v/>
      </c>
      <c r="N72" s="1637">
        <f>IFERROR(INDEX(INDIRECT(E72),0,MATCH(F72,MO_Common_ColumnHeader,0)),"N/A")</f>
        <v/>
      </c>
      <c r="O72" s="652" t="n"/>
      <c r="P72" s="2110">
        <f>IF(ISNUMBER(N72),N72-K72,"N/A")</f>
        <v/>
      </c>
      <c r="Q72" s="153">
        <f>IFERROR(IF(ISNUMBER(N72),(N72-K72)/ABS(K72),"N/A"),"N/A")</f>
        <v/>
      </c>
      <c r="R72" s="652" t="n"/>
      <c r="S72" s="147" t="n">
        <v>45490</v>
      </c>
      <c r="T72" s="154" t="inlineStr">
        <is>
          <t>Investor Presentation</t>
        </is>
      </c>
      <c r="U72" s="652" t="n"/>
    </row>
    <row r="73" ht="15" customFormat="1" customHeight="1" s="631">
      <c r="A73" s="101" t="n">
        <v>221</v>
      </c>
      <c r="B73" s="144">
        <f>IF(INDEX(MO_SNA_IsHistoricalPeriod,,MATCH(F73,MO_Common_ColumnHeader,0)),"Historical","Forward")</f>
        <v/>
      </c>
      <c r="C73" s="652" t="n"/>
      <c r="D73" s="151">
        <f>INDEX(INDIRECT(E73),0,COLUMN(MO_Common_Column_A))</f>
        <v/>
      </c>
      <c r="E73" s="145" t="inlineStr">
        <is>
          <t>MO_RIS_SGA</t>
        </is>
      </c>
      <c r="F73" s="144" t="inlineStr">
        <is>
          <t>Q3-2024</t>
        </is>
      </c>
      <c r="G73" s="144" t="n"/>
      <c r="H73" s="652" t="n"/>
      <c r="I73" s="1637" t="n">
        <v>295</v>
      </c>
      <c r="J73" s="1637" t="n">
        <v>295</v>
      </c>
      <c r="K73" s="1637">
        <f>AVERAGE(I73:J73)</f>
        <v/>
      </c>
      <c r="L73" s="652" t="n"/>
      <c r="M73" s="144">
        <f>IF(INDEX(MO_SNA_IsHistoricalPeriod,,MATCH(F73,MO_Common_ColumnHeader,0)),"Actual","Estimate")</f>
        <v/>
      </c>
      <c r="N73" s="1637">
        <f>IFERROR(INDEX(INDIRECT(E73),0,MATCH(F73,MO_Common_ColumnHeader,0)),"N/A")</f>
        <v/>
      </c>
      <c r="O73" s="652" t="n"/>
      <c r="P73" s="2110">
        <f>IF(ISNUMBER(N73),N73-K73,"N/A")</f>
        <v/>
      </c>
      <c r="Q73" s="153">
        <f>IFERROR(IF(ISNUMBER(N73),(N73-K73)/ABS(K73),"N/A"),"N/A")</f>
        <v/>
      </c>
      <c r="R73" s="652" t="n"/>
      <c r="S73" s="147" t="n">
        <v>45490</v>
      </c>
      <c r="T73" s="154" t="inlineStr">
        <is>
          <t>Investor Presentation</t>
        </is>
      </c>
      <c r="U73" s="652" t="n"/>
    </row>
    <row r="74" ht="15" customHeight="1" s="595">
      <c r="A74" s="101" t="n">
        <v>220</v>
      </c>
      <c r="B74" s="652" t="n"/>
      <c r="C74" s="652" t="n"/>
      <c r="D74" s="131" t="n"/>
      <c r="E74" s="653" t="n"/>
      <c r="F74" s="652" t="n"/>
      <c r="G74" s="652" t="n"/>
      <c r="H74" s="652" t="n"/>
      <c r="I74" s="1562" t="n"/>
      <c r="J74" s="1562" t="n"/>
      <c r="K74" s="1562" t="n"/>
      <c r="L74" s="652" t="n"/>
      <c r="M74" s="652" t="n"/>
      <c r="N74" s="1562" t="n"/>
      <c r="O74" s="652" t="n"/>
      <c r="P74" s="2111" t="n"/>
      <c r="Q74" s="271" t="n"/>
      <c r="R74" s="652" t="n"/>
      <c r="S74" s="136" t="n"/>
      <c r="T74" s="155" t="n"/>
      <c r="U74" s="652" t="n"/>
    </row>
    <row r="75" ht="15" customFormat="1" customHeight="1" s="631">
      <c r="A75" s="101" t="n">
        <v>219</v>
      </c>
      <c r="B75" s="144">
        <f>IF(INDEX(MO_SNA_IsHistoricalPeriod,,MATCH(F75,MO_Common_ColumnHeader,0)),"Historical","Forward")</f>
        <v/>
      </c>
      <c r="C75" s="652" t="n"/>
      <c r="D75" s="151">
        <f>INDEX(INDIRECT(E75),0,COLUMN(MO_Common_Column_A))</f>
        <v/>
      </c>
      <c r="E75" s="145" t="inlineStr">
        <is>
          <t>MO_GA_TotalRevenue</t>
        </is>
      </c>
      <c r="F75" s="144" t="inlineStr">
        <is>
          <t>FY2024</t>
        </is>
      </c>
      <c r="G75" s="144" t="n"/>
      <c r="H75" s="652" t="n"/>
      <c r="I75" s="1352" t="n">
        <v>0</v>
      </c>
      <c r="J75" s="1352" t="n">
        <v>0</v>
      </c>
      <c r="K75" s="1352">
        <f>AVERAGE(I75:J75)</f>
        <v/>
      </c>
      <c r="L75" s="652" t="n"/>
      <c r="M75" s="144">
        <f>IF(INDEX(MO_SNA_IsHistoricalPeriod,,MATCH(F75,MO_Common_ColumnHeader,0)),"Actual","Estimate")</f>
        <v/>
      </c>
      <c r="N75" s="1352">
        <f>IFERROR(INDEX(INDIRECT(E75),0,MATCH(F75,MO_Common_ColumnHeader,0)),"N/A")</f>
        <v/>
      </c>
      <c r="O75" s="652" t="n"/>
      <c r="P75" s="153">
        <f>IF(ISNUMBER(N75),N75-K75,"N/A")</f>
        <v/>
      </c>
      <c r="Q75" s="153">
        <f>IFERROR(IF(ISNUMBER(N75),(N75-K75)/ABS(K75),"N/A"),"N/A")</f>
        <v/>
      </c>
      <c r="R75" s="652" t="n"/>
      <c r="S75" s="147" t="n">
        <v>45399</v>
      </c>
      <c r="T75" s="154" t="inlineStr">
        <is>
          <t>Investor Presentation</t>
        </is>
      </c>
      <c r="U75" s="652" t="n"/>
    </row>
    <row r="76" ht="15" customHeight="1" s="595">
      <c r="A76" s="101" t="n">
        <v>218</v>
      </c>
      <c r="B76" s="144">
        <f>IF(INDEX(MO_SNA_IsHistoricalPeriod,,MATCH(F76,MO_Common_ColumnHeader,0)),"Historical","Forward")</f>
        <v/>
      </c>
      <c r="C76" s="652" t="n"/>
      <c r="D76" s="151" t="inlineStr">
        <is>
          <t>Effective tax rate</t>
        </is>
      </c>
      <c r="E76" s="145" t="n"/>
      <c r="F76" s="144" t="inlineStr">
        <is>
          <t>FY2024</t>
        </is>
      </c>
      <c r="G76" s="144" t="n"/>
      <c r="H76" s="652" t="n"/>
      <c r="I76" s="1352" t="n">
        <v>0.16</v>
      </c>
      <c r="J76" s="1352" t="n">
        <v>0.17</v>
      </c>
      <c r="K76" s="1352">
        <f>AVERAGE(I76:J76)</f>
        <v/>
      </c>
      <c r="L76" s="652" t="n"/>
      <c r="M76" s="144">
        <f>IF(INDEX(MO_SNA_IsHistoricalPeriod,,MATCH(F76,MO_Common_ColumnHeader,0)),"Actual","Estimate")</f>
        <v/>
      </c>
      <c r="N76" s="1352">
        <f>INDEX(MO_RIS_TaxRate_Current,0,MATCH(F76,MO_Common_ColumnHeader,0))+INDEX(MO_RIS_TaxRate_Deferred,0,MATCH(F76,MO_Common_ColumnHeader,0))</f>
        <v/>
      </c>
      <c r="O76" s="652" t="n"/>
      <c r="P76" s="153">
        <f>IF(ISNUMBER(N76),N76-K76,"N/A")</f>
        <v/>
      </c>
      <c r="Q76" s="153">
        <f>IFERROR(IF(ISNUMBER(N76),(N76-K76)/ABS(K76),"N/A"),"N/A")</f>
        <v/>
      </c>
      <c r="R76" s="652" t="n"/>
      <c r="S76" s="147" t="n">
        <v>45399</v>
      </c>
      <c r="T76" s="154" t="inlineStr">
        <is>
          <t>Investor Presentation</t>
        </is>
      </c>
      <c r="U76" s="652" t="n"/>
    </row>
    <row r="77" ht="15" customHeight="1" s="595">
      <c r="A77" s="101" t="n">
        <v>217</v>
      </c>
      <c r="B77" s="652" t="n"/>
      <c r="C77" s="652" t="n"/>
      <c r="D77" s="131" t="n"/>
      <c r="E77" s="653" t="n"/>
      <c r="F77" s="652" t="n"/>
      <c r="G77" s="652" t="n"/>
      <c r="H77" s="652" t="n"/>
      <c r="I77" s="1562" t="n"/>
      <c r="J77" s="1562" t="n"/>
      <c r="K77" s="1562" t="n"/>
      <c r="L77" s="652" t="n"/>
      <c r="M77" s="652" t="n"/>
      <c r="N77" s="1562" t="n"/>
      <c r="O77" s="652" t="n"/>
      <c r="P77" s="2111" t="n"/>
      <c r="Q77" s="271" t="n"/>
      <c r="R77" s="652" t="n"/>
      <c r="S77" s="136" t="n"/>
      <c r="T77" s="155" t="n"/>
      <c r="U77" s="652" t="n"/>
    </row>
    <row r="78" ht="15" customFormat="1" customHeight="1" s="631">
      <c r="A78" s="101" t="n">
        <v>216</v>
      </c>
      <c r="B78" s="144">
        <f>IF(INDEX(MO_SNA_IsHistoricalPeriod,,MATCH(F78,MO_Common_ColumnHeader,0)),"Historical","Forward")</f>
        <v/>
      </c>
      <c r="C78" s="652" t="n"/>
      <c r="D78" s="151">
        <f>INDEX(INDIRECT(E78),0,COLUMN(MO_Common_Column_A))</f>
        <v/>
      </c>
      <c r="E78" s="145" t="inlineStr">
        <is>
          <t>MO_RIS_REV</t>
        </is>
      </c>
      <c r="F78" s="144" t="inlineStr">
        <is>
          <t>Q2-2024</t>
        </is>
      </c>
      <c r="G78" s="144" t="n"/>
      <c r="H78" s="652" t="n"/>
      <c r="I78" s="1637" t="n">
        <v>5700</v>
      </c>
      <c r="J78" s="1637" t="n">
        <v>6200</v>
      </c>
      <c r="K78" s="1637">
        <f>AVERAGE(I78:J78)</f>
        <v/>
      </c>
      <c r="L78" s="652" t="n"/>
      <c r="M78" s="144">
        <f>IF(INDEX(MO_SNA_IsHistoricalPeriod,,MATCH(F78,MO_Common_ColumnHeader,0)),"Actual","Estimate")</f>
        <v/>
      </c>
      <c r="N78" s="1637">
        <f>IFERROR(INDEX(INDIRECT(E78),0,MATCH(F78,MO_Common_ColumnHeader,0)),"N/A")</f>
        <v/>
      </c>
      <c r="O78" s="652" t="n"/>
      <c r="P78" s="2110">
        <f>IF(ISNUMBER(N78),N78-K78,"N/A")</f>
        <v/>
      </c>
      <c r="Q78" s="153">
        <f>IFERROR(IF(ISNUMBER(N78),(N78-K78)/ABS(K78),"N/A"),"N/A")</f>
        <v/>
      </c>
      <c r="R78" s="652" t="n"/>
      <c r="S78" s="147" t="n">
        <v>45399</v>
      </c>
      <c r="T78" s="154" t="inlineStr">
        <is>
          <t>Investor Presentation</t>
        </is>
      </c>
      <c r="U78" s="652" t="n"/>
    </row>
    <row r="79" ht="15" customFormat="1" customHeight="1" s="631">
      <c r="A79" s="101" t="n">
        <v>215</v>
      </c>
      <c r="B79" s="144">
        <f>IF(INDEX(MO_SNA_IsHistoricalPeriod,,MATCH(F79,MO_Common_ColumnHeader,0)),"Historical","Forward")</f>
        <v/>
      </c>
      <c r="C79" s="652" t="n"/>
      <c r="D79" s="151" t="inlineStr">
        <is>
          <t>Installed Base Management sales</t>
        </is>
      </c>
      <c r="E79" s="145" t="inlineStr">
        <is>
          <t>z_I9KH3H0125_MO_OS_Netserviceandfieldoptionsales</t>
        </is>
      </c>
      <c r="F79" s="144" t="inlineStr">
        <is>
          <t>Q2-2024</t>
        </is>
      </c>
      <c r="G79" s="144" t="n"/>
      <c r="H79" s="652" t="n"/>
      <c r="I79" s="1637" t="n">
        <v>1400</v>
      </c>
      <c r="J79" s="1637" t="n">
        <v>1400</v>
      </c>
      <c r="K79" s="1637">
        <f>AVERAGE(I79:J79)</f>
        <v/>
      </c>
      <c r="L79" s="652" t="n"/>
      <c r="M79" s="144">
        <f>IF(INDEX(MO_SNA_IsHistoricalPeriod,,MATCH(F79,MO_Common_ColumnHeader,0)),"Actual","Estimate")</f>
        <v/>
      </c>
      <c r="N79" s="1637">
        <f>IFERROR(INDEX(INDIRECT(E79),0,MATCH(F79,MO_Common_ColumnHeader,0)),"N/A")</f>
        <v/>
      </c>
      <c r="O79" s="652" t="n"/>
      <c r="P79" s="2110">
        <f>IF(ISNUMBER(N79),N79-K79,"N/A")</f>
        <v/>
      </c>
      <c r="Q79" s="153">
        <f>IFERROR(IF(ISNUMBER(N79),(N79-K79)/ABS(K79),"N/A"),"N/A")</f>
        <v/>
      </c>
      <c r="R79" s="652" t="n"/>
      <c r="S79" s="147" t="n">
        <v>45399</v>
      </c>
      <c r="T79" s="154" t="inlineStr">
        <is>
          <t>Investor Presentation</t>
        </is>
      </c>
      <c r="U79" s="652" t="n"/>
    </row>
    <row r="80" ht="15" customFormat="1" customHeight="1" s="631">
      <c r="A80" s="101" t="n">
        <v>214</v>
      </c>
      <c r="B80" s="144">
        <f>IF(INDEX(MO_SNA_IsHistoricalPeriod,,MATCH(F80,MO_Common_ColumnHeader,0)),"Historical","Forward")</f>
        <v/>
      </c>
      <c r="C80" s="652" t="n"/>
      <c r="D80" s="151">
        <f>INDEX(INDIRECT(E80),0,COLUMN(MO_Common_Column_A))</f>
        <v/>
      </c>
      <c r="E80" s="145" t="inlineStr">
        <is>
          <t>MO_MA_GM</t>
        </is>
      </c>
      <c r="F80" s="144" t="inlineStr">
        <is>
          <t>Q2-2024</t>
        </is>
      </c>
      <c r="G80" s="144" t="n"/>
      <c r="H80" s="652" t="n"/>
      <c r="I80" s="1352" t="n">
        <v>0.5</v>
      </c>
      <c r="J80" s="1352" t="n">
        <v>0.51</v>
      </c>
      <c r="K80" s="1352">
        <f>AVERAGE(I80:J80)</f>
        <v/>
      </c>
      <c r="L80" s="652" t="n"/>
      <c r="M80" s="144">
        <f>IF(INDEX(MO_SNA_IsHistoricalPeriod,,MATCH(F80,MO_Common_ColumnHeader,0)),"Actual","Estimate")</f>
        <v/>
      </c>
      <c r="N80" s="1352">
        <f>IFERROR(INDEX(INDIRECT(E80),0,MATCH(F80,MO_Common_ColumnHeader,0)),"N/A")</f>
        <v/>
      </c>
      <c r="O80" s="652" t="n"/>
      <c r="P80" s="153">
        <f>IF(ISNUMBER(N80),N80-K80,"N/A")</f>
        <v/>
      </c>
      <c r="Q80" s="153">
        <f>IFERROR(IF(ISNUMBER(N80),(N80-K80)/ABS(K80),"N/A"),"N/A")</f>
        <v/>
      </c>
      <c r="R80" s="652" t="n"/>
      <c r="S80" s="147" t="n">
        <v>45399</v>
      </c>
      <c r="T80" s="154" t="inlineStr">
        <is>
          <t>Investor Presentation</t>
        </is>
      </c>
      <c r="U80" s="652" t="n"/>
    </row>
    <row r="81" ht="15" customFormat="1" customHeight="1" s="631">
      <c r="A81" s="101" t="n">
        <v>213</v>
      </c>
      <c r="B81" s="144">
        <f>IF(INDEX(MO_SNA_IsHistoricalPeriod,,MATCH(F81,MO_Common_ColumnHeader,0)),"Historical","Forward")</f>
        <v/>
      </c>
      <c r="C81" s="652" t="n"/>
      <c r="D81" s="151" t="inlineStr">
        <is>
          <t>R&amp;D Expense</t>
        </is>
      </c>
      <c r="E81" s="145" t="inlineStr">
        <is>
          <t>MO_RIS_RD</t>
        </is>
      </c>
      <c r="F81" s="144" t="inlineStr">
        <is>
          <t>Q2-2024</t>
        </is>
      </c>
      <c r="G81" s="144" t="n"/>
      <c r="H81" s="652" t="n"/>
      <c r="I81" s="1637" t="n">
        <v>1070</v>
      </c>
      <c r="J81" s="1637" t="n">
        <v>1070</v>
      </c>
      <c r="K81" s="1637">
        <f>AVERAGE(I81:J81)</f>
        <v/>
      </c>
      <c r="L81" s="652" t="n"/>
      <c r="M81" s="144">
        <f>IF(INDEX(MO_SNA_IsHistoricalPeriod,,MATCH(F81,MO_Common_ColumnHeader,0)),"Actual","Estimate")</f>
        <v/>
      </c>
      <c r="N81" s="1637">
        <f>IFERROR(INDEX(INDIRECT(E81),0,MATCH(F81,MO_Common_ColumnHeader,0)),"N/A")</f>
        <v/>
      </c>
      <c r="O81" s="652" t="n"/>
      <c r="P81" s="2110">
        <f>IF(ISNUMBER(N81),N81-K81,"N/A")</f>
        <v/>
      </c>
      <c r="Q81" s="153">
        <f>IFERROR(IF(ISNUMBER(N81),(N81-K81)/ABS(K81),"N/A"),"N/A")</f>
        <v/>
      </c>
      <c r="R81" s="652" t="n"/>
      <c r="S81" s="147" t="n">
        <v>45399</v>
      </c>
      <c r="T81" s="154" t="inlineStr">
        <is>
          <t>Investor Presentation</t>
        </is>
      </c>
      <c r="U81" s="652" t="n"/>
    </row>
    <row r="82" ht="15" customFormat="1" customHeight="1" s="631">
      <c r="A82" s="101" t="n">
        <v>212</v>
      </c>
      <c r="B82" s="144">
        <f>IF(INDEX(MO_SNA_IsHistoricalPeriod,,MATCH(F82,MO_Common_ColumnHeader,0)),"Historical","Forward")</f>
        <v/>
      </c>
      <c r="C82" s="652" t="n"/>
      <c r="D82" s="151">
        <f>INDEX(INDIRECT(E82),0,COLUMN(MO_Common_Column_A))</f>
        <v/>
      </c>
      <c r="E82" s="145" t="inlineStr">
        <is>
          <t>MO_RIS_SGA</t>
        </is>
      </c>
      <c r="F82" s="144" t="inlineStr">
        <is>
          <t>Q2-2024</t>
        </is>
      </c>
      <c r="G82" s="144" t="n"/>
      <c r="H82" s="652" t="n"/>
      <c r="I82" s="1637" t="n">
        <v>295</v>
      </c>
      <c r="J82" s="1637" t="n">
        <v>295</v>
      </c>
      <c r="K82" s="1637">
        <f>AVERAGE(I82:J82)</f>
        <v/>
      </c>
      <c r="L82" s="652" t="n"/>
      <c r="M82" s="144">
        <f>IF(INDEX(MO_SNA_IsHistoricalPeriod,,MATCH(F82,MO_Common_ColumnHeader,0)),"Actual","Estimate")</f>
        <v/>
      </c>
      <c r="N82" s="1637">
        <f>IFERROR(INDEX(INDIRECT(E82),0,MATCH(F82,MO_Common_ColumnHeader,0)),"N/A")</f>
        <v/>
      </c>
      <c r="O82" s="652" t="n"/>
      <c r="P82" s="2110">
        <f>IF(ISNUMBER(N82),N82-K82,"N/A")</f>
        <v/>
      </c>
      <c r="Q82" s="153">
        <f>IFERROR(IF(ISNUMBER(N82),(N82-K82)/ABS(K82),"N/A"),"N/A")</f>
        <v/>
      </c>
      <c r="R82" s="652" t="n"/>
      <c r="S82" s="147" t="n">
        <v>45399</v>
      </c>
      <c r="T82" s="154" t="inlineStr">
        <is>
          <t>Investor Presentation</t>
        </is>
      </c>
      <c r="U82" s="652" t="n"/>
    </row>
    <row r="83" ht="15" customHeight="1" s="595">
      <c r="A83" s="101" t="n">
        <v>211</v>
      </c>
      <c r="B83" s="652" t="n"/>
      <c r="C83" s="652" t="n"/>
      <c r="D83" s="131" t="n"/>
      <c r="E83" s="653" t="n"/>
      <c r="F83" s="652" t="n"/>
      <c r="G83" s="652" t="n"/>
      <c r="H83" s="652" t="n"/>
      <c r="I83" s="1562" t="n"/>
      <c r="J83" s="1562" t="n"/>
      <c r="K83" s="1562" t="n"/>
      <c r="L83" s="652" t="n"/>
      <c r="M83" s="652" t="n"/>
      <c r="N83" s="1562" t="n"/>
      <c r="O83" s="652" t="n"/>
      <c r="P83" s="2111" t="n"/>
      <c r="Q83" s="271" t="n"/>
      <c r="R83" s="652" t="n"/>
      <c r="S83" s="136" t="n"/>
      <c r="T83" s="155" t="n"/>
      <c r="U83" s="652" t="n"/>
    </row>
    <row r="84" ht="15" customFormat="1" customHeight="1" s="631">
      <c r="A84" s="101" t="n">
        <v>210</v>
      </c>
      <c r="B84" s="144">
        <f>IF(INDEX(MO_SNA_IsHistoricalPeriod,,MATCH(F84,MO_Common_ColumnHeader,0)),"Historical","Forward")</f>
        <v/>
      </c>
      <c r="C84" s="652" t="n"/>
      <c r="D84" s="151">
        <f>INDEX(INDIRECT(E84),0,COLUMN(MO_Common_Column_A))</f>
        <v/>
      </c>
      <c r="E84" s="145" t="inlineStr">
        <is>
          <t>MO_GA_TotalRevenue</t>
        </is>
      </c>
      <c r="F84" s="144" t="inlineStr">
        <is>
          <t>FY2024</t>
        </is>
      </c>
      <c r="G84" s="144" t="n"/>
      <c r="H84" s="652" t="n"/>
      <c r="I84" s="1352" t="n">
        <v>0</v>
      </c>
      <c r="J84" s="1352" t="n">
        <v>0</v>
      </c>
      <c r="K84" s="1352">
        <f>AVERAGE(I84:J84)</f>
        <v/>
      </c>
      <c r="L84" s="652" t="n"/>
      <c r="M84" s="144">
        <f>IF(INDEX(MO_SNA_IsHistoricalPeriod,,MATCH(F84,MO_Common_ColumnHeader,0)),"Actual","Estimate")</f>
        <v/>
      </c>
      <c r="N84" s="1352">
        <f>IFERROR(INDEX(INDIRECT(E84),0,MATCH(F84,MO_Common_ColumnHeader,0)),"N/A")</f>
        <v/>
      </c>
      <c r="O84" s="652" t="n"/>
      <c r="P84" s="153">
        <f>IF(ISNUMBER(N84),N84-K84,"N/A")</f>
        <v/>
      </c>
      <c r="Q84" s="153">
        <f>IFERROR(IF(ISNUMBER(N84),(N84-K84)/ABS(K84),"N/A"),"N/A")</f>
        <v/>
      </c>
      <c r="R84" s="652" t="n"/>
      <c r="S84" s="147" t="n">
        <v>45315</v>
      </c>
      <c r="T84" s="154" t="inlineStr">
        <is>
          <t>Investor Presentation</t>
        </is>
      </c>
      <c r="U84" s="652" t="n"/>
    </row>
    <row r="85" ht="15" customHeight="1" s="595">
      <c r="A85" s="101" t="n">
        <v>209</v>
      </c>
      <c r="B85" s="144">
        <f>IF(INDEX(MO_SNA_IsHistoricalPeriod,,MATCH(F85,MO_Common_ColumnHeader,0)),"Historical","Forward")</f>
        <v/>
      </c>
      <c r="C85" s="652" t="n"/>
      <c r="D85" s="151" t="inlineStr">
        <is>
          <t>Effective tax rate</t>
        </is>
      </c>
      <c r="E85" s="145" t="n"/>
      <c r="F85" s="144" t="inlineStr">
        <is>
          <t>FY2024</t>
        </is>
      </c>
      <c r="G85" s="144" t="n"/>
      <c r="H85" s="652" t="n"/>
      <c r="I85" s="1352" t="n">
        <v>0.16</v>
      </c>
      <c r="J85" s="1352" t="n">
        <v>0.17</v>
      </c>
      <c r="K85" s="1352">
        <f>AVERAGE(I85:J85)</f>
        <v/>
      </c>
      <c r="L85" s="652" t="n"/>
      <c r="M85" s="144">
        <f>IF(INDEX(MO_SNA_IsHistoricalPeriod,,MATCH(F85,MO_Common_ColumnHeader,0)),"Actual","Estimate")</f>
        <v/>
      </c>
      <c r="N85" s="1352">
        <f>INDEX(MO_RIS_TaxRate_Current,0,MATCH(F85,MO_Common_ColumnHeader,0))+INDEX(MO_RIS_TaxRate_Deferred,0,MATCH(F85,MO_Common_ColumnHeader,0))</f>
        <v/>
      </c>
      <c r="O85" s="652" t="n"/>
      <c r="P85" s="153">
        <f>IF(ISNUMBER(N85),N85-K85,"N/A")</f>
        <v/>
      </c>
      <c r="Q85" s="153">
        <f>IFERROR(IF(ISNUMBER(N85),(N85-K85)/ABS(K85),"N/A"),"N/A")</f>
        <v/>
      </c>
      <c r="R85" s="652" t="n"/>
      <c r="S85" s="147" t="n">
        <v>45315</v>
      </c>
      <c r="T85" s="154" t="inlineStr">
        <is>
          <t>Investor Presentation</t>
        </is>
      </c>
      <c r="U85" s="652" t="n"/>
    </row>
    <row r="86" ht="15" customHeight="1" s="595">
      <c r="A86" s="101" t="n">
        <v>208</v>
      </c>
      <c r="B86" s="652" t="n"/>
      <c r="C86" s="652" t="n"/>
      <c r="D86" s="131" t="n"/>
      <c r="E86" s="653" t="n"/>
      <c r="F86" s="652" t="n"/>
      <c r="G86" s="652" t="n"/>
      <c r="H86" s="652" t="n"/>
      <c r="I86" s="1562" t="n"/>
      <c r="J86" s="1562" t="n"/>
      <c r="K86" s="1562" t="n"/>
      <c r="L86" s="652" t="n"/>
      <c r="M86" s="652" t="n"/>
      <c r="N86" s="1562" t="n"/>
      <c r="O86" s="652" t="n"/>
      <c r="P86" s="2111" t="n"/>
      <c r="Q86" s="271" t="n"/>
      <c r="R86" s="652" t="n"/>
      <c r="S86" s="136" t="n"/>
      <c r="T86" s="155" t="n"/>
      <c r="U86" s="652" t="n"/>
    </row>
    <row r="87" ht="15" customFormat="1" customHeight="1" s="631">
      <c r="A87" s="101" t="n">
        <v>207</v>
      </c>
      <c r="B87" s="144">
        <f>IF(INDEX(MO_SNA_IsHistoricalPeriod,,MATCH(F87,MO_Common_ColumnHeader,0)),"Historical","Forward")</f>
        <v/>
      </c>
      <c r="C87" s="652" t="n"/>
      <c r="D87" s="151">
        <f>INDEX(INDIRECT(E87),0,COLUMN(MO_Common_Column_A))</f>
        <v/>
      </c>
      <c r="E87" s="145" t="inlineStr">
        <is>
          <t>MO_RIS_REV</t>
        </is>
      </c>
      <c r="F87" s="144" t="inlineStr">
        <is>
          <t>Q1-2024</t>
        </is>
      </c>
      <c r="G87" s="144" t="n"/>
      <c r="H87" s="652" t="n"/>
      <c r="I87" s="1637" t="n">
        <v>5000</v>
      </c>
      <c r="J87" s="1637" t="n">
        <v>5500</v>
      </c>
      <c r="K87" s="1637">
        <f>AVERAGE(I87:J87)</f>
        <v/>
      </c>
      <c r="L87" s="652" t="n"/>
      <c r="M87" s="144">
        <f>IF(INDEX(MO_SNA_IsHistoricalPeriod,,MATCH(F87,MO_Common_ColumnHeader,0)),"Actual","Estimate")</f>
        <v/>
      </c>
      <c r="N87" s="1637">
        <f>IFERROR(INDEX(INDIRECT(E87),0,MATCH(F87,MO_Common_ColumnHeader,0)),"N/A")</f>
        <v/>
      </c>
      <c r="O87" s="652" t="n"/>
      <c r="P87" s="2110">
        <f>IF(ISNUMBER(N87),N87-K87,"N/A")</f>
        <v/>
      </c>
      <c r="Q87" s="153">
        <f>IFERROR(IF(ISNUMBER(N87),(N87-K87)/ABS(K87),"N/A"),"N/A")</f>
        <v/>
      </c>
      <c r="R87" s="652" t="n"/>
      <c r="S87" s="147" t="n">
        <v>45315</v>
      </c>
      <c r="T87" s="154" t="inlineStr">
        <is>
          <t>Investor Presentation</t>
        </is>
      </c>
      <c r="U87" s="652" t="n"/>
    </row>
    <row r="88" ht="15" customFormat="1" customHeight="1" s="631">
      <c r="A88" s="101" t="n">
        <v>206</v>
      </c>
      <c r="B88" s="144">
        <f>IF(INDEX(MO_SNA_IsHistoricalPeriod,,MATCH(F88,MO_Common_ColumnHeader,0)),"Historical","Forward")</f>
        <v/>
      </c>
      <c r="C88" s="652" t="n"/>
      <c r="D88" s="151" t="inlineStr">
        <is>
          <t>Installed Base Management sales</t>
        </is>
      </c>
      <c r="E88" s="145" t="inlineStr">
        <is>
          <t>z_I9KH3H0125_MO_OS_Netserviceandfieldoptionsales</t>
        </is>
      </c>
      <c r="F88" s="144" t="inlineStr">
        <is>
          <t>Q1-2024</t>
        </is>
      </c>
      <c r="G88" s="144" t="n"/>
      <c r="H88" s="652" t="n"/>
      <c r="I88" s="1637" t="n">
        <v>1300</v>
      </c>
      <c r="J88" s="1637" t="n">
        <v>1300</v>
      </c>
      <c r="K88" s="1637">
        <f>AVERAGE(I88:J88)</f>
        <v/>
      </c>
      <c r="L88" s="652" t="n"/>
      <c r="M88" s="144">
        <f>IF(INDEX(MO_SNA_IsHistoricalPeriod,,MATCH(F88,MO_Common_ColumnHeader,0)),"Actual","Estimate")</f>
        <v/>
      </c>
      <c r="N88" s="1637">
        <f>IFERROR(INDEX(INDIRECT(E88),0,MATCH(F88,MO_Common_ColumnHeader,0)),"N/A")</f>
        <v/>
      </c>
      <c r="O88" s="652" t="n"/>
      <c r="P88" s="2110">
        <f>IF(ISNUMBER(N88),N88-K88,"N/A")</f>
        <v/>
      </c>
      <c r="Q88" s="153">
        <f>IFERROR(IF(ISNUMBER(N88),(N88-K88)/ABS(K88),"N/A"),"N/A")</f>
        <v/>
      </c>
      <c r="R88" s="652" t="n"/>
      <c r="S88" s="147" t="n">
        <v>45315</v>
      </c>
      <c r="T88" s="154" t="inlineStr">
        <is>
          <t>Investor Presentation</t>
        </is>
      </c>
      <c r="U88" s="652" t="n"/>
    </row>
    <row r="89" ht="15" customFormat="1" customHeight="1" s="631">
      <c r="A89" s="101" t="n">
        <v>205</v>
      </c>
      <c r="B89" s="144">
        <f>IF(INDEX(MO_SNA_IsHistoricalPeriod,,MATCH(F89,MO_Common_ColumnHeader,0)),"Historical","Forward")</f>
        <v/>
      </c>
      <c r="C89" s="652" t="n"/>
      <c r="D89" s="151">
        <f>INDEX(INDIRECT(E89),0,COLUMN(MO_Common_Column_A))</f>
        <v/>
      </c>
      <c r="E89" s="145" t="inlineStr">
        <is>
          <t>MO_MA_GM</t>
        </is>
      </c>
      <c r="F89" s="144" t="inlineStr">
        <is>
          <t>Q1-2024</t>
        </is>
      </c>
      <c r="G89" s="144" t="n"/>
      <c r="H89" s="652" t="n"/>
      <c r="I89" s="1352" t="n">
        <v>0.48</v>
      </c>
      <c r="J89" s="1352" t="n">
        <v>0.49</v>
      </c>
      <c r="K89" s="1352">
        <f>AVERAGE(I89:J89)</f>
        <v/>
      </c>
      <c r="L89" s="652" t="n"/>
      <c r="M89" s="144">
        <f>IF(INDEX(MO_SNA_IsHistoricalPeriod,,MATCH(F89,MO_Common_ColumnHeader,0)),"Actual","Estimate")</f>
        <v/>
      </c>
      <c r="N89" s="1352">
        <f>IFERROR(INDEX(INDIRECT(E89),0,MATCH(F89,MO_Common_ColumnHeader,0)),"N/A")</f>
        <v/>
      </c>
      <c r="O89" s="652" t="n"/>
      <c r="P89" s="153">
        <f>IF(ISNUMBER(N89),N89-K89,"N/A")</f>
        <v/>
      </c>
      <c r="Q89" s="153">
        <f>IFERROR(IF(ISNUMBER(N89),(N89-K89)/ABS(K89),"N/A"),"N/A")</f>
        <v/>
      </c>
      <c r="R89" s="652" t="n"/>
      <c r="S89" s="147" t="n">
        <v>45315</v>
      </c>
      <c r="T89" s="154" t="inlineStr">
        <is>
          <t>Investor Presentation</t>
        </is>
      </c>
      <c r="U89" s="652" t="n"/>
    </row>
    <row r="90" ht="15" customFormat="1" customHeight="1" s="631">
      <c r="A90" s="101" t="n">
        <v>204</v>
      </c>
      <c r="B90" s="144">
        <f>IF(INDEX(MO_SNA_IsHistoricalPeriod,,MATCH(F90,MO_Common_ColumnHeader,0)),"Historical","Forward")</f>
        <v/>
      </c>
      <c r="C90" s="652" t="n"/>
      <c r="D90" s="151" t="inlineStr">
        <is>
          <t>R&amp;D Expense</t>
        </is>
      </c>
      <c r="E90" s="145" t="inlineStr">
        <is>
          <t>MO_RIS_RD</t>
        </is>
      </c>
      <c r="F90" s="144" t="inlineStr">
        <is>
          <t>Q1-2024</t>
        </is>
      </c>
      <c r="G90" s="144" t="n"/>
      <c r="H90" s="652" t="n"/>
      <c r="I90" s="1637" t="n">
        <v>1070</v>
      </c>
      <c r="J90" s="1637" t="n">
        <v>1070</v>
      </c>
      <c r="K90" s="1637">
        <f>AVERAGE(I90:J90)</f>
        <v/>
      </c>
      <c r="L90" s="652" t="n"/>
      <c r="M90" s="144">
        <f>IF(INDEX(MO_SNA_IsHistoricalPeriod,,MATCH(F90,MO_Common_ColumnHeader,0)),"Actual","Estimate")</f>
        <v/>
      </c>
      <c r="N90" s="1637">
        <f>IFERROR(INDEX(INDIRECT(E90),0,MATCH(F90,MO_Common_ColumnHeader,0)),"N/A")</f>
        <v/>
      </c>
      <c r="O90" s="652" t="n"/>
      <c r="P90" s="2110">
        <f>IF(ISNUMBER(N90),N90-K90,"N/A")</f>
        <v/>
      </c>
      <c r="Q90" s="153">
        <f>IFERROR(IF(ISNUMBER(N90),(N90-K90)/ABS(K90),"N/A"),"N/A")</f>
        <v/>
      </c>
      <c r="R90" s="652" t="n"/>
      <c r="S90" s="147" t="n">
        <v>45315</v>
      </c>
      <c r="T90" s="154" t="inlineStr">
        <is>
          <t>Investor Presentation</t>
        </is>
      </c>
      <c r="U90" s="652" t="n"/>
    </row>
    <row r="91" ht="15" customFormat="1" customHeight="1" s="631">
      <c r="A91" s="101" t="n">
        <v>203</v>
      </c>
      <c r="B91" s="144">
        <f>IF(INDEX(MO_SNA_IsHistoricalPeriod,,MATCH(F91,MO_Common_ColumnHeader,0)),"Historical","Forward")</f>
        <v/>
      </c>
      <c r="C91" s="652" t="n"/>
      <c r="D91" s="151">
        <f>INDEX(INDIRECT(E91),0,COLUMN(MO_Common_Column_A))</f>
        <v/>
      </c>
      <c r="E91" s="145" t="inlineStr">
        <is>
          <t>MO_RIS_SGA</t>
        </is>
      </c>
      <c r="F91" s="144" t="inlineStr">
        <is>
          <t>Q1-2024</t>
        </is>
      </c>
      <c r="G91" s="144" t="n"/>
      <c r="H91" s="652" t="n"/>
      <c r="I91" s="1637" t="n">
        <v>300</v>
      </c>
      <c r="J91" s="1637" t="n">
        <v>300</v>
      </c>
      <c r="K91" s="1637">
        <f>AVERAGE(I91:J91)</f>
        <v/>
      </c>
      <c r="L91" s="652" t="n"/>
      <c r="M91" s="144">
        <f>IF(INDEX(MO_SNA_IsHistoricalPeriod,,MATCH(F91,MO_Common_ColumnHeader,0)),"Actual","Estimate")</f>
        <v/>
      </c>
      <c r="N91" s="1637">
        <f>IFERROR(INDEX(INDIRECT(E91),0,MATCH(F91,MO_Common_ColumnHeader,0)),"N/A")</f>
        <v/>
      </c>
      <c r="O91" s="652" t="n"/>
      <c r="P91" s="2110">
        <f>IF(ISNUMBER(N91),N91-K91,"N/A")</f>
        <v/>
      </c>
      <c r="Q91" s="153">
        <f>IFERROR(IF(ISNUMBER(N91),(N91-K91)/ABS(K91),"N/A"),"N/A")</f>
        <v/>
      </c>
      <c r="R91" s="652" t="n"/>
      <c r="S91" s="147" t="n">
        <v>45315</v>
      </c>
      <c r="T91" s="154" t="inlineStr">
        <is>
          <t>Investor Presentation</t>
        </is>
      </c>
      <c r="U91" s="652" t="n"/>
    </row>
    <row r="92" ht="15" customHeight="1" s="595">
      <c r="A92" s="101" t="n">
        <v>202</v>
      </c>
      <c r="B92" s="652" t="n"/>
      <c r="C92" s="652" t="n"/>
      <c r="D92" s="131" t="n"/>
      <c r="E92" s="653" t="n"/>
      <c r="F92" s="652" t="n"/>
      <c r="G92" s="652" t="n"/>
      <c r="H92" s="652" t="n"/>
      <c r="I92" s="1562" t="n"/>
      <c r="J92" s="1562" t="n"/>
      <c r="K92" s="1562" t="n"/>
      <c r="L92" s="652" t="n"/>
      <c r="M92" s="652" t="n"/>
      <c r="N92" s="1562" t="n"/>
      <c r="O92" s="652" t="n"/>
      <c r="P92" s="2111" t="n"/>
      <c r="Q92" s="271" t="n"/>
      <c r="R92" s="652" t="n"/>
      <c r="S92" s="136" t="n"/>
      <c r="T92" s="155" t="n"/>
      <c r="U92" s="652" t="n"/>
    </row>
    <row r="93" ht="15" customFormat="1" customHeight="1" s="631">
      <c r="A93" s="101" t="n">
        <v>201</v>
      </c>
      <c r="B93" s="144">
        <f>IF(INDEX(MO_SNA_IsHistoricalPeriod,,MATCH(F93,MO_Common_ColumnHeader,0)),"Historical","Forward")</f>
        <v/>
      </c>
      <c r="C93" s="652" t="n"/>
      <c r="D93" s="151">
        <f>INDEX(INDIRECT(E93),0,COLUMN(MO_Common_Column_A))</f>
        <v/>
      </c>
      <c r="E93" s="145" t="inlineStr">
        <is>
          <t>MO_GA_TotalRevenue</t>
        </is>
      </c>
      <c r="F93" s="144" t="inlineStr">
        <is>
          <t>FY2023</t>
        </is>
      </c>
      <c r="G93" s="144" t="n"/>
      <c r="H93" s="652" t="n"/>
      <c r="I93" s="1352" t="n">
        <v>0.3</v>
      </c>
      <c r="J93" s="1352" t="n">
        <v>0.3</v>
      </c>
      <c r="K93" s="1352">
        <f>AVERAGE(I93:J93)</f>
        <v/>
      </c>
      <c r="L93" s="652" t="n"/>
      <c r="M93" s="144">
        <f>IF(INDEX(MO_SNA_IsHistoricalPeriod,,MATCH(F93,MO_Common_ColumnHeader,0)),"Actual","Estimate")</f>
        <v/>
      </c>
      <c r="N93" s="1352">
        <f>IFERROR(INDEX(INDIRECT(E93),0,MATCH(F93,MO_Common_ColumnHeader,0)),"N/A")</f>
        <v/>
      </c>
      <c r="O93" s="652" t="n"/>
      <c r="P93" s="153">
        <f>IF(ISNUMBER(N93),N93-K93,"N/A")</f>
        <v/>
      </c>
      <c r="Q93" s="153">
        <f>IFERROR(IF(ISNUMBER(N93),(N93-K93)/ABS(K93),"N/A"),"N/A")</f>
        <v/>
      </c>
      <c r="R93" s="652" t="n"/>
      <c r="S93" s="147" t="n">
        <v>45217</v>
      </c>
      <c r="T93" s="154" t="inlineStr">
        <is>
          <t>Investor Presentation</t>
        </is>
      </c>
      <c r="U93" s="652" t="n"/>
    </row>
    <row r="94" ht="15" customHeight="1" s="595">
      <c r="A94" s="101" t="n">
        <v>200</v>
      </c>
      <c r="B94" s="144">
        <f>IF(INDEX(MO_SNA_IsHistoricalPeriod,,MATCH(F94,MO_Common_ColumnHeader,0)),"Historical","Forward")</f>
        <v/>
      </c>
      <c r="C94" s="652" t="n"/>
      <c r="D94" s="151" t="inlineStr">
        <is>
          <t>Effective tax rate</t>
        </is>
      </c>
      <c r="E94" s="145" t="n"/>
      <c r="F94" s="144" t="inlineStr">
        <is>
          <t>FY2023</t>
        </is>
      </c>
      <c r="G94" s="144" t="n"/>
      <c r="H94" s="652" t="n"/>
      <c r="I94" s="1352" t="n">
        <v>0.15</v>
      </c>
      <c r="J94" s="1352" t="n">
        <v>0.16</v>
      </c>
      <c r="K94" s="1352">
        <f>AVERAGE(I94:J94)</f>
        <v/>
      </c>
      <c r="L94" s="652" t="n"/>
      <c r="M94" s="144">
        <f>IF(INDEX(MO_SNA_IsHistoricalPeriod,,MATCH(F94,MO_Common_ColumnHeader,0)),"Actual","Estimate")</f>
        <v/>
      </c>
      <c r="N94" s="1352">
        <f>INDEX(MO_RIS_TaxRate_Current,0,MATCH(F94,MO_Common_ColumnHeader,0))+INDEX(MO_RIS_TaxRate_Deferred,0,MATCH(F94,MO_Common_ColumnHeader,0))</f>
        <v/>
      </c>
      <c r="O94" s="652" t="n"/>
      <c r="P94" s="153">
        <f>IF(ISNUMBER(N94),N94-K94,"N/A")</f>
        <v/>
      </c>
      <c r="Q94" s="153">
        <f>IFERROR(IF(ISNUMBER(N94),(N94-K94)/ABS(K94),"N/A"),"N/A")</f>
        <v/>
      </c>
      <c r="R94" s="652" t="n"/>
      <c r="S94" s="147" t="n">
        <v>45217</v>
      </c>
      <c r="T94" s="154" t="inlineStr">
        <is>
          <t>Investor Presentation</t>
        </is>
      </c>
      <c r="U94" s="652" t="n"/>
    </row>
    <row r="95" ht="15" customHeight="1" s="595">
      <c r="A95" s="101" t="n">
        <v>199</v>
      </c>
      <c r="B95" s="652" t="n"/>
      <c r="C95" s="652" t="n"/>
      <c r="D95" s="131" t="n"/>
      <c r="E95" s="653" t="n"/>
      <c r="F95" s="652" t="n"/>
      <c r="G95" s="652" t="n"/>
      <c r="H95" s="652" t="n"/>
      <c r="I95" s="1562" t="n"/>
      <c r="J95" s="1562" t="n"/>
      <c r="K95" s="1562" t="n"/>
      <c r="L95" s="652" t="n"/>
      <c r="M95" s="652" t="n"/>
      <c r="N95" s="1562" t="n"/>
      <c r="O95" s="652" t="n"/>
      <c r="P95" s="2111" t="n"/>
      <c r="Q95" s="271" t="n"/>
      <c r="R95" s="652" t="n"/>
      <c r="S95" s="136" t="n"/>
      <c r="T95" s="155" t="n"/>
      <c r="U95" s="652" t="n"/>
    </row>
    <row r="96" ht="15" customFormat="1" customHeight="1" s="631">
      <c r="A96" s="101" t="n">
        <v>198</v>
      </c>
      <c r="B96" s="144">
        <f>IF(INDEX(MO_SNA_IsHistoricalPeriod,,MATCH(F96,MO_Common_ColumnHeader,0)),"Historical","Forward")</f>
        <v/>
      </c>
      <c r="C96" s="652" t="n"/>
      <c r="D96" s="151">
        <f>INDEX(INDIRECT(E96),0,COLUMN(MO_Common_Column_A))</f>
        <v/>
      </c>
      <c r="E96" s="145" t="inlineStr">
        <is>
          <t>MO_RIS_REV</t>
        </is>
      </c>
      <c r="F96" s="144" t="inlineStr">
        <is>
          <t>Q4-2023</t>
        </is>
      </c>
      <c r="G96" s="144" t="n"/>
      <c r="H96" s="652" t="n"/>
      <c r="I96" s="1637" t="n">
        <v>6700</v>
      </c>
      <c r="J96" s="1637" t="n">
        <v>7100</v>
      </c>
      <c r="K96" s="1637">
        <f>AVERAGE(I96:J96)</f>
        <v/>
      </c>
      <c r="L96" s="652" t="n"/>
      <c r="M96" s="144">
        <f>IF(INDEX(MO_SNA_IsHistoricalPeriod,,MATCH(F96,MO_Common_ColumnHeader,0)),"Actual","Estimate")</f>
        <v/>
      </c>
      <c r="N96" s="1637">
        <f>IFERROR(INDEX(INDIRECT(E96),0,MATCH(F96,MO_Common_ColumnHeader,0)),"N/A")</f>
        <v/>
      </c>
      <c r="O96" s="652" t="n"/>
      <c r="P96" s="2110">
        <f>IF(ISNUMBER(N96),N96-K96,"N/A")</f>
        <v/>
      </c>
      <c r="Q96" s="153">
        <f>IFERROR(IF(ISNUMBER(N96),(N96-K96)/ABS(K96),"N/A"),"N/A")</f>
        <v/>
      </c>
      <c r="R96" s="652" t="n"/>
      <c r="S96" s="147" t="n">
        <v>45217</v>
      </c>
      <c r="T96" s="154" t="inlineStr">
        <is>
          <t>Investor Presentation</t>
        </is>
      </c>
      <c r="U96" s="652" t="n"/>
    </row>
    <row r="97" ht="15" customFormat="1" customHeight="1" s="631">
      <c r="A97" s="101" t="n">
        <v>197</v>
      </c>
      <c r="B97" s="144">
        <f>IF(INDEX(MO_SNA_IsHistoricalPeriod,,MATCH(F97,MO_Common_ColumnHeader,0)),"Historical","Forward")</f>
        <v/>
      </c>
      <c r="C97" s="652" t="n"/>
      <c r="D97" s="151" t="inlineStr">
        <is>
          <t>Installed Base Management sales</t>
        </is>
      </c>
      <c r="E97" s="145" t="inlineStr">
        <is>
          <t>z_I9KH3H0125_MO_OS_Netserviceandfieldoptionsales</t>
        </is>
      </c>
      <c r="F97" s="144" t="inlineStr">
        <is>
          <t>Q4-2023</t>
        </is>
      </c>
      <c r="G97" s="144" t="n"/>
      <c r="H97" s="652" t="n"/>
      <c r="I97" s="1637" t="n">
        <v>1400</v>
      </c>
      <c r="J97" s="1637" t="n">
        <v>1400</v>
      </c>
      <c r="K97" s="1637">
        <f>AVERAGE(I97:J97)</f>
        <v/>
      </c>
      <c r="L97" s="652" t="n"/>
      <c r="M97" s="144">
        <f>IF(INDEX(MO_SNA_IsHistoricalPeriod,,MATCH(F97,MO_Common_ColumnHeader,0)),"Actual","Estimate")</f>
        <v/>
      </c>
      <c r="N97" s="1637">
        <f>IFERROR(INDEX(INDIRECT(E97),0,MATCH(F97,MO_Common_ColumnHeader,0)),"N/A")</f>
        <v/>
      </c>
      <c r="O97" s="652" t="n"/>
      <c r="P97" s="2110">
        <f>IF(ISNUMBER(N97),N97-K97,"N/A")</f>
        <v/>
      </c>
      <c r="Q97" s="153">
        <f>IFERROR(IF(ISNUMBER(N97),(N97-K97)/ABS(K97),"N/A"),"N/A")</f>
        <v/>
      </c>
      <c r="R97" s="652" t="n"/>
      <c r="S97" s="147" t="n">
        <v>45217</v>
      </c>
      <c r="T97" s="154" t="inlineStr">
        <is>
          <t>Investor Presentation</t>
        </is>
      </c>
      <c r="U97" s="652" t="n"/>
    </row>
    <row r="98" ht="15" customFormat="1" customHeight="1" s="631">
      <c r="A98" s="101" t="n">
        <v>196</v>
      </c>
      <c r="B98" s="144">
        <f>IF(INDEX(MO_SNA_IsHistoricalPeriod,,MATCH(F98,MO_Common_ColumnHeader,0)),"Historical","Forward")</f>
        <v/>
      </c>
      <c r="C98" s="652" t="n"/>
      <c r="D98" s="151">
        <f>INDEX(INDIRECT(E98),0,COLUMN(MO_Common_Column_A))</f>
        <v/>
      </c>
      <c r="E98" s="145" t="inlineStr">
        <is>
          <t>MO_MA_GM</t>
        </is>
      </c>
      <c r="F98" s="144" t="inlineStr">
        <is>
          <t>Q4-2023</t>
        </is>
      </c>
      <c r="G98" s="144" t="n"/>
      <c r="H98" s="652" t="n"/>
      <c r="I98" s="1352" t="n">
        <v>0.5</v>
      </c>
      <c r="J98" s="1352" t="n">
        <v>0.51</v>
      </c>
      <c r="K98" s="1352">
        <f>AVERAGE(I98:J98)</f>
        <v/>
      </c>
      <c r="L98" s="652" t="n"/>
      <c r="M98" s="144">
        <f>IF(INDEX(MO_SNA_IsHistoricalPeriod,,MATCH(F98,MO_Common_ColumnHeader,0)),"Actual","Estimate")</f>
        <v/>
      </c>
      <c r="N98" s="1352">
        <f>IFERROR(INDEX(INDIRECT(E98),0,MATCH(F98,MO_Common_ColumnHeader,0)),"N/A")</f>
        <v/>
      </c>
      <c r="O98" s="652" t="n"/>
      <c r="P98" s="153">
        <f>IF(ISNUMBER(N98),N98-K98,"N/A")</f>
        <v/>
      </c>
      <c r="Q98" s="153">
        <f>IFERROR(IF(ISNUMBER(N98),(N98-K98)/ABS(K98),"N/A"),"N/A")</f>
        <v/>
      </c>
      <c r="R98" s="652" t="n"/>
      <c r="S98" s="147" t="n">
        <v>45217</v>
      </c>
      <c r="T98" s="154" t="inlineStr">
        <is>
          <t>Investor Presentation</t>
        </is>
      </c>
      <c r="U98" s="652" t="n"/>
    </row>
    <row r="99" ht="15" customFormat="1" customHeight="1" s="631">
      <c r="A99" s="101" t="n">
        <v>195</v>
      </c>
      <c r="B99" s="144">
        <f>IF(INDEX(MO_SNA_IsHistoricalPeriod,,MATCH(F99,MO_Common_ColumnHeader,0)),"Historical","Forward")</f>
        <v/>
      </c>
      <c r="C99" s="652" t="n"/>
      <c r="D99" s="151" t="inlineStr">
        <is>
          <t>R&amp;D Expense</t>
        </is>
      </c>
      <c r="E99" s="145" t="inlineStr">
        <is>
          <t>MO_RIS_RD</t>
        </is>
      </c>
      <c r="F99" s="144" t="inlineStr">
        <is>
          <t>Q4-2023</t>
        </is>
      </c>
      <c r="G99" s="144" t="n"/>
      <c r="H99" s="652" t="n"/>
      <c r="I99" s="1637" t="n">
        <v>1030</v>
      </c>
      <c r="J99" s="1637" t="n">
        <v>1030</v>
      </c>
      <c r="K99" s="1637">
        <f>AVERAGE(I99:J99)</f>
        <v/>
      </c>
      <c r="L99" s="652" t="n"/>
      <c r="M99" s="144">
        <f>IF(INDEX(MO_SNA_IsHistoricalPeriod,,MATCH(F99,MO_Common_ColumnHeader,0)),"Actual","Estimate")</f>
        <v/>
      </c>
      <c r="N99" s="1637">
        <f>IFERROR(INDEX(INDIRECT(E99),0,MATCH(F99,MO_Common_ColumnHeader,0)),"N/A")</f>
        <v/>
      </c>
      <c r="O99" s="652" t="n"/>
      <c r="P99" s="2110">
        <f>IF(ISNUMBER(N99),N99-K99,"N/A")</f>
        <v/>
      </c>
      <c r="Q99" s="153">
        <f>IFERROR(IF(ISNUMBER(N99),(N99-K99)/ABS(K99),"N/A"),"N/A")</f>
        <v/>
      </c>
      <c r="R99" s="652" t="n"/>
      <c r="S99" s="147" t="n">
        <v>45217</v>
      </c>
      <c r="T99" s="154" t="inlineStr">
        <is>
          <t>Investor Presentation</t>
        </is>
      </c>
      <c r="U99" s="652" t="n"/>
    </row>
    <row r="100" ht="15" customFormat="1" customHeight="1" s="631">
      <c r="A100" s="101" t="n">
        <v>194</v>
      </c>
      <c r="B100" s="144">
        <f>IF(INDEX(MO_SNA_IsHistoricalPeriod,,MATCH(F100,MO_Common_ColumnHeader,0)),"Historical","Forward")</f>
        <v/>
      </c>
      <c r="C100" s="652" t="n"/>
      <c r="D100" s="151">
        <f>INDEX(INDIRECT(E100),0,COLUMN(MO_Common_Column_A))</f>
        <v/>
      </c>
      <c r="E100" s="145" t="inlineStr">
        <is>
          <t>MO_RIS_SGA</t>
        </is>
      </c>
      <c r="F100" s="144" t="inlineStr">
        <is>
          <t>Q4-2023</t>
        </is>
      </c>
      <c r="G100" s="144" t="n"/>
      <c r="H100" s="652" t="n"/>
      <c r="I100" s="1637" t="n">
        <v>285</v>
      </c>
      <c r="J100" s="1637" t="n">
        <v>285</v>
      </c>
      <c r="K100" s="1637">
        <f>AVERAGE(I100:J100)</f>
        <v/>
      </c>
      <c r="L100" s="652" t="n"/>
      <c r="M100" s="144">
        <f>IF(INDEX(MO_SNA_IsHistoricalPeriod,,MATCH(F100,MO_Common_ColumnHeader,0)),"Actual","Estimate")</f>
        <v/>
      </c>
      <c r="N100" s="1637">
        <f>IFERROR(INDEX(INDIRECT(E100),0,MATCH(F100,MO_Common_ColumnHeader,0)),"N/A")</f>
        <v/>
      </c>
      <c r="O100" s="652" t="n"/>
      <c r="P100" s="2110">
        <f>IF(ISNUMBER(N100),N100-K100,"N/A")</f>
        <v/>
      </c>
      <c r="Q100" s="153">
        <f>IFERROR(IF(ISNUMBER(N100),(N100-K100)/ABS(K100),"N/A"),"N/A")</f>
        <v/>
      </c>
      <c r="R100" s="652" t="n"/>
      <c r="S100" s="147" t="n">
        <v>45217</v>
      </c>
      <c r="T100" s="154" t="inlineStr">
        <is>
          <t>Investor Presentation</t>
        </is>
      </c>
      <c r="U100" s="652" t="n"/>
    </row>
    <row r="101" ht="15" customHeight="1" s="595">
      <c r="A101" s="101" t="n">
        <v>193</v>
      </c>
      <c r="B101" s="652" t="n"/>
      <c r="C101" s="652" t="n"/>
      <c r="D101" s="131" t="n"/>
      <c r="E101" s="653" t="n"/>
      <c r="F101" s="652" t="n"/>
      <c r="G101" s="652" t="n"/>
      <c r="H101" s="652" t="n"/>
      <c r="I101" s="1562" t="n"/>
      <c r="J101" s="1562" t="n"/>
      <c r="K101" s="1562" t="n"/>
      <c r="L101" s="652" t="n"/>
      <c r="M101" s="652" t="n"/>
      <c r="N101" s="1562" t="n"/>
      <c r="O101" s="652" t="n"/>
      <c r="P101" s="2111" t="n"/>
      <c r="Q101" s="271" t="n"/>
      <c r="R101" s="652" t="n"/>
      <c r="S101" s="136" t="n"/>
      <c r="T101" s="155" t="n"/>
      <c r="U101" s="652" t="n"/>
    </row>
    <row r="102" ht="15" customFormat="1" customHeight="1" s="631">
      <c r="A102" s="101" t="n">
        <v>192</v>
      </c>
      <c r="B102" s="144">
        <f>IF(INDEX(MO_SNA_IsHistoricalPeriod,,MATCH(F102,MO_Common_ColumnHeader,0)),"Historical","Forward")</f>
        <v/>
      </c>
      <c r="C102" s="652" t="n"/>
      <c r="D102" s="151">
        <f>INDEX(INDIRECT(E102),0,COLUMN(MO_Common_Column_A))</f>
        <v/>
      </c>
      <c r="E102" s="145" t="inlineStr">
        <is>
          <t>MO_GA_TotalRevenue</t>
        </is>
      </c>
      <c r="F102" s="144" t="inlineStr">
        <is>
          <t>FY2023</t>
        </is>
      </c>
      <c r="G102" s="144" t="n"/>
      <c r="H102" s="652" t="n"/>
      <c r="I102" s="1352" t="n">
        <v>0.3</v>
      </c>
      <c r="J102" s="1352" t="n">
        <v>0.3</v>
      </c>
      <c r="K102" s="1352">
        <f>AVERAGE(I102:J102)</f>
        <v/>
      </c>
      <c r="L102" s="652" t="n"/>
      <c r="M102" s="144">
        <f>IF(INDEX(MO_SNA_IsHistoricalPeriod,,MATCH(F102,MO_Common_ColumnHeader,0)),"Actual","Estimate")</f>
        <v/>
      </c>
      <c r="N102" s="1352">
        <f>IFERROR(INDEX(INDIRECT(E102),0,MATCH(F102,MO_Common_ColumnHeader,0)),"N/A")</f>
        <v/>
      </c>
      <c r="O102" s="652" t="n"/>
      <c r="P102" s="153">
        <f>IF(ISNUMBER(N102),N102-K102,"N/A")</f>
        <v/>
      </c>
      <c r="Q102" s="153">
        <f>IFERROR(IF(ISNUMBER(N102),(N102-K102)/ABS(K102),"N/A"),"N/A")</f>
        <v/>
      </c>
      <c r="R102" s="652" t="n"/>
      <c r="S102" s="147" t="n">
        <v>45126</v>
      </c>
      <c r="T102" s="154" t="inlineStr">
        <is>
          <t>Investor Presentation</t>
        </is>
      </c>
      <c r="U102" s="652" t="n"/>
    </row>
    <row r="103" ht="15" customHeight="1" s="595">
      <c r="A103" s="101" t="n">
        <v>191</v>
      </c>
      <c r="B103" s="144">
        <f>IF(INDEX(MO_SNA_IsHistoricalPeriod,,MATCH(F103,MO_Common_ColumnHeader,0)),"Historical","Forward")</f>
        <v/>
      </c>
      <c r="C103" s="652" t="n"/>
      <c r="D103" s="151" t="inlineStr">
        <is>
          <t>Effective tax rate</t>
        </is>
      </c>
      <c r="E103" s="145" t="n"/>
      <c r="F103" s="144" t="inlineStr">
        <is>
          <t>FY2023</t>
        </is>
      </c>
      <c r="G103" s="144" t="n"/>
      <c r="H103" s="652" t="n"/>
      <c r="I103" s="1352" t="n">
        <v>0.15</v>
      </c>
      <c r="J103" s="1352" t="n">
        <v>0.16</v>
      </c>
      <c r="K103" s="1352">
        <f>AVERAGE(I103:J103)</f>
        <v/>
      </c>
      <c r="L103" s="652" t="n"/>
      <c r="M103" s="144">
        <f>IF(INDEX(MO_SNA_IsHistoricalPeriod,,MATCH(F103,MO_Common_ColumnHeader,0)),"Actual","Estimate")</f>
        <v/>
      </c>
      <c r="N103" s="1352">
        <f>INDEX(MO_RIS_TaxRate_Current,0,MATCH(F103,MO_Common_ColumnHeader,0))+INDEX(MO_RIS_TaxRate_Deferred,0,MATCH(F103,MO_Common_ColumnHeader,0))</f>
        <v/>
      </c>
      <c r="O103" s="652" t="n"/>
      <c r="P103" s="153">
        <f>IF(ISNUMBER(N103),N103-K103,"N/A")</f>
        <v/>
      </c>
      <c r="Q103" s="153">
        <f>IFERROR(IF(ISNUMBER(N103),(N103-K103)/ABS(K103),"N/A"),"N/A")</f>
        <v/>
      </c>
      <c r="R103" s="652" t="n"/>
      <c r="S103" s="147" t="n">
        <v>45126</v>
      </c>
      <c r="T103" s="154" t="inlineStr">
        <is>
          <t>Investor Presentation</t>
        </is>
      </c>
      <c r="U103" s="652" t="n"/>
    </row>
    <row r="104" ht="15" customHeight="1" s="595">
      <c r="A104" s="101" t="n">
        <v>190</v>
      </c>
      <c r="B104" s="652" t="n"/>
      <c r="C104" s="652" t="n"/>
      <c r="D104" s="131" t="n"/>
      <c r="E104" s="653" t="n"/>
      <c r="F104" s="652" t="n"/>
      <c r="G104" s="652" t="n"/>
      <c r="H104" s="652" t="n"/>
      <c r="I104" s="1562" t="n"/>
      <c r="J104" s="1562" t="n"/>
      <c r="K104" s="1562" t="n"/>
      <c r="L104" s="652" t="n"/>
      <c r="M104" s="652" t="n"/>
      <c r="N104" s="1562" t="n"/>
      <c r="O104" s="652" t="n"/>
      <c r="P104" s="2111" t="n"/>
      <c r="Q104" s="271" t="n"/>
      <c r="R104" s="652" t="n"/>
      <c r="S104" s="136" t="n"/>
      <c r="T104" s="155" t="n"/>
      <c r="U104" s="652" t="n"/>
    </row>
    <row r="105" ht="15" customFormat="1" customHeight="1" s="631">
      <c r="A105" s="101" t="n">
        <v>189</v>
      </c>
      <c r="B105" s="144">
        <f>IF(INDEX(MO_SNA_IsHistoricalPeriod,,MATCH(F105,MO_Common_ColumnHeader,0)),"Historical","Forward")</f>
        <v/>
      </c>
      <c r="C105" s="652" t="n"/>
      <c r="D105" s="151">
        <f>INDEX(INDIRECT(E105),0,COLUMN(MO_Common_Column_A))</f>
        <v/>
      </c>
      <c r="E105" s="145" t="inlineStr">
        <is>
          <t>MO_RIS_REV</t>
        </is>
      </c>
      <c r="F105" s="144" t="inlineStr">
        <is>
          <t>Q3-2023</t>
        </is>
      </c>
      <c r="G105" s="144" t="n"/>
      <c r="H105" s="652" t="n"/>
      <c r="I105" s="1637" t="n">
        <v>6500</v>
      </c>
      <c r="J105" s="1637" t="n">
        <v>7000</v>
      </c>
      <c r="K105" s="1637">
        <f>AVERAGE(I105:J105)</f>
        <v/>
      </c>
      <c r="L105" s="652" t="n"/>
      <c r="M105" s="144">
        <f>IF(INDEX(MO_SNA_IsHistoricalPeriod,,MATCH(F105,MO_Common_ColumnHeader,0)),"Actual","Estimate")</f>
        <v/>
      </c>
      <c r="N105" s="1637">
        <f>IFERROR(INDEX(INDIRECT(E105),0,MATCH(F105,MO_Common_ColumnHeader,0)),"N/A")</f>
        <v/>
      </c>
      <c r="O105" s="652" t="n"/>
      <c r="P105" s="2110">
        <f>IF(ISNUMBER(N105),N105-K105,"N/A")</f>
        <v/>
      </c>
      <c r="Q105" s="153">
        <f>IFERROR(IF(ISNUMBER(N105),(N105-K105)/ABS(K105),"N/A"),"N/A")</f>
        <v/>
      </c>
      <c r="R105" s="652" t="n"/>
      <c r="S105" s="147" t="n">
        <v>45126</v>
      </c>
      <c r="T105" s="154" t="inlineStr">
        <is>
          <t>Investor Presentation</t>
        </is>
      </c>
      <c r="U105" s="652" t="n"/>
    </row>
    <row r="106" ht="15" customFormat="1" customHeight="1" s="631">
      <c r="A106" s="101" t="n">
        <v>188</v>
      </c>
      <c r="B106" s="144">
        <f>IF(INDEX(MO_SNA_IsHistoricalPeriod,,MATCH(F106,MO_Common_ColumnHeader,0)),"Historical","Forward")</f>
        <v/>
      </c>
      <c r="C106" s="652" t="n"/>
      <c r="D106" s="151" t="inlineStr">
        <is>
          <t>Installed Base Management sales</t>
        </is>
      </c>
      <c r="E106" s="145" t="inlineStr">
        <is>
          <t>z_I9KH3H0125_MO_OS_Netserviceandfieldoptionsales</t>
        </is>
      </c>
      <c r="F106" s="144" t="inlineStr">
        <is>
          <t>Q3-2023</t>
        </is>
      </c>
      <c r="G106" s="144" t="n"/>
      <c r="H106" s="652" t="n"/>
      <c r="I106" s="1637" t="n">
        <v>1400</v>
      </c>
      <c r="J106" s="1637" t="n">
        <v>1400</v>
      </c>
      <c r="K106" s="1637">
        <f>AVERAGE(I106:J106)</f>
        <v/>
      </c>
      <c r="L106" s="652" t="n"/>
      <c r="M106" s="144">
        <f>IF(INDEX(MO_SNA_IsHistoricalPeriod,,MATCH(F106,MO_Common_ColumnHeader,0)),"Actual","Estimate")</f>
        <v/>
      </c>
      <c r="N106" s="1637">
        <f>IFERROR(INDEX(INDIRECT(E106),0,MATCH(F106,MO_Common_ColumnHeader,0)),"N/A")</f>
        <v/>
      </c>
      <c r="O106" s="652" t="n"/>
      <c r="P106" s="2110">
        <f>IF(ISNUMBER(N106),N106-K106,"N/A")</f>
        <v/>
      </c>
      <c r="Q106" s="153">
        <f>IFERROR(IF(ISNUMBER(N106),(N106-K106)/ABS(K106),"N/A"),"N/A")</f>
        <v/>
      </c>
      <c r="R106" s="652" t="n"/>
      <c r="S106" s="147" t="n">
        <v>45126</v>
      </c>
      <c r="T106" s="154" t="inlineStr">
        <is>
          <t>Investor Presentation</t>
        </is>
      </c>
      <c r="U106" s="652" t="n"/>
    </row>
    <row r="107" ht="15" customFormat="1" customHeight="1" s="631">
      <c r="A107" s="101" t="n">
        <v>187</v>
      </c>
      <c r="B107" s="144">
        <f>IF(INDEX(MO_SNA_IsHistoricalPeriod,,MATCH(F107,MO_Common_ColumnHeader,0)),"Historical","Forward")</f>
        <v/>
      </c>
      <c r="C107" s="652" t="n"/>
      <c r="D107" s="151">
        <f>INDEX(INDIRECT(E107),0,COLUMN(MO_Common_Column_A))</f>
        <v/>
      </c>
      <c r="E107" s="145" t="inlineStr">
        <is>
          <t>MO_MA_GM</t>
        </is>
      </c>
      <c r="F107" s="144" t="inlineStr">
        <is>
          <t>Q3-2023</t>
        </is>
      </c>
      <c r="G107" s="144" t="n"/>
      <c r="H107" s="652" t="n"/>
      <c r="I107" s="1352" t="n">
        <v>0.5</v>
      </c>
      <c r="J107" s="1352" t="n">
        <v>0.5</v>
      </c>
      <c r="K107" s="1352">
        <f>AVERAGE(I107:J107)</f>
        <v/>
      </c>
      <c r="L107" s="652" t="n"/>
      <c r="M107" s="144">
        <f>IF(INDEX(MO_SNA_IsHistoricalPeriod,,MATCH(F107,MO_Common_ColumnHeader,0)),"Actual","Estimate")</f>
        <v/>
      </c>
      <c r="N107" s="1352">
        <f>IFERROR(INDEX(INDIRECT(E107),0,MATCH(F107,MO_Common_ColumnHeader,0)),"N/A")</f>
        <v/>
      </c>
      <c r="O107" s="652" t="n"/>
      <c r="P107" s="153">
        <f>IF(ISNUMBER(N107),N107-K107,"N/A")</f>
        <v/>
      </c>
      <c r="Q107" s="153">
        <f>IFERROR(IF(ISNUMBER(N107),(N107-K107)/ABS(K107),"N/A"),"N/A")</f>
        <v/>
      </c>
      <c r="R107" s="652" t="n"/>
      <c r="S107" s="147" t="n">
        <v>45126</v>
      </c>
      <c r="T107" s="154" t="inlineStr">
        <is>
          <t>Investor Presentation</t>
        </is>
      </c>
      <c r="U107" s="652" t="n"/>
    </row>
    <row r="108" ht="15" customFormat="1" customHeight="1" s="631">
      <c r="A108" s="101" t="n">
        <v>186</v>
      </c>
      <c r="B108" s="144">
        <f>IF(INDEX(MO_SNA_IsHistoricalPeriod,,MATCH(F108,MO_Common_ColumnHeader,0)),"Historical","Forward")</f>
        <v/>
      </c>
      <c r="C108" s="652" t="n"/>
      <c r="D108" s="151" t="inlineStr">
        <is>
          <t>R&amp;D Expense</t>
        </is>
      </c>
      <c r="E108" s="145" t="inlineStr">
        <is>
          <t>MO_RIS_RD</t>
        </is>
      </c>
      <c r="F108" s="144" t="inlineStr">
        <is>
          <t>Q3-2023</t>
        </is>
      </c>
      <c r="G108" s="144" t="n"/>
      <c r="H108" s="652" t="n"/>
      <c r="I108" s="1637" t="n">
        <v>1000</v>
      </c>
      <c r="J108" s="1637" t="n">
        <v>1000</v>
      </c>
      <c r="K108" s="1637">
        <f>AVERAGE(I108:J108)</f>
        <v/>
      </c>
      <c r="L108" s="652" t="n"/>
      <c r="M108" s="144">
        <f>IF(INDEX(MO_SNA_IsHistoricalPeriod,,MATCH(F108,MO_Common_ColumnHeader,0)),"Actual","Estimate")</f>
        <v/>
      </c>
      <c r="N108" s="1637">
        <f>IFERROR(INDEX(INDIRECT(E108),0,MATCH(F108,MO_Common_ColumnHeader,0)),"N/A")</f>
        <v/>
      </c>
      <c r="O108" s="652" t="n"/>
      <c r="P108" s="2110">
        <f>IF(ISNUMBER(N108),N108-K108,"N/A")</f>
        <v/>
      </c>
      <c r="Q108" s="153">
        <f>IFERROR(IF(ISNUMBER(N108),(N108-K108)/ABS(K108),"N/A"),"N/A")</f>
        <v/>
      </c>
      <c r="R108" s="652" t="n"/>
      <c r="S108" s="147" t="n">
        <v>45126</v>
      </c>
      <c r="T108" s="154" t="inlineStr">
        <is>
          <t>Investor Presentation</t>
        </is>
      </c>
      <c r="U108" s="652" t="n"/>
    </row>
    <row r="109" ht="15" customFormat="1" customHeight="1" s="631">
      <c r="A109" s="101" t="n">
        <v>185</v>
      </c>
      <c r="B109" s="144">
        <f>IF(INDEX(MO_SNA_IsHistoricalPeriod,,MATCH(F109,MO_Common_ColumnHeader,0)),"Historical","Forward")</f>
        <v/>
      </c>
      <c r="C109" s="652" t="n"/>
      <c r="D109" s="151">
        <f>INDEX(INDIRECT(E109),0,COLUMN(MO_Common_Column_A))</f>
        <v/>
      </c>
      <c r="E109" s="145" t="inlineStr">
        <is>
          <t>MO_RIS_SGA</t>
        </is>
      </c>
      <c r="F109" s="144" t="inlineStr">
        <is>
          <t>Q3-2023</t>
        </is>
      </c>
      <c r="G109" s="144" t="n"/>
      <c r="H109" s="652" t="n"/>
      <c r="I109" s="1637" t="n">
        <v>285</v>
      </c>
      <c r="J109" s="1637" t="n">
        <v>285</v>
      </c>
      <c r="K109" s="1637">
        <f>AVERAGE(I109:J109)</f>
        <v/>
      </c>
      <c r="L109" s="652" t="n"/>
      <c r="M109" s="144">
        <f>IF(INDEX(MO_SNA_IsHistoricalPeriod,,MATCH(F109,MO_Common_ColumnHeader,0)),"Actual","Estimate")</f>
        <v/>
      </c>
      <c r="N109" s="1637">
        <f>IFERROR(INDEX(INDIRECT(E109),0,MATCH(F109,MO_Common_ColumnHeader,0)),"N/A")</f>
        <v/>
      </c>
      <c r="O109" s="652" t="n"/>
      <c r="P109" s="2110">
        <f>IF(ISNUMBER(N109),N109-K109,"N/A")</f>
        <v/>
      </c>
      <c r="Q109" s="153">
        <f>IFERROR(IF(ISNUMBER(N109),(N109-K109)/ABS(K109),"N/A"),"N/A")</f>
        <v/>
      </c>
      <c r="R109" s="652" t="n"/>
      <c r="S109" s="147" t="n">
        <v>45126</v>
      </c>
      <c r="T109" s="154" t="inlineStr">
        <is>
          <t>Investor Presentation</t>
        </is>
      </c>
      <c r="U109" s="652" t="n"/>
    </row>
    <row r="110" ht="15" customHeight="1" s="595">
      <c r="A110" s="101" t="n">
        <v>184</v>
      </c>
      <c r="B110" s="652" t="n"/>
      <c r="C110" s="652" t="n"/>
      <c r="D110" s="131" t="n"/>
      <c r="E110" s="653" t="n"/>
      <c r="F110" s="652" t="n"/>
      <c r="G110" s="652" t="n"/>
      <c r="H110" s="652" t="n"/>
      <c r="I110" s="1562" t="n"/>
      <c r="J110" s="1562" t="n"/>
      <c r="K110" s="1562" t="n"/>
      <c r="L110" s="652" t="n"/>
      <c r="M110" s="652" t="n"/>
      <c r="N110" s="1562" t="n"/>
      <c r="O110" s="652" t="n"/>
      <c r="P110" s="2111" t="n"/>
      <c r="Q110" s="271" t="n"/>
      <c r="R110" s="652" t="n"/>
      <c r="S110" s="136" t="n"/>
      <c r="T110" s="155" t="n"/>
      <c r="U110" s="652" t="n"/>
    </row>
    <row r="111" ht="15" customFormat="1" customHeight="1" s="631">
      <c r="A111" s="101" t="n">
        <v>183</v>
      </c>
      <c r="B111" s="144">
        <f>IF(INDEX(MO_SNA_IsHistoricalPeriod,,MATCH(F111,MO_Common_ColumnHeader,0)),"Historical","Forward")</f>
        <v/>
      </c>
      <c r="C111" s="652" t="n"/>
      <c r="D111" s="151">
        <f>INDEX(INDIRECT(E111),0,COLUMN(MO_Common_Column_A))</f>
        <v/>
      </c>
      <c r="E111" s="145" t="inlineStr">
        <is>
          <t>MO_GA_TotalRevenue</t>
        </is>
      </c>
      <c r="F111" s="144" t="inlineStr">
        <is>
          <t>FY2023</t>
        </is>
      </c>
      <c r="G111" s="144" t="n"/>
      <c r="H111" s="652" t="n"/>
      <c r="I111" s="1352" t="n">
        <v>0.25</v>
      </c>
      <c r="J111" s="1352" t="n">
        <v>0.25</v>
      </c>
      <c r="K111" s="1352">
        <f>AVERAGE(I111:J111)</f>
        <v/>
      </c>
      <c r="L111" s="652" t="n"/>
      <c r="M111" s="144">
        <f>IF(INDEX(MO_SNA_IsHistoricalPeriod,,MATCH(F111,MO_Common_ColumnHeader,0)),"Actual","Estimate")</f>
        <v/>
      </c>
      <c r="N111" s="1352">
        <f>IFERROR(INDEX(INDIRECT(E111),0,MATCH(F111,MO_Common_ColumnHeader,0)),"N/A")</f>
        <v/>
      </c>
      <c r="O111" s="652" t="n"/>
      <c r="P111" s="153">
        <f>IF(ISNUMBER(N111),N111-K111,"N/A")</f>
        <v/>
      </c>
      <c r="Q111" s="153">
        <f>IFERROR(IF(ISNUMBER(N111),(N111-K111)/ABS(K111),"N/A"),"N/A")</f>
        <v/>
      </c>
      <c r="R111" s="652" t="n"/>
      <c r="S111" s="147" t="n">
        <v>45034</v>
      </c>
      <c r="T111" s="154" t="inlineStr">
        <is>
          <t>Investor Presentation</t>
        </is>
      </c>
      <c r="U111" s="652" t="n"/>
    </row>
    <row r="112" ht="15" customHeight="1" s="595">
      <c r="A112" s="101" t="n">
        <v>182</v>
      </c>
      <c r="B112" s="144">
        <f>IF(INDEX(MO_SNA_IsHistoricalPeriod,,MATCH(F112,MO_Common_ColumnHeader,0)),"Historical","Forward")</f>
        <v/>
      </c>
      <c r="C112" s="652" t="n"/>
      <c r="D112" s="151" t="inlineStr">
        <is>
          <t>Effective tax rate</t>
        </is>
      </c>
      <c r="E112" s="145" t="n"/>
      <c r="F112" s="144" t="inlineStr">
        <is>
          <t>FY2023</t>
        </is>
      </c>
      <c r="G112" s="144" t="n"/>
      <c r="H112" s="652" t="n"/>
      <c r="I112" s="1352" t="n">
        <v>0.15</v>
      </c>
      <c r="J112" s="1352" t="n">
        <v>0.16</v>
      </c>
      <c r="K112" s="1352">
        <f>AVERAGE(I112:J112)</f>
        <v/>
      </c>
      <c r="L112" s="652" t="n"/>
      <c r="M112" s="144">
        <f>IF(INDEX(MO_SNA_IsHistoricalPeriod,,MATCH(F112,MO_Common_ColumnHeader,0)),"Actual","Estimate")</f>
        <v/>
      </c>
      <c r="N112" s="1352">
        <f>INDEX(MO_RIS_TaxRate_Current,0,MATCH(F112,MO_Common_ColumnHeader,0))+INDEX(MO_RIS_TaxRate_Deferred,0,MATCH(F112,MO_Common_ColumnHeader,0))</f>
        <v/>
      </c>
      <c r="O112" s="652" t="n"/>
      <c r="P112" s="153">
        <f>IF(ISNUMBER(N112),N112-K112,"N/A")</f>
        <v/>
      </c>
      <c r="Q112" s="153">
        <f>IFERROR(IF(ISNUMBER(N112),(N112-K112)/ABS(K112),"N/A"),"N/A")</f>
        <v/>
      </c>
      <c r="R112" s="652" t="n"/>
      <c r="S112" s="147" t="n">
        <v>45034</v>
      </c>
      <c r="T112" s="154" t="inlineStr">
        <is>
          <t>Investor Presentation</t>
        </is>
      </c>
      <c r="U112" s="652" t="n"/>
    </row>
    <row r="113" ht="15" customHeight="1" s="595">
      <c r="A113" s="101" t="n">
        <v>181</v>
      </c>
      <c r="B113" s="652" t="n"/>
      <c r="C113" s="652" t="n"/>
      <c r="D113" s="131" t="n"/>
      <c r="E113" s="653" t="n"/>
      <c r="F113" s="652" t="n"/>
      <c r="G113" s="652" t="n"/>
      <c r="H113" s="652" t="n"/>
      <c r="I113" s="1562" t="n"/>
      <c r="J113" s="1562" t="n"/>
      <c r="K113" s="1562" t="n"/>
      <c r="L113" s="652" t="n"/>
      <c r="M113" s="652" t="n"/>
      <c r="N113" s="1562" t="n"/>
      <c r="O113" s="652" t="n"/>
      <c r="P113" s="2111" t="n"/>
      <c r="Q113" s="271" t="n"/>
      <c r="R113" s="652" t="n"/>
      <c r="S113" s="136" t="n"/>
      <c r="T113" s="155" t="n"/>
      <c r="U113" s="652" t="n"/>
    </row>
    <row r="114" ht="15" customFormat="1" customHeight="1" s="631">
      <c r="A114" s="101" t="n">
        <v>180</v>
      </c>
      <c r="B114" s="144">
        <f>IF(INDEX(MO_SNA_IsHistoricalPeriod,,MATCH(F114,MO_Common_ColumnHeader,0)),"Historical","Forward")</f>
        <v/>
      </c>
      <c r="C114" s="652" t="n"/>
      <c r="D114" s="151">
        <f>INDEX(INDIRECT(E114),0,COLUMN(MO_Common_Column_A))</f>
        <v/>
      </c>
      <c r="E114" s="145" t="inlineStr">
        <is>
          <t>MO_RIS_REV</t>
        </is>
      </c>
      <c r="F114" s="144" t="inlineStr">
        <is>
          <t>Q2-2023</t>
        </is>
      </c>
      <c r="G114" s="144" t="n"/>
      <c r="H114" s="652" t="n"/>
      <c r="I114" s="1637" t="n">
        <v>6500</v>
      </c>
      <c r="J114" s="1637" t="n">
        <v>7000</v>
      </c>
      <c r="K114" s="1637">
        <f>AVERAGE(I114:J114)</f>
        <v/>
      </c>
      <c r="L114" s="652" t="n"/>
      <c r="M114" s="144">
        <f>IF(INDEX(MO_SNA_IsHistoricalPeriod,,MATCH(F114,MO_Common_ColumnHeader,0)),"Actual","Estimate")</f>
        <v/>
      </c>
      <c r="N114" s="1637">
        <f>IFERROR(INDEX(INDIRECT(E114),0,MATCH(F114,MO_Common_ColumnHeader,0)),"N/A")</f>
        <v/>
      </c>
      <c r="O114" s="652" t="n"/>
      <c r="P114" s="2110">
        <f>IF(ISNUMBER(N114),N114-K114,"N/A")</f>
        <v/>
      </c>
      <c r="Q114" s="153">
        <f>IFERROR(IF(ISNUMBER(N114),(N114-K114)/ABS(K114),"N/A"),"N/A")</f>
        <v/>
      </c>
      <c r="R114" s="652" t="n"/>
      <c r="S114" s="147" t="n">
        <v>45034</v>
      </c>
      <c r="T114" s="154" t="inlineStr">
        <is>
          <t>Investor Presentation</t>
        </is>
      </c>
      <c r="U114" s="652" t="n"/>
    </row>
    <row r="115" ht="15" customFormat="1" customHeight="1" s="631">
      <c r="A115" s="101" t="n">
        <v>179</v>
      </c>
      <c r="B115" s="144">
        <f>IF(INDEX(MO_SNA_IsHistoricalPeriod,,MATCH(F115,MO_Common_ColumnHeader,0)),"Historical","Forward")</f>
        <v/>
      </c>
      <c r="C115" s="652" t="n"/>
      <c r="D115" s="151" t="inlineStr">
        <is>
          <t>Installed Base Management sales</t>
        </is>
      </c>
      <c r="E115" s="145" t="inlineStr">
        <is>
          <t>z_I9KH3H0125_MO_OS_Netserviceandfieldoptionsales</t>
        </is>
      </c>
      <c r="F115" s="144" t="inlineStr">
        <is>
          <t>Q2-2023</t>
        </is>
      </c>
      <c r="G115" s="144" t="n"/>
      <c r="H115" s="652" t="n"/>
      <c r="I115" s="1637" t="n">
        <v>1300</v>
      </c>
      <c r="J115" s="1637" t="n">
        <v>1300</v>
      </c>
      <c r="K115" s="1637">
        <f>AVERAGE(I115:J115)</f>
        <v/>
      </c>
      <c r="L115" s="652" t="n"/>
      <c r="M115" s="144">
        <f>IF(INDEX(MO_SNA_IsHistoricalPeriod,,MATCH(F115,MO_Common_ColumnHeader,0)),"Actual","Estimate")</f>
        <v/>
      </c>
      <c r="N115" s="1637">
        <f>IFERROR(INDEX(INDIRECT(E115),0,MATCH(F115,MO_Common_ColumnHeader,0)),"N/A")</f>
        <v/>
      </c>
      <c r="O115" s="652" t="n"/>
      <c r="P115" s="2110">
        <f>IF(ISNUMBER(N115),N115-K115,"N/A")</f>
        <v/>
      </c>
      <c r="Q115" s="153">
        <f>IFERROR(IF(ISNUMBER(N115),(N115-K115)/ABS(K115),"N/A"),"N/A")</f>
        <v/>
      </c>
      <c r="R115" s="652" t="n"/>
      <c r="S115" s="147" t="n">
        <v>45034</v>
      </c>
      <c r="T115" s="154" t="inlineStr">
        <is>
          <t>Investor Presentation</t>
        </is>
      </c>
      <c r="U115" s="652" t="n"/>
    </row>
    <row r="116" ht="15" customFormat="1" customHeight="1" s="631">
      <c r="A116" s="101" t="n">
        <v>178</v>
      </c>
      <c r="B116" s="144">
        <f>IF(INDEX(MO_SNA_IsHistoricalPeriod,,MATCH(F116,MO_Common_ColumnHeader,0)),"Historical","Forward")</f>
        <v/>
      </c>
      <c r="C116" s="652" t="n"/>
      <c r="D116" s="151">
        <f>INDEX(INDIRECT(E116),0,COLUMN(MO_Common_Column_A))</f>
        <v/>
      </c>
      <c r="E116" s="145" t="inlineStr">
        <is>
          <t>MO_MA_GM</t>
        </is>
      </c>
      <c r="F116" s="144" t="inlineStr">
        <is>
          <t>Q2-2023</t>
        </is>
      </c>
      <c r="G116" s="144" t="n"/>
      <c r="H116" s="652" t="n"/>
      <c r="I116" s="1352" t="n">
        <v>0.5</v>
      </c>
      <c r="J116" s="1352" t="n">
        <v>0.51</v>
      </c>
      <c r="K116" s="1352">
        <f>AVERAGE(I116:J116)</f>
        <v/>
      </c>
      <c r="L116" s="652" t="n"/>
      <c r="M116" s="144">
        <f>IF(INDEX(MO_SNA_IsHistoricalPeriod,,MATCH(F116,MO_Common_ColumnHeader,0)),"Actual","Estimate")</f>
        <v/>
      </c>
      <c r="N116" s="1352">
        <f>IFERROR(INDEX(INDIRECT(E116),0,MATCH(F116,MO_Common_ColumnHeader,0)),"N/A")</f>
        <v/>
      </c>
      <c r="O116" s="652" t="n"/>
      <c r="P116" s="153">
        <f>IF(ISNUMBER(N116),N116-K116,"N/A")</f>
        <v/>
      </c>
      <c r="Q116" s="153">
        <f>IFERROR(IF(ISNUMBER(N116),(N116-K116)/ABS(K116),"N/A"),"N/A")</f>
        <v/>
      </c>
      <c r="R116" s="652" t="n"/>
      <c r="S116" s="147" t="n">
        <v>45034</v>
      </c>
      <c r="T116" s="154" t="inlineStr">
        <is>
          <t>Investor Presentation</t>
        </is>
      </c>
      <c r="U116" s="652" t="n"/>
    </row>
    <row r="117" ht="15" customFormat="1" customHeight="1" s="631">
      <c r="A117" s="101" t="n">
        <v>177</v>
      </c>
      <c r="B117" s="144">
        <f>IF(INDEX(MO_SNA_IsHistoricalPeriod,,MATCH(F117,MO_Common_ColumnHeader,0)),"Historical","Forward")</f>
        <v/>
      </c>
      <c r="C117" s="652" t="n"/>
      <c r="D117" s="151" t="inlineStr">
        <is>
          <t>R&amp;D Expense</t>
        </is>
      </c>
      <c r="E117" s="145" t="inlineStr">
        <is>
          <t>MO_RIS_RD</t>
        </is>
      </c>
      <c r="F117" s="144" t="inlineStr">
        <is>
          <t>Q2-2023</t>
        </is>
      </c>
      <c r="G117" s="144" t="n"/>
      <c r="H117" s="652" t="n"/>
      <c r="I117" s="1637" t="n">
        <v>990</v>
      </c>
      <c r="J117" s="1637" t="n">
        <v>990</v>
      </c>
      <c r="K117" s="1637">
        <f>AVERAGE(I117:J117)</f>
        <v/>
      </c>
      <c r="L117" s="652" t="n"/>
      <c r="M117" s="144">
        <f>IF(INDEX(MO_SNA_IsHistoricalPeriod,,MATCH(F117,MO_Common_ColumnHeader,0)),"Actual","Estimate")</f>
        <v/>
      </c>
      <c r="N117" s="1637">
        <f>IFERROR(INDEX(INDIRECT(E117),0,MATCH(F117,MO_Common_ColumnHeader,0)),"N/A")</f>
        <v/>
      </c>
      <c r="O117" s="652" t="n"/>
      <c r="P117" s="2110">
        <f>IF(ISNUMBER(N117),N117-K117,"N/A")</f>
        <v/>
      </c>
      <c r="Q117" s="153">
        <f>IFERROR(IF(ISNUMBER(N117),(N117-K117)/ABS(K117),"N/A"),"N/A")</f>
        <v/>
      </c>
      <c r="R117" s="652" t="n"/>
      <c r="S117" s="147" t="n">
        <v>45034</v>
      </c>
      <c r="T117" s="154" t="inlineStr">
        <is>
          <t>Investor Presentation</t>
        </is>
      </c>
      <c r="U117" s="652" t="n"/>
    </row>
    <row r="118" ht="15" customFormat="1" customHeight="1" s="631">
      <c r="A118" s="101" t="n">
        <v>176</v>
      </c>
      <c r="B118" s="144">
        <f>IF(INDEX(MO_SNA_IsHistoricalPeriod,,MATCH(F118,MO_Common_ColumnHeader,0)),"Historical","Forward")</f>
        <v/>
      </c>
      <c r="C118" s="652" t="n"/>
      <c r="D118" s="151">
        <f>INDEX(INDIRECT(E118),0,COLUMN(MO_Common_Column_A))</f>
        <v/>
      </c>
      <c r="E118" s="145" t="inlineStr">
        <is>
          <t>MO_RIS_SGA</t>
        </is>
      </c>
      <c r="F118" s="144" t="inlineStr">
        <is>
          <t>Q2-2023</t>
        </is>
      </c>
      <c r="G118" s="144" t="n"/>
      <c r="H118" s="652" t="n"/>
      <c r="I118" s="1637" t="n">
        <v>275</v>
      </c>
      <c r="J118" s="1637" t="n">
        <v>275</v>
      </c>
      <c r="K118" s="1637">
        <f>AVERAGE(I118:J118)</f>
        <v/>
      </c>
      <c r="L118" s="652" t="n"/>
      <c r="M118" s="144">
        <f>IF(INDEX(MO_SNA_IsHistoricalPeriod,,MATCH(F118,MO_Common_ColumnHeader,0)),"Actual","Estimate")</f>
        <v/>
      </c>
      <c r="N118" s="1637">
        <f>IFERROR(INDEX(INDIRECT(E118),0,MATCH(F118,MO_Common_ColumnHeader,0)),"N/A")</f>
        <v/>
      </c>
      <c r="O118" s="652" t="n"/>
      <c r="P118" s="2110">
        <f>IF(ISNUMBER(N118),N118-K118,"N/A")</f>
        <v/>
      </c>
      <c r="Q118" s="153">
        <f>IFERROR(IF(ISNUMBER(N118),(N118-K118)/ABS(K118),"N/A"),"N/A")</f>
        <v/>
      </c>
      <c r="R118" s="652" t="n"/>
      <c r="S118" s="147" t="n">
        <v>45034</v>
      </c>
      <c r="T118" s="154" t="inlineStr">
        <is>
          <t>Investor Presentation</t>
        </is>
      </c>
      <c r="U118" s="652" t="n"/>
    </row>
    <row r="119" ht="15" customHeight="1" s="595">
      <c r="A119" s="101" t="n">
        <v>175</v>
      </c>
      <c r="B119" s="652" t="n"/>
      <c r="C119" s="652" t="n"/>
      <c r="D119" s="131" t="n"/>
      <c r="E119" s="653" t="n"/>
      <c r="F119" s="652" t="n"/>
      <c r="G119" s="652" t="n"/>
      <c r="H119" s="652" t="n"/>
      <c r="I119" s="1562" t="n"/>
      <c r="J119" s="1562" t="n"/>
      <c r="K119" s="1562" t="n"/>
      <c r="L119" s="652" t="n"/>
      <c r="M119" s="652" t="n"/>
      <c r="N119" s="1562" t="n"/>
      <c r="O119" s="652" t="n"/>
      <c r="P119" s="2111" t="n"/>
      <c r="Q119" s="271" t="n"/>
      <c r="R119" s="652" t="n"/>
      <c r="S119" s="136" t="n"/>
      <c r="T119" s="155" t="n"/>
      <c r="U119" s="652" t="n"/>
    </row>
    <row r="120" ht="15" customFormat="1" customHeight="1" s="631">
      <c r="A120" s="101" t="n">
        <v>174</v>
      </c>
      <c r="B120" s="144">
        <f>IF(INDEX(MO_SNA_IsHistoricalPeriod,,MATCH(F120,MO_Common_ColumnHeader,0)),"Historical","Forward")</f>
        <v/>
      </c>
      <c r="C120" s="652" t="n"/>
      <c r="D120" s="151">
        <f>INDEX(INDIRECT(E120),0,COLUMN(MO_Common_Column_A))</f>
        <v/>
      </c>
      <c r="E120" s="145" t="inlineStr">
        <is>
          <t>MO_GA_TotalRevenue</t>
        </is>
      </c>
      <c r="F120" s="144" t="inlineStr">
        <is>
          <t>FY2023</t>
        </is>
      </c>
      <c r="G120" s="144" t="n"/>
      <c r="H120" s="652" t="n"/>
      <c r="I120" s="1352" t="n">
        <v>0.25</v>
      </c>
      <c r="J120" s="1352" t="n">
        <v>0.25</v>
      </c>
      <c r="K120" s="1352">
        <f>AVERAGE(I120:J120)</f>
        <v/>
      </c>
      <c r="L120" s="652" t="n"/>
      <c r="M120" s="144">
        <f>IF(INDEX(MO_SNA_IsHistoricalPeriod,,MATCH(F120,MO_Common_ColumnHeader,0)),"Actual","Estimate")</f>
        <v/>
      </c>
      <c r="N120" s="1352">
        <f>IFERROR(INDEX(INDIRECT(E120),0,MATCH(F120,MO_Common_ColumnHeader,0)),"N/A")</f>
        <v/>
      </c>
      <c r="O120" s="652" t="n"/>
      <c r="P120" s="153">
        <f>IF(ISNUMBER(N120),N120-K120,"N/A")</f>
        <v/>
      </c>
      <c r="Q120" s="153">
        <f>IFERROR(IF(ISNUMBER(N120),(N120-K120)/ABS(K120),"N/A"),"N/A")</f>
        <v/>
      </c>
      <c r="R120" s="652" t="n"/>
      <c r="S120" s="147" t="n">
        <v>44951</v>
      </c>
      <c r="T120" s="154" t="inlineStr">
        <is>
          <t>Investor Presentation</t>
        </is>
      </c>
      <c r="U120" s="652" t="n"/>
    </row>
    <row r="121" ht="15" customHeight="1" s="595">
      <c r="A121" s="101" t="n">
        <v>173</v>
      </c>
      <c r="B121" s="144">
        <f>IF(INDEX(MO_SNA_IsHistoricalPeriod,,MATCH(F121,MO_Common_ColumnHeader,0)),"Historical","Forward")</f>
        <v/>
      </c>
      <c r="C121" s="652" t="n"/>
      <c r="D121" s="151" t="inlineStr">
        <is>
          <t>Effective tax rate</t>
        </is>
      </c>
      <c r="E121" s="145" t="n"/>
      <c r="F121" s="144" t="inlineStr">
        <is>
          <t>FY2023</t>
        </is>
      </c>
      <c r="G121" s="144" t="n"/>
      <c r="H121" s="652" t="n"/>
      <c r="I121" s="1352" t="n">
        <v>0.15</v>
      </c>
      <c r="J121" s="1352" t="n">
        <v>0.16</v>
      </c>
      <c r="K121" s="1352">
        <f>AVERAGE(I121:J121)</f>
        <v/>
      </c>
      <c r="L121" s="652" t="n"/>
      <c r="M121" s="144">
        <f>IF(INDEX(MO_SNA_IsHistoricalPeriod,,MATCH(F121,MO_Common_ColumnHeader,0)),"Actual","Estimate")</f>
        <v/>
      </c>
      <c r="N121" s="1352">
        <f>INDEX(MO_RIS_TaxRate_Current,0,MATCH(F121,MO_Common_ColumnHeader,0))+INDEX(MO_RIS_TaxRate_Deferred,0,MATCH(F121,MO_Common_ColumnHeader,0))</f>
        <v/>
      </c>
      <c r="O121" s="652" t="n"/>
      <c r="P121" s="153">
        <f>IF(ISNUMBER(N121),N121-K121,"N/A")</f>
        <v/>
      </c>
      <c r="Q121" s="153">
        <f>IFERROR(IF(ISNUMBER(N121),(N121-K121)/ABS(K121),"N/A"),"N/A")</f>
        <v/>
      </c>
      <c r="R121" s="652" t="n"/>
      <c r="S121" s="147" t="n">
        <v>44951</v>
      </c>
      <c r="T121" s="154" t="inlineStr">
        <is>
          <t>Investor Presentation</t>
        </is>
      </c>
      <c r="U121" s="652" t="n"/>
    </row>
    <row r="122" ht="15" customHeight="1" s="595">
      <c r="A122" s="101" t="n">
        <v>172</v>
      </c>
      <c r="B122" s="652" t="n"/>
      <c r="C122" s="652" t="n"/>
      <c r="D122" s="131" t="n"/>
      <c r="E122" s="653" t="n"/>
      <c r="F122" s="652" t="n"/>
      <c r="G122" s="652" t="n"/>
      <c r="H122" s="652" t="n"/>
      <c r="I122" s="1562" t="n"/>
      <c r="J122" s="1562" t="n"/>
      <c r="K122" s="1562" t="n"/>
      <c r="L122" s="652" t="n"/>
      <c r="M122" s="652" t="n"/>
      <c r="N122" s="1562" t="n"/>
      <c r="O122" s="652" t="n"/>
      <c r="P122" s="2111" t="n"/>
      <c r="Q122" s="271" t="n"/>
      <c r="R122" s="652" t="n"/>
      <c r="S122" s="136" t="n"/>
      <c r="T122" s="155" t="n"/>
      <c r="U122" s="652" t="n"/>
    </row>
    <row r="123" ht="15" customFormat="1" customHeight="1" s="631">
      <c r="A123" s="101" t="n">
        <v>171</v>
      </c>
      <c r="B123" s="144">
        <f>IF(INDEX(MO_SNA_IsHistoricalPeriod,,MATCH(F123,MO_Common_ColumnHeader,0)),"Historical","Forward")</f>
        <v/>
      </c>
      <c r="C123" s="652" t="n"/>
      <c r="D123" s="151">
        <f>INDEX(INDIRECT(E123),0,COLUMN(MO_Common_Column_A))</f>
        <v/>
      </c>
      <c r="E123" s="145" t="inlineStr">
        <is>
          <t>MO_RIS_REV</t>
        </is>
      </c>
      <c r="F123" s="144" t="inlineStr">
        <is>
          <t>Q1-2023</t>
        </is>
      </c>
      <c r="G123" s="144" t="n"/>
      <c r="H123" s="652" t="n"/>
      <c r="I123" s="1637" t="n">
        <v>6100</v>
      </c>
      <c r="J123" s="1637" t="n">
        <v>6500</v>
      </c>
      <c r="K123" s="1637">
        <f>AVERAGE(I123:J123)</f>
        <v/>
      </c>
      <c r="L123" s="652" t="n"/>
      <c r="M123" s="144">
        <f>IF(INDEX(MO_SNA_IsHistoricalPeriod,,MATCH(F123,MO_Common_ColumnHeader,0)),"Actual","Estimate")</f>
        <v/>
      </c>
      <c r="N123" s="1637">
        <f>IFERROR(INDEX(INDIRECT(E123),0,MATCH(F123,MO_Common_ColumnHeader,0)),"N/A")</f>
        <v/>
      </c>
      <c r="O123" s="652" t="n"/>
      <c r="P123" s="2110">
        <f>IF(ISNUMBER(N123),N123-K123,"N/A")</f>
        <v/>
      </c>
      <c r="Q123" s="153">
        <f>IFERROR(IF(ISNUMBER(N123),(N123-K123)/ABS(K123),"N/A"),"N/A")</f>
        <v/>
      </c>
      <c r="R123" s="652" t="n"/>
      <c r="S123" s="147" t="n">
        <v>44951</v>
      </c>
      <c r="T123" s="154" t="inlineStr">
        <is>
          <t>Investor Presentation</t>
        </is>
      </c>
      <c r="U123" s="652" t="n"/>
    </row>
    <row r="124" ht="15" customFormat="1" customHeight="1" s="631">
      <c r="A124" s="101" t="n">
        <v>170</v>
      </c>
      <c r="B124" s="144">
        <f>IF(INDEX(MO_SNA_IsHistoricalPeriod,,MATCH(F124,MO_Common_ColumnHeader,0)),"Historical","Forward")</f>
        <v/>
      </c>
      <c r="C124" s="652" t="n"/>
      <c r="D124" s="151" t="inlineStr">
        <is>
          <t>Installed Base Management sales</t>
        </is>
      </c>
      <c r="E124" s="145" t="inlineStr">
        <is>
          <t>z_I9KH3H0125_MO_OS_Netserviceandfieldoptionsales</t>
        </is>
      </c>
      <c r="F124" s="144" t="inlineStr">
        <is>
          <t>Q1-2023</t>
        </is>
      </c>
      <c r="G124" s="144" t="n"/>
      <c r="H124" s="652" t="n"/>
      <c r="I124" s="1637" t="n">
        <v>1500</v>
      </c>
      <c r="J124" s="1637" t="n">
        <v>1500</v>
      </c>
      <c r="K124" s="1637">
        <f>AVERAGE(I124:J124)</f>
        <v/>
      </c>
      <c r="L124" s="652" t="n"/>
      <c r="M124" s="144">
        <f>IF(INDEX(MO_SNA_IsHistoricalPeriod,,MATCH(F124,MO_Common_ColumnHeader,0)),"Actual","Estimate")</f>
        <v/>
      </c>
      <c r="N124" s="1637">
        <f>IFERROR(INDEX(INDIRECT(E124),0,MATCH(F124,MO_Common_ColumnHeader,0)),"N/A")</f>
        <v/>
      </c>
      <c r="O124" s="652" t="n"/>
      <c r="P124" s="2110">
        <f>IF(ISNUMBER(N124),N124-K124,"N/A")</f>
        <v/>
      </c>
      <c r="Q124" s="153">
        <f>IFERROR(IF(ISNUMBER(N124),(N124-K124)/ABS(K124),"N/A"),"N/A")</f>
        <v/>
      </c>
      <c r="R124" s="652" t="n"/>
      <c r="S124" s="147" t="n">
        <v>44951</v>
      </c>
      <c r="T124" s="154" t="inlineStr">
        <is>
          <t>Investor Presentation</t>
        </is>
      </c>
      <c r="U124" s="652" t="n"/>
    </row>
    <row r="125" ht="15" customFormat="1" customHeight="1" s="631">
      <c r="A125" s="101" t="n">
        <v>169</v>
      </c>
      <c r="B125" s="144">
        <f>IF(INDEX(MO_SNA_IsHistoricalPeriod,,MATCH(F125,MO_Common_ColumnHeader,0)),"Historical","Forward")</f>
        <v/>
      </c>
      <c r="C125" s="652" t="n"/>
      <c r="D125" s="151">
        <f>INDEX(INDIRECT(E125),0,COLUMN(MO_Common_Column_A))</f>
        <v/>
      </c>
      <c r="E125" s="145" t="inlineStr">
        <is>
          <t>MO_MA_GM</t>
        </is>
      </c>
      <c r="F125" s="144" t="inlineStr">
        <is>
          <t>Q1-2023</t>
        </is>
      </c>
      <c r="G125" s="144" t="n"/>
      <c r="H125" s="652" t="n"/>
      <c r="I125" s="1352" t="n">
        <v>0.49</v>
      </c>
      <c r="J125" s="1352" t="n">
        <v>0.5</v>
      </c>
      <c r="K125" s="1352">
        <f>AVERAGE(I125:J125)</f>
        <v/>
      </c>
      <c r="L125" s="652" t="n"/>
      <c r="M125" s="144">
        <f>IF(INDEX(MO_SNA_IsHistoricalPeriod,,MATCH(F125,MO_Common_ColumnHeader,0)),"Actual","Estimate")</f>
        <v/>
      </c>
      <c r="N125" s="1352">
        <f>IFERROR(INDEX(INDIRECT(E125),0,MATCH(F125,MO_Common_ColumnHeader,0)),"N/A")</f>
        <v/>
      </c>
      <c r="O125" s="652" t="n"/>
      <c r="P125" s="153">
        <f>IF(ISNUMBER(N125),N125-K125,"N/A")</f>
        <v/>
      </c>
      <c r="Q125" s="153">
        <f>IFERROR(IF(ISNUMBER(N125),(N125-K125)/ABS(K125),"N/A"),"N/A")</f>
        <v/>
      </c>
      <c r="R125" s="652" t="n"/>
      <c r="S125" s="147" t="n">
        <v>44951</v>
      </c>
      <c r="T125" s="154" t="inlineStr">
        <is>
          <t>Investor Presentation</t>
        </is>
      </c>
      <c r="U125" s="652" t="n"/>
    </row>
    <row r="126" ht="15" customFormat="1" customHeight="1" s="631">
      <c r="A126" s="101" t="n">
        <v>168</v>
      </c>
      <c r="B126" s="144">
        <f>IF(INDEX(MO_SNA_IsHistoricalPeriod,,MATCH(F126,MO_Common_ColumnHeader,0)),"Historical","Forward")</f>
        <v/>
      </c>
      <c r="C126" s="652" t="n"/>
      <c r="D126" s="151" t="inlineStr">
        <is>
          <t>R&amp;D Expense</t>
        </is>
      </c>
      <c r="E126" s="145" t="inlineStr">
        <is>
          <t>MO_RIS_RD</t>
        </is>
      </c>
      <c r="F126" s="144" t="inlineStr">
        <is>
          <t>Q1-2023</t>
        </is>
      </c>
      <c r="G126" s="144" t="n"/>
      <c r="H126" s="652" t="n"/>
      <c r="I126" s="1637" t="n">
        <v>965</v>
      </c>
      <c r="J126" s="1637" t="n">
        <v>965</v>
      </c>
      <c r="K126" s="1637">
        <f>AVERAGE(I126:J126)</f>
        <v/>
      </c>
      <c r="L126" s="652" t="n"/>
      <c r="M126" s="144">
        <f>IF(INDEX(MO_SNA_IsHistoricalPeriod,,MATCH(F126,MO_Common_ColumnHeader,0)),"Actual","Estimate")</f>
        <v/>
      </c>
      <c r="N126" s="1637">
        <f>IFERROR(INDEX(INDIRECT(E126),0,MATCH(F126,MO_Common_ColumnHeader,0)),"N/A")</f>
        <v/>
      </c>
      <c r="O126" s="652" t="n"/>
      <c r="P126" s="2110">
        <f>IF(ISNUMBER(N126),N126-K126,"N/A")</f>
        <v/>
      </c>
      <c r="Q126" s="153">
        <f>IFERROR(IF(ISNUMBER(N126),(N126-K126)/ABS(K126),"N/A"),"N/A")</f>
        <v/>
      </c>
      <c r="R126" s="652" t="n"/>
      <c r="S126" s="147" t="n">
        <v>44951</v>
      </c>
      <c r="T126" s="154" t="inlineStr">
        <is>
          <t>Investor Presentation</t>
        </is>
      </c>
      <c r="U126" s="652" t="n"/>
    </row>
    <row r="127" ht="15" customFormat="1" customHeight="1" s="631">
      <c r="A127" s="101" t="n">
        <v>167</v>
      </c>
      <c r="B127" s="144">
        <f>IF(INDEX(MO_SNA_IsHistoricalPeriod,,MATCH(F127,MO_Common_ColumnHeader,0)),"Historical","Forward")</f>
        <v/>
      </c>
      <c r="C127" s="652" t="n"/>
      <c r="D127" s="151">
        <f>INDEX(INDIRECT(E127),0,COLUMN(MO_Common_Column_A))</f>
        <v/>
      </c>
      <c r="E127" s="145" t="inlineStr">
        <is>
          <t>MO_RIS_SGA</t>
        </is>
      </c>
      <c r="F127" s="144" t="inlineStr">
        <is>
          <t>Q1-2023</t>
        </is>
      </c>
      <c r="G127" s="144" t="n"/>
      <c r="H127" s="652" t="n"/>
      <c r="I127" s="1637" t="n">
        <v>285</v>
      </c>
      <c r="J127" s="1637" t="n">
        <v>285</v>
      </c>
      <c r="K127" s="1637">
        <f>AVERAGE(I127:J127)</f>
        <v/>
      </c>
      <c r="L127" s="652" t="n"/>
      <c r="M127" s="144">
        <f>IF(INDEX(MO_SNA_IsHistoricalPeriod,,MATCH(F127,MO_Common_ColumnHeader,0)),"Actual","Estimate")</f>
        <v/>
      </c>
      <c r="N127" s="1637">
        <f>IFERROR(INDEX(INDIRECT(E127),0,MATCH(F127,MO_Common_ColumnHeader,0)),"N/A")</f>
        <v/>
      </c>
      <c r="O127" s="652" t="n"/>
      <c r="P127" s="2110">
        <f>IF(ISNUMBER(N127),N127-K127,"N/A")</f>
        <v/>
      </c>
      <c r="Q127" s="153">
        <f>IFERROR(IF(ISNUMBER(N127),(N127-K127)/ABS(K127),"N/A"),"N/A")</f>
        <v/>
      </c>
      <c r="R127" s="652" t="n"/>
      <c r="S127" s="147" t="n">
        <v>44951</v>
      </c>
      <c r="T127" s="154" t="inlineStr">
        <is>
          <t>Investor Presentation</t>
        </is>
      </c>
      <c r="U127" s="652" t="n"/>
    </row>
    <row r="128" ht="15" customHeight="1" s="595">
      <c r="A128" s="101" t="n">
        <v>166</v>
      </c>
      <c r="B128" s="652" t="n"/>
      <c r="C128" s="652" t="n"/>
      <c r="D128" s="131" t="n"/>
      <c r="E128" s="653" t="n"/>
      <c r="F128" s="652" t="n"/>
      <c r="G128" s="652" t="n"/>
      <c r="H128" s="652" t="n"/>
      <c r="I128" s="1562" t="n"/>
      <c r="J128" s="1562" t="n"/>
      <c r="K128" s="1562" t="n"/>
      <c r="L128" s="652" t="n"/>
      <c r="M128" s="652" t="n"/>
      <c r="N128" s="1562" t="n"/>
      <c r="O128" s="652" t="n"/>
      <c r="P128" s="2111" t="n"/>
      <c r="Q128" s="271" t="n"/>
      <c r="R128" s="652" t="n"/>
      <c r="S128" s="136" t="n"/>
      <c r="T128" s="155" t="n"/>
      <c r="U128" s="652" t="n"/>
    </row>
    <row r="129" ht="15" customFormat="1" customHeight="1" s="631">
      <c r="A129" s="101" t="n">
        <v>165</v>
      </c>
      <c r="B129" s="144">
        <f>IF(INDEX(MO_SNA_IsHistoricalPeriod,,MATCH(F129,MO_Common_ColumnHeader,0)),"Historical","Forward")</f>
        <v/>
      </c>
      <c r="C129" s="652" t="n"/>
      <c r="D129" s="151">
        <f>INDEX(INDIRECT(E129),0,COLUMN(MO_Common_Column_A))</f>
        <v/>
      </c>
      <c r="E129" s="145" t="inlineStr">
        <is>
          <t>MO_RIS_REV</t>
        </is>
      </c>
      <c r="F129" s="144" t="inlineStr">
        <is>
          <t>FY2022</t>
        </is>
      </c>
      <c r="G129" s="144" t="n"/>
      <c r="H129" s="652" t="n"/>
      <c r="I129" s="1637" t="n">
        <v>21100</v>
      </c>
      <c r="J129" s="1637" t="n">
        <v>21100</v>
      </c>
      <c r="K129" s="1637">
        <f>AVERAGE(I129:J129)</f>
        <v/>
      </c>
      <c r="L129" s="652" t="n"/>
      <c r="M129" s="144">
        <f>IF(INDEX(MO_SNA_IsHistoricalPeriod,,MATCH(F129,MO_Common_ColumnHeader,0)),"Actual","Estimate")</f>
        <v/>
      </c>
      <c r="N129" s="1637">
        <f>IFERROR(INDEX(INDIRECT(E129),0,MATCH(F129,MO_Common_ColumnHeader,0)),"N/A")</f>
        <v/>
      </c>
      <c r="O129" s="652" t="n"/>
      <c r="P129" s="2110">
        <f>IF(ISNUMBER(N129),N129-K129,"N/A")</f>
        <v/>
      </c>
      <c r="Q129" s="153">
        <f>IFERROR(IF(ISNUMBER(N129),(N129-K129)/ABS(K129),"N/A"),"N/A")</f>
        <v/>
      </c>
      <c r="R129" s="652" t="n"/>
      <c r="S129" s="147" t="n">
        <v>44852</v>
      </c>
      <c r="T129" s="154" t="inlineStr">
        <is>
          <t>Investor Presentation</t>
        </is>
      </c>
      <c r="U129" s="652" t="n"/>
    </row>
    <row r="130" ht="15" customFormat="1" customHeight="1" s="631">
      <c r="A130" s="101" t="n">
        <v>164</v>
      </c>
      <c r="B130" s="144">
        <f>IF(INDEX(MO_SNA_IsHistoricalPeriod,,MATCH(F130,MO_Common_ColumnHeader,0)),"Historical","Forward")</f>
        <v/>
      </c>
      <c r="C130" s="652" t="n"/>
      <c r="D130" s="151">
        <f>INDEX(INDIRECT(E130),0,COLUMN(MO_Common_Column_A))</f>
        <v/>
      </c>
      <c r="E130" s="145" t="inlineStr">
        <is>
          <t>MO_MA_GM</t>
        </is>
      </c>
      <c r="F130" s="144" t="inlineStr">
        <is>
          <t>FY2022</t>
        </is>
      </c>
      <c r="G130" s="144" t="n"/>
      <c r="H130" s="652" t="n"/>
      <c r="I130" s="1352" t="n">
        <v>0.5</v>
      </c>
      <c r="J130" s="1352" t="n">
        <v>0.5</v>
      </c>
      <c r="K130" s="1352">
        <f>AVERAGE(I130:J130)</f>
        <v/>
      </c>
      <c r="L130" s="652" t="n"/>
      <c r="M130" s="144">
        <f>IF(INDEX(MO_SNA_IsHistoricalPeriod,,MATCH(F130,MO_Common_ColumnHeader,0)),"Actual","Estimate")</f>
        <v/>
      </c>
      <c r="N130" s="1352">
        <f>IFERROR(INDEX(INDIRECT(E130),0,MATCH(F130,MO_Common_ColumnHeader,0)),"N/A")</f>
        <v/>
      </c>
      <c r="O130" s="652" t="n"/>
      <c r="P130" s="153">
        <f>IF(ISNUMBER(N130),N130-K130,"N/A")</f>
        <v/>
      </c>
      <c r="Q130" s="153">
        <f>IFERROR(IF(ISNUMBER(N130),(N130-K130)/ABS(K130),"N/A"),"N/A")</f>
        <v/>
      </c>
      <c r="R130" s="652" t="n"/>
      <c r="S130" s="147" t="n">
        <v>44852</v>
      </c>
      <c r="T130" s="154" t="inlineStr">
        <is>
          <t>Investor Presentation</t>
        </is>
      </c>
      <c r="U130" s="652" t="n"/>
    </row>
    <row r="131" ht="15" customHeight="1" s="595">
      <c r="A131" s="101" t="n">
        <v>163</v>
      </c>
      <c r="B131" s="144">
        <f>IF(INDEX(MO_SNA_IsHistoricalPeriod,,MATCH(F131,MO_Common_ColumnHeader,0)),"Historical","Forward")</f>
        <v/>
      </c>
      <c r="C131" s="652" t="n"/>
      <c r="D131" s="151" t="inlineStr">
        <is>
          <t>Effective tax rate</t>
        </is>
      </c>
      <c r="E131" s="145" t="n"/>
      <c r="F131" s="144" t="inlineStr">
        <is>
          <t>FY2022</t>
        </is>
      </c>
      <c r="G131" s="144" t="n"/>
      <c r="H131" s="652" t="n"/>
      <c r="I131" s="1352" t="n">
        <v>0.15</v>
      </c>
      <c r="J131" s="1352" t="n">
        <v>0.15</v>
      </c>
      <c r="K131" s="1352">
        <f>AVERAGE(I131:J131)</f>
        <v/>
      </c>
      <c r="L131" s="652" t="n"/>
      <c r="M131" s="144">
        <f>IF(INDEX(MO_SNA_IsHistoricalPeriod,,MATCH(F131,MO_Common_ColumnHeader,0)),"Actual","Estimate")</f>
        <v/>
      </c>
      <c r="N131" s="1352">
        <f>INDEX(MO_RIS_TaxRate_Current,0,MATCH(F131,MO_Common_ColumnHeader,0))+INDEX(MO_RIS_TaxRate_Deferred,0,MATCH(F131,MO_Common_ColumnHeader,0))</f>
        <v/>
      </c>
      <c r="O131" s="652" t="n"/>
      <c r="P131" s="153">
        <f>IF(ISNUMBER(N131),N131-K131,"N/A")</f>
        <v/>
      </c>
      <c r="Q131" s="153">
        <f>IFERROR(IF(ISNUMBER(N131),(N131-K131)/ABS(K131),"N/A"),"N/A")</f>
        <v/>
      </c>
      <c r="R131" s="652" t="n"/>
      <c r="S131" s="147" t="n">
        <v>44852</v>
      </c>
      <c r="T131" s="154" t="inlineStr">
        <is>
          <t>Investor Presentation</t>
        </is>
      </c>
      <c r="U131" s="652" t="n"/>
    </row>
    <row r="132" ht="15" customHeight="1" s="595">
      <c r="A132" s="101" t="n">
        <v>162</v>
      </c>
      <c r="B132" s="652" t="n"/>
      <c r="C132" s="652" t="n"/>
      <c r="D132" s="131" t="n"/>
      <c r="E132" s="653" t="n"/>
      <c r="F132" s="652" t="n"/>
      <c r="G132" s="652" t="n"/>
      <c r="H132" s="652" t="n"/>
      <c r="I132" s="1562" t="n"/>
      <c r="J132" s="1562" t="n"/>
      <c r="K132" s="1562" t="n"/>
      <c r="L132" s="652" t="n"/>
      <c r="M132" s="652" t="n"/>
      <c r="N132" s="1562" t="n"/>
      <c r="O132" s="652" t="n"/>
      <c r="P132" s="2111" t="n"/>
      <c r="Q132" s="271" t="n"/>
      <c r="R132" s="652" t="n"/>
      <c r="S132" s="136" t="n"/>
      <c r="T132" s="155" t="n"/>
      <c r="U132" s="652" t="n"/>
    </row>
    <row r="133" ht="15" customFormat="1" customHeight="1" s="631">
      <c r="A133" s="101" t="n">
        <v>161</v>
      </c>
      <c r="B133" s="144">
        <f>IF(INDEX(MO_SNA_IsHistoricalPeriod,,MATCH(F133,MO_Common_ColumnHeader,0)),"Historical","Forward")</f>
        <v/>
      </c>
      <c r="C133" s="652" t="n"/>
      <c r="D133" s="151">
        <f>INDEX(INDIRECT(E133),0,COLUMN(MO_Common_Column_A))</f>
        <v/>
      </c>
      <c r="E133" s="145" t="inlineStr">
        <is>
          <t>MO_RIS_REV</t>
        </is>
      </c>
      <c r="F133" s="144" t="inlineStr">
        <is>
          <t>Q4-2022</t>
        </is>
      </c>
      <c r="G133" s="144" t="n"/>
      <c r="H133" s="652" t="n"/>
      <c r="I133" s="1637" t="n">
        <v>6100</v>
      </c>
      <c r="J133" s="1637" t="n">
        <v>6600</v>
      </c>
      <c r="K133" s="1637">
        <f>AVERAGE(I133:J133)</f>
        <v/>
      </c>
      <c r="L133" s="652" t="n"/>
      <c r="M133" s="144">
        <f>IF(INDEX(MO_SNA_IsHistoricalPeriod,,MATCH(F133,MO_Common_ColumnHeader,0)),"Actual","Estimate")</f>
        <v/>
      </c>
      <c r="N133" s="1637">
        <f>IFERROR(INDEX(INDIRECT(E133),0,MATCH(F133,MO_Common_ColumnHeader,0)),"N/A")</f>
        <v/>
      </c>
      <c r="O133" s="652" t="n"/>
      <c r="P133" s="2110">
        <f>IF(ISNUMBER(N133),N133-K133,"N/A")</f>
        <v/>
      </c>
      <c r="Q133" s="153">
        <f>IFERROR(IF(ISNUMBER(N133),(N133-K133)/ABS(K133),"N/A"),"N/A")</f>
        <v/>
      </c>
      <c r="R133" s="652" t="n"/>
      <c r="S133" s="147" t="n">
        <v>44852</v>
      </c>
      <c r="T133" s="154" t="inlineStr">
        <is>
          <t>Investor Presentation</t>
        </is>
      </c>
      <c r="U133" s="652" t="n"/>
    </row>
    <row r="134" ht="15" customFormat="1" customHeight="1" s="631">
      <c r="A134" s="101" t="n">
        <v>160</v>
      </c>
      <c r="B134" s="144">
        <f>IF(INDEX(MO_SNA_IsHistoricalPeriod,,MATCH(F134,MO_Common_ColumnHeader,0)),"Historical","Forward")</f>
        <v/>
      </c>
      <c r="C134" s="652" t="n"/>
      <c r="D134" s="151" t="inlineStr">
        <is>
          <t>Installed Base Management sales</t>
        </is>
      </c>
      <c r="E134" s="145" t="inlineStr">
        <is>
          <t>z_I9KH3H0125_MO_OS_Netserviceandfieldoptionsales</t>
        </is>
      </c>
      <c r="F134" s="144" t="inlineStr">
        <is>
          <t>Q4-2022</t>
        </is>
      </c>
      <c r="G134" s="144" t="n"/>
      <c r="H134" s="652" t="n"/>
      <c r="I134" s="1637" t="n">
        <v>1600</v>
      </c>
      <c r="J134" s="1637" t="n">
        <v>1600</v>
      </c>
      <c r="K134" s="1637">
        <f>AVERAGE(I134:J134)</f>
        <v/>
      </c>
      <c r="L134" s="652" t="n"/>
      <c r="M134" s="144">
        <f>IF(INDEX(MO_SNA_IsHistoricalPeriod,,MATCH(F134,MO_Common_ColumnHeader,0)),"Actual","Estimate")</f>
        <v/>
      </c>
      <c r="N134" s="1637">
        <f>IFERROR(INDEX(INDIRECT(E134),0,MATCH(F134,MO_Common_ColumnHeader,0)),"N/A")</f>
        <v/>
      </c>
      <c r="O134" s="652" t="n"/>
      <c r="P134" s="2110">
        <f>IF(ISNUMBER(N134),N134-K134,"N/A")</f>
        <v/>
      </c>
      <c r="Q134" s="153">
        <f>IFERROR(IF(ISNUMBER(N134),(N134-K134)/ABS(K134),"N/A"),"N/A")</f>
        <v/>
      </c>
      <c r="R134" s="652" t="n"/>
      <c r="S134" s="147" t="n">
        <v>44852</v>
      </c>
      <c r="T134" s="154" t="inlineStr">
        <is>
          <t>Investor Presentation</t>
        </is>
      </c>
      <c r="U134" s="652" t="n"/>
    </row>
    <row r="135" ht="15" customFormat="1" customHeight="1" s="631">
      <c r="A135" s="101" t="n">
        <v>159</v>
      </c>
      <c r="B135" s="144">
        <f>IF(INDEX(MO_SNA_IsHistoricalPeriod,,MATCH(F135,MO_Common_ColumnHeader,0)),"Historical","Forward")</f>
        <v/>
      </c>
      <c r="C135" s="652" t="n"/>
      <c r="D135" s="151">
        <f>INDEX(INDIRECT(E135),0,COLUMN(MO_Common_Column_A))</f>
        <v/>
      </c>
      <c r="E135" s="145" t="inlineStr">
        <is>
          <t>MO_MA_GM</t>
        </is>
      </c>
      <c r="F135" s="144" t="inlineStr">
        <is>
          <t>Q4-2022</t>
        </is>
      </c>
      <c r="G135" s="144" t="n"/>
      <c r="H135" s="652" t="n"/>
      <c r="I135" s="1352" t="n">
        <v>0.49</v>
      </c>
      <c r="J135" s="1352" t="n">
        <v>0.49</v>
      </c>
      <c r="K135" s="1352">
        <f>AVERAGE(I135:J135)</f>
        <v/>
      </c>
      <c r="L135" s="652" t="n"/>
      <c r="M135" s="144">
        <f>IF(INDEX(MO_SNA_IsHistoricalPeriod,,MATCH(F135,MO_Common_ColumnHeader,0)),"Actual","Estimate")</f>
        <v/>
      </c>
      <c r="N135" s="1352">
        <f>IFERROR(INDEX(INDIRECT(E135),0,MATCH(F135,MO_Common_ColumnHeader,0)),"N/A")</f>
        <v/>
      </c>
      <c r="O135" s="652" t="n"/>
      <c r="P135" s="153">
        <f>IF(ISNUMBER(N135),N135-K135,"N/A")</f>
        <v/>
      </c>
      <c r="Q135" s="153">
        <f>IFERROR(IF(ISNUMBER(N135),(N135-K135)/ABS(K135),"N/A"),"N/A")</f>
        <v/>
      </c>
      <c r="R135" s="652" t="n"/>
      <c r="S135" s="147" t="n">
        <v>44852</v>
      </c>
      <c r="T135" s="154" t="inlineStr">
        <is>
          <t>Investor Presentation</t>
        </is>
      </c>
      <c r="U135" s="652" t="n"/>
    </row>
    <row r="136" ht="15" customFormat="1" customHeight="1" s="631">
      <c r="A136" s="101" t="n">
        <v>158</v>
      </c>
      <c r="B136" s="144">
        <f>IF(INDEX(MO_SNA_IsHistoricalPeriod,,MATCH(F136,MO_Common_ColumnHeader,0)),"Historical","Forward")</f>
        <v/>
      </c>
      <c r="C136" s="652" t="n"/>
      <c r="D136" s="151" t="inlineStr">
        <is>
          <t>R&amp;D Expense</t>
        </is>
      </c>
      <c r="E136" s="145" t="inlineStr">
        <is>
          <t>MO_RIS_RD</t>
        </is>
      </c>
      <c r="F136" s="144" t="inlineStr">
        <is>
          <t>Q4-2022</t>
        </is>
      </c>
      <c r="G136" s="144" t="n"/>
      <c r="H136" s="652" t="n"/>
      <c r="I136" s="1637" t="n">
        <v>880</v>
      </c>
      <c r="J136" s="1637" t="n">
        <v>880</v>
      </c>
      <c r="K136" s="1637">
        <f>AVERAGE(I136:J136)</f>
        <v/>
      </c>
      <c r="L136" s="652" t="n"/>
      <c r="M136" s="144">
        <f>IF(INDEX(MO_SNA_IsHistoricalPeriod,,MATCH(F136,MO_Common_ColumnHeader,0)),"Actual","Estimate")</f>
        <v/>
      </c>
      <c r="N136" s="1637">
        <f>IFERROR(INDEX(INDIRECT(E136),0,MATCH(F136,MO_Common_ColumnHeader,0)),"N/A")</f>
        <v/>
      </c>
      <c r="O136" s="652" t="n"/>
      <c r="P136" s="2110">
        <f>IF(ISNUMBER(N136),N136-K136,"N/A")</f>
        <v/>
      </c>
      <c r="Q136" s="153">
        <f>IFERROR(IF(ISNUMBER(N136),(N136-K136)/ABS(K136),"N/A"),"N/A")</f>
        <v/>
      </c>
      <c r="R136" s="652" t="n"/>
      <c r="S136" s="147" t="n">
        <v>44852</v>
      </c>
      <c r="T136" s="154" t="inlineStr">
        <is>
          <t>Investor Presentation</t>
        </is>
      </c>
      <c r="U136" s="652" t="n"/>
    </row>
    <row r="137" ht="15" customFormat="1" customHeight="1" s="631">
      <c r="A137" s="101" t="n">
        <v>157</v>
      </c>
      <c r="B137" s="144">
        <f>IF(INDEX(MO_SNA_IsHistoricalPeriod,,MATCH(F137,MO_Common_ColumnHeader,0)),"Historical","Forward")</f>
        <v/>
      </c>
      <c r="C137" s="652" t="n"/>
      <c r="D137" s="151">
        <f>INDEX(INDIRECT(E137),0,COLUMN(MO_Common_Column_A))</f>
        <v/>
      </c>
      <c r="E137" s="145" t="inlineStr">
        <is>
          <t>MO_RIS_SGA</t>
        </is>
      </c>
      <c r="F137" s="144" t="inlineStr">
        <is>
          <t>Q4-2022</t>
        </is>
      </c>
      <c r="G137" s="144" t="n"/>
      <c r="H137" s="652" t="n"/>
      <c r="I137" s="1637" t="n">
        <v>265</v>
      </c>
      <c r="J137" s="1637" t="n">
        <v>265</v>
      </c>
      <c r="K137" s="1637">
        <f>AVERAGE(I137:J137)</f>
        <v/>
      </c>
      <c r="L137" s="652" t="n"/>
      <c r="M137" s="144">
        <f>IF(INDEX(MO_SNA_IsHistoricalPeriod,,MATCH(F137,MO_Common_ColumnHeader,0)),"Actual","Estimate")</f>
        <v/>
      </c>
      <c r="N137" s="1637">
        <f>IFERROR(INDEX(INDIRECT(E137),0,MATCH(F137,MO_Common_ColumnHeader,0)),"N/A")</f>
        <v/>
      </c>
      <c r="O137" s="652" t="n"/>
      <c r="P137" s="2110">
        <f>IF(ISNUMBER(N137),N137-K137,"N/A")</f>
        <v/>
      </c>
      <c r="Q137" s="153">
        <f>IFERROR(IF(ISNUMBER(N137),(N137-K137)/ABS(K137),"N/A"),"N/A")</f>
        <v/>
      </c>
      <c r="R137" s="652" t="n"/>
      <c r="S137" s="147" t="n">
        <v>44852</v>
      </c>
      <c r="T137" s="154" t="inlineStr">
        <is>
          <t>Investor Presentation</t>
        </is>
      </c>
      <c r="U137" s="652" t="n"/>
    </row>
    <row r="138" ht="15" customHeight="1" s="595">
      <c r="A138" s="101" t="n">
        <v>156</v>
      </c>
      <c r="B138" s="652" t="n"/>
      <c r="C138" s="652" t="n"/>
      <c r="D138" s="131" t="n"/>
      <c r="E138" s="653" t="n"/>
      <c r="F138" s="652" t="n"/>
      <c r="G138" s="652" t="n"/>
      <c r="H138" s="652" t="n"/>
      <c r="I138" s="1562" t="n"/>
      <c r="J138" s="1562" t="n"/>
      <c r="K138" s="1562" t="n"/>
      <c r="L138" s="652" t="n"/>
      <c r="M138" s="652" t="n"/>
      <c r="N138" s="1562" t="n"/>
      <c r="O138" s="652" t="n"/>
      <c r="P138" s="2111" t="n"/>
      <c r="Q138" s="271" t="n"/>
      <c r="R138" s="652" t="n"/>
      <c r="S138" s="136" t="n"/>
      <c r="T138" s="155" t="n"/>
      <c r="U138" s="652" t="n"/>
    </row>
    <row r="139" ht="15" customFormat="1" customHeight="1" s="631">
      <c r="A139" s="101" t="n">
        <v>155</v>
      </c>
      <c r="B139" s="144">
        <f>IF(INDEX(MO_SNA_IsHistoricalPeriod,,MATCH(F139,MO_Common_ColumnHeader,0)),"Historical","Forward")</f>
        <v/>
      </c>
      <c r="C139" s="652" t="n"/>
      <c r="D139" s="151">
        <f>INDEX(INDIRECT(E139),0,COLUMN(MO_Common_Column_A))</f>
        <v/>
      </c>
      <c r="E139" s="145" t="inlineStr">
        <is>
          <t>MO_GA_TotalRevenue</t>
        </is>
      </c>
      <c r="F139" s="144" t="inlineStr">
        <is>
          <t>FY2022</t>
        </is>
      </c>
      <c r="G139" s="144" t="n"/>
      <c r="H139" s="652" t="n"/>
      <c r="I139" s="1352" t="n">
        <v>0.1</v>
      </c>
      <c r="J139" s="1352" t="n">
        <v>0.1</v>
      </c>
      <c r="K139" s="1352">
        <f>AVERAGE(I139:J139)</f>
        <v/>
      </c>
      <c r="L139" s="652" t="n"/>
      <c r="M139" s="144">
        <f>IF(INDEX(MO_SNA_IsHistoricalPeriod,,MATCH(F139,MO_Common_ColumnHeader,0)),"Actual","Estimate")</f>
        <v/>
      </c>
      <c r="N139" s="1352">
        <f>IFERROR(INDEX(INDIRECT(E139),0,MATCH(F139,MO_Common_ColumnHeader,0)),"N/A")</f>
        <v/>
      </c>
      <c r="O139" s="652" t="n"/>
      <c r="P139" s="153">
        <f>IF(ISNUMBER(N139),N139-K139,"N/A")</f>
        <v/>
      </c>
      <c r="Q139" s="153">
        <f>IFERROR(IF(ISNUMBER(N139),(N139-K139)/ABS(K139),"N/A"),"N/A")</f>
        <v/>
      </c>
      <c r="R139" s="652" t="n"/>
      <c r="S139" s="147" t="n">
        <v>44762</v>
      </c>
      <c r="T139" s="154" t="inlineStr">
        <is>
          <t>Investor Presentation</t>
        </is>
      </c>
      <c r="U139" s="652" t="n"/>
    </row>
    <row r="140" ht="15" customFormat="1" customHeight="1" s="631">
      <c r="A140" s="101" t="n">
        <v>154</v>
      </c>
      <c r="B140" s="144">
        <f>IF(INDEX(MO_SNA_IsHistoricalPeriod,,MATCH(F140,MO_Common_ColumnHeader,0)),"Historical","Forward")</f>
        <v/>
      </c>
      <c r="C140" s="652" t="n"/>
      <c r="D140" s="151">
        <f>INDEX(INDIRECT(E140),0,COLUMN(MO_Common_Column_A))</f>
        <v/>
      </c>
      <c r="E140" s="145" t="inlineStr">
        <is>
          <t>MO_MA_GM</t>
        </is>
      </c>
      <c r="F140" s="144" t="inlineStr">
        <is>
          <t>FY2022</t>
        </is>
      </c>
      <c r="G140" s="144" t="n"/>
      <c r="H140" s="652" t="n"/>
      <c r="I140" s="1352" t="n">
        <v>0.49</v>
      </c>
      <c r="J140" s="1352" t="n">
        <v>0.5</v>
      </c>
      <c r="K140" s="1352">
        <f>AVERAGE(I140:J140)</f>
        <v/>
      </c>
      <c r="L140" s="652" t="n"/>
      <c r="M140" s="144">
        <f>IF(INDEX(MO_SNA_IsHistoricalPeriod,,MATCH(F140,MO_Common_ColumnHeader,0)),"Actual","Estimate")</f>
        <v/>
      </c>
      <c r="N140" s="1352">
        <f>IFERROR(INDEX(INDIRECT(E140),0,MATCH(F140,MO_Common_ColumnHeader,0)),"N/A")</f>
        <v/>
      </c>
      <c r="O140" s="652" t="n"/>
      <c r="P140" s="153">
        <f>IF(ISNUMBER(N140),N140-K140,"N/A")</f>
        <v/>
      </c>
      <c r="Q140" s="153">
        <f>IFERROR(IF(ISNUMBER(N140),(N140-K140)/ABS(K140),"N/A"),"N/A")</f>
        <v/>
      </c>
      <c r="R140" s="652" t="n"/>
      <c r="S140" s="147" t="n">
        <v>44762</v>
      </c>
      <c r="T140" s="154" t="inlineStr">
        <is>
          <t>Investor Presentation</t>
        </is>
      </c>
      <c r="U140" s="652" t="n"/>
    </row>
    <row r="141" ht="15" customHeight="1" s="595">
      <c r="A141" s="101" t="n">
        <v>153</v>
      </c>
      <c r="B141" s="144">
        <f>IF(INDEX(MO_SNA_IsHistoricalPeriod,,MATCH(F141,MO_Common_ColumnHeader,0)),"Historical","Forward")</f>
        <v/>
      </c>
      <c r="C141" s="652" t="n"/>
      <c r="D141" s="151" t="inlineStr">
        <is>
          <t>Effective tax rate</t>
        </is>
      </c>
      <c r="E141" s="145" t="n"/>
      <c r="F141" s="144" t="inlineStr">
        <is>
          <t>FY2022</t>
        </is>
      </c>
      <c r="G141" s="144" t="n"/>
      <c r="H141" s="652" t="n"/>
      <c r="I141" s="1352" t="n">
        <v>0.15</v>
      </c>
      <c r="J141" s="1352" t="n">
        <v>0.16</v>
      </c>
      <c r="K141" s="1352">
        <f>AVERAGE(I141:J141)</f>
        <v/>
      </c>
      <c r="L141" s="652" t="n"/>
      <c r="M141" s="144">
        <f>IF(INDEX(MO_SNA_IsHistoricalPeriod,,MATCH(F141,MO_Common_ColumnHeader,0)),"Actual","Estimate")</f>
        <v/>
      </c>
      <c r="N141" s="1352">
        <f>INDEX(MO_RIS_TaxRate_Current,0,MATCH(F141,MO_Common_ColumnHeader,0))+INDEX(MO_RIS_TaxRate_Deferred,0,MATCH(F141,MO_Common_ColumnHeader,0))</f>
        <v/>
      </c>
      <c r="O141" s="652" t="n"/>
      <c r="P141" s="153">
        <f>IF(ISNUMBER(N141),N141-K141,"N/A")</f>
        <v/>
      </c>
      <c r="Q141" s="153">
        <f>IFERROR(IF(ISNUMBER(N141),(N141-K141)/ABS(K141),"N/A"),"N/A")</f>
        <v/>
      </c>
      <c r="R141" s="652" t="n"/>
      <c r="S141" s="147" t="n">
        <v>44762</v>
      </c>
      <c r="T141" s="154" t="inlineStr">
        <is>
          <t>Investor Presentation</t>
        </is>
      </c>
      <c r="U141" s="652" t="n"/>
    </row>
    <row r="142" ht="15" customHeight="1" s="595">
      <c r="A142" s="101" t="n">
        <v>152</v>
      </c>
      <c r="B142" s="652" t="n"/>
      <c r="C142" s="652" t="n"/>
      <c r="D142" s="131" t="n"/>
      <c r="E142" s="653" t="n"/>
      <c r="F142" s="652" t="n"/>
      <c r="G142" s="652" t="n"/>
      <c r="H142" s="652" t="n"/>
      <c r="I142" s="1562" t="n"/>
      <c r="J142" s="1562" t="n"/>
      <c r="K142" s="1562" t="n"/>
      <c r="L142" s="652" t="n"/>
      <c r="M142" s="652" t="n"/>
      <c r="N142" s="1562" t="n"/>
      <c r="O142" s="652" t="n"/>
      <c r="P142" s="2111" t="n"/>
      <c r="Q142" s="271" t="n"/>
      <c r="R142" s="652" t="n"/>
      <c r="S142" s="136" t="n"/>
      <c r="T142" s="155" t="n"/>
      <c r="U142" s="652" t="n"/>
    </row>
    <row r="143" ht="15" customFormat="1" customHeight="1" s="631">
      <c r="A143" s="101" t="n">
        <v>151</v>
      </c>
      <c r="B143" s="144">
        <f>IF(INDEX(MO_SNA_IsHistoricalPeriod,,MATCH(F143,MO_Common_ColumnHeader,0)),"Historical","Forward")</f>
        <v/>
      </c>
      <c r="C143" s="652" t="n"/>
      <c r="D143" s="151">
        <f>INDEX(INDIRECT(E143),0,COLUMN(MO_Common_Column_A))</f>
        <v/>
      </c>
      <c r="E143" s="145" t="inlineStr">
        <is>
          <t>MO_RIS_REV</t>
        </is>
      </c>
      <c r="F143" s="144" t="inlineStr">
        <is>
          <t>Q3-2022</t>
        </is>
      </c>
      <c r="G143" s="144" t="n"/>
      <c r="H143" s="652" t="n"/>
      <c r="I143" s="1637" t="n">
        <v>5100</v>
      </c>
      <c r="J143" s="1637" t="n">
        <v>5400</v>
      </c>
      <c r="K143" s="1637">
        <f>AVERAGE(I143:J143)</f>
        <v/>
      </c>
      <c r="L143" s="652" t="n"/>
      <c r="M143" s="144">
        <f>IF(INDEX(MO_SNA_IsHistoricalPeriod,,MATCH(F143,MO_Common_ColumnHeader,0)),"Actual","Estimate")</f>
        <v/>
      </c>
      <c r="N143" s="1637">
        <f>IFERROR(INDEX(INDIRECT(E143),0,MATCH(F143,MO_Common_ColumnHeader,0)),"N/A")</f>
        <v/>
      </c>
      <c r="O143" s="652" t="n"/>
      <c r="P143" s="2110">
        <f>IF(ISNUMBER(N143),N143-K143,"N/A")</f>
        <v/>
      </c>
      <c r="Q143" s="153">
        <f>IFERROR(IF(ISNUMBER(N143),(N143-K143)/ABS(K143),"N/A"),"N/A")</f>
        <v/>
      </c>
      <c r="R143" s="652" t="n"/>
      <c r="S143" s="147" t="n">
        <v>44762</v>
      </c>
      <c r="T143" s="154" t="inlineStr">
        <is>
          <t>Investor Presentation</t>
        </is>
      </c>
      <c r="U143" s="652" t="n"/>
    </row>
    <row r="144" ht="15" customFormat="1" customHeight="1" s="631">
      <c r="A144" s="101" t="n">
        <v>150</v>
      </c>
      <c r="B144" s="144">
        <f>IF(INDEX(MO_SNA_IsHistoricalPeriod,,MATCH(F144,MO_Common_ColumnHeader,0)),"Historical","Forward")</f>
        <v/>
      </c>
      <c r="C144" s="652" t="n"/>
      <c r="D144" s="151" t="inlineStr">
        <is>
          <t>Installed Base Management sales</t>
        </is>
      </c>
      <c r="E144" s="145" t="inlineStr">
        <is>
          <t>z_I9KH3H0125_MO_OS_Netserviceandfieldoptionsales</t>
        </is>
      </c>
      <c r="F144" s="144" t="inlineStr">
        <is>
          <t>Q3-2022</t>
        </is>
      </c>
      <c r="G144" s="144" t="n"/>
      <c r="H144" s="652" t="n"/>
      <c r="I144" s="1637" t="n">
        <v>1400</v>
      </c>
      <c r="J144" s="1637" t="n">
        <v>1400</v>
      </c>
      <c r="K144" s="1637">
        <f>AVERAGE(I144:J144)</f>
        <v/>
      </c>
      <c r="L144" s="652" t="n"/>
      <c r="M144" s="144">
        <f>IF(INDEX(MO_SNA_IsHistoricalPeriod,,MATCH(F144,MO_Common_ColumnHeader,0)),"Actual","Estimate")</f>
        <v/>
      </c>
      <c r="N144" s="1637">
        <f>IFERROR(INDEX(INDIRECT(E144),0,MATCH(F144,MO_Common_ColumnHeader,0)),"N/A")</f>
        <v/>
      </c>
      <c r="O144" s="652" t="n"/>
      <c r="P144" s="2110">
        <f>IF(ISNUMBER(N144),N144-K144,"N/A")</f>
        <v/>
      </c>
      <c r="Q144" s="153">
        <f>IFERROR(IF(ISNUMBER(N144),(N144-K144)/ABS(K144),"N/A"),"N/A")</f>
        <v/>
      </c>
      <c r="R144" s="652" t="n"/>
      <c r="S144" s="147" t="n">
        <v>44762</v>
      </c>
      <c r="T144" s="154" t="inlineStr">
        <is>
          <t>Investor Presentation</t>
        </is>
      </c>
      <c r="U144" s="652" t="n"/>
    </row>
    <row r="145" ht="15" customFormat="1" customHeight="1" s="631">
      <c r="A145" s="101" t="n">
        <v>149</v>
      </c>
      <c r="B145" s="144">
        <f>IF(INDEX(MO_SNA_IsHistoricalPeriod,,MATCH(F145,MO_Common_ColumnHeader,0)),"Historical","Forward")</f>
        <v/>
      </c>
      <c r="C145" s="652" t="n"/>
      <c r="D145" s="151">
        <f>INDEX(INDIRECT(E145),0,COLUMN(MO_Common_Column_A))</f>
        <v/>
      </c>
      <c r="E145" s="145" t="inlineStr">
        <is>
          <t>MO_MA_GM</t>
        </is>
      </c>
      <c r="F145" s="144" t="inlineStr">
        <is>
          <t>Q3-2022</t>
        </is>
      </c>
      <c r="G145" s="144" t="n"/>
      <c r="H145" s="652" t="n"/>
      <c r="I145" s="1352" t="n">
        <v>0.49</v>
      </c>
      <c r="J145" s="1352" t="n">
        <v>0.5</v>
      </c>
      <c r="K145" s="1352">
        <f>AVERAGE(I145:J145)</f>
        <v/>
      </c>
      <c r="L145" s="652" t="n"/>
      <c r="M145" s="144">
        <f>IF(INDEX(MO_SNA_IsHistoricalPeriod,,MATCH(F145,MO_Common_ColumnHeader,0)),"Actual","Estimate")</f>
        <v/>
      </c>
      <c r="N145" s="1352">
        <f>IFERROR(INDEX(INDIRECT(E145),0,MATCH(F145,MO_Common_ColumnHeader,0)),"N/A")</f>
        <v/>
      </c>
      <c r="O145" s="652" t="n"/>
      <c r="P145" s="153">
        <f>IF(ISNUMBER(N145),N145-K145,"N/A")</f>
        <v/>
      </c>
      <c r="Q145" s="153">
        <f>IFERROR(IF(ISNUMBER(N145),(N145-K145)/ABS(K145),"N/A"),"N/A")</f>
        <v/>
      </c>
      <c r="R145" s="652" t="n"/>
      <c r="S145" s="147" t="n">
        <v>44762</v>
      </c>
      <c r="T145" s="154" t="inlineStr">
        <is>
          <t>Investor Presentation</t>
        </is>
      </c>
      <c r="U145" s="652" t="n"/>
    </row>
    <row r="146" ht="15" customFormat="1" customHeight="1" s="631">
      <c r="A146" s="101" t="n">
        <v>148</v>
      </c>
      <c r="B146" s="144">
        <f>IF(INDEX(MO_SNA_IsHistoricalPeriod,,MATCH(F146,MO_Common_ColumnHeader,0)),"Historical","Forward")</f>
        <v/>
      </c>
      <c r="C146" s="652" t="n"/>
      <c r="D146" s="151" t="inlineStr">
        <is>
          <t>R&amp;D Expense</t>
        </is>
      </c>
      <c r="E146" s="145" t="inlineStr">
        <is>
          <t>MO_RIS_RD</t>
        </is>
      </c>
      <c r="F146" s="144" t="inlineStr">
        <is>
          <t>Q3-2022</t>
        </is>
      </c>
      <c r="G146" s="144" t="n"/>
      <c r="H146" s="652" t="n"/>
      <c r="I146" s="1637" t="n">
        <v>810</v>
      </c>
      <c r="J146" s="1637" t="n">
        <v>810</v>
      </c>
      <c r="K146" s="1637">
        <f>AVERAGE(I146:J146)</f>
        <v/>
      </c>
      <c r="L146" s="652" t="n"/>
      <c r="M146" s="144">
        <f>IF(INDEX(MO_SNA_IsHistoricalPeriod,,MATCH(F146,MO_Common_ColumnHeader,0)),"Actual","Estimate")</f>
        <v/>
      </c>
      <c r="N146" s="1637">
        <f>IFERROR(INDEX(INDIRECT(E146),0,MATCH(F146,MO_Common_ColumnHeader,0)),"N/A")</f>
        <v/>
      </c>
      <c r="O146" s="652" t="n"/>
      <c r="P146" s="2110">
        <f>IF(ISNUMBER(N146),N146-K146,"N/A")</f>
        <v/>
      </c>
      <c r="Q146" s="153">
        <f>IFERROR(IF(ISNUMBER(N146),(N146-K146)/ABS(K146),"N/A"),"N/A")</f>
        <v/>
      </c>
      <c r="R146" s="652" t="n"/>
      <c r="S146" s="147" t="n">
        <v>44762</v>
      </c>
      <c r="T146" s="154" t="inlineStr">
        <is>
          <t>Investor Presentation</t>
        </is>
      </c>
      <c r="U146" s="652" t="n"/>
    </row>
    <row r="147" ht="15" customFormat="1" customHeight="1" s="631">
      <c r="A147" s="101" t="n">
        <v>147</v>
      </c>
      <c r="B147" s="144">
        <f>IF(INDEX(MO_SNA_IsHistoricalPeriod,,MATCH(F147,MO_Common_ColumnHeader,0)),"Historical","Forward")</f>
        <v/>
      </c>
      <c r="C147" s="652" t="n"/>
      <c r="D147" s="151">
        <f>INDEX(INDIRECT(E147),0,COLUMN(MO_Common_Column_A))</f>
        <v/>
      </c>
      <c r="E147" s="145" t="inlineStr">
        <is>
          <t>MO_RIS_SGA</t>
        </is>
      </c>
      <c r="F147" s="144" t="inlineStr">
        <is>
          <t>Q3-2022</t>
        </is>
      </c>
      <c r="G147" s="144" t="n"/>
      <c r="H147" s="652" t="n"/>
      <c r="I147" s="1637" t="n">
        <v>235</v>
      </c>
      <c r="J147" s="1637" t="n">
        <v>235</v>
      </c>
      <c r="K147" s="1637">
        <f>AVERAGE(I147:J147)</f>
        <v/>
      </c>
      <c r="L147" s="652" t="n"/>
      <c r="M147" s="144">
        <f>IF(INDEX(MO_SNA_IsHistoricalPeriod,,MATCH(F147,MO_Common_ColumnHeader,0)),"Actual","Estimate")</f>
        <v/>
      </c>
      <c r="N147" s="1637">
        <f>IFERROR(INDEX(INDIRECT(E147),0,MATCH(F147,MO_Common_ColumnHeader,0)),"N/A")</f>
        <v/>
      </c>
      <c r="O147" s="652" t="n"/>
      <c r="P147" s="2110">
        <f>IF(ISNUMBER(N147),N147-K147,"N/A")</f>
        <v/>
      </c>
      <c r="Q147" s="153">
        <f>IFERROR(IF(ISNUMBER(N147),(N147-K147)/ABS(K147),"N/A"),"N/A")</f>
        <v/>
      </c>
      <c r="R147" s="652" t="n"/>
      <c r="S147" s="147" t="n">
        <v>44762</v>
      </c>
      <c r="T147" s="154" t="inlineStr">
        <is>
          <t>Investor Presentation</t>
        </is>
      </c>
      <c r="U147" s="652" t="n"/>
    </row>
    <row r="148" ht="15" customHeight="1" s="595">
      <c r="A148" s="101" t="n">
        <v>146</v>
      </c>
      <c r="B148" s="652" t="n"/>
      <c r="C148" s="652" t="n"/>
      <c r="D148" s="131" t="n"/>
      <c r="E148" s="653" t="n"/>
      <c r="F148" s="652" t="n"/>
      <c r="G148" s="652" t="n"/>
      <c r="H148" s="652" t="n"/>
      <c r="I148" s="1562" t="n"/>
      <c r="J148" s="1562" t="n"/>
      <c r="K148" s="1562" t="n"/>
      <c r="L148" s="652" t="n"/>
      <c r="M148" s="652" t="n"/>
      <c r="N148" s="1562" t="n"/>
      <c r="O148" s="652" t="n"/>
      <c r="P148" s="2111" t="n"/>
      <c r="Q148" s="271" t="n"/>
      <c r="R148" s="652" t="n"/>
      <c r="S148" s="136" t="n"/>
      <c r="T148" s="155" t="n"/>
      <c r="U148" s="652" t="n"/>
    </row>
    <row r="149" ht="15" customFormat="1" customHeight="1" s="631">
      <c r="A149" s="101" t="n">
        <v>145</v>
      </c>
      <c r="B149" s="144">
        <f>IF(INDEX(MO_SNA_IsHistoricalPeriod,,MATCH(F149,MO_Common_ColumnHeader,0)),"Historical","Forward")</f>
        <v/>
      </c>
      <c r="C149" s="652" t="n"/>
      <c r="D149" s="151">
        <f>INDEX(INDIRECT(E149),0,COLUMN(MO_Common_Column_A))</f>
        <v/>
      </c>
      <c r="E149" s="145" t="inlineStr">
        <is>
          <t>MO_GA_TotalRevenue</t>
        </is>
      </c>
      <c r="F149" s="144" t="inlineStr">
        <is>
          <t>FY2022</t>
        </is>
      </c>
      <c r="G149" s="144" t="n"/>
      <c r="H149" s="652" t="n"/>
      <c r="I149" s="1352" t="n">
        <v>0.2</v>
      </c>
      <c r="J149" s="1352" t="n">
        <v>0.2</v>
      </c>
      <c r="K149" s="1352">
        <f>AVERAGE(I149:J149)</f>
        <v/>
      </c>
      <c r="L149" s="652" t="n"/>
      <c r="M149" s="144">
        <f>IF(INDEX(MO_SNA_IsHistoricalPeriod,,MATCH(F149,MO_Common_ColumnHeader,0)),"Actual","Estimate")</f>
        <v/>
      </c>
      <c r="N149" s="1352">
        <f>IFERROR(INDEX(INDIRECT(E149),0,MATCH(F149,MO_Common_ColumnHeader,0)),"N/A")</f>
        <v/>
      </c>
      <c r="O149" s="652" t="n"/>
      <c r="P149" s="153">
        <f>IF(ISNUMBER(N149),N149-K149,"N/A")</f>
        <v/>
      </c>
      <c r="Q149" s="153">
        <f>IFERROR(IF(ISNUMBER(N149),(N149-K149)/ABS(K149),"N/A"),"N/A")</f>
        <v/>
      </c>
      <c r="R149" s="652" t="n"/>
      <c r="S149" s="147" t="n">
        <v>44671</v>
      </c>
      <c r="T149" s="154" t="inlineStr">
        <is>
          <t>Investor Presentation</t>
        </is>
      </c>
      <c r="U149" s="652" t="n"/>
    </row>
    <row r="150" ht="15" customHeight="1" s="595">
      <c r="A150" s="101" t="n">
        <v>144</v>
      </c>
      <c r="B150" s="144">
        <f>IF(INDEX(MO_SNA_IsHistoricalPeriod,,MATCH(F150,MO_Common_ColumnHeader,0)),"Historical","Forward")</f>
        <v/>
      </c>
      <c r="C150" s="652" t="n"/>
      <c r="D150" s="151" t="inlineStr">
        <is>
          <t>Effective tax rate</t>
        </is>
      </c>
      <c r="E150" s="145" t="n"/>
      <c r="F150" s="144" t="inlineStr">
        <is>
          <t>FY2022</t>
        </is>
      </c>
      <c r="G150" s="144" t="n"/>
      <c r="H150" s="652" t="n"/>
      <c r="I150" s="1352" t="n">
        <v>0.15</v>
      </c>
      <c r="J150" s="1352" t="n">
        <v>0.16</v>
      </c>
      <c r="K150" s="1352">
        <f>AVERAGE(I150:J150)</f>
        <v/>
      </c>
      <c r="L150" s="652" t="n"/>
      <c r="M150" s="144">
        <f>IF(INDEX(MO_SNA_IsHistoricalPeriod,,MATCH(F150,MO_Common_ColumnHeader,0)),"Actual","Estimate")</f>
        <v/>
      </c>
      <c r="N150" s="1352">
        <f>INDEX(MO_RIS_TaxRate_Current,0,MATCH(F150,MO_Common_ColumnHeader,0))+INDEX(MO_RIS_TaxRate_Deferred,0,MATCH(F150,MO_Common_ColumnHeader,0))</f>
        <v/>
      </c>
      <c r="O150" s="652" t="n"/>
      <c r="P150" s="153">
        <f>IF(ISNUMBER(N150),N150-K150,"N/A")</f>
        <v/>
      </c>
      <c r="Q150" s="153">
        <f>IFERROR(IF(ISNUMBER(N150),(N150-K150)/ABS(K150),"N/A"),"N/A")</f>
        <v/>
      </c>
      <c r="R150" s="652" t="n"/>
      <c r="S150" s="147" t="n">
        <v>44671</v>
      </c>
      <c r="T150" s="154" t="inlineStr">
        <is>
          <t>Investor Presentation</t>
        </is>
      </c>
      <c r="U150" s="652" t="n"/>
    </row>
    <row r="151" ht="15" customHeight="1" s="595">
      <c r="A151" s="101" t="n">
        <v>143</v>
      </c>
      <c r="B151" s="652" t="n"/>
      <c r="C151" s="652" t="n"/>
      <c r="D151" s="131" t="n"/>
      <c r="E151" s="653" t="n"/>
      <c r="F151" s="652" t="n"/>
      <c r="G151" s="652" t="n"/>
      <c r="H151" s="652" t="n"/>
      <c r="I151" s="1562" t="n"/>
      <c r="J151" s="1562" t="n"/>
      <c r="K151" s="1562" t="n"/>
      <c r="L151" s="652" t="n"/>
      <c r="M151" s="652" t="n"/>
      <c r="N151" s="1562" t="n"/>
      <c r="O151" s="652" t="n"/>
      <c r="P151" s="2111" t="n"/>
      <c r="Q151" s="271" t="n"/>
      <c r="R151" s="652" t="n"/>
      <c r="S151" s="136" t="n"/>
      <c r="T151" s="155" t="n"/>
      <c r="U151" s="652" t="n"/>
    </row>
    <row r="152" ht="15" customFormat="1" customHeight="1" s="631">
      <c r="A152" s="101" t="n">
        <v>142</v>
      </c>
      <c r="B152" s="144">
        <f>IF(INDEX(MO_SNA_IsHistoricalPeriod,,MATCH(F152,MO_Common_ColumnHeader,0)),"Historical","Forward")</f>
        <v/>
      </c>
      <c r="C152" s="652" t="n"/>
      <c r="D152" s="151">
        <f>INDEX(INDIRECT(E152),0,COLUMN(MO_Common_Column_A))</f>
        <v/>
      </c>
      <c r="E152" s="145" t="inlineStr">
        <is>
          <t>MO_RIS_REV</t>
        </is>
      </c>
      <c r="F152" s="144" t="inlineStr">
        <is>
          <t>Q2-2022</t>
        </is>
      </c>
      <c r="G152" s="144" t="n"/>
      <c r="H152" s="652" t="n"/>
      <c r="I152" s="1637" t="n">
        <v>5100</v>
      </c>
      <c r="J152" s="1637" t="n">
        <v>5300</v>
      </c>
      <c r="K152" s="1637">
        <f>AVERAGE(I152:J152)</f>
        <v/>
      </c>
      <c r="L152" s="652" t="n"/>
      <c r="M152" s="144">
        <f>IF(INDEX(MO_SNA_IsHistoricalPeriod,,MATCH(F152,MO_Common_ColumnHeader,0)),"Actual","Estimate")</f>
        <v/>
      </c>
      <c r="N152" s="1637">
        <f>IFERROR(INDEX(INDIRECT(E152),0,MATCH(F152,MO_Common_ColumnHeader,0)),"N/A")</f>
        <v/>
      </c>
      <c r="O152" s="652" t="n"/>
      <c r="P152" s="2110">
        <f>IF(ISNUMBER(N152),N152-K152,"N/A")</f>
        <v/>
      </c>
      <c r="Q152" s="153">
        <f>IFERROR(IF(ISNUMBER(N152),(N152-K152)/ABS(K152),"N/A"),"N/A")</f>
        <v/>
      </c>
      <c r="R152" s="652" t="n"/>
      <c r="S152" s="147" t="n">
        <v>44671</v>
      </c>
      <c r="T152" s="154" t="inlineStr">
        <is>
          <t>Investor Presentation</t>
        </is>
      </c>
      <c r="U152" s="652" t="n"/>
    </row>
    <row r="153" ht="15" customFormat="1" customHeight="1" s="631">
      <c r="A153" s="101" t="n">
        <v>141</v>
      </c>
      <c r="B153" s="144">
        <f>IF(INDEX(MO_SNA_IsHistoricalPeriod,,MATCH(F153,MO_Common_ColumnHeader,0)),"Historical","Forward")</f>
        <v/>
      </c>
      <c r="C153" s="652" t="n"/>
      <c r="D153" s="151" t="inlineStr">
        <is>
          <t>Installed Base Management sales</t>
        </is>
      </c>
      <c r="E153" s="145" t="inlineStr">
        <is>
          <t>z_I9KH3H0125_MO_OS_Netserviceandfieldoptionsales</t>
        </is>
      </c>
      <c r="F153" s="144" t="inlineStr">
        <is>
          <t>Q2-2022</t>
        </is>
      </c>
      <c r="G153" s="144" t="n"/>
      <c r="H153" s="652" t="n"/>
      <c r="I153" s="1637" t="n">
        <v>1200</v>
      </c>
      <c r="J153" s="1637" t="n">
        <v>1200</v>
      </c>
      <c r="K153" s="1637">
        <f>AVERAGE(I153:J153)</f>
        <v/>
      </c>
      <c r="L153" s="652" t="n"/>
      <c r="M153" s="144">
        <f>IF(INDEX(MO_SNA_IsHistoricalPeriod,,MATCH(F153,MO_Common_ColumnHeader,0)),"Actual","Estimate")</f>
        <v/>
      </c>
      <c r="N153" s="1637">
        <f>IFERROR(INDEX(INDIRECT(E153),0,MATCH(F153,MO_Common_ColumnHeader,0)),"N/A")</f>
        <v/>
      </c>
      <c r="O153" s="652" t="n"/>
      <c r="P153" s="2110">
        <f>IF(ISNUMBER(N153),N153-K153,"N/A")</f>
        <v/>
      </c>
      <c r="Q153" s="153">
        <f>IFERROR(IF(ISNUMBER(N153),(N153-K153)/ABS(K153),"N/A"),"N/A")</f>
        <v/>
      </c>
      <c r="R153" s="652" t="n"/>
      <c r="S153" s="147" t="n">
        <v>44671</v>
      </c>
      <c r="T153" s="154" t="inlineStr">
        <is>
          <t>Investor Presentation</t>
        </is>
      </c>
      <c r="U153" s="652" t="n"/>
    </row>
    <row r="154" ht="15" customFormat="1" customHeight="1" s="631">
      <c r="A154" s="101" t="n">
        <v>140</v>
      </c>
      <c r="B154" s="144">
        <f>IF(INDEX(MO_SNA_IsHistoricalPeriod,,MATCH(F154,MO_Common_ColumnHeader,0)),"Historical","Forward")</f>
        <v/>
      </c>
      <c r="C154" s="652" t="n"/>
      <c r="D154" s="151">
        <f>INDEX(INDIRECT(E154),0,COLUMN(MO_Common_Column_A))</f>
        <v/>
      </c>
      <c r="E154" s="145" t="inlineStr">
        <is>
          <t>MO_MA_GM</t>
        </is>
      </c>
      <c r="F154" s="144" t="inlineStr">
        <is>
          <t>Q2-2022</t>
        </is>
      </c>
      <c r="G154" s="144" t="n"/>
      <c r="H154" s="652" t="n"/>
      <c r="I154" s="1352" t="n">
        <v>0.49</v>
      </c>
      <c r="J154" s="1352" t="n">
        <v>0.5</v>
      </c>
      <c r="K154" s="1352">
        <f>AVERAGE(I154:J154)</f>
        <v/>
      </c>
      <c r="L154" s="652" t="n"/>
      <c r="M154" s="144">
        <f>IF(INDEX(MO_SNA_IsHistoricalPeriod,,MATCH(F154,MO_Common_ColumnHeader,0)),"Actual","Estimate")</f>
        <v/>
      </c>
      <c r="N154" s="1352">
        <f>IFERROR(INDEX(INDIRECT(E154),0,MATCH(F154,MO_Common_ColumnHeader,0)),"N/A")</f>
        <v/>
      </c>
      <c r="O154" s="652" t="n"/>
      <c r="P154" s="153">
        <f>IF(ISNUMBER(N154),N154-K154,"N/A")</f>
        <v/>
      </c>
      <c r="Q154" s="153">
        <f>IFERROR(IF(ISNUMBER(N154),(N154-K154)/ABS(K154),"N/A"),"N/A")</f>
        <v/>
      </c>
      <c r="R154" s="652" t="n"/>
      <c r="S154" s="147" t="n">
        <v>44671</v>
      </c>
      <c r="T154" s="154" t="inlineStr">
        <is>
          <t>Investor Presentation</t>
        </is>
      </c>
      <c r="U154" s="652" t="n"/>
    </row>
    <row r="155" ht="15" customFormat="1" customHeight="1" s="631">
      <c r="A155" s="101" t="n">
        <v>139</v>
      </c>
      <c r="B155" s="144">
        <f>IF(INDEX(MO_SNA_IsHistoricalPeriod,,MATCH(F155,MO_Common_ColumnHeader,0)),"Historical","Forward")</f>
        <v/>
      </c>
      <c r="C155" s="652" t="n"/>
      <c r="D155" s="151" t="inlineStr">
        <is>
          <t>R&amp;D Expense</t>
        </is>
      </c>
      <c r="E155" s="145" t="inlineStr">
        <is>
          <t>MO_RIS_RD</t>
        </is>
      </c>
      <c r="F155" s="144" t="inlineStr">
        <is>
          <t>Q2-2022</t>
        </is>
      </c>
      <c r="G155" s="144" t="n"/>
      <c r="H155" s="652" t="n"/>
      <c r="I155" s="1637" t="n">
        <v>790</v>
      </c>
      <c r="J155" s="1637" t="n">
        <v>790</v>
      </c>
      <c r="K155" s="1637">
        <f>AVERAGE(I155:J155)</f>
        <v/>
      </c>
      <c r="L155" s="652" t="n"/>
      <c r="M155" s="144">
        <f>IF(INDEX(MO_SNA_IsHistoricalPeriod,,MATCH(F155,MO_Common_ColumnHeader,0)),"Actual","Estimate")</f>
        <v/>
      </c>
      <c r="N155" s="1637">
        <f>IFERROR(INDEX(INDIRECT(E155),0,MATCH(F155,MO_Common_ColumnHeader,0)),"N/A")</f>
        <v/>
      </c>
      <c r="O155" s="652" t="n"/>
      <c r="P155" s="2110">
        <f>IF(ISNUMBER(N155),N155-K155,"N/A")</f>
        <v/>
      </c>
      <c r="Q155" s="153">
        <f>IFERROR(IF(ISNUMBER(N155),(N155-K155)/ABS(K155),"N/A"),"N/A")</f>
        <v/>
      </c>
      <c r="R155" s="652" t="n"/>
      <c r="S155" s="147" t="n">
        <v>44671</v>
      </c>
      <c r="T155" s="154" t="inlineStr">
        <is>
          <t>Investor Presentation</t>
        </is>
      </c>
      <c r="U155" s="652" t="n"/>
    </row>
    <row r="156" ht="15" customFormat="1" customHeight="1" s="631">
      <c r="A156" s="101" t="n">
        <v>138</v>
      </c>
      <c r="B156" s="144">
        <f>IF(INDEX(MO_SNA_IsHistoricalPeriod,,MATCH(F156,MO_Common_ColumnHeader,0)),"Historical","Forward")</f>
        <v/>
      </c>
      <c r="C156" s="652" t="n"/>
      <c r="D156" s="151">
        <f>INDEX(INDIRECT(E156),0,COLUMN(MO_Common_Column_A))</f>
        <v/>
      </c>
      <c r="E156" s="145" t="inlineStr">
        <is>
          <t>MO_RIS_SGA</t>
        </is>
      </c>
      <c r="F156" s="144" t="inlineStr">
        <is>
          <t>Q2-2022</t>
        </is>
      </c>
      <c r="G156" s="144" t="n"/>
      <c r="H156" s="652" t="n"/>
      <c r="I156" s="1637" t="n">
        <v>220</v>
      </c>
      <c r="J156" s="1637" t="n">
        <v>220</v>
      </c>
      <c r="K156" s="1637">
        <f>AVERAGE(I156:J156)</f>
        <v/>
      </c>
      <c r="L156" s="652" t="n"/>
      <c r="M156" s="144">
        <f>IF(INDEX(MO_SNA_IsHistoricalPeriod,,MATCH(F156,MO_Common_ColumnHeader,0)),"Actual","Estimate")</f>
        <v/>
      </c>
      <c r="N156" s="1637">
        <f>IFERROR(INDEX(INDIRECT(E156),0,MATCH(F156,MO_Common_ColumnHeader,0)),"N/A")</f>
        <v/>
      </c>
      <c r="O156" s="652" t="n"/>
      <c r="P156" s="2110">
        <f>IF(ISNUMBER(N156),N156-K156,"N/A")</f>
        <v/>
      </c>
      <c r="Q156" s="153">
        <f>IFERROR(IF(ISNUMBER(N156),(N156-K156)/ABS(K156),"N/A"),"N/A")</f>
        <v/>
      </c>
      <c r="R156" s="652" t="n"/>
      <c r="S156" s="147" t="n">
        <v>44671</v>
      </c>
      <c r="T156" s="154" t="inlineStr">
        <is>
          <t>Investor Presentation</t>
        </is>
      </c>
      <c r="U156" s="652" t="n"/>
    </row>
    <row r="157" ht="15" customHeight="1" s="595">
      <c r="A157" s="101" t="n">
        <v>137</v>
      </c>
      <c r="B157" s="652" t="n"/>
      <c r="C157" s="652" t="n"/>
      <c r="D157" s="131" t="n"/>
      <c r="E157" s="653" t="n"/>
      <c r="F157" s="652" t="n"/>
      <c r="G157" s="652" t="n"/>
      <c r="H157" s="652" t="n"/>
      <c r="I157" s="1562" t="n"/>
      <c r="J157" s="1562" t="n"/>
      <c r="K157" s="1562" t="n"/>
      <c r="L157" s="652" t="n"/>
      <c r="M157" s="652" t="n"/>
      <c r="N157" s="1562" t="n"/>
      <c r="O157" s="652" t="n"/>
      <c r="P157" s="2111" t="n"/>
      <c r="Q157" s="271" t="n"/>
      <c r="R157" s="652" t="n"/>
      <c r="S157" s="136" t="n"/>
      <c r="T157" s="155" t="n"/>
      <c r="U157" s="652" t="n"/>
    </row>
    <row r="158" ht="15" customFormat="1" customHeight="1" s="631">
      <c r="A158" s="101" t="n">
        <v>136</v>
      </c>
      <c r="B158" s="144">
        <f>IF(INDEX(MO_SNA_IsHistoricalPeriod,,MATCH(F158,MO_Common_ColumnHeader,0)),"Historical","Forward")</f>
        <v/>
      </c>
      <c r="C158" s="652" t="n"/>
      <c r="D158" s="151">
        <f>INDEX(INDIRECT(E158),0,COLUMN(MO_Common_Column_A))</f>
        <v/>
      </c>
      <c r="E158" s="145" t="inlineStr">
        <is>
          <t>MO_GA_TotalRevenue</t>
        </is>
      </c>
      <c r="F158" s="144" t="inlineStr">
        <is>
          <t>FY2022</t>
        </is>
      </c>
      <c r="G158" s="144" t="n"/>
      <c r="H158" s="652" t="n"/>
      <c r="I158" s="1352" t="n">
        <v>0.2</v>
      </c>
      <c r="J158" s="1352" t="n">
        <v>0.2</v>
      </c>
      <c r="K158" s="1352">
        <f>AVERAGE(I158:J158)</f>
        <v/>
      </c>
      <c r="L158" s="652" t="n"/>
      <c r="M158" s="144">
        <f>IF(INDEX(MO_SNA_IsHistoricalPeriod,,MATCH(F158,MO_Common_ColumnHeader,0)),"Actual","Estimate")</f>
        <v/>
      </c>
      <c r="N158" s="1352">
        <f>IFERROR(INDEX(INDIRECT(E158),0,MATCH(F158,MO_Common_ColumnHeader,0)),"N/A")</f>
        <v/>
      </c>
      <c r="O158" s="652" t="n"/>
      <c r="P158" s="153">
        <f>IF(ISNUMBER(N158),N158-K158,"N/A")</f>
        <v/>
      </c>
      <c r="Q158" s="153">
        <f>IFERROR(IF(ISNUMBER(N158),(N158-K158)/ABS(K158),"N/A"),"N/A")</f>
        <v/>
      </c>
      <c r="R158" s="652" t="n"/>
      <c r="S158" s="147" t="n">
        <v>44580</v>
      </c>
      <c r="T158" s="154" t="inlineStr">
        <is>
          <t>Investor Presentation</t>
        </is>
      </c>
      <c r="U158" s="652" t="n"/>
    </row>
    <row r="159" ht="15" customHeight="1" s="595">
      <c r="A159" s="101" t="n">
        <v>135</v>
      </c>
      <c r="B159" s="144">
        <f>IF(INDEX(MO_SNA_IsHistoricalPeriod,,MATCH(F159,MO_Common_ColumnHeader,0)),"Historical","Forward")</f>
        <v/>
      </c>
      <c r="C159" s="652" t="n"/>
      <c r="D159" s="151" t="inlineStr">
        <is>
          <t>Effective tax rate</t>
        </is>
      </c>
      <c r="E159" s="145" t="n"/>
      <c r="F159" s="144" t="inlineStr">
        <is>
          <t>FY2022</t>
        </is>
      </c>
      <c r="G159" s="144" t="n"/>
      <c r="H159" s="652" t="n"/>
      <c r="I159" s="1352" t="n">
        <v>0.15</v>
      </c>
      <c r="J159" s="1352" t="n">
        <v>0.16</v>
      </c>
      <c r="K159" s="1352">
        <f>AVERAGE(I159:J159)</f>
        <v/>
      </c>
      <c r="L159" s="652" t="n"/>
      <c r="M159" s="144">
        <f>IF(INDEX(MO_SNA_IsHistoricalPeriod,,MATCH(F159,MO_Common_ColumnHeader,0)),"Actual","Estimate")</f>
        <v/>
      </c>
      <c r="N159" s="1352">
        <f>INDEX(MO_RIS_TaxRate_Current,0,MATCH(F159,MO_Common_ColumnHeader,0))+INDEX(MO_RIS_TaxRate_Deferred,0,MATCH(F159,MO_Common_ColumnHeader,0))</f>
        <v/>
      </c>
      <c r="O159" s="652" t="n"/>
      <c r="P159" s="153">
        <f>IF(ISNUMBER(N159),N159-K159,"N/A")</f>
        <v/>
      </c>
      <c r="Q159" s="153">
        <f>IFERROR(IF(ISNUMBER(N159),(N159-K159)/ABS(K159),"N/A"),"N/A")</f>
        <v/>
      </c>
      <c r="R159" s="652" t="n"/>
      <c r="S159" s="147" t="n">
        <v>44580</v>
      </c>
      <c r="T159" s="154" t="inlineStr">
        <is>
          <t>Investor Presentation</t>
        </is>
      </c>
      <c r="U159" s="652" t="n"/>
    </row>
    <row r="160" ht="15" customHeight="1" s="595">
      <c r="A160" s="101" t="n">
        <v>134</v>
      </c>
      <c r="B160" s="652" t="n"/>
      <c r="C160" s="652" t="n"/>
      <c r="D160" s="131" t="n"/>
      <c r="E160" s="653" t="n"/>
      <c r="F160" s="652" t="n"/>
      <c r="G160" s="652" t="n"/>
      <c r="H160" s="652" t="n"/>
      <c r="I160" s="1562" t="n"/>
      <c r="J160" s="1562" t="n"/>
      <c r="K160" s="1562" t="n"/>
      <c r="L160" s="652" t="n"/>
      <c r="M160" s="652" t="n"/>
      <c r="N160" s="1562" t="n"/>
      <c r="O160" s="652" t="n"/>
      <c r="P160" s="2111" t="n"/>
      <c r="Q160" s="271" t="n"/>
      <c r="R160" s="652" t="n"/>
      <c r="S160" s="136" t="n"/>
      <c r="T160" s="155" t="n"/>
      <c r="U160" s="652" t="n"/>
    </row>
    <row r="161" ht="15" customFormat="1" customHeight="1" s="631">
      <c r="A161" s="101" t="n">
        <v>133</v>
      </c>
      <c r="B161" s="144">
        <f>IF(INDEX(MO_SNA_IsHistoricalPeriod,,MATCH(F161,MO_Common_ColumnHeader,0)),"Historical","Forward")</f>
        <v/>
      </c>
      <c r="C161" s="652" t="n"/>
      <c r="D161" s="151">
        <f>INDEX(INDIRECT(E161),0,COLUMN(MO_Common_Column_A))</f>
        <v/>
      </c>
      <c r="E161" s="145" t="inlineStr">
        <is>
          <t>MO_RIS_REV</t>
        </is>
      </c>
      <c r="F161" s="144" t="inlineStr">
        <is>
          <t>Q1-2022</t>
        </is>
      </c>
      <c r="G161" s="144" t="n"/>
      <c r="H161" s="652" t="n"/>
      <c r="I161" s="1637" t="n">
        <v>3300</v>
      </c>
      <c r="J161" s="1637" t="n">
        <v>3500</v>
      </c>
      <c r="K161" s="1637">
        <f>AVERAGE(I161:J161)</f>
        <v/>
      </c>
      <c r="L161" s="652" t="n"/>
      <c r="M161" s="144">
        <f>IF(INDEX(MO_SNA_IsHistoricalPeriod,,MATCH(F161,MO_Common_ColumnHeader,0)),"Actual","Estimate")</f>
        <v/>
      </c>
      <c r="N161" s="1637">
        <f>IFERROR(INDEX(INDIRECT(E161),0,MATCH(F161,MO_Common_ColumnHeader,0)),"N/A")</f>
        <v/>
      </c>
      <c r="O161" s="652" t="n"/>
      <c r="P161" s="2110">
        <f>IF(ISNUMBER(N161),N161-K161,"N/A")</f>
        <v/>
      </c>
      <c r="Q161" s="153">
        <f>IFERROR(IF(ISNUMBER(N161),(N161-K161)/ABS(K161),"N/A"),"N/A")</f>
        <v/>
      </c>
      <c r="R161" s="652" t="n"/>
      <c r="S161" s="147" t="n">
        <v>44580</v>
      </c>
      <c r="T161" s="154" t="inlineStr">
        <is>
          <t>Investor Presentation</t>
        </is>
      </c>
      <c r="U161" s="652" t="n"/>
    </row>
    <row r="162" ht="15" customFormat="1" customHeight="1" s="631">
      <c r="A162" s="101" t="n">
        <v>132</v>
      </c>
      <c r="B162" s="144">
        <f>IF(INDEX(MO_SNA_IsHistoricalPeriod,,MATCH(F162,MO_Common_ColumnHeader,0)),"Historical","Forward")</f>
        <v/>
      </c>
      <c r="C162" s="652" t="n"/>
      <c r="D162" s="151" t="inlineStr">
        <is>
          <t>Installed Base Management sales</t>
        </is>
      </c>
      <c r="E162" s="145" t="inlineStr">
        <is>
          <t>z_I9KH3H0125_MO_OS_Netserviceandfieldoptionsales</t>
        </is>
      </c>
      <c r="F162" s="144" t="inlineStr">
        <is>
          <t>Q1-2022</t>
        </is>
      </c>
      <c r="G162" s="144" t="n"/>
      <c r="H162" s="652" t="n"/>
      <c r="I162" s="1637" t="n">
        <v>1200</v>
      </c>
      <c r="J162" s="1637" t="n">
        <v>1200</v>
      </c>
      <c r="K162" s="1637">
        <f>AVERAGE(I162:J162)</f>
        <v/>
      </c>
      <c r="L162" s="652" t="n"/>
      <c r="M162" s="144">
        <f>IF(INDEX(MO_SNA_IsHistoricalPeriod,,MATCH(F162,MO_Common_ColumnHeader,0)),"Actual","Estimate")</f>
        <v/>
      </c>
      <c r="N162" s="1637">
        <f>IFERROR(INDEX(INDIRECT(E162),0,MATCH(F162,MO_Common_ColumnHeader,0)),"N/A")</f>
        <v/>
      </c>
      <c r="O162" s="652" t="n"/>
      <c r="P162" s="2110">
        <f>IF(ISNUMBER(N162),N162-K162,"N/A")</f>
        <v/>
      </c>
      <c r="Q162" s="153">
        <f>IFERROR(IF(ISNUMBER(N162),(N162-K162)/ABS(K162),"N/A"),"N/A")</f>
        <v/>
      </c>
      <c r="R162" s="652" t="n"/>
      <c r="S162" s="147" t="n">
        <v>44580</v>
      </c>
      <c r="T162" s="154" t="inlineStr">
        <is>
          <t>Investor Presentation</t>
        </is>
      </c>
      <c r="U162" s="652" t="n"/>
    </row>
    <row r="163" ht="15" customFormat="1" customHeight="1" s="631">
      <c r="A163" s="101" t="n">
        <v>131</v>
      </c>
      <c r="B163" s="144">
        <f>IF(INDEX(MO_SNA_IsHistoricalPeriod,,MATCH(F163,MO_Common_ColumnHeader,0)),"Historical","Forward")</f>
        <v/>
      </c>
      <c r="C163" s="652" t="n"/>
      <c r="D163" s="151">
        <f>INDEX(INDIRECT(E163),0,COLUMN(MO_Common_Column_A))</f>
        <v/>
      </c>
      <c r="E163" s="145" t="inlineStr">
        <is>
          <t>MO_MA_GM</t>
        </is>
      </c>
      <c r="F163" s="144" t="inlineStr">
        <is>
          <t>Q1-2022</t>
        </is>
      </c>
      <c r="G163" s="144" t="n"/>
      <c r="H163" s="652" t="n"/>
      <c r="I163" s="1352" t="n">
        <v>0.49</v>
      </c>
      <c r="J163" s="1352" t="n">
        <v>0.49</v>
      </c>
      <c r="K163" s="1352">
        <f>AVERAGE(I163:J163)</f>
        <v/>
      </c>
      <c r="L163" s="652" t="n"/>
      <c r="M163" s="144">
        <f>IF(INDEX(MO_SNA_IsHistoricalPeriod,,MATCH(F163,MO_Common_ColumnHeader,0)),"Actual","Estimate")</f>
        <v/>
      </c>
      <c r="N163" s="1352">
        <f>IFERROR(INDEX(INDIRECT(E163),0,MATCH(F163,MO_Common_ColumnHeader,0)),"N/A")</f>
        <v/>
      </c>
      <c r="O163" s="652" t="n"/>
      <c r="P163" s="153">
        <f>IF(ISNUMBER(N163),N163-K163,"N/A")</f>
        <v/>
      </c>
      <c r="Q163" s="153">
        <f>IFERROR(IF(ISNUMBER(N163),(N163-K163)/ABS(K163),"N/A"),"N/A")</f>
        <v/>
      </c>
      <c r="R163" s="652" t="n"/>
      <c r="S163" s="147" t="n">
        <v>44580</v>
      </c>
      <c r="T163" s="154" t="inlineStr">
        <is>
          <t>Investor Presentation</t>
        </is>
      </c>
      <c r="U163" s="652" t="n"/>
    </row>
    <row r="164" ht="15" customFormat="1" customHeight="1" s="631">
      <c r="A164" s="101" t="n">
        <v>130</v>
      </c>
      <c r="B164" s="144">
        <f>IF(INDEX(MO_SNA_IsHistoricalPeriod,,MATCH(F164,MO_Common_ColumnHeader,0)),"Historical","Forward")</f>
        <v/>
      </c>
      <c r="C164" s="652" t="n"/>
      <c r="D164" s="151" t="inlineStr">
        <is>
          <t>R&amp;D Expense</t>
        </is>
      </c>
      <c r="E164" s="145" t="inlineStr">
        <is>
          <t>MO_RIS_RD</t>
        </is>
      </c>
      <c r="F164" s="144" t="inlineStr">
        <is>
          <t>Q1-2022</t>
        </is>
      </c>
      <c r="G164" s="144" t="n"/>
      <c r="H164" s="652" t="n"/>
      <c r="I164" s="1637" t="n">
        <v>760</v>
      </c>
      <c r="J164" s="1637" t="n">
        <v>760</v>
      </c>
      <c r="K164" s="1637">
        <f>AVERAGE(I164:J164)</f>
        <v/>
      </c>
      <c r="L164" s="652" t="n"/>
      <c r="M164" s="144">
        <f>IF(INDEX(MO_SNA_IsHistoricalPeriod,,MATCH(F164,MO_Common_ColumnHeader,0)),"Actual","Estimate")</f>
        <v/>
      </c>
      <c r="N164" s="1637">
        <f>IFERROR(INDEX(INDIRECT(E164),0,MATCH(F164,MO_Common_ColumnHeader,0)),"N/A")</f>
        <v/>
      </c>
      <c r="O164" s="652" t="n"/>
      <c r="P164" s="2110">
        <f>IF(ISNUMBER(N164),N164-K164,"N/A")</f>
        <v/>
      </c>
      <c r="Q164" s="153">
        <f>IFERROR(IF(ISNUMBER(N164),(N164-K164)/ABS(K164),"N/A"),"N/A")</f>
        <v/>
      </c>
      <c r="R164" s="652" t="n"/>
      <c r="S164" s="147" t="n">
        <v>44580</v>
      </c>
      <c r="T164" s="154" t="inlineStr">
        <is>
          <t>Investor Presentation</t>
        </is>
      </c>
      <c r="U164" s="652" t="n"/>
    </row>
    <row r="165" ht="15" customFormat="1" customHeight="1" s="631">
      <c r="A165" s="101" t="n">
        <v>129</v>
      </c>
      <c r="B165" s="144">
        <f>IF(INDEX(MO_SNA_IsHistoricalPeriod,,MATCH(F165,MO_Common_ColumnHeader,0)),"Historical","Forward")</f>
        <v/>
      </c>
      <c r="C165" s="652" t="n"/>
      <c r="D165" s="151">
        <f>INDEX(INDIRECT(E165),0,COLUMN(MO_Common_Column_A))</f>
        <v/>
      </c>
      <c r="E165" s="145" t="inlineStr">
        <is>
          <t>MO_RIS_SGA</t>
        </is>
      </c>
      <c r="F165" s="144" t="inlineStr">
        <is>
          <t>Q1-2022</t>
        </is>
      </c>
      <c r="G165" s="144" t="n"/>
      <c r="H165" s="652" t="n"/>
      <c r="I165" s="1637" t="n">
        <v>210</v>
      </c>
      <c r="J165" s="1637" t="n">
        <v>210</v>
      </c>
      <c r="K165" s="1637">
        <f>AVERAGE(I165:J165)</f>
        <v/>
      </c>
      <c r="L165" s="652" t="n"/>
      <c r="M165" s="144">
        <f>IF(INDEX(MO_SNA_IsHistoricalPeriod,,MATCH(F165,MO_Common_ColumnHeader,0)),"Actual","Estimate")</f>
        <v/>
      </c>
      <c r="N165" s="1637">
        <f>IFERROR(INDEX(INDIRECT(E165),0,MATCH(F165,MO_Common_ColumnHeader,0)),"N/A")</f>
        <v/>
      </c>
      <c r="O165" s="652" t="n"/>
      <c r="P165" s="2110">
        <f>IF(ISNUMBER(N165),N165-K165,"N/A")</f>
        <v/>
      </c>
      <c r="Q165" s="153">
        <f>IFERROR(IF(ISNUMBER(N165),(N165-K165)/ABS(K165),"N/A"),"N/A")</f>
        <v/>
      </c>
      <c r="R165" s="652" t="n"/>
      <c r="S165" s="147" t="n">
        <v>44580</v>
      </c>
      <c r="T165" s="154" t="inlineStr">
        <is>
          <t>Investor Presentation</t>
        </is>
      </c>
      <c r="U165" s="652" t="n"/>
    </row>
    <row r="166" ht="15" customHeight="1" s="595">
      <c r="A166" s="101" t="n">
        <v>128</v>
      </c>
      <c r="B166" s="652" t="n"/>
      <c r="C166" s="652" t="n"/>
      <c r="D166" s="131" t="n"/>
      <c r="E166" s="653" t="n"/>
      <c r="F166" s="652" t="n"/>
      <c r="G166" s="652" t="n"/>
      <c r="H166" s="652" t="n"/>
      <c r="I166" s="1562" t="n"/>
      <c r="J166" s="1562" t="n"/>
      <c r="K166" s="1562" t="n"/>
      <c r="L166" s="652" t="n"/>
      <c r="M166" s="652" t="n"/>
      <c r="N166" s="1562" t="n"/>
      <c r="O166" s="652" t="n"/>
      <c r="P166" s="2111" t="n"/>
      <c r="Q166" s="271" t="n"/>
      <c r="R166" s="652" t="n"/>
      <c r="S166" s="136" t="n"/>
      <c r="T166" s="155" t="n"/>
      <c r="U166" s="652" t="n"/>
    </row>
    <row r="167" ht="15" customFormat="1" customHeight="1" s="631">
      <c r="A167" s="101" t="n">
        <v>127</v>
      </c>
      <c r="B167" s="144">
        <f>IF(INDEX(MO_SNA_IsHistoricalPeriod,,MATCH(F167,MO_Common_ColumnHeader,0)),"Historical","Forward")</f>
        <v/>
      </c>
      <c r="C167" s="652" t="n"/>
      <c r="D167" s="151">
        <f>INDEX(INDIRECT(E167),0,COLUMN(MO_Common_Column_A))</f>
        <v/>
      </c>
      <c r="E167" s="145" t="inlineStr">
        <is>
          <t>MO_GA_TotalRevenue</t>
        </is>
      </c>
      <c r="F167" s="144" t="inlineStr">
        <is>
          <t>FY2021</t>
        </is>
      </c>
      <c r="G167" s="144" t="n"/>
      <c r="H167" s="652" t="n"/>
      <c r="I167" s="1352" t="n">
        <v>0.35</v>
      </c>
      <c r="J167" s="1352" t="n">
        <v>0.35</v>
      </c>
      <c r="K167" s="1352">
        <f>AVERAGE(I167:J167)</f>
        <v/>
      </c>
      <c r="L167" s="652" t="n"/>
      <c r="M167" s="144">
        <f>IF(INDEX(MO_SNA_IsHistoricalPeriod,,MATCH(F167,MO_Common_ColumnHeader,0)),"Actual","Estimate")</f>
        <v/>
      </c>
      <c r="N167" s="1352">
        <f>IFERROR(INDEX(INDIRECT(E167),0,MATCH(F167,MO_Common_ColumnHeader,0)),"N/A")</f>
        <v/>
      </c>
      <c r="O167" s="652" t="n"/>
      <c r="P167" s="153">
        <f>IF(ISNUMBER(N167),N167-K167,"N/A")</f>
        <v/>
      </c>
      <c r="Q167" s="153">
        <f>IFERROR(IF(ISNUMBER(N167),(N167-K167)/ABS(K167),"N/A"),"N/A")</f>
        <v/>
      </c>
      <c r="R167" s="652" t="n"/>
      <c r="S167" s="147" t="n">
        <v>44488</v>
      </c>
      <c r="T167" s="154" t="inlineStr">
        <is>
          <t>Investor Presentation</t>
        </is>
      </c>
      <c r="U167" s="652" t="n"/>
    </row>
    <row r="168" ht="15" customHeight="1" s="595">
      <c r="A168" s="101" t="n">
        <v>126</v>
      </c>
      <c r="B168" s="144">
        <f>IF(INDEX(MO_SNA_IsHistoricalPeriod,,MATCH(F168,MO_Common_ColumnHeader,0)),"Historical","Forward")</f>
        <v/>
      </c>
      <c r="C168" s="652" t="n"/>
      <c r="D168" s="151" t="inlineStr">
        <is>
          <t>Effective tax rate</t>
        </is>
      </c>
      <c r="E168" s="145" t="n"/>
      <c r="F168" s="144" t="inlineStr">
        <is>
          <t>FY2021</t>
        </is>
      </c>
      <c r="G168" s="144" t="n"/>
      <c r="H168" s="652" t="n"/>
      <c r="I168" s="1352" t="n">
        <v>0.15</v>
      </c>
      <c r="J168" s="1352" t="n">
        <v>0.15</v>
      </c>
      <c r="K168" s="1352">
        <f>AVERAGE(I168:J168)</f>
        <v/>
      </c>
      <c r="L168" s="652" t="n"/>
      <c r="M168" s="144">
        <f>IF(INDEX(MO_SNA_IsHistoricalPeriod,,MATCH(F168,MO_Common_ColumnHeader,0)),"Actual","Estimate")</f>
        <v/>
      </c>
      <c r="N168" s="1352">
        <f>INDEX(MO_RIS_TaxRate_Current,0,MATCH(F168,MO_Common_ColumnHeader,0))+INDEX(MO_RIS_TaxRate_Deferred,0,MATCH(F168,MO_Common_ColumnHeader,0))</f>
        <v/>
      </c>
      <c r="O168" s="652" t="n"/>
      <c r="P168" s="153">
        <f>IF(ISNUMBER(N168),N168-K168,"N/A")</f>
        <v/>
      </c>
      <c r="Q168" s="153">
        <f>IFERROR(IF(ISNUMBER(N168),(N168-K168)/ABS(K168),"N/A"),"N/A")</f>
        <v/>
      </c>
      <c r="R168" s="652" t="n"/>
      <c r="S168" s="147" t="n">
        <v>44488</v>
      </c>
      <c r="T168" s="154" t="inlineStr">
        <is>
          <t>Investor Presentation</t>
        </is>
      </c>
      <c r="U168" s="652" t="n"/>
    </row>
    <row r="169" ht="15" customHeight="1" s="595">
      <c r="A169" s="101" t="n">
        <v>125</v>
      </c>
      <c r="B169" s="652" t="n"/>
      <c r="C169" s="652" t="n"/>
      <c r="D169" s="131" t="n"/>
      <c r="E169" s="653" t="n"/>
      <c r="F169" s="652" t="n"/>
      <c r="G169" s="652" t="n"/>
      <c r="H169" s="652" t="n"/>
      <c r="I169" s="1562" t="n"/>
      <c r="J169" s="1562" t="n"/>
      <c r="K169" s="1562" t="n"/>
      <c r="L169" s="652" t="n"/>
      <c r="M169" s="652" t="n"/>
      <c r="N169" s="1562" t="n"/>
      <c r="O169" s="652" t="n"/>
      <c r="P169" s="2111" t="n"/>
      <c r="Q169" s="271" t="n"/>
      <c r="R169" s="652" t="n"/>
      <c r="S169" s="136" t="n"/>
      <c r="T169" s="155" t="n"/>
      <c r="U169" s="652" t="n"/>
    </row>
    <row r="170" ht="15" customFormat="1" customHeight="1" s="631">
      <c r="A170" s="101" t="n">
        <v>124</v>
      </c>
      <c r="B170" s="144">
        <f>IF(INDEX(MO_SNA_IsHistoricalPeriod,,MATCH(F170,MO_Common_ColumnHeader,0)),"Historical","Forward")</f>
        <v/>
      </c>
      <c r="C170" s="652" t="n"/>
      <c r="D170" s="151">
        <f>INDEX(INDIRECT(E170),0,COLUMN(MO_Common_Column_A))</f>
        <v/>
      </c>
      <c r="E170" s="145" t="inlineStr">
        <is>
          <t>MO_RIS_REV</t>
        </is>
      </c>
      <c r="F170" s="144" t="inlineStr">
        <is>
          <t>Q4-2021</t>
        </is>
      </c>
      <c r="G170" s="144" t="n"/>
      <c r="H170" s="652" t="n"/>
      <c r="I170" s="1637" t="n">
        <v>4900</v>
      </c>
      <c r="J170" s="1637" t="n">
        <v>5200</v>
      </c>
      <c r="K170" s="1637">
        <f>AVERAGE(I170:J170)</f>
        <v/>
      </c>
      <c r="L170" s="652" t="n"/>
      <c r="M170" s="144">
        <f>IF(INDEX(MO_SNA_IsHistoricalPeriod,,MATCH(F170,MO_Common_ColumnHeader,0)),"Actual","Estimate")</f>
        <v/>
      </c>
      <c r="N170" s="1637">
        <f>IFERROR(INDEX(INDIRECT(E170),0,MATCH(F170,MO_Common_ColumnHeader,0)),"N/A")</f>
        <v/>
      </c>
      <c r="O170" s="652" t="n"/>
      <c r="P170" s="2110">
        <f>IF(ISNUMBER(N170),N170-K170,"N/A")</f>
        <v/>
      </c>
      <c r="Q170" s="153">
        <f>IFERROR(IF(ISNUMBER(N170),(N170-K170)/ABS(K170),"N/A"),"N/A")</f>
        <v/>
      </c>
      <c r="R170" s="652" t="n"/>
      <c r="S170" s="147" t="n">
        <v>44488</v>
      </c>
      <c r="T170" s="154" t="inlineStr">
        <is>
          <t>Investor Presentation</t>
        </is>
      </c>
      <c r="U170" s="652" t="n"/>
    </row>
    <row r="171" ht="15" customFormat="1" customHeight="1" s="631">
      <c r="A171" s="101" t="n">
        <v>123</v>
      </c>
      <c r="B171" s="144">
        <f>IF(INDEX(MO_SNA_IsHistoricalPeriod,,MATCH(F171,MO_Common_ColumnHeader,0)),"Historical","Forward")</f>
        <v/>
      </c>
      <c r="C171" s="652" t="n"/>
      <c r="D171" s="151" t="inlineStr">
        <is>
          <t>Installed Base Management sales</t>
        </is>
      </c>
      <c r="E171" s="145" t="inlineStr">
        <is>
          <t>z_I9KH3H0125_MO_OS_Netserviceandfieldoptionsales</t>
        </is>
      </c>
      <c r="F171" s="144" t="inlineStr">
        <is>
          <t>Q4-2021</t>
        </is>
      </c>
      <c r="G171" s="144" t="n"/>
      <c r="H171" s="652" t="n"/>
      <c r="I171" s="1637" t="n">
        <v>1100</v>
      </c>
      <c r="J171" s="1637" t="n">
        <v>1100</v>
      </c>
      <c r="K171" s="1637">
        <f>AVERAGE(I171:J171)</f>
        <v/>
      </c>
      <c r="L171" s="652" t="n"/>
      <c r="M171" s="144">
        <f>IF(INDEX(MO_SNA_IsHistoricalPeriod,,MATCH(F171,MO_Common_ColumnHeader,0)),"Actual","Estimate")</f>
        <v/>
      </c>
      <c r="N171" s="1637">
        <f>IFERROR(INDEX(INDIRECT(E171),0,MATCH(F171,MO_Common_ColumnHeader,0)),"N/A")</f>
        <v/>
      </c>
      <c r="O171" s="652" t="n"/>
      <c r="P171" s="2110">
        <f>IF(ISNUMBER(N171),N171-K171,"N/A")</f>
        <v/>
      </c>
      <c r="Q171" s="153">
        <f>IFERROR(IF(ISNUMBER(N171),(N171-K171)/ABS(K171),"N/A"),"N/A")</f>
        <v/>
      </c>
      <c r="R171" s="652" t="n"/>
      <c r="S171" s="147" t="n">
        <v>44488</v>
      </c>
      <c r="T171" s="154" t="inlineStr">
        <is>
          <t>Investor Presentation</t>
        </is>
      </c>
      <c r="U171" s="652" t="n"/>
    </row>
    <row r="172" ht="15" customFormat="1" customHeight="1" s="631">
      <c r="A172" s="101" t="n">
        <v>122</v>
      </c>
      <c r="B172" s="144">
        <f>IF(INDEX(MO_SNA_IsHistoricalPeriod,,MATCH(F172,MO_Common_ColumnHeader,0)),"Historical","Forward")</f>
        <v/>
      </c>
      <c r="C172" s="652" t="n"/>
      <c r="D172" s="151">
        <f>INDEX(INDIRECT(E172),0,COLUMN(MO_Common_Column_A))</f>
        <v/>
      </c>
      <c r="E172" s="145" t="inlineStr">
        <is>
          <t>MO_MA_GM</t>
        </is>
      </c>
      <c r="F172" s="144" t="inlineStr">
        <is>
          <t>Q4-2021</t>
        </is>
      </c>
      <c r="G172" s="144" t="n"/>
      <c r="H172" s="652" t="n"/>
      <c r="I172" s="1352" t="n">
        <v>0.51</v>
      </c>
      <c r="J172" s="1352" t="n">
        <v>0.52</v>
      </c>
      <c r="K172" s="1352">
        <f>AVERAGE(I172:J172)</f>
        <v/>
      </c>
      <c r="L172" s="652" t="n"/>
      <c r="M172" s="144">
        <f>IF(INDEX(MO_SNA_IsHistoricalPeriod,,MATCH(F172,MO_Common_ColumnHeader,0)),"Actual","Estimate")</f>
        <v/>
      </c>
      <c r="N172" s="1352">
        <f>IFERROR(INDEX(INDIRECT(E172),0,MATCH(F172,MO_Common_ColumnHeader,0)),"N/A")</f>
        <v/>
      </c>
      <c r="O172" s="652" t="n"/>
      <c r="P172" s="153">
        <f>IF(ISNUMBER(N172),N172-K172,"N/A")</f>
        <v/>
      </c>
      <c r="Q172" s="153">
        <f>IFERROR(IF(ISNUMBER(N172),(N172-K172)/ABS(K172),"N/A"),"N/A")</f>
        <v/>
      </c>
      <c r="R172" s="652" t="n"/>
      <c r="S172" s="147" t="n">
        <v>44488</v>
      </c>
      <c r="T172" s="154" t="inlineStr">
        <is>
          <t>Investor Presentation</t>
        </is>
      </c>
      <c r="U172" s="652" t="n"/>
    </row>
    <row r="173" ht="15" customFormat="1" customHeight="1" s="631">
      <c r="A173" s="101" t="n">
        <v>121</v>
      </c>
      <c r="B173" s="144">
        <f>IF(INDEX(MO_SNA_IsHistoricalPeriod,,MATCH(F173,MO_Common_ColumnHeader,0)),"Historical","Forward")</f>
        <v/>
      </c>
      <c r="C173" s="652" t="n"/>
      <c r="D173" s="151" t="inlineStr">
        <is>
          <t>R&amp;D Expense</t>
        </is>
      </c>
      <c r="E173" s="145" t="inlineStr">
        <is>
          <t>MO_RIS_RD</t>
        </is>
      </c>
      <c r="F173" s="144" t="inlineStr">
        <is>
          <t>Q4-2021</t>
        </is>
      </c>
      <c r="G173" s="144" t="n"/>
      <c r="H173" s="652" t="n"/>
      <c r="I173" s="1637" t="n">
        <v>670</v>
      </c>
      <c r="J173" s="1637" t="n">
        <v>670</v>
      </c>
      <c r="K173" s="1637">
        <f>AVERAGE(I173:J173)</f>
        <v/>
      </c>
      <c r="L173" s="652" t="n"/>
      <c r="M173" s="144">
        <f>IF(INDEX(MO_SNA_IsHistoricalPeriod,,MATCH(F173,MO_Common_ColumnHeader,0)),"Actual","Estimate")</f>
        <v/>
      </c>
      <c r="N173" s="1637">
        <f>IFERROR(INDEX(INDIRECT(E173),0,MATCH(F173,MO_Common_ColumnHeader,0)),"N/A")</f>
        <v/>
      </c>
      <c r="O173" s="652" t="n"/>
      <c r="P173" s="2110">
        <f>IF(ISNUMBER(N173),N173-K173,"N/A")</f>
        <v/>
      </c>
      <c r="Q173" s="153">
        <f>IFERROR(IF(ISNUMBER(N173),(N173-K173)/ABS(K173),"N/A"),"N/A")</f>
        <v/>
      </c>
      <c r="R173" s="652" t="n"/>
      <c r="S173" s="147" t="n">
        <v>44488</v>
      </c>
      <c r="T173" s="154" t="inlineStr">
        <is>
          <t>Investor Presentation</t>
        </is>
      </c>
      <c r="U173" s="652" t="n"/>
    </row>
    <row r="174" ht="15" customFormat="1" customHeight="1" s="631">
      <c r="A174" s="101" t="n">
        <v>120</v>
      </c>
      <c r="B174" s="144">
        <f>IF(INDEX(MO_SNA_IsHistoricalPeriod,,MATCH(F174,MO_Common_ColumnHeader,0)),"Historical","Forward")</f>
        <v/>
      </c>
      <c r="C174" s="652" t="n"/>
      <c r="D174" s="151">
        <f>INDEX(INDIRECT(E174),0,COLUMN(MO_Common_Column_A))</f>
        <v/>
      </c>
      <c r="E174" s="145" t="inlineStr">
        <is>
          <t>MO_RIS_SGA</t>
        </is>
      </c>
      <c r="F174" s="144" t="inlineStr">
        <is>
          <t>Q4-2021</t>
        </is>
      </c>
      <c r="G174" s="144" t="n"/>
      <c r="H174" s="652" t="n"/>
      <c r="I174" s="1637" t="n">
        <v>195</v>
      </c>
      <c r="J174" s="1637" t="n">
        <v>195</v>
      </c>
      <c r="K174" s="1637">
        <f>AVERAGE(I174:J174)</f>
        <v/>
      </c>
      <c r="L174" s="652" t="n"/>
      <c r="M174" s="144">
        <f>IF(INDEX(MO_SNA_IsHistoricalPeriod,,MATCH(F174,MO_Common_ColumnHeader,0)),"Actual","Estimate")</f>
        <v/>
      </c>
      <c r="N174" s="1637">
        <f>IFERROR(INDEX(INDIRECT(E174),0,MATCH(F174,MO_Common_ColumnHeader,0)),"N/A")</f>
        <v/>
      </c>
      <c r="O174" s="652" t="n"/>
      <c r="P174" s="2110">
        <f>IF(ISNUMBER(N174),N174-K174,"N/A")</f>
        <v/>
      </c>
      <c r="Q174" s="153">
        <f>IFERROR(IF(ISNUMBER(N174),(N174-K174)/ABS(K174),"N/A"),"N/A")</f>
        <v/>
      </c>
      <c r="R174" s="652" t="n"/>
      <c r="S174" s="147" t="n">
        <v>44488</v>
      </c>
      <c r="T174" s="154" t="inlineStr">
        <is>
          <t>Investor Presentation</t>
        </is>
      </c>
      <c r="U174" s="652" t="n"/>
    </row>
    <row r="175" ht="15" customHeight="1" s="595">
      <c r="A175" s="101" t="n">
        <v>119</v>
      </c>
      <c r="B175" s="652" t="n"/>
      <c r="C175" s="652" t="n"/>
      <c r="D175" s="131" t="n"/>
      <c r="E175" s="653" t="n"/>
      <c r="F175" s="652" t="n"/>
      <c r="G175" s="652" t="n"/>
      <c r="H175" s="652" t="n"/>
      <c r="I175" s="1562" t="n"/>
      <c r="J175" s="1562" t="n"/>
      <c r="K175" s="1562" t="n"/>
      <c r="L175" s="652" t="n"/>
      <c r="M175" s="652" t="n"/>
      <c r="N175" s="1562" t="n"/>
      <c r="O175" s="652" t="n"/>
      <c r="P175" s="2111" t="n"/>
      <c r="Q175" s="271" t="n"/>
      <c r="R175" s="652" t="n"/>
      <c r="S175" s="136" t="n"/>
      <c r="T175" s="155" t="n"/>
      <c r="U175" s="652" t="n"/>
    </row>
    <row r="176" ht="15" customFormat="1" customHeight="1" s="631">
      <c r="A176" s="101" t="n">
        <v>118</v>
      </c>
      <c r="B176" s="144">
        <f>IF(INDEX(MO_SNA_IsHistoricalPeriod,,MATCH(F176,MO_Common_ColumnHeader,0)),"Historical","Forward")</f>
        <v/>
      </c>
      <c r="C176" s="652" t="n"/>
      <c r="D176" s="151">
        <f>INDEX(INDIRECT(E176),0,COLUMN(MO_Common_Column_A))</f>
        <v/>
      </c>
      <c r="E176" s="145" t="inlineStr">
        <is>
          <t>MO_GA_TotalRevenue</t>
        </is>
      </c>
      <c r="F176" s="144" t="inlineStr">
        <is>
          <t>FY2021</t>
        </is>
      </c>
      <c r="G176" s="144" t="n"/>
      <c r="H176" s="652" t="n"/>
      <c r="I176" s="1352" t="n">
        <v>0.35</v>
      </c>
      <c r="J176" s="1352" t="n">
        <v>0.35</v>
      </c>
      <c r="K176" s="1352">
        <f>AVERAGE(I176:J176)</f>
        <v/>
      </c>
      <c r="L176" s="652" t="n"/>
      <c r="M176" s="144">
        <f>IF(INDEX(MO_SNA_IsHistoricalPeriod,,MATCH(F176,MO_Common_ColumnHeader,0)),"Actual","Estimate")</f>
        <v/>
      </c>
      <c r="N176" s="1352">
        <f>IFERROR(INDEX(INDIRECT(E176),0,MATCH(F176,MO_Common_ColumnHeader,0)),"N/A")</f>
        <v/>
      </c>
      <c r="O176" s="652" t="n"/>
      <c r="P176" s="153">
        <f>IF(ISNUMBER(N176),N176-K176,"N/A")</f>
        <v/>
      </c>
      <c r="Q176" s="153">
        <f>IFERROR(IF(ISNUMBER(N176),(N176-K176)/ABS(K176),"N/A"),"N/A")</f>
        <v/>
      </c>
      <c r="R176" s="652" t="n"/>
      <c r="S176" s="147" t="n">
        <v>44397</v>
      </c>
      <c r="T176" s="154" t="inlineStr">
        <is>
          <t>Investor Presentation</t>
        </is>
      </c>
      <c r="U176" s="652" t="n"/>
    </row>
    <row r="177" ht="15" customFormat="1" customHeight="1" s="631">
      <c r="A177" s="101" t="n">
        <v>117</v>
      </c>
      <c r="B177" s="144">
        <f>IF(INDEX(MO_SNA_IsHistoricalPeriod,,MATCH(F177,MO_Common_ColumnHeader,0)),"Historical","Forward")</f>
        <v/>
      </c>
      <c r="C177" s="652" t="n"/>
      <c r="D177" s="151">
        <f>INDEX(INDIRECT(E177),0,COLUMN(MO_Common_Column_A))</f>
        <v/>
      </c>
      <c r="E177" s="145" t="inlineStr">
        <is>
          <t>MO_MA_GM</t>
        </is>
      </c>
      <c r="F177" s="144" t="inlineStr">
        <is>
          <t>FY2021</t>
        </is>
      </c>
      <c r="G177" s="144" t="n"/>
      <c r="H177" s="652" t="n"/>
      <c r="I177" s="1352" t="n">
        <v>0.51</v>
      </c>
      <c r="J177" s="1352" t="n">
        <v>0.52</v>
      </c>
      <c r="K177" s="1352">
        <f>AVERAGE(I177:J177)</f>
        <v/>
      </c>
      <c r="L177" s="652" t="n"/>
      <c r="M177" s="144">
        <f>IF(INDEX(MO_SNA_IsHistoricalPeriod,,MATCH(F177,MO_Common_ColumnHeader,0)),"Actual","Estimate")</f>
        <v/>
      </c>
      <c r="N177" s="1352">
        <f>IFERROR(INDEX(INDIRECT(E177),0,MATCH(F177,MO_Common_ColumnHeader,0)),"N/A")</f>
        <v/>
      </c>
      <c r="O177" s="652" t="n"/>
      <c r="P177" s="153">
        <f>IF(ISNUMBER(N177),N177-K177,"N/A")</f>
        <v/>
      </c>
      <c r="Q177" s="153">
        <f>IFERROR(IF(ISNUMBER(N177),(N177-K177)/ABS(K177),"N/A"),"N/A")</f>
        <v/>
      </c>
      <c r="R177" s="652" t="n"/>
      <c r="S177" s="147" t="n">
        <v>44397</v>
      </c>
      <c r="T177" s="154" t="inlineStr">
        <is>
          <t>Investor Presentation</t>
        </is>
      </c>
      <c r="U177" s="652" t="n"/>
    </row>
    <row r="178" ht="15" customHeight="1" s="595">
      <c r="A178" s="101" t="n">
        <v>116</v>
      </c>
      <c r="B178" s="144">
        <f>IF(INDEX(MO_SNA_IsHistoricalPeriod,,MATCH(F178,MO_Common_ColumnHeader,0)),"Historical","Forward")</f>
        <v/>
      </c>
      <c r="C178" s="652" t="n"/>
      <c r="D178" s="151" t="inlineStr">
        <is>
          <t>Effective tax rate</t>
        </is>
      </c>
      <c r="E178" s="145" t="n"/>
      <c r="F178" s="144" t="inlineStr">
        <is>
          <t>FY2021</t>
        </is>
      </c>
      <c r="G178" s="144" t="n"/>
      <c r="H178" s="652" t="n"/>
      <c r="I178" s="1352" t="n">
        <v>0.15</v>
      </c>
      <c r="J178" s="1352" t="n">
        <v>0.15</v>
      </c>
      <c r="K178" s="1352">
        <f>AVERAGE(I178:J178)</f>
        <v/>
      </c>
      <c r="L178" s="652" t="n"/>
      <c r="M178" s="144">
        <f>IF(INDEX(MO_SNA_IsHistoricalPeriod,,MATCH(F178,MO_Common_ColumnHeader,0)),"Actual","Estimate")</f>
        <v/>
      </c>
      <c r="N178" s="1352">
        <f>INDEX(MO_RIS_TaxRate_Current,0,MATCH(F178,MO_Common_ColumnHeader,0))+INDEX(MO_RIS_TaxRate_Deferred,0,MATCH(F178,MO_Common_ColumnHeader,0))</f>
        <v/>
      </c>
      <c r="O178" s="652" t="n"/>
      <c r="P178" s="153">
        <f>IF(ISNUMBER(N178),N178-K178,"N/A")</f>
        <v/>
      </c>
      <c r="Q178" s="153">
        <f>IFERROR(IF(ISNUMBER(N178),(N178-K178)/ABS(K178),"N/A"),"N/A")</f>
        <v/>
      </c>
      <c r="R178" s="652" t="n"/>
      <c r="S178" s="147" t="n">
        <v>44397</v>
      </c>
      <c r="T178" s="154" t="inlineStr">
        <is>
          <t>Investor Presentation</t>
        </is>
      </c>
      <c r="U178" s="652" t="n"/>
    </row>
    <row r="179" ht="15" customHeight="1" s="595">
      <c r="A179" s="101" t="n">
        <v>115</v>
      </c>
      <c r="B179" s="652" t="n"/>
      <c r="C179" s="652" t="n"/>
      <c r="D179" s="131" t="n"/>
      <c r="E179" s="653" t="n"/>
      <c r="F179" s="652" t="n"/>
      <c r="G179" s="652" t="n"/>
      <c r="H179" s="652" t="n"/>
      <c r="I179" s="1562" t="n"/>
      <c r="J179" s="1562" t="n"/>
      <c r="K179" s="1562" t="n"/>
      <c r="L179" s="652" t="n"/>
      <c r="M179" s="652" t="n"/>
      <c r="N179" s="1562" t="n"/>
      <c r="O179" s="652" t="n"/>
      <c r="P179" s="2111" t="n"/>
      <c r="Q179" s="271" t="n"/>
      <c r="R179" s="652" t="n"/>
      <c r="S179" s="136" t="n"/>
      <c r="T179" s="155" t="n"/>
      <c r="U179" s="652" t="n"/>
    </row>
    <row r="180" ht="15" customFormat="1" customHeight="1" s="631">
      <c r="A180" s="101" t="n">
        <v>114</v>
      </c>
      <c r="B180" s="144">
        <f>IF(INDEX(MO_SNA_IsHistoricalPeriod,,MATCH(F180,MO_Common_ColumnHeader,0)),"Historical","Forward")</f>
        <v/>
      </c>
      <c r="C180" s="652" t="n"/>
      <c r="D180" s="151">
        <f>INDEX(INDIRECT(E180),0,COLUMN(MO_Common_Column_A))</f>
        <v/>
      </c>
      <c r="E180" s="145" t="inlineStr">
        <is>
          <t>MO_RIS_REV</t>
        </is>
      </c>
      <c r="F180" s="144" t="inlineStr">
        <is>
          <t>Q3-2021</t>
        </is>
      </c>
      <c r="G180" s="144" t="n"/>
      <c r="H180" s="652" t="n"/>
      <c r="I180" s="1637" t="n">
        <v>5200</v>
      </c>
      <c r="J180" s="1637" t="n">
        <v>5400</v>
      </c>
      <c r="K180" s="1637">
        <f>AVERAGE(I180:J180)</f>
        <v/>
      </c>
      <c r="L180" s="652" t="n"/>
      <c r="M180" s="144">
        <f>IF(INDEX(MO_SNA_IsHistoricalPeriod,,MATCH(F180,MO_Common_ColumnHeader,0)),"Actual","Estimate")</f>
        <v/>
      </c>
      <c r="N180" s="1637">
        <f>IFERROR(INDEX(INDIRECT(E180),0,MATCH(F180,MO_Common_ColumnHeader,0)),"N/A")</f>
        <v/>
      </c>
      <c r="O180" s="652" t="n"/>
      <c r="P180" s="2110">
        <f>IF(ISNUMBER(N180),N180-K180,"N/A")</f>
        <v/>
      </c>
      <c r="Q180" s="153">
        <f>IFERROR(IF(ISNUMBER(N180),(N180-K180)/ABS(K180),"N/A"),"N/A")</f>
        <v/>
      </c>
      <c r="R180" s="652" t="n"/>
      <c r="S180" s="147" t="n">
        <v>44397</v>
      </c>
      <c r="T180" s="154" t="inlineStr">
        <is>
          <t>Investor Presentation</t>
        </is>
      </c>
      <c r="U180" s="652" t="n"/>
    </row>
    <row r="181" ht="15" customFormat="1" customHeight="1" s="631">
      <c r="A181" s="101" t="n">
        <v>113</v>
      </c>
      <c r="B181" s="144">
        <f>IF(INDEX(MO_SNA_IsHistoricalPeriod,,MATCH(F181,MO_Common_ColumnHeader,0)),"Historical","Forward")</f>
        <v/>
      </c>
      <c r="C181" s="652" t="n"/>
      <c r="D181" s="151" t="inlineStr">
        <is>
          <t>Installed Base Management sales</t>
        </is>
      </c>
      <c r="E181" s="145" t="inlineStr">
        <is>
          <t>z_I9KH3H0125_MO_OS_Netserviceandfieldoptionsales</t>
        </is>
      </c>
      <c r="F181" s="144" t="inlineStr">
        <is>
          <t>Q3-2021</t>
        </is>
      </c>
      <c r="G181" s="144" t="n"/>
      <c r="H181" s="652" t="n"/>
      <c r="I181" s="1637" t="n">
        <v>1000</v>
      </c>
      <c r="J181" s="1637" t="n">
        <v>1000</v>
      </c>
      <c r="K181" s="1637">
        <f>AVERAGE(I181:J181)</f>
        <v/>
      </c>
      <c r="L181" s="652" t="n"/>
      <c r="M181" s="144">
        <f>IF(INDEX(MO_SNA_IsHistoricalPeriod,,MATCH(F181,MO_Common_ColumnHeader,0)),"Actual","Estimate")</f>
        <v/>
      </c>
      <c r="N181" s="1637">
        <f>IFERROR(INDEX(INDIRECT(E181),0,MATCH(F181,MO_Common_ColumnHeader,0)),"N/A")</f>
        <v/>
      </c>
      <c r="O181" s="652" t="n"/>
      <c r="P181" s="2110">
        <f>IF(ISNUMBER(N181),N181-K181,"N/A")</f>
        <v/>
      </c>
      <c r="Q181" s="153">
        <f>IFERROR(IF(ISNUMBER(N181),(N181-K181)/ABS(K181),"N/A"),"N/A")</f>
        <v/>
      </c>
      <c r="R181" s="652" t="n"/>
      <c r="S181" s="147" t="n">
        <v>44397</v>
      </c>
      <c r="T181" s="154" t="inlineStr">
        <is>
          <t>Investor Presentation</t>
        </is>
      </c>
      <c r="U181" s="652" t="n"/>
    </row>
    <row r="182" ht="15" customFormat="1" customHeight="1" s="631">
      <c r="A182" s="101" t="n">
        <v>112</v>
      </c>
      <c r="B182" s="144">
        <f>IF(INDEX(MO_SNA_IsHistoricalPeriod,,MATCH(F182,MO_Common_ColumnHeader,0)),"Historical","Forward")</f>
        <v/>
      </c>
      <c r="C182" s="652" t="n"/>
      <c r="D182" s="151">
        <f>INDEX(INDIRECT(E182),0,COLUMN(MO_Common_Column_A))</f>
        <v/>
      </c>
      <c r="E182" s="145" t="inlineStr">
        <is>
          <t>MO_MA_GM</t>
        </is>
      </c>
      <c r="F182" s="144" t="inlineStr">
        <is>
          <t>Q3-2021</t>
        </is>
      </c>
      <c r="G182" s="144" t="n"/>
      <c r="H182" s="652" t="n"/>
      <c r="I182" s="1352" t="n">
        <v>0.51</v>
      </c>
      <c r="J182" s="1352" t="n">
        <v>0.52</v>
      </c>
      <c r="K182" s="1352">
        <f>AVERAGE(I182:J182)</f>
        <v/>
      </c>
      <c r="L182" s="652" t="n"/>
      <c r="M182" s="144">
        <f>IF(INDEX(MO_SNA_IsHistoricalPeriod,,MATCH(F182,MO_Common_ColumnHeader,0)),"Actual","Estimate")</f>
        <v/>
      </c>
      <c r="N182" s="1352">
        <f>IFERROR(INDEX(INDIRECT(E182),0,MATCH(F182,MO_Common_ColumnHeader,0)),"N/A")</f>
        <v/>
      </c>
      <c r="O182" s="652" t="n"/>
      <c r="P182" s="153">
        <f>IF(ISNUMBER(N182),N182-K182,"N/A")</f>
        <v/>
      </c>
      <c r="Q182" s="153">
        <f>IFERROR(IF(ISNUMBER(N182),(N182-K182)/ABS(K182),"N/A"),"N/A")</f>
        <v/>
      </c>
      <c r="R182" s="652" t="n"/>
      <c r="S182" s="147" t="n">
        <v>44397</v>
      </c>
      <c r="T182" s="154" t="inlineStr">
        <is>
          <t>Investor Presentation</t>
        </is>
      </c>
      <c r="U182" s="652" t="n"/>
    </row>
    <row r="183" ht="15" customFormat="1" customHeight="1" s="631">
      <c r="A183" s="101" t="n">
        <v>111</v>
      </c>
      <c r="B183" s="144">
        <f>IF(INDEX(MO_SNA_IsHistoricalPeriod,,MATCH(F183,MO_Common_ColumnHeader,0)),"Historical","Forward")</f>
        <v/>
      </c>
      <c r="C183" s="652" t="n"/>
      <c r="D183" s="151" t="inlineStr">
        <is>
          <t>R&amp;D Expense</t>
        </is>
      </c>
      <c r="E183" s="145" t="inlineStr">
        <is>
          <t>MO_RIS_RD</t>
        </is>
      </c>
      <c r="F183" s="144" t="inlineStr">
        <is>
          <t>Q3-2021</t>
        </is>
      </c>
      <c r="G183" s="144" t="n"/>
      <c r="H183" s="652" t="n"/>
      <c r="I183" s="1637" t="n">
        <v>645</v>
      </c>
      <c r="J183" s="1637" t="n">
        <v>645</v>
      </c>
      <c r="K183" s="1637">
        <f>AVERAGE(I183:J183)</f>
        <v/>
      </c>
      <c r="L183" s="652" t="n"/>
      <c r="M183" s="144">
        <f>IF(INDEX(MO_SNA_IsHistoricalPeriod,,MATCH(F183,MO_Common_ColumnHeader,0)),"Actual","Estimate")</f>
        <v/>
      </c>
      <c r="N183" s="1637">
        <f>IFERROR(INDEX(INDIRECT(E183),0,MATCH(F183,MO_Common_ColumnHeader,0)),"N/A")</f>
        <v/>
      </c>
      <c r="O183" s="652" t="n"/>
      <c r="P183" s="2110">
        <f>IF(ISNUMBER(N183),N183-K183,"N/A")</f>
        <v/>
      </c>
      <c r="Q183" s="153">
        <f>IFERROR(IF(ISNUMBER(N183),(N183-K183)/ABS(K183),"N/A"),"N/A")</f>
        <v/>
      </c>
      <c r="R183" s="652" t="n"/>
      <c r="S183" s="147" t="n">
        <v>44397</v>
      </c>
      <c r="T183" s="154" t="inlineStr">
        <is>
          <t>Investor Presentation</t>
        </is>
      </c>
      <c r="U183" s="652" t="n"/>
    </row>
    <row r="184" ht="15" customFormat="1" customHeight="1" s="631">
      <c r="A184" s="101" t="n">
        <v>110</v>
      </c>
      <c r="B184" s="144">
        <f>IF(INDEX(MO_SNA_IsHistoricalPeriod,,MATCH(F184,MO_Common_ColumnHeader,0)),"Historical","Forward")</f>
        <v/>
      </c>
      <c r="C184" s="652" t="n"/>
      <c r="D184" s="151">
        <f>INDEX(INDIRECT(E184),0,COLUMN(MO_Common_Column_A))</f>
        <v/>
      </c>
      <c r="E184" s="145" t="inlineStr">
        <is>
          <t>MO_RIS_SGA</t>
        </is>
      </c>
      <c r="F184" s="144" t="inlineStr">
        <is>
          <t>Q3-2021</t>
        </is>
      </c>
      <c r="G184" s="144" t="n"/>
      <c r="H184" s="652" t="n"/>
      <c r="I184" s="1637" t="n">
        <v>180</v>
      </c>
      <c r="J184" s="1637" t="n">
        <v>180</v>
      </c>
      <c r="K184" s="1637">
        <f>AVERAGE(I184:J184)</f>
        <v/>
      </c>
      <c r="L184" s="652" t="n"/>
      <c r="M184" s="144">
        <f>IF(INDEX(MO_SNA_IsHistoricalPeriod,,MATCH(F184,MO_Common_ColumnHeader,0)),"Actual","Estimate")</f>
        <v/>
      </c>
      <c r="N184" s="1637">
        <f>IFERROR(INDEX(INDIRECT(E184),0,MATCH(F184,MO_Common_ColumnHeader,0)),"N/A")</f>
        <v/>
      </c>
      <c r="O184" s="652" t="n"/>
      <c r="P184" s="2110">
        <f>IF(ISNUMBER(N184),N184-K184,"N/A")</f>
        <v/>
      </c>
      <c r="Q184" s="153">
        <f>IFERROR(IF(ISNUMBER(N184),(N184-K184)/ABS(K184),"N/A"),"N/A")</f>
        <v/>
      </c>
      <c r="R184" s="652" t="n"/>
      <c r="S184" s="147" t="n">
        <v>44397</v>
      </c>
      <c r="T184" s="154" t="inlineStr">
        <is>
          <t>Investor Presentation</t>
        </is>
      </c>
      <c r="U184" s="652" t="n"/>
    </row>
    <row r="185" ht="15" customHeight="1" s="595">
      <c r="A185" s="101" t="n">
        <v>109</v>
      </c>
      <c r="B185" s="652" t="n"/>
      <c r="C185" s="652" t="n"/>
      <c r="D185" s="131" t="n"/>
      <c r="E185" s="653" t="n"/>
      <c r="F185" s="652" t="n"/>
      <c r="G185" s="652" t="n"/>
      <c r="H185" s="652" t="n"/>
      <c r="I185" s="1562" t="n"/>
      <c r="J185" s="1562" t="n"/>
      <c r="K185" s="1562" t="n"/>
      <c r="L185" s="652" t="n"/>
      <c r="M185" s="652" t="n"/>
      <c r="N185" s="1562" t="n"/>
      <c r="O185" s="652" t="n"/>
      <c r="P185" s="2111" t="n"/>
      <c r="Q185" s="271" t="n"/>
      <c r="R185" s="652" t="n"/>
      <c r="S185" s="136" t="n"/>
      <c r="T185" s="155" t="n"/>
      <c r="U185" s="652" t="n"/>
    </row>
    <row r="186" ht="15" customFormat="1" customHeight="1" s="631">
      <c r="A186" s="101" t="n">
        <v>108</v>
      </c>
      <c r="B186" s="144">
        <f>IF(INDEX(MO_SNA_IsHistoricalPeriod,,MATCH(F186,MO_Common_ColumnHeader,0)),"Historical","Forward")</f>
        <v/>
      </c>
      <c r="C186" s="652" t="n"/>
      <c r="D186" s="151">
        <f>INDEX(INDIRECT(E186),0,COLUMN(MO_Common_Column_A))</f>
        <v/>
      </c>
      <c r="E186" s="145" t="inlineStr">
        <is>
          <t>MO_GA_TotalRevenue</t>
        </is>
      </c>
      <c r="F186" s="144" t="inlineStr">
        <is>
          <t>FY2021</t>
        </is>
      </c>
      <c r="G186" s="144" t="n"/>
      <c r="H186" s="652" t="n"/>
      <c r="I186" s="1352" t="n">
        <v>0.3</v>
      </c>
      <c r="J186" s="1352" t="n">
        <v>0.3</v>
      </c>
      <c r="K186" s="1352">
        <f>AVERAGE(I186:J186)</f>
        <v/>
      </c>
      <c r="L186" s="652" t="n"/>
      <c r="M186" s="144">
        <f>IF(INDEX(MO_SNA_IsHistoricalPeriod,,MATCH(F186,MO_Common_ColumnHeader,0)),"Actual","Estimate")</f>
        <v/>
      </c>
      <c r="N186" s="1352">
        <f>IFERROR(INDEX(INDIRECT(E186),0,MATCH(F186,MO_Common_ColumnHeader,0)),"N/A")</f>
        <v/>
      </c>
      <c r="O186" s="652" t="n"/>
      <c r="P186" s="153">
        <f>IF(ISNUMBER(N186),N186-K186,"N/A")</f>
        <v/>
      </c>
      <c r="Q186" s="153">
        <f>IFERROR(IF(ISNUMBER(N186),(N186-K186)/ABS(K186),"N/A"),"N/A")</f>
        <v/>
      </c>
      <c r="R186" s="652" t="n"/>
      <c r="S186" s="147" t="n">
        <v>44306</v>
      </c>
      <c r="T186" s="154" t="inlineStr">
        <is>
          <t>Investor Presentation</t>
        </is>
      </c>
      <c r="U186" s="652" t="n"/>
    </row>
    <row r="187" ht="15" customFormat="1" customHeight="1" s="631">
      <c r="A187" s="101" t="n">
        <v>107</v>
      </c>
      <c r="B187" s="144">
        <f>IF(INDEX(MO_SNA_IsHistoricalPeriod,,MATCH(F187,MO_Common_ColumnHeader,0)),"Historical","Forward")</f>
        <v/>
      </c>
      <c r="C187" s="652" t="n"/>
      <c r="D187" s="151">
        <f>INDEX(INDIRECT(E187),0,COLUMN(MO_Common_Column_A))</f>
        <v/>
      </c>
      <c r="E187" s="145" t="inlineStr">
        <is>
          <t>MO_MA_GM</t>
        </is>
      </c>
      <c r="F187" s="144" t="inlineStr">
        <is>
          <t>FY2021</t>
        </is>
      </c>
      <c r="G187" s="144" t="n"/>
      <c r="H187" s="652" t="n"/>
      <c r="I187" s="1352" t="n">
        <v>0.51</v>
      </c>
      <c r="J187" s="1352" t="n">
        <v>0.52</v>
      </c>
      <c r="K187" s="1352">
        <f>AVERAGE(I187:J187)</f>
        <v/>
      </c>
      <c r="L187" s="652" t="n"/>
      <c r="M187" s="144">
        <f>IF(INDEX(MO_SNA_IsHistoricalPeriod,,MATCH(F187,MO_Common_ColumnHeader,0)),"Actual","Estimate")</f>
        <v/>
      </c>
      <c r="N187" s="1352">
        <f>IFERROR(INDEX(INDIRECT(E187),0,MATCH(F187,MO_Common_ColumnHeader,0)),"N/A")</f>
        <v/>
      </c>
      <c r="O187" s="652" t="n"/>
      <c r="P187" s="153">
        <f>IF(ISNUMBER(N187),N187-K187,"N/A")</f>
        <v/>
      </c>
      <c r="Q187" s="153">
        <f>IFERROR(IF(ISNUMBER(N187),(N187-K187)/ABS(K187),"N/A"),"N/A")</f>
        <v/>
      </c>
      <c r="R187" s="652" t="n"/>
      <c r="S187" s="147" t="n">
        <v>44306</v>
      </c>
      <c r="T187" s="154" t="inlineStr">
        <is>
          <t>Investor Presentation</t>
        </is>
      </c>
      <c r="U187" s="652" t="n"/>
    </row>
    <row r="188" ht="15" customHeight="1" s="595">
      <c r="A188" s="101" t="n">
        <v>106</v>
      </c>
      <c r="B188" s="144">
        <f>IF(INDEX(MO_SNA_IsHistoricalPeriod,,MATCH(F188,MO_Common_ColumnHeader,0)),"Historical","Forward")</f>
        <v/>
      </c>
      <c r="C188" s="652" t="n"/>
      <c r="D188" s="151" t="inlineStr">
        <is>
          <t>Effective tax rate</t>
        </is>
      </c>
      <c r="E188" s="145" t="n"/>
      <c r="F188" s="144" t="inlineStr">
        <is>
          <t>FY2021</t>
        </is>
      </c>
      <c r="G188" s="144" t="n"/>
      <c r="H188" s="652" t="n"/>
      <c r="I188" s="1352" t="n">
        <v>0.14</v>
      </c>
      <c r="J188" s="1352" t="n">
        <v>0.15</v>
      </c>
      <c r="K188" s="1352">
        <f>AVERAGE(I188:J188)</f>
        <v/>
      </c>
      <c r="L188" s="652" t="n"/>
      <c r="M188" s="144">
        <f>IF(INDEX(MO_SNA_IsHistoricalPeriod,,MATCH(F188,MO_Common_ColumnHeader,0)),"Actual","Estimate")</f>
        <v/>
      </c>
      <c r="N188" s="1352">
        <f>INDEX(MO_RIS_TaxRate_Current,0,MATCH(F188,MO_Common_ColumnHeader,0))+INDEX(MO_RIS_TaxRate_Deferred,0,MATCH(F188,MO_Common_ColumnHeader,0))</f>
        <v/>
      </c>
      <c r="O188" s="652" t="n"/>
      <c r="P188" s="153">
        <f>IF(ISNUMBER(N188),N188-K188,"N/A")</f>
        <v/>
      </c>
      <c r="Q188" s="153">
        <f>IFERROR(IF(ISNUMBER(N188),(N188-K188)/ABS(K188),"N/A"),"N/A")</f>
        <v/>
      </c>
      <c r="R188" s="652" t="n"/>
      <c r="S188" s="147" t="n">
        <v>44306</v>
      </c>
      <c r="T188" s="154" t="inlineStr">
        <is>
          <t>Investor Presentation</t>
        </is>
      </c>
      <c r="U188" s="652" t="n"/>
    </row>
    <row r="189" ht="15" customHeight="1" s="595">
      <c r="A189" s="101" t="n">
        <v>105</v>
      </c>
      <c r="B189" s="652" t="n"/>
      <c r="C189" s="652" t="n"/>
      <c r="D189" s="131" t="n"/>
      <c r="E189" s="653" t="n"/>
      <c r="F189" s="652" t="n"/>
      <c r="G189" s="652" t="n"/>
      <c r="H189" s="652" t="n"/>
      <c r="I189" s="1562" t="n"/>
      <c r="J189" s="1562" t="n"/>
      <c r="K189" s="1562" t="n"/>
      <c r="L189" s="652" t="n"/>
      <c r="M189" s="652" t="n"/>
      <c r="N189" s="1562" t="n"/>
      <c r="O189" s="652" t="n"/>
      <c r="P189" s="2111" t="n"/>
      <c r="Q189" s="271" t="n"/>
      <c r="R189" s="652" t="n"/>
      <c r="S189" s="136" t="n"/>
      <c r="T189" s="155" t="n"/>
      <c r="U189" s="652" t="n"/>
    </row>
    <row r="190" ht="15" customFormat="1" customHeight="1" s="631">
      <c r="A190" s="101" t="n">
        <v>104</v>
      </c>
      <c r="B190" s="144">
        <f>IF(INDEX(MO_SNA_IsHistoricalPeriod,,MATCH(F190,MO_Common_ColumnHeader,0)),"Historical","Forward")</f>
        <v/>
      </c>
      <c r="C190" s="652" t="n"/>
      <c r="D190" s="151">
        <f>INDEX(INDIRECT(E190),0,COLUMN(MO_Common_Column_A))</f>
        <v/>
      </c>
      <c r="E190" s="145" t="inlineStr">
        <is>
          <t>MO_RIS_REV</t>
        </is>
      </c>
      <c r="F190" s="144" t="inlineStr">
        <is>
          <t>Q2-2021</t>
        </is>
      </c>
      <c r="G190" s="144" t="n"/>
      <c r="H190" s="652" t="n"/>
      <c r="I190" s="1637" t="n">
        <v>4000</v>
      </c>
      <c r="J190" s="1637" t="n">
        <v>4100</v>
      </c>
      <c r="K190" s="1637">
        <f>AVERAGE(I190:J190)</f>
        <v/>
      </c>
      <c r="L190" s="652" t="n"/>
      <c r="M190" s="144">
        <f>IF(INDEX(MO_SNA_IsHistoricalPeriod,,MATCH(F190,MO_Common_ColumnHeader,0)),"Actual","Estimate")</f>
        <v/>
      </c>
      <c r="N190" s="1637">
        <f>IFERROR(INDEX(INDIRECT(E190),0,MATCH(F190,MO_Common_ColumnHeader,0)),"N/A")</f>
        <v/>
      </c>
      <c r="O190" s="652" t="n"/>
      <c r="P190" s="2110">
        <f>IF(ISNUMBER(N190),N190-K190,"N/A")</f>
        <v/>
      </c>
      <c r="Q190" s="153">
        <f>IFERROR(IF(ISNUMBER(N190),(N190-K190)/ABS(K190),"N/A"),"N/A")</f>
        <v/>
      </c>
      <c r="R190" s="652" t="n"/>
      <c r="S190" s="147" t="n">
        <v>44306</v>
      </c>
      <c r="T190" s="154" t="inlineStr">
        <is>
          <t>Investor Presentation</t>
        </is>
      </c>
      <c r="U190" s="652" t="n"/>
    </row>
    <row r="191" ht="15" customFormat="1" customHeight="1" s="631">
      <c r="A191" s="101" t="n">
        <v>103</v>
      </c>
      <c r="B191" s="144">
        <f>IF(INDEX(MO_SNA_IsHistoricalPeriod,,MATCH(F191,MO_Common_ColumnHeader,0)),"Historical","Forward")</f>
        <v/>
      </c>
      <c r="C191" s="652" t="n"/>
      <c r="D191" s="151" t="inlineStr">
        <is>
          <t>Installed Base Management sales</t>
        </is>
      </c>
      <c r="E191" s="145" t="inlineStr">
        <is>
          <t>z_I9KH3H0125_MO_OS_Netserviceandfieldoptionsales</t>
        </is>
      </c>
      <c r="F191" s="144" t="inlineStr">
        <is>
          <t>Q2-2021</t>
        </is>
      </c>
      <c r="G191" s="144" t="n"/>
      <c r="H191" s="652" t="n"/>
      <c r="I191" s="1637" t="n">
        <v>900</v>
      </c>
      <c r="J191" s="1637" t="n">
        <v>900</v>
      </c>
      <c r="K191" s="1637">
        <f>AVERAGE(I191:J191)</f>
        <v/>
      </c>
      <c r="L191" s="652" t="n"/>
      <c r="M191" s="144">
        <f>IF(INDEX(MO_SNA_IsHistoricalPeriod,,MATCH(F191,MO_Common_ColumnHeader,0)),"Actual","Estimate")</f>
        <v/>
      </c>
      <c r="N191" s="1637">
        <f>IFERROR(INDEX(INDIRECT(E191),0,MATCH(F191,MO_Common_ColumnHeader,0)),"N/A")</f>
        <v/>
      </c>
      <c r="O191" s="652" t="n"/>
      <c r="P191" s="2110">
        <f>IF(ISNUMBER(N191),N191-K191,"N/A")</f>
        <v/>
      </c>
      <c r="Q191" s="153">
        <f>IFERROR(IF(ISNUMBER(N191),(N191-K191)/ABS(K191),"N/A"),"N/A")</f>
        <v/>
      </c>
      <c r="R191" s="652" t="n"/>
      <c r="S191" s="147" t="n">
        <v>44306</v>
      </c>
      <c r="T191" s="154" t="inlineStr">
        <is>
          <t>Investor Presentation</t>
        </is>
      </c>
      <c r="U191" s="652" t="n"/>
    </row>
    <row r="192" ht="15" customFormat="1" customHeight="1" s="631">
      <c r="A192" s="101" t="n">
        <v>102</v>
      </c>
      <c r="B192" s="144">
        <f>IF(INDEX(MO_SNA_IsHistoricalPeriod,,MATCH(F192,MO_Common_ColumnHeader,0)),"Historical","Forward")</f>
        <v/>
      </c>
      <c r="C192" s="652" t="n"/>
      <c r="D192" s="151">
        <f>INDEX(INDIRECT(E192),0,COLUMN(MO_Common_Column_A))</f>
        <v/>
      </c>
      <c r="E192" s="145" t="inlineStr">
        <is>
          <t>MO_MA_GM</t>
        </is>
      </c>
      <c r="F192" s="144" t="inlineStr">
        <is>
          <t>Q2-2021</t>
        </is>
      </c>
      <c r="G192" s="144" t="n"/>
      <c r="H192" s="652" t="n"/>
      <c r="I192" s="1352" t="n">
        <v>0.49</v>
      </c>
      <c r="J192" s="1352" t="n">
        <v>0.49</v>
      </c>
      <c r="K192" s="1352">
        <f>AVERAGE(I192:J192)</f>
        <v/>
      </c>
      <c r="L192" s="652" t="n"/>
      <c r="M192" s="144">
        <f>IF(INDEX(MO_SNA_IsHistoricalPeriod,,MATCH(F192,MO_Common_ColumnHeader,0)),"Actual","Estimate")</f>
        <v/>
      </c>
      <c r="N192" s="1352">
        <f>IFERROR(INDEX(INDIRECT(E192),0,MATCH(F192,MO_Common_ColumnHeader,0)),"N/A")</f>
        <v/>
      </c>
      <c r="O192" s="652" t="n"/>
      <c r="P192" s="153">
        <f>IF(ISNUMBER(N192),N192-K192,"N/A")</f>
        <v/>
      </c>
      <c r="Q192" s="153">
        <f>IFERROR(IF(ISNUMBER(N192),(N192-K192)/ABS(K192),"N/A"),"N/A")</f>
        <v/>
      </c>
      <c r="R192" s="652" t="n"/>
      <c r="S192" s="147" t="n">
        <v>44306</v>
      </c>
      <c r="T192" s="154" t="inlineStr">
        <is>
          <t>Investor Presentation</t>
        </is>
      </c>
      <c r="U192" s="652" t="n"/>
    </row>
    <row r="193" ht="15" customFormat="1" customHeight="1" s="631">
      <c r="A193" s="101" t="n">
        <v>101</v>
      </c>
      <c r="B193" s="144">
        <f>IF(INDEX(MO_SNA_IsHistoricalPeriod,,MATCH(F193,MO_Common_ColumnHeader,0)),"Historical","Forward")</f>
        <v/>
      </c>
      <c r="C193" s="652" t="n"/>
      <c r="D193" s="151" t="inlineStr">
        <is>
          <t>R&amp;D Expense</t>
        </is>
      </c>
      <c r="E193" s="145" t="inlineStr">
        <is>
          <t>MO_RIS_RD</t>
        </is>
      </c>
      <c r="F193" s="144" t="inlineStr">
        <is>
          <t>Q2-2021</t>
        </is>
      </c>
      <c r="G193" s="144" t="n"/>
      <c r="H193" s="652" t="n"/>
      <c r="I193" s="1637" t="n">
        <v>650</v>
      </c>
      <c r="J193" s="1637" t="n">
        <v>650</v>
      </c>
      <c r="K193" s="1637">
        <f>AVERAGE(I193:J193)</f>
        <v/>
      </c>
      <c r="L193" s="652" t="n"/>
      <c r="M193" s="144">
        <f>IF(INDEX(MO_SNA_IsHistoricalPeriod,,MATCH(F193,MO_Common_ColumnHeader,0)),"Actual","Estimate")</f>
        <v/>
      </c>
      <c r="N193" s="1637">
        <f>IFERROR(INDEX(INDIRECT(E193),0,MATCH(F193,MO_Common_ColumnHeader,0)),"N/A")</f>
        <v/>
      </c>
      <c r="O193" s="652" t="n"/>
      <c r="P193" s="2110">
        <f>IF(ISNUMBER(N193),N193-K193,"N/A")</f>
        <v/>
      </c>
      <c r="Q193" s="153">
        <f>IFERROR(IF(ISNUMBER(N193),(N193-K193)/ABS(K193),"N/A"),"N/A")</f>
        <v/>
      </c>
      <c r="R193" s="652" t="n"/>
      <c r="S193" s="147" t="n">
        <v>44306</v>
      </c>
      <c r="T193" s="154" t="inlineStr">
        <is>
          <t>Investor Presentation</t>
        </is>
      </c>
      <c r="U193" s="652" t="n"/>
    </row>
    <row r="194" ht="15" customFormat="1" customHeight="1" s="631">
      <c r="A194" s="101" t="n">
        <v>100</v>
      </c>
      <c r="B194" s="144">
        <f>IF(INDEX(MO_SNA_IsHistoricalPeriod,,MATCH(F194,MO_Common_ColumnHeader,0)),"Historical","Forward")</f>
        <v/>
      </c>
      <c r="C194" s="652" t="n"/>
      <c r="D194" s="151">
        <f>INDEX(INDIRECT(E194),0,COLUMN(MO_Common_Column_A))</f>
        <v/>
      </c>
      <c r="E194" s="145" t="inlineStr">
        <is>
          <t>MO_RIS_SGA</t>
        </is>
      </c>
      <c r="F194" s="144" t="inlineStr">
        <is>
          <t>Q2-2021</t>
        </is>
      </c>
      <c r="G194" s="144" t="n"/>
      <c r="H194" s="652" t="n"/>
      <c r="I194" s="1637" t="n">
        <v>175</v>
      </c>
      <c r="J194" s="1637" t="n">
        <v>175</v>
      </c>
      <c r="K194" s="1637">
        <f>AVERAGE(I194:J194)</f>
        <v/>
      </c>
      <c r="L194" s="652" t="n"/>
      <c r="M194" s="144">
        <f>IF(INDEX(MO_SNA_IsHistoricalPeriod,,MATCH(F194,MO_Common_ColumnHeader,0)),"Actual","Estimate")</f>
        <v/>
      </c>
      <c r="N194" s="1637">
        <f>IFERROR(INDEX(INDIRECT(E194),0,MATCH(F194,MO_Common_ColumnHeader,0)),"N/A")</f>
        <v/>
      </c>
      <c r="O194" s="652" t="n"/>
      <c r="P194" s="2110">
        <f>IF(ISNUMBER(N194),N194-K194,"N/A")</f>
        <v/>
      </c>
      <c r="Q194" s="153">
        <f>IFERROR(IF(ISNUMBER(N194),(N194-K194)/ABS(K194),"N/A"),"N/A")</f>
        <v/>
      </c>
      <c r="R194" s="652" t="n"/>
      <c r="S194" s="147" t="n">
        <v>44306</v>
      </c>
      <c r="T194" s="154" t="inlineStr">
        <is>
          <t>Investor Presentation</t>
        </is>
      </c>
      <c r="U194" s="652" t="n"/>
    </row>
    <row r="195" ht="15" customHeight="1" s="595">
      <c r="A195" s="101" t="n">
        <v>99</v>
      </c>
      <c r="B195" s="652" t="n"/>
      <c r="C195" s="652" t="n"/>
      <c r="D195" s="131" t="n"/>
      <c r="E195" s="653" t="n"/>
      <c r="F195" s="652" t="n"/>
      <c r="G195" s="652" t="n"/>
      <c r="H195" s="652" t="n"/>
      <c r="I195" s="1562" t="n"/>
      <c r="J195" s="1562" t="n"/>
      <c r="K195" s="1562" t="n"/>
      <c r="L195" s="652" t="n"/>
      <c r="M195" s="652" t="n"/>
      <c r="N195" s="1562" t="n"/>
      <c r="O195" s="652" t="n"/>
      <c r="P195" s="2111" t="n"/>
      <c r="Q195" s="271" t="n"/>
      <c r="R195" s="652" t="n"/>
      <c r="S195" s="136" t="n"/>
      <c r="T195" s="155" t="n"/>
      <c r="U195" s="652" t="n"/>
    </row>
    <row r="196" ht="15" customHeight="1" s="595">
      <c r="A196" s="101" t="n">
        <v>98</v>
      </c>
      <c r="B196" s="144">
        <f>IF(INDEX(MO_SNA_IsHistoricalPeriod,,MATCH(F196,MO_Common_ColumnHeader,0)),"Historical","Forward")</f>
        <v/>
      </c>
      <c r="C196" s="652" t="n"/>
      <c r="D196" s="151" t="inlineStr">
        <is>
          <t>Effective tax rate</t>
        </is>
      </c>
      <c r="E196" s="145" t="n"/>
      <c r="F196" s="144" t="inlineStr">
        <is>
          <t>FY2021</t>
        </is>
      </c>
      <c r="G196" s="144" t="n"/>
      <c r="H196" s="652" t="n"/>
      <c r="I196" s="1352" t="n">
        <v>0.14</v>
      </c>
      <c r="J196" s="1352" t="n">
        <v>0.15</v>
      </c>
      <c r="K196" s="1352">
        <f>AVERAGE(I196:J196)</f>
        <v/>
      </c>
      <c r="L196" s="652" t="n"/>
      <c r="M196" s="144">
        <f>IF(INDEX(MO_SNA_IsHistoricalPeriod,,MATCH(F196,MO_Common_ColumnHeader,0)),"Actual","Estimate")</f>
        <v/>
      </c>
      <c r="N196" s="1352">
        <f>INDEX(MO_RIS_TaxRate_Current,0,MATCH(F196,MO_Common_ColumnHeader,0))+INDEX(MO_RIS_TaxRate_Deferred,0,MATCH(F196,MO_Common_ColumnHeader,0))</f>
        <v/>
      </c>
      <c r="O196" s="652" t="n"/>
      <c r="P196" s="153">
        <f>IF(ISNUMBER(N196),N196-K196,"N/A")</f>
        <v/>
      </c>
      <c r="Q196" s="153">
        <f>IFERROR(IF(ISNUMBER(N196),(N196-K196)/ABS(K196),"N/A"),"N/A")</f>
        <v/>
      </c>
      <c r="R196" s="652" t="n"/>
      <c r="S196" s="147" t="n">
        <v>44215</v>
      </c>
      <c r="T196" s="154" t="inlineStr">
        <is>
          <t>Investor Presentation</t>
        </is>
      </c>
      <c r="U196" s="652" t="n"/>
    </row>
    <row r="197" ht="15" customHeight="1" s="595">
      <c r="A197" s="101" t="n">
        <v>97</v>
      </c>
      <c r="B197" s="652" t="n"/>
      <c r="C197" s="652" t="n"/>
      <c r="D197" s="131" t="n"/>
      <c r="E197" s="653" t="n"/>
      <c r="F197" s="652" t="n"/>
      <c r="G197" s="652" t="n"/>
      <c r="H197" s="652" t="n"/>
      <c r="I197" s="1562" t="n"/>
      <c r="J197" s="1562" t="n"/>
      <c r="K197" s="1562" t="n"/>
      <c r="L197" s="652" t="n"/>
      <c r="M197" s="652" t="n"/>
      <c r="N197" s="1562" t="n"/>
      <c r="O197" s="652" t="n"/>
      <c r="P197" s="2111" t="n"/>
      <c r="Q197" s="271" t="n"/>
      <c r="R197" s="652" t="n"/>
      <c r="S197" s="136" t="n"/>
      <c r="T197" s="155" t="n"/>
      <c r="U197" s="652" t="n"/>
    </row>
    <row r="198" ht="15" customFormat="1" customHeight="1" s="631">
      <c r="A198" s="101" t="n">
        <v>96</v>
      </c>
      <c r="B198" s="144">
        <f>IF(INDEX(MO_SNA_IsHistoricalPeriod,,MATCH(F198,MO_Common_ColumnHeader,0)),"Historical","Forward")</f>
        <v/>
      </c>
      <c r="C198" s="652" t="n"/>
      <c r="D198" s="151">
        <f>INDEX(INDIRECT(E198),0,COLUMN(MO_Common_Column_A))</f>
        <v/>
      </c>
      <c r="E198" s="145" t="inlineStr">
        <is>
          <t>MO_RIS_REV</t>
        </is>
      </c>
      <c r="F198" s="144" t="inlineStr">
        <is>
          <t>Q1-2021</t>
        </is>
      </c>
      <c r="G198" s="144" t="n"/>
      <c r="H198" s="652" t="n"/>
      <c r="I198" s="1637" t="n">
        <v>3900</v>
      </c>
      <c r="J198" s="1637" t="n">
        <v>4100</v>
      </c>
      <c r="K198" s="1637">
        <f>AVERAGE(I198:J198)</f>
        <v/>
      </c>
      <c r="L198" s="652" t="n"/>
      <c r="M198" s="144">
        <f>IF(INDEX(MO_SNA_IsHistoricalPeriod,,MATCH(F198,MO_Common_ColumnHeader,0)),"Actual","Estimate")</f>
        <v/>
      </c>
      <c r="N198" s="1637">
        <f>IFERROR(INDEX(INDIRECT(E198),0,MATCH(F198,MO_Common_ColumnHeader,0)),"N/A")</f>
        <v/>
      </c>
      <c r="O198" s="652" t="n"/>
      <c r="P198" s="2110">
        <f>IF(ISNUMBER(N198),N198-K198,"N/A")</f>
        <v/>
      </c>
      <c r="Q198" s="153">
        <f>IFERROR(IF(ISNUMBER(N198),(N198-K198)/ABS(K198),"N/A"),"N/A")</f>
        <v/>
      </c>
      <c r="R198" s="652" t="n"/>
      <c r="S198" s="147" t="n">
        <v>44215</v>
      </c>
      <c r="T198" s="154" t="inlineStr">
        <is>
          <t>Investor Presentation</t>
        </is>
      </c>
      <c r="U198" s="652" t="n"/>
    </row>
    <row r="199" ht="15" customFormat="1" customHeight="1" s="631">
      <c r="A199" s="101" t="n">
        <v>95</v>
      </c>
      <c r="B199" s="144">
        <f>IF(INDEX(MO_SNA_IsHistoricalPeriod,,MATCH(F199,MO_Common_ColumnHeader,0)),"Historical","Forward")</f>
        <v/>
      </c>
      <c r="C199" s="652" t="n"/>
      <c r="D199" s="151" t="inlineStr">
        <is>
          <t>Installed Base Management sales</t>
        </is>
      </c>
      <c r="E199" s="145" t="inlineStr">
        <is>
          <t>z_I9KH3H0125_MO_OS_Netserviceandfieldoptionsales</t>
        </is>
      </c>
      <c r="F199" s="144" t="inlineStr">
        <is>
          <t>Q1-2021</t>
        </is>
      </c>
      <c r="G199" s="144" t="n"/>
      <c r="H199" s="652" t="n"/>
      <c r="I199" s="1637" t="n">
        <v>950</v>
      </c>
      <c r="J199" s="1637" t="n">
        <v>950</v>
      </c>
      <c r="K199" s="1637">
        <f>AVERAGE(I199:J199)</f>
        <v/>
      </c>
      <c r="L199" s="652" t="n"/>
      <c r="M199" s="144">
        <f>IF(INDEX(MO_SNA_IsHistoricalPeriod,,MATCH(F199,MO_Common_ColumnHeader,0)),"Actual","Estimate")</f>
        <v/>
      </c>
      <c r="N199" s="1637">
        <f>IFERROR(INDEX(INDIRECT(E199),0,MATCH(F199,MO_Common_ColumnHeader,0)),"N/A")</f>
        <v/>
      </c>
      <c r="O199" s="652" t="n"/>
      <c r="P199" s="2110">
        <f>IF(ISNUMBER(N199),N199-K199,"N/A")</f>
        <v/>
      </c>
      <c r="Q199" s="153">
        <f>IFERROR(IF(ISNUMBER(N199),(N199-K199)/ABS(K199),"N/A"),"N/A")</f>
        <v/>
      </c>
      <c r="R199" s="652" t="n"/>
      <c r="S199" s="147" t="n">
        <v>44215</v>
      </c>
      <c r="T199" s="154" t="inlineStr">
        <is>
          <t>Investor Presentation</t>
        </is>
      </c>
      <c r="U199" s="652" t="n"/>
    </row>
    <row r="200" ht="15" customFormat="1" customHeight="1" s="631">
      <c r="A200" s="101" t="n">
        <v>94</v>
      </c>
      <c r="B200" s="144">
        <f>IF(INDEX(MO_SNA_IsHistoricalPeriod,,MATCH(F200,MO_Common_ColumnHeader,0)),"Historical","Forward")</f>
        <v/>
      </c>
      <c r="C200" s="652" t="n"/>
      <c r="D200" s="151">
        <f>INDEX(INDIRECT(E200),0,COLUMN(MO_Common_Column_A))</f>
        <v/>
      </c>
      <c r="E200" s="145" t="inlineStr">
        <is>
          <t>MO_MA_GM</t>
        </is>
      </c>
      <c r="F200" s="144" t="inlineStr">
        <is>
          <t>Q1-2021</t>
        </is>
      </c>
      <c r="G200" s="144" t="n"/>
      <c r="H200" s="652" t="n"/>
      <c r="I200" s="1352" t="n">
        <v>0.5</v>
      </c>
      <c r="J200" s="1352" t="n">
        <v>0.51</v>
      </c>
      <c r="K200" s="1352">
        <f>AVERAGE(I200:J200)</f>
        <v/>
      </c>
      <c r="L200" s="652" t="n"/>
      <c r="M200" s="144">
        <f>IF(INDEX(MO_SNA_IsHistoricalPeriod,,MATCH(F200,MO_Common_ColumnHeader,0)),"Actual","Estimate")</f>
        <v/>
      </c>
      <c r="N200" s="1352">
        <f>IFERROR(INDEX(INDIRECT(E200),0,MATCH(F200,MO_Common_ColumnHeader,0)),"N/A")</f>
        <v/>
      </c>
      <c r="O200" s="652" t="n"/>
      <c r="P200" s="153">
        <f>IF(ISNUMBER(N200),N200-K200,"N/A")</f>
        <v/>
      </c>
      <c r="Q200" s="153">
        <f>IFERROR(IF(ISNUMBER(N200),(N200-K200)/ABS(K200),"N/A"),"N/A")</f>
        <v/>
      </c>
      <c r="R200" s="652" t="n"/>
      <c r="S200" s="147" t="n">
        <v>44215</v>
      </c>
      <c r="T200" s="154" t="inlineStr">
        <is>
          <t>Investor Presentation</t>
        </is>
      </c>
      <c r="U200" s="652" t="n"/>
    </row>
    <row r="201" ht="15" customFormat="1" customHeight="1" s="631">
      <c r="A201" s="101" t="n">
        <v>93</v>
      </c>
      <c r="B201" s="144">
        <f>IF(INDEX(MO_SNA_IsHistoricalPeriod,,MATCH(F201,MO_Common_ColumnHeader,0)),"Historical","Forward")</f>
        <v/>
      </c>
      <c r="C201" s="652" t="n"/>
      <c r="D201" s="151" t="inlineStr">
        <is>
          <t>R&amp;D Expense</t>
        </is>
      </c>
      <c r="E201" s="145" t="inlineStr">
        <is>
          <t>MO_RIS_RD</t>
        </is>
      </c>
      <c r="F201" s="144" t="inlineStr">
        <is>
          <t>Q1-2021</t>
        </is>
      </c>
      <c r="G201" s="144" t="n"/>
      <c r="H201" s="652" t="n"/>
      <c r="I201" s="1637" t="n">
        <v>620</v>
      </c>
      <c r="J201" s="1637" t="n">
        <v>620</v>
      </c>
      <c r="K201" s="1637">
        <f>AVERAGE(I201:J201)</f>
        <v/>
      </c>
      <c r="L201" s="652" t="n"/>
      <c r="M201" s="144">
        <f>IF(INDEX(MO_SNA_IsHistoricalPeriod,,MATCH(F201,MO_Common_ColumnHeader,0)),"Actual","Estimate")</f>
        <v/>
      </c>
      <c r="N201" s="1637">
        <f>IFERROR(INDEX(INDIRECT(E201),0,MATCH(F201,MO_Common_ColumnHeader,0)),"N/A")</f>
        <v/>
      </c>
      <c r="O201" s="652" t="n"/>
      <c r="P201" s="2110">
        <f>IF(ISNUMBER(N201),N201-K201,"N/A")</f>
        <v/>
      </c>
      <c r="Q201" s="153">
        <f>IFERROR(IF(ISNUMBER(N201),(N201-K201)/ABS(K201),"N/A"),"N/A")</f>
        <v/>
      </c>
      <c r="R201" s="652" t="n"/>
      <c r="S201" s="147" t="n">
        <v>44215</v>
      </c>
      <c r="T201" s="154" t="inlineStr">
        <is>
          <t>Investor Presentation</t>
        </is>
      </c>
      <c r="U201" s="652" t="n"/>
    </row>
    <row r="202" ht="15" customFormat="1" customHeight="1" s="631">
      <c r="A202" s="101" t="n">
        <v>92</v>
      </c>
      <c r="B202" s="144">
        <f>IF(INDEX(MO_SNA_IsHistoricalPeriod,,MATCH(F202,MO_Common_ColumnHeader,0)),"Historical","Forward")</f>
        <v/>
      </c>
      <c r="C202" s="652" t="n"/>
      <c r="D202" s="151">
        <f>INDEX(INDIRECT(E202),0,COLUMN(MO_Common_Column_A))</f>
        <v/>
      </c>
      <c r="E202" s="145" t="inlineStr">
        <is>
          <t>MO_RIS_SGA</t>
        </is>
      </c>
      <c r="F202" s="144" t="inlineStr">
        <is>
          <t>Q1-2021</t>
        </is>
      </c>
      <c r="G202" s="144" t="n"/>
      <c r="H202" s="652" t="n"/>
      <c r="I202" s="1637" t="n">
        <v>165</v>
      </c>
      <c r="J202" s="1637" t="n">
        <v>165</v>
      </c>
      <c r="K202" s="1637">
        <f>AVERAGE(I202:J202)</f>
        <v/>
      </c>
      <c r="L202" s="652" t="n"/>
      <c r="M202" s="144">
        <f>IF(INDEX(MO_SNA_IsHistoricalPeriod,,MATCH(F202,MO_Common_ColumnHeader,0)),"Actual","Estimate")</f>
        <v/>
      </c>
      <c r="N202" s="1637">
        <f>IFERROR(INDEX(INDIRECT(E202),0,MATCH(F202,MO_Common_ColumnHeader,0)),"N/A")</f>
        <v/>
      </c>
      <c r="O202" s="652" t="n"/>
      <c r="P202" s="2110">
        <f>IF(ISNUMBER(N202),N202-K202,"N/A")</f>
        <v/>
      </c>
      <c r="Q202" s="153">
        <f>IFERROR(IF(ISNUMBER(N202),(N202-K202)/ABS(K202),"N/A"),"N/A")</f>
        <v/>
      </c>
      <c r="R202" s="652" t="n"/>
      <c r="S202" s="147" t="n">
        <v>44215</v>
      </c>
      <c r="T202" s="154" t="inlineStr">
        <is>
          <t>Investor Presentation</t>
        </is>
      </c>
      <c r="U202" s="652" t="n"/>
    </row>
    <row r="203" ht="15" customHeight="1" s="595">
      <c r="A203" s="101" t="n">
        <v>91</v>
      </c>
      <c r="B203" s="652" t="n"/>
      <c r="C203" s="652" t="n"/>
      <c r="D203" s="131" t="n"/>
      <c r="E203" s="653" t="n"/>
      <c r="F203" s="652" t="n"/>
      <c r="G203" s="652" t="n"/>
      <c r="H203" s="652" t="n"/>
      <c r="I203" s="1562" t="n"/>
      <c r="J203" s="1562" t="n"/>
      <c r="K203" s="1562" t="n"/>
      <c r="L203" s="652" t="n"/>
      <c r="M203" s="652" t="n"/>
      <c r="N203" s="1562" t="n"/>
      <c r="O203" s="652" t="n"/>
      <c r="P203" s="2111" t="n"/>
      <c r="Q203" s="271" t="n"/>
      <c r="R203" s="652" t="n"/>
      <c r="S203" s="136" t="n"/>
      <c r="T203" s="155" t="n"/>
      <c r="U203" s="652" t="n"/>
    </row>
    <row r="204" ht="15" customHeight="1" s="595">
      <c r="A204" s="101" t="n">
        <v>90</v>
      </c>
      <c r="B204" s="144">
        <f>IF(INDEX(MO_SNA_IsHistoricalPeriod,,MATCH(F204,MO_Common_ColumnHeader,0)),"Historical","Forward")</f>
        <v/>
      </c>
      <c r="C204" s="652" t="n"/>
      <c r="D204" s="151" t="inlineStr">
        <is>
          <t>Effective tax rate</t>
        </is>
      </c>
      <c r="E204" s="145" t="n"/>
      <c r="F204" s="144" t="inlineStr">
        <is>
          <t>FY2020</t>
        </is>
      </c>
      <c r="G204" s="144" t="n"/>
      <c r="H204" s="652" t="n"/>
      <c r="I204" s="1352" t="n">
        <v>0.14</v>
      </c>
      <c r="J204" s="1352" t="n">
        <v>0.14</v>
      </c>
      <c r="K204" s="1352">
        <f>AVERAGE(I204:J204)</f>
        <v/>
      </c>
      <c r="L204" s="652" t="n"/>
      <c r="M204" s="144">
        <f>IF(INDEX(MO_SNA_IsHistoricalPeriod,,MATCH(F204,MO_Common_ColumnHeader,0)),"Actual","Estimate")</f>
        <v/>
      </c>
      <c r="N204" s="1352">
        <f>INDEX(MO_RIS_TaxRate_Current,0,MATCH(F204,MO_Common_ColumnHeader,0))+INDEX(MO_RIS_TaxRate_Deferred,0,MATCH(F204,MO_Common_ColumnHeader,0))</f>
        <v/>
      </c>
      <c r="O204" s="652" t="n"/>
      <c r="P204" s="153">
        <f>IF(ISNUMBER(N204),N204-K204,"N/A")</f>
        <v/>
      </c>
      <c r="Q204" s="153">
        <f>IFERROR(IF(ISNUMBER(N204),(N204-K204)/ABS(K204),"N/A"),"N/A")</f>
        <v/>
      </c>
      <c r="R204" s="652" t="n"/>
      <c r="S204" s="147" t="n">
        <v>44118</v>
      </c>
      <c r="T204" s="154" t="inlineStr">
        <is>
          <t>Investor Presentation</t>
        </is>
      </c>
      <c r="U204" s="652" t="n"/>
    </row>
    <row r="205" ht="15" customHeight="1" s="595">
      <c r="A205" s="101" t="n">
        <v>89</v>
      </c>
      <c r="B205" s="652" t="n"/>
      <c r="C205" s="652" t="n"/>
      <c r="D205" s="131" t="n"/>
      <c r="E205" s="653" t="n"/>
      <c r="F205" s="652" t="n"/>
      <c r="G205" s="652" t="n"/>
      <c r="H205" s="652" t="n"/>
      <c r="I205" s="1562" t="n"/>
      <c r="J205" s="1562" t="n"/>
      <c r="K205" s="1562" t="n"/>
      <c r="L205" s="652" t="n"/>
      <c r="M205" s="652" t="n"/>
      <c r="N205" s="1562" t="n"/>
      <c r="O205" s="652" t="n"/>
      <c r="P205" s="2111" t="n"/>
      <c r="Q205" s="271" t="n"/>
      <c r="R205" s="652" t="n"/>
      <c r="S205" s="136" t="n"/>
      <c r="T205" s="155" t="n"/>
      <c r="U205" s="652" t="n"/>
    </row>
    <row r="206" ht="15" customFormat="1" customHeight="1" s="631">
      <c r="A206" s="101" t="n">
        <v>88</v>
      </c>
      <c r="B206" s="144">
        <f>IF(INDEX(MO_SNA_IsHistoricalPeriod,,MATCH(F206,MO_Common_ColumnHeader,0)),"Historical","Forward")</f>
        <v/>
      </c>
      <c r="C206" s="652" t="n"/>
      <c r="D206" s="151">
        <f>INDEX(INDIRECT(E206),0,COLUMN(MO_Common_Column_A))</f>
        <v/>
      </c>
      <c r="E206" s="145" t="inlineStr">
        <is>
          <t>MO_RIS_REV</t>
        </is>
      </c>
      <c r="F206" s="144" t="inlineStr">
        <is>
          <t>Q4-2020</t>
        </is>
      </c>
      <c r="G206" s="144" t="n"/>
      <c r="H206" s="652" t="n"/>
      <c r="I206" s="1637" t="n">
        <v>3600</v>
      </c>
      <c r="J206" s="1637" t="n">
        <v>3800</v>
      </c>
      <c r="K206" s="1637">
        <f>AVERAGE(I206:J206)</f>
        <v/>
      </c>
      <c r="L206" s="652" t="n"/>
      <c r="M206" s="144">
        <f>IF(INDEX(MO_SNA_IsHistoricalPeriod,,MATCH(F206,MO_Common_ColumnHeader,0)),"Actual","Estimate")</f>
        <v/>
      </c>
      <c r="N206" s="1637">
        <f>IFERROR(INDEX(INDIRECT(E206),0,MATCH(F206,MO_Common_ColumnHeader,0)),"N/A")</f>
        <v/>
      </c>
      <c r="O206" s="652" t="n"/>
      <c r="P206" s="2110">
        <f>IF(ISNUMBER(N206),N206-K206,"N/A")</f>
        <v/>
      </c>
      <c r="Q206" s="153">
        <f>IFERROR(IF(ISNUMBER(N206),(N206-K206)/ABS(K206),"N/A"),"N/A")</f>
        <v/>
      </c>
      <c r="R206" s="652" t="n"/>
      <c r="S206" s="147" t="n">
        <v>44118</v>
      </c>
      <c r="T206" s="154" t="inlineStr">
        <is>
          <t>Investor Presentation</t>
        </is>
      </c>
      <c r="U206" s="652" t="n"/>
    </row>
    <row r="207" ht="15" customFormat="1" customHeight="1" s="631">
      <c r="A207" s="101" t="n">
        <v>87</v>
      </c>
      <c r="B207" s="144">
        <f>IF(INDEX(MO_SNA_IsHistoricalPeriod,,MATCH(F207,MO_Common_ColumnHeader,0)),"Historical","Forward")</f>
        <v/>
      </c>
      <c r="C207" s="652" t="n"/>
      <c r="D207" s="151" t="inlineStr">
        <is>
          <t>Installed Base Management sales</t>
        </is>
      </c>
      <c r="E207" s="145" t="inlineStr">
        <is>
          <t>z_I9KH3H0125_MO_OS_Netserviceandfieldoptionsales</t>
        </is>
      </c>
      <c r="F207" s="144" t="inlineStr">
        <is>
          <t>Q4-2020</t>
        </is>
      </c>
      <c r="G207" s="144" t="n"/>
      <c r="H207" s="652" t="n"/>
      <c r="I207" s="1637" t="n">
        <v>900</v>
      </c>
      <c r="J207" s="1637" t="n">
        <v>900</v>
      </c>
      <c r="K207" s="1637">
        <f>AVERAGE(I207:J207)</f>
        <v/>
      </c>
      <c r="L207" s="652" t="n"/>
      <c r="M207" s="144">
        <f>IF(INDEX(MO_SNA_IsHistoricalPeriod,,MATCH(F207,MO_Common_ColumnHeader,0)),"Actual","Estimate")</f>
        <v/>
      </c>
      <c r="N207" s="1637">
        <f>IFERROR(INDEX(INDIRECT(E207),0,MATCH(F207,MO_Common_ColumnHeader,0)),"N/A")</f>
        <v/>
      </c>
      <c r="O207" s="652" t="n"/>
      <c r="P207" s="2110">
        <f>IF(ISNUMBER(N207),N207-K207,"N/A")</f>
        <v/>
      </c>
      <c r="Q207" s="153">
        <f>IFERROR(IF(ISNUMBER(N207),(N207-K207)/ABS(K207),"N/A"),"N/A")</f>
        <v/>
      </c>
      <c r="R207" s="652" t="n"/>
      <c r="S207" s="147" t="n">
        <v>44118</v>
      </c>
      <c r="T207" s="154" t="inlineStr">
        <is>
          <t>Investor Presentation</t>
        </is>
      </c>
      <c r="U207" s="652" t="n"/>
    </row>
    <row r="208" ht="15" customFormat="1" customHeight="1" s="631">
      <c r="A208" s="101" t="n">
        <v>86</v>
      </c>
      <c r="B208" s="144">
        <f>IF(INDEX(MO_SNA_IsHistoricalPeriod,,MATCH(F208,MO_Common_ColumnHeader,0)),"Historical","Forward")</f>
        <v/>
      </c>
      <c r="C208" s="652" t="n"/>
      <c r="D208" s="151">
        <f>INDEX(INDIRECT(E208),0,COLUMN(MO_Common_Column_A))</f>
        <v/>
      </c>
      <c r="E208" s="145" t="inlineStr">
        <is>
          <t>MO_MA_GM</t>
        </is>
      </c>
      <c r="F208" s="144" t="inlineStr">
        <is>
          <t>Q4-2020</t>
        </is>
      </c>
      <c r="G208" s="144" t="n"/>
      <c r="H208" s="652" t="n"/>
      <c r="I208" s="1352" t="n">
        <v>0.5</v>
      </c>
      <c r="J208" s="1352" t="n">
        <v>0.5</v>
      </c>
      <c r="K208" s="1352">
        <f>AVERAGE(I208:J208)</f>
        <v/>
      </c>
      <c r="L208" s="652" t="n"/>
      <c r="M208" s="144">
        <f>IF(INDEX(MO_SNA_IsHistoricalPeriod,,MATCH(F208,MO_Common_ColumnHeader,0)),"Actual","Estimate")</f>
        <v/>
      </c>
      <c r="N208" s="1352">
        <f>IFERROR(INDEX(INDIRECT(E208),0,MATCH(F208,MO_Common_ColumnHeader,0)),"N/A")</f>
        <v/>
      </c>
      <c r="O208" s="652" t="n"/>
      <c r="P208" s="153">
        <f>IF(ISNUMBER(N208),N208-K208,"N/A")</f>
        <v/>
      </c>
      <c r="Q208" s="153">
        <f>IFERROR(IF(ISNUMBER(N208),(N208-K208)/ABS(K208),"N/A"),"N/A")</f>
        <v/>
      </c>
      <c r="R208" s="652" t="n"/>
      <c r="S208" s="147" t="n">
        <v>44118</v>
      </c>
      <c r="T208" s="154" t="inlineStr">
        <is>
          <t>Investor Presentation</t>
        </is>
      </c>
      <c r="U208" s="652" t="n"/>
    </row>
    <row r="209" ht="15" customFormat="1" customHeight="1" s="631">
      <c r="A209" s="101" t="n">
        <v>85</v>
      </c>
      <c r="B209" s="144">
        <f>IF(INDEX(MO_SNA_IsHistoricalPeriod,,MATCH(F209,MO_Common_ColumnHeader,0)),"Historical","Forward")</f>
        <v/>
      </c>
      <c r="C209" s="652" t="n"/>
      <c r="D209" s="151" t="inlineStr">
        <is>
          <t>R&amp;D Expense</t>
        </is>
      </c>
      <c r="E209" s="145" t="inlineStr">
        <is>
          <t>MO_RIS_RD</t>
        </is>
      </c>
      <c r="F209" s="144" t="inlineStr">
        <is>
          <t>Q4-2020</t>
        </is>
      </c>
      <c r="G209" s="144" t="n"/>
      <c r="H209" s="652" t="n"/>
      <c r="I209" s="1637" t="n">
        <v>550</v>
      </c>
      <c r="J209" s="1637" t="n">
        <v>550</v>
      </c>
      <c r="K209" s="1637">
        <f>AVERAGE(I209:J209)</f>
        <v/>
      </c>
      <c r="L209" s="652" t="n"/>
      <c r="M209" s="144">
        <f>IF(INDEX(MO_SNA_IsHistoricalPeriod,,MATCH(F209,MO_Common_ColumnHeader,0)),"Actual","Estimate")</f>
        <v/>
      </c>
      <c r="N209" s="1637">
        <f>IFERROR(INDEX(INDIRECT(E209),0,MATCH(F209,MO_Common_ColumnHeader,0)),"N/A")</f>
        <v/>
      </c>
      <c r="O209" s="652" t="n"/>
      <c r="P209" s="2110">
        <f>IF(ISNUMBER(N209),N209-K209,"N/A")</f>
        <v/>
      </c>
      <c r="Q209" s="153">
        <f>IFERROR(IF(ISNUMBER(N209),(N209-K209)/ABS(K209),"N/A"),"N/A")</f>
        <v/>
      </c>
      <c r="R209" s="652" t="n"/>
      <c r="S209" s="147" t="n">
        <v>44118</v>
      </c>
      <c r="T209" s="154" t="inlineStr">
        <is>
          <t>Investor Presentation</t>
        </is>
      </c>
      <c r="U209" s="652" t="n"/>
    </row>
    <row r="210" ht="15" customFormat="1" customHeight="1" s="631">
      <c r="A210" s="101" t="n">
        <v>84</v>
      </c>
      <c r="B210" s="144">
        <f>IF(INDEX(MO_SNA_IsHistoricalPeriod,,MATCH(F210,MO_Common_ColumnHeader,0)),"Historical","Forward")</f>
        <v/>
      </c>
      <c r="C210" s="652" t="n"/>
      <c r="D210" s="151">
        <f>INDEX(INDIRECT(E210),0,COLUMN(MO_Common_Column_A))</f>
        <v/>
      </c>
      <c r="E210" s="145" t="inlineStr">
        <is>
          <t>MO_RIS_SGA</t>
        </is>
      </c>
      <c r="F210" s="144" t="inlineStr">
        <is>
          <t>Q4-2020</t>
        </is>
      </c>
      <c r="G210" s="144" t="n"/>
      <c r="H210" s="652" t="n"/>
      <c r="I210" s="1637" t="n">
        <v>140</v>
      </c>
      <c r="J210" s="1637" t="n">
        <v>140</v>
      </c>
      <c r="K210" s="1637">
        <f>AVERAGE(I210:J210)</f>
        <v/>
      </c>
      <c r="L210" s="652" t="n"/>
      <c r="M210" s="144">
        <f>IF(INDEX(MO_SNA_IsHistoricalPeriod,,MATCH(F210,MO_Common_ColumnHeader,0)),"Actual","Estimate")</f>
        <v/>
      </c>
      <c r="N210" s="1637">
        <f>IFERROR(INDEX(INDIRECT(E210),0,MATCH(F210,MO_Common_ColumnHeader,0)),"N/A")</f>
        <v/>
      </c>
      <c r="O210" s="652" t="n"/>
      <c r="P210" s="2110">
        <f>IF(ISNUMBER(N210),N210-K210,"N/A")</f>
        <v/>
      </c>
      <c r="Q210" s="153">
        <f>IFERROR(IF(ISNUMBER(N210),(N210-K210)/ABS(K210),"N/A"),"N/A")</f>
        <v/>
      </c>
      <c r="R210" s="652" t="n"/>
      <c r="S210" s="147" t="n">
        <v>44118</v>
      </c>
      <c r="T210" s="154" t="inlineStr">
        <is>
          <t>Investor Presentation</t>
        </is>
      </c>
      <c r="U210" s="652" t="n"/>
    </row>
    <row r="211" ht="15" customHeight="1" s="595">
      <c r="A211" s="101" t="n">
        <v>83</v>
      </c>
      <c r="B211" s="144">
        <f>IF(INDEX(MO_SNA_IsHistoricalPeriod,,MATCH(F211,MO_Common_ColumnHeader,0)),"Historical","Forward")</f>
        <v/>
      </c>
      <c r="C211" s="652" t="n"/>
      <c r="D211" s="151" t="inlineStr">
        <is>
          <t>Effective tax rate</t>
        </is>
      </c>
      <c r="E211" s="145" t="n"/>
      <c r="F211" s="144" t="inlineStr">
        <is>
          <t>FY2020</t>
        </is>
      </c>
      <c r="G211" s="144" t="n"/>
      <c r="H211" s="652" t="n"/>
      <c r="I211" s="1352" t="n">
        <v>0.14</v>
      </c>
      <c r="J211" s="1352" t="n">
        <v>0.14</v>
      </c>
      <c r="K211" s="1352">
        <f>AVERAGE(I211:J211)</f>
        <v/>
      </c>
      <c r="L211" s="652" t="n"/>
      <c r="M211" s="144">
        <f>IF(INDEX(MO_SNA_IsHistoricalPeriod,,MATCH(F211,MO_Common_ColumnHeader,0)),"Actual","Estimate")</f>
        <v/>
      </c>
      <c r="N211" s="1352">
        <f>INDEX(MO_RIS_TaxRate_Current,0,MATCH(F211,MO_Common_ColumnHeader,0))+INDEX(MO_RIS_TaxRate_Deferred,0,MATCH(F211,MO_Common_ColumnHeader,0))</f>
        <v/>
      </c>
      <c r="O211" s="652" t="n"/>
      <c r="P211" s="153">
        <f>IF(ISNUMBER(N211),N211-K211,"N/A")</f>
        <v/>
      </c>
      <c r="Q211" s="153">
        <f>IFERROR(IF(ISNUMBER(N211),(N211-K211)/ABS(K211),"N/A"),"N/A")</f>
        <v/>
      </c>
      <c r="R211" s="652" t="n"/>
      <c r="S211" s="147" t="n">
        <v>44118</v>
      </c>
      <c r="T211" s="154" t="inlineStr">
        <is>
          <t>Investor Presentation</t>
        </is>
      </c>
      <c r="U211" s="652" t="n"/>
    </row>
    <row r="212" ht="15" customHeight="1" s="595">
      <c r="A212" s="101" t="n">
        <v>82</v>
      </c>
      <c r="B212" s="652" t="n"/>
      <c r="C212" s="652" t="n"/>
      <c r="D212" s="131" t="n"/>
      <c r="E212" s="653" t="n"/>
      <c r="F212" s="652" t="n"/>
      <c r="G212" s="652" t="n"/>
      <c r="H212" s="652" t="n"/>
      <c r="I212" s="1562" t="n"/>
      <c r="J212" s="1562" t="n"/>
      <c r="K212" s="1562" t="n"/>
      <c r="L212" s="652" t="n"/>
      <c r="M212" s="652" t="n"/>
      <c r="N212" s="1562" t="n"/>
      <c r="O212" s="652" t="n"/>
      <c r="P212" s="2111" t="n"/>
      <c r="Q212" s="271" t="n"/>
      <c r="R212" s="652" t="n"/>
      <c r="S212" s="136" t="n"/>
      <c r="T212" s="155" t="n"/>
      <c r="U212" s="652" t="n"/>
    </row>
    <row r="213" ht="15" customFormat="1" customHeight="1" s="631">
      <c r="A213" s="101" t="n">
        <v>81</v>
      </c>
      <c r="B213" s="144">
        <f>IF(INDEX(MO_SNA_IsHistoricalPeriod,,MATCH(F213,MO_Common_ColumnHeader,0)),"Historical","Forward")</f>
        <v/>
      </c>
      <c r="C213" s="652" t="n"/>
      <c r="D213" s="151">
        <f>INDEX(INDIRECT(E213),0,COLUMN(MO_Common_Column_A))</f>
        <v/>
      </c>
      <c r="E213" s="145" t="inlineStr">
        <is>
          <t>MO_RIS_REV</t>
        </is>
      </c>
      <c r="F213" s="144" t="inlineStr">
        <is>
          <t>Q3-2020</t>
        </is>
      </c>
      <c r="G213" s="144" t="n"/>
      <c r="H213" s="652" t="n"/>
      <c r="I213" s="1637" t="n">
        <v>3600</v>
      </c>
      <c r="J213" s="1637" t="n">
        <v>3800</v>
      </c>
      <c r="K213" s="1637">
        <f>AVERAGE(I213:J213)</f>
        <v/>
      </c>
      <c r="L213" s="652" t="n"/>
      <c r="M213" s="144">
        <f>IF(INDEX(MO_SNA_IsHistoricalPeriod,,MATCH(F213,MO_Common_ColumnHeader,0)),"Actual","Estimate")</f>
        <v/>
      </c>
      <c r="N213" s="1637">
        <f>IFERROR(INDEX(INDIRECT(E213),0,MATCH(F213,MO_Common_ColumnHeader,0)),"N/A")</f>
        <v/>
      </c>
      <c r="O213" s="652" t="n"/>
      <c r="P213" s="2110">
        <f>IF(ISNUMBER(N213),N213-K213,"N/A")</f>
        <v/>
      </c>
      <c r="Q213" s="153">
        <f>IFERROR(IF(ISNUMBER(N213),(N213-K213)/ABS(K213),"N/A"),"N/A")</f>
        <v/>
      </c>
      <c r="R213" s="652" t="n"/>
      <c r="S213" s="147" t="n">
        <v>44027</v>
      </c>
      <c r="T213" s="154" t="inlineStr">
        <is>
          <t>Investor Presentation</t>
        </is>
      </c>
      <c r="U213" s="652" t="n"/>
    </row>
    <row r="214" ht="15" customFormat="1" customHeight="1" s="631">
      <c r="A214" s="101" t="n">
        <v>80</v>
      </c>
      <c r="B214" s="144">
        <f>IF(INDEX(MO_SNA_IsHistoricalPeriod,,MATCH(F214,MO_Common_ColumnHeader,0)),"Historical","Forward")</f>
        <v/>
      </c>
      <c r="C214" s="652" t="n"/>
      <c r="D214" s="151" t="inlineStr">
        <is>
          <t>Installed Base Management sales</t>
        </is>
      </c>
      <c r="E214" s="145" t="inlineStr">
        <is>
          <t>z_I9KH3H0125_MO_OS_Netserviceandfieldoptionsales</t>
        </is>
      </c>
      <c r="F214" s="144" t="inlineStr">
        <is>
          <t>Q3-2020</t>
        </is>
      </c>
      <c r="G214" s="144" t="n"/>
      <c r="H214" s="652" t="n"/>
      <c r="I214" s="1637" t="n">
        <v>850</v>
      </c>
      <c r="J214" s="1637" t="n">
        <v>850</v>
      </c>
      <c r="K214" s="1637">
        <f>AVERAGE(I214:J214)</f>
        <v/>
      </c>
      <c r="L214" s="652" t="n"/>
      <c r="M214" s="144">
        <f>IF(INDEX(MO_SNA_IsHistoricalPeriod,,MATCH(F214,MO_Common_ColumnHeader,0)),"Actual","Estimate")</f>
        <v/>
      </c>
      <c r="N214" s="1637">
        <f>IFERROR(INDEX(INDIRECT(E214),0,MATCH(F214,MO_Common_ColumnHeader,0)),"N/A")</f>
        <v/>
      </c>
      <c r="O214" s="652" t="n"/>
      <c r="P214" s="2110">
        <f>IF(ISNUMBER(N214),N214-K214,"N/A")</f>
        <v/>
      </c>
      <c r="Q214" s="153">
        <f>IFERROR(IF(ISNUMBER(N214),(N214-K214)/ABS(K214),"N/A"),"N/A")</f>
        <v/>
      </c>
      <c r="R214" s="652" t="n"/>
      <c r="S214" s="147" t="n">
        <v>44027</v>
      </c>
      <c r="T214" s="154" t="inlineStr">
        <is>
          <t>Investor Presentation</t>
        </is>
      </c>
      <c r="U214" s="652" t="n"/>
    </row>
    <row r="215" ht="15" customFormat="1" customHeight="1" s="631">
      <c r="A215" s="101" t="n">
        <v>79</v>
      </c>
      <c r="B215" s="144">
        <f>IF(INDEX(MO_SNA_IsHistoricalPeriod,,MATCH(F215,MO_Common_ColumnHeader,0)),"Historical","Forward")</f>
        <v/>
      </c>
      <c r="C215" s="652" t="n"/>
      <c r="D215" s="151">
        <f>INDEX(INDIRECT(E215),0,COLUMN(MO_Common_Column_A))</f>
        <v/>
      </c>
      <c r="E215" s="145" t="inlineStr">
        <is>
          <t>MO_MA_GM</t>
        </is>
      </c>
      <c r="F215" s="144" t="inlineStr">
        <is>
          <t>Q3-2020</t>
        </is>
      </c>
      <c r="G215" s="144" t="n"/>
      <c r="H215" s="652" t="n"/>
      <c r="I215" s="1352" t="n">
        <v>0.47</v>
      </c>
      <c r="J215" s="1352" t="n">
        <v>0.48</v>
      </c>
      <c r="K215" s="1352">
        <f>AVERAGE(I215:J215)</f>
        <v/>
      </c>
      <c r="L215" s="652" t="n"/>
      <c r="M215" s="144">
        <f>IF(INDEX(MO_SNA_IsHistoricalPeriod,,MATCH(F215,MO_Common_ColumnHeader,0)),"Actual","Estimate")</f>
        <v/>
      </c>
      <c r="N215" s="1352">
        <f>IFERROR(INDEX(INDIRECT(E215),0,MATCH(F215,MO_Common_ColumnHeader,0)),"N/A")</f>
        <v/>
      </c>
      <c r="O215" s="652" t="n"/>
      <c r="P215" s="153">
        <f>IF(ISNUMBER(N215),N215-K215,"N/A")</f>
        <v/>
      </c>
      <c r="Q215" s="153">
        <f>IFERROR(IF(ISNUMBER(N215),(N215-K215)/ABS(K215),"N/A"),"N/A")</f>
        <v/>
      </c>
      <c r="R215" s="652" t="n"/>
      <c r="S215" s="147" t="n">
        <v>44027</v>
      </c>
      <c r="T215" s="154" t="inlineStr">
        <is>
          <t>Investor Presentation</t>
        </is>
      </c>
      <c r="U215" s="652" t="n"/>
    </row>
    <row r="216" ht="15" customFormat="1" customHeight="1" s="631">
      <c r="A216" s="101" t="n">
        <v>78</v>
      </c>
      <c r="B216" s="144">
        <f>IF(INDEX(MO_SNA_IsHistoricalPeriod,,MATCH(F216,MO_Common_ColumnHeader,0)),"Historical","Forward")</f>
        <v/>
      </c>
      <c r="C216" s="652" t="n"/>
      <c r="D216" s="151" t="inlineStr">
        <is>
          <t>R&amp;D Expense</t>
        </is>
      </c>
      <c r="E216" s="145" t="inlineStr">
        <is>
          <t>MO_RIS_RD</t>
        </is>
      </c>
      <c r="F216" s="144" t="inlineStr">
        <is>
          <t>Q3-2020</t>
        </is>
      </c>
      <c r="G216" s="144" t="n"/>
      <c r="H216" s="652" t="n"/>
      <c r="I216" s="1637" t="n">
        <v>545</v>
      </c>
      <c r="J216" s="1637" t="n">
        <v>545</v>
      </c>
      <c r="K216" s="1637">
        <f>AVERAGE(I216:J216)</f>
        <v/>
      </c>
      <c r="L216" s="652" t="n"/>
      <c r="M216" s="144">
        <f>IF(INDEX(MO_SNA_IsHistoricalPeriod,,MATCH(F216,MO_Common_ColumnHeader,0)),"Actual","Estimate")</f>
        <v/>
      </c>
      <c r="N216" s="1637">
        <f>IFERROR(INDEX(INDIRECT(E216),0,MATCH(F216,MO_Common_ColumnHeader,0)),"N/A")</f>
        <v/>
      </c>
      <c r="O216" s="652" t="n"/>
      <c r="P216" s="2110">
        <f>IF(ISNUMBER(N216),N216-K216,"N/A")</f>
        <v/>
      </c>
      <c r="Q216" s="153">
        <f>IFERROR(IF(ISNUMBER(N216),(N216-K216)/ABS(K216),"N/A"),"N/A")</f>
        <v/>
      </c>
      <c r="R216" s="652" t="n"/>
      <c r="S216" s="147" t="n">
        <v>44027</v>
      </c>
      <c r="T216" s="154" t="inlineStr">
        <is>
          <t>Investor Presentation</t>
        </is>
      </c>
      <c r="U216" s="652" t="n"/>
    </row>
    <row r="217" ht="15" customFormat="1" customHeight="1" s="631">
      <c r="A217" s="101" t="n">
        <v>77</v>
      </c>
      <c r="B217" s="144">
        <f>IF(INDEX(MO_SNA_IsHistoricalPeriod,,MATCH(F217,MO_Common_ColumnHeader,0)),"Historical","Forward")</f>
        <v/>
      </c>
      <c r="C217" s="652" t="n"/>
      <c r="D217" s="151">
        <f>INDEX(INDIRECT(E217),0,COLUMN(MO_Common_Column_A))</f>
        <v/>
      </c>
      <c r="E217" s="145" t="inlineStr">
        <is>
          <t>MO_RIS_SGA</t>
        </is>
      </c>
      <c r="F217" s="144" t="inlineStr">
        <is>
          <t>Q3-2020</t>
        </is>
      </c>
      <c r="G217" s="144" t="n"/>
      <c r="H217" s="652" t="n"/>
      <c r="I217" s="1637" t="n">
        <v>140</v>
      </c>
      <c r="J217" s="1637" t="n">
        <v>140</v>
      </c>
      <c r="K217" s="1637">
        <f>AVERAGE(I217:J217)</f>
        <v/>
      </c>
      <c r="L217" s="652" t="n"/>
      <c r="M217" s="144">
        <f>IF(INDEX(MO_SNA_IsHistoricalPeriod,,MATCH(F217,MO_Common_ColumnHeader,0)),"Actual","Estimate")</f>
        <v/>
      </c>
      <c r="N217" s="1637">
        <f>IFERROR(INDEX(INDIRECT(E217),0,MATCH(F217,MO_Common_ColumnHeader,0)),"N/A")</f>
        <v/>
      </c>
      <c r="O217" s="652" t="n"/>
      <c r="P217" s="2110">
        <f>IF(ISNUMBER(N217),N217-K217,"N/A")</f>
        <v/>
      </c>
      <c r="Q217" s="153">
        <f>IFERROR(IF(ISNUMBER(N217),(N217-K217)/ABS(K217),"N/A"),"N/A")</f>
        <v/>
      </c>
      <c r="R217" s="652" t="n"/>
      <c r="S217" s="147" t="n">
        <v>44027</v>
      </c>
      <c r="T217" s="154" t="inlineStr">
        <is>
          <t>Investor Presentation</t>
        </is>
      </c>
      <c r="U217" s="652" t="n"/>
    </row>
    <row r="218" ht="15" customHeight="1" s="595">
      <c r="A218" s="101" t="n">
        <v>76</v>
      </c>
      <c r="B218" s="652" t="n"/>
      <c r="C218" s="652" t="n"/>
      <c r="D218" s="131" t="n"/>
      <c r="E218" s="653" t="n"/>
      <c r="F218" s="652" t="n"/>
      <c r="G218" s="652" t="n"/>
      <c r="H218" s="652" t="n"/>
      <c r="I218" s="1562" t="n"/>
      <c r="J218" s="1562" t="n"/>
      <c r="K218" s="1562" t="n"/>
      <c r="L218" s="652" t="n"/>
      <c r="M218" s="652" t="n"/>
      <c r="N218" s="1562" t="n"/>
      <c r="O218" s="652" t="n"/>
      <c r="P218" s="2111" t="n"/>
      <c r="Q218" s="271" t="n"/>
      <c r="R218" s="652" t="n"/>
      <c r="S218" s="136" t="n"/>
      <c r="T218" s="155" t="n"/>
      <c r="U218" s="652" t="n"/>
    </row>
    <row r="219" ht="15" customHeight="1" s="595">
      <c r="A219" s="101" t="n">
        <v>75</v>
      </c>
      <c r="B219" s="144">
        <f>IF(INDEX(MO_SNA_IsHistoricalPeriod,,MATCH(F219,MO_Common_ColumnHeader,0)),"Historical","Forward")</f>
        <v/>
      </c>
      <c r="C219" s="652" t="n"/>
      <c r="D219" s="151" t="inlineStr">
        <is>
          <t>Effective tax rate</t>
        </is>
      </c>
      <c r="E219" s="145" t="n"/>
      <c r="F219" s="144" t="inlineStr">
        <is>
          <t>FY2020</t>
        </is>
      </c>
      <c r="G219" s="144" t="n"/>
      <c r="H219" s="652" t="n"/>
      <c r="I219" s="1352" t="n">
        <v>0.14</v>
      </c>
      <c r="J219" s="1352" t="n">
        <v>0.14</v>
      </c>
      <c r="K219" s="1352">
        <f>AVERAGE(I219:J219)</f>
        <v/>
      </c>
      <c r="L219" s="652" t="n"/>
      <c r="M219" s="144">
        <f>IF(INDEX(MO_SNA_IsHistoricalPeriod,,MATCH(F219,MO_Common_ColumnHeader,0)),"Actual","Estimate")</f>
        <v/>
      </c>
      <c r="N219" s="1352">
        <f>INDEX(MO_RIS_TaxRate_Current,0,MATCH(F219,MO_Common_ColumnHeader,0))+INDEX(MO_RIS_TaxRate_Deferred,0,MATCH(F219,MO_Common_ColumnHeader,0))</f>
        <v/>
      </c>
      <c r="O219" s="652" t="n"/>
      <c r="P219" s="153">
        <f>IF(ISNUMBER(N219),N219-K219,"N/A")</f>
        <v/>
      </c>
      <c r="Q219" s="153">
        <f>IFERROR(IF(ISNUMBER(N219),(N219-K219)/ABS(K219),"N/A"),"N/A")</f>
        <v/>
      </c>
      <c r="R219" s="652" t="n"/>
      <c r="S219" s="147" t="n">
        <v>44027</v>
      </c>
      <c r="T219" s="154" t="inlineStr">
        <is>
          <t>Investor Presentation</t>
        </is>
      </c>
      <c r="U219" s="652" t="n"/>
    </row>
    <row r="220" ht="15" customHeight="1" s="595">
      <c r="A220" s="101" t="n">
        <v>74</v>
      </c>
      <c r="B220" s="652" t="n"/>
      <c r="C220" s="652" t="n"/>
      <c r="D220" s="131" t="n"/>
      <c r="E220" s="653" t="n"/>
      <c r="F220" s="652" t="n"/>
      <c r="G220" s="652" t="n"/>
      <c r="H220" s="652" t="n"/>
      <c r="I220" s="1562" t="n"/>
      <c r="J220" s="1562" t="n"/>
      <c r="K220" s="1562" t="n"/>
      <c r="L220" s="652" t="n"/>
      <c r="M220" s="652" t="n"/>
      <c r="N220" s="1562" t="n"/>
      <c r="O220" s="652" t="n"/>
      <c r="P220" s="2111" t="n"/>
      <c r="Q220" s="271" t="n"/>
      <c r="R220" s="652" t="n"/>
      <c r="S220" s="136" t="n"/>
      <c r="T220" s="155" t="n"/>
      <c r="U220" s="652" t="n"/>
    </row>
    <row r="221" ht="15" customFormat="1" customHeight="1" s="631">
      <c r="A221" s="101" t="n">
        <v>73</v>
      </c>
      <c r="B221" s="144">
        <f>IF(INDEX(MO_SNA_IsHistoricalPeriod,,MATCH(F221,MO_Common_ColumnHeader,0)),"Historical","Forward")</f>
        <v/>
      </c>
      <c r="C221" s="652" t="n"/>
      <c r="D221" s="151">
        <f>INDEX(INDIRECT(E221),0,COLUMN(MO_Common_Column_A))</f>
        <v/>
      </c>
      <c r="E221" s="145" t="inlineStr">
        <is>
          <t>MO_RIS_REV</t>
        </is>
      </c>
      <c r="F221" s="144" t="inlineStr">
        <is>
          <t>Q1-2020</t>
        </is>
      </c>
      <c r="G221" s="144" t="n"/>
      <c r="H221" s="652" t="n"/>
      <c r="I221" s="1637" t="n">
        <v>2400</v>
      </c>
      <c r="J221" s="1637" t="n">
        <v>2500</v>
      </c>
      <c r="K221" s="1637">
        <f>AVERAGE(I221:J221)</f>
        <v/>
      </c>
      <c r="L221" s="652" t="n"/>
      <c r="M221" s="144">
        <f>IF(INDEX(MO_SNA_IsHistoricalPeriod,,MATCH(F221,MO_Common_ColumnHeader,0)),"Actual","Estimate")</f>
        <v/>
      </c>
      <c r="N221" s="1637">
        <f>IFERROR(INDEX(INDIRECT(E221),0,MATCH(F221,MO_Common_ColumnHeader,0)),"N/A")</f>
        <v/>
      </c>
      <c r="O221" s="652" t="n"/>
      <c r="P221" s="2110">
        <f>IF(ISNUMBER(N221),N221-K221,"N/A")</f>
        <v/>
      </c>
      <c r="Q221" s="153">
        <f>IFERROR(IF(ISNUMBER(N221),(N221-K221)/ABS(K221),"N/A"),"N/A")</f>
        <v/>
      </c>
      <c r="R221" s="652" t="n"/>
      <c r="S221" s="147" t="n">
        <v>43920</v>
      </c>
      <c r="T221" s="154" t="inlineStr">
        <is>
          <t>Press Release</t>
        </is>
      </c>
      <c r="U221" s="652" t="n"/>
    </row>
    <row r="222" ht="15" customFormat="1" customHeight="1" s="631">
      <c r="A222" s="101" t="n">
        <v>72</v>
      </c>
      <c r="B222" s="144">
        <f>IF(INDEX(MO_SNA_IsHistoricalPeriod,,MATCH(F222,MO_Common_ColumnHeader,0)),"Historical","Forward")</f>
        <v/>
      </c>
      <c r="C222" s="652" t="n"/>
      <c r="D222" s="151">
        <f>INDEX(INDIRECT(E222),0,COLUMN(MO_Common_Column_A))</f>
        <v/>
      </c>
      <c r="E222" s="145" t="inlineStr">
        <is>
          <t>MO_MA_GM</t>
        </is>
      </c>
      <c r="F222" s="144" t="inlineStr">
        <is>
          <t>Q1-2020</t>
        </is>
      </c>
      <c r="G222" s="144" t="n"/>
      <c r="H222" s="652" t="n"/>
      <c r="I222" s="1352" t="n">
        <v>0.45</v>
      </c>
      <c r="J222" s="1352" t="n">
        <v>0.46</v>
      </c>
      <c r="K222" s="1352">
        <f>AVERAGE(I222:J222)</f>
        <v/>
      </c>
      <c r="L222" s="652" t="n"/>
      <c r="M222" s="144">
        <f>IF(INDEX(MO_SNA_IsHistoricalPeriod,,MATCH(F222,MO_Common_ColumnHeader,0)),"Actual","Estimate")</f>
        <v/>
      </c>
      <c r="N222" s="1352">
        <f>IFERROR(INDEX(INDIRECT(E222),0,MATCH(F222,MO_Common_ColumnHeader,0)),"N/A")</f>
        <v/>
      </c>
      <c r="O222" s="652" t="n"/>
      <c r="P222" s="153">
        <f>IF(ISNUMBER(N222),N222-K222,"N/A")</f>
        <v/>
      </c>
      <c r="Q222" s="153">
        <f>IFERROR(IF(ISNUMBER(N222),(N222-K222)/ABS(K222),"N/A"),"N/A")</f>
        <v/>
      </c>
      <c r="R222" s="652" t="n"/>
      <c r="S222" s="147" t="n">
        <v>43920</v>
      </c>
      <c r="T222" s="154" t="inlineStr">
        <is>
          <t>Press Release</t>
        </is>
      </c>
      <c r="U222" s="652" t="n"/>
    </row>
    <row r="223" ht="15" customHeight="1" s="595">
      <c r="A223" s="101" t="n">
        <v>71</v>
      </c>
      <c r="B223" s="652" t="n"/>
      <c r="C223" s="652" t="n"/>
      <c r="D223" s="131" t="n"/>
      <c r="E223" s="653" t="n"/>
      <c r="F223" s="652" t="n"/>
      <c r="G223" s="652" t="n"/>
      <c r="H223" s="652" t="n"/>
      <c r="I223" s="1562" t="n"/>
      <c r="J223" s="1562" t="n"/>
      <c r="K223" s="1562" t="n"/>
      <c r="L223" s="652" t="n"/>
      <c r="M223" s="652" t="n"/>
      <c r="N223" s="1562" t="n"/>
      <c r="O223" s="652" t="n"/>
      <c r="P223" s="2111" t="n"/>
      <c r="Q223" s="271" t="n"/>
      <c r="R223" s="652" t="n"/>
      <c r="S223" s="136" t="n"/>
      <c r="T223" s="155" t="n"/>
      <c r="U223" s="652" t="n"/>
    </row>
    <row r="224" ht="15" customFormat="1" customHeight="1" s="631">
      <c r="A224" s="101" t="n">
        <v>70</v>
      </c>
      <c r="B224" s="144">
        <f>IF(INDEX(MO_SNA_IsHistoricalPeriod,,MATCH(F224,MO_Common_ColumnHeader,0)),"Historical","Forward")</f>
        <v/>
      </c>
      <c r="C224" s="652" t="n"/>
      <c r="D224" s="151">
        <f>INDEX(INDIRECT(E224),0,COLUMN(MO_Common_Column_A))</f>
        <v/>
      </c>
      <c r="E224" s="145" t="inlineStr">
        <is>
          <t>z_I9KH3H0125_MO_OS_EUVsales_1</t>
        </is>
      </c>
      <c r="F224" s="144" t="inlineStr">
        <is>
          <t>FY2021</t>
        </is>
      </c>
      <c r="G224" s="144" t="n"/>
      <c r="H224" s="652" t="n"/>
      <c r="I224" s="1674" t="n">
        <v>45</v>
      </c>
      <c r="J224" s="1674" t="n">
        <v>50</v>
      </c>
      <c r="K224" s="1674">
        <f>AVERAGE(I224:J224)</f>
        <v/>
      </c>
      <c r="L224" s="652" t="n"/>
      <c r="M224" s="144">
        <f>IF(INDEX(MO_SNA_IsHistoricalPeriod,,MATCH(F224,MO_Common_ColumnHeader,0)),"Actual","Estimate")</f>
        <v/>
      </c>
      <c r="N224" s="1674">
        <f>IFERROR(INDEX(INDIRECT(E224),0,MATCH(F224,MO_Common_ColumnHeader,0)),"N/A")</f>
        <v/>
      </c>
      <c r="O224" s="1675" t="n"/>
      <c r="P224" s="2112">
        <f>IF(ISNUMBER(N224),N224-K224,"N/A")</f>
        <v/>
      </c>
      <c r="Q224" s="153">
        <f>IFERROR(IF(ISNUMBER(N224),(N224-K224)/ABS(K224),"N/A"),"N/A")</f>
        <v/>
      </c>
      <c r="R224" s="652" t="n"/>
      <c r="S224" s="147" t="n">
        <v>43852</v>
      </c>
      <c r="T224" s="154" t="inlineStr">
        <is>
          <t>Conference Call</t>
        </is>
      </c>
      <c r="U224" s="652" t="n"/>
    </row>
    <row r="225" ht="15" customHeight="1" s="595">
      <c r="A225" s="101" t="n">
        <v>69</v>
      </c>
      <c r="B225" s="652" t="n"/>
      <c r="C225" s="652" t="n"/>
      <c r="D225" s="131" t="n"/>
      <c r="E225" s="653" t="n"/>
      <c r="F225" s="652" t="n"/>
      <c r="G225" s="652" t="n"/>
      <c r="H225" s="652" t="n"/>
      <c r="I225" s="1562" t="n"/>
      <c r="J225" s="1562" t="n"/>
      <c r="K225" s="1562" t="n"/>
      <c r="L225" s="652" t="n"/>
      <c r="M225" s="652" t="n"/>
      <c r="N225" s="1562" t="n"/>
      <c r="O225" s="652" t="n"/>
      <c r="P225" s="2111" t="n"/>
      <c r="Q225" s="271" t="n"/>
      <c r="R225" s="652" t="n"/>
      <c r="S225" s="136" t="n"/>
      <c r="T225" s="155" t="n"/>
      <c r="U225" s="652" t="n"/>
    </row>
    <row r="226" ht="15" customFormat="1" customHeight="1" s="631">
      <c r="A226" s="101" t="n">
        <v>68</v>
      </c>
      <c r="B226" s="144">
        <f>IF(INDEX(MO_SNA_IsHistoricalPeriod,,MATCH(F226,MO_Common_ColumnHeader,0)),"Historical","Forward")</f>
        <v/>
      </c>
      <c r="C226" s="652" t="n"/>
      <c r="D226" s="151">
        <f>INDEX(INDIRECT(E226),0,COLUMN(MO_Common_Column_A))</f>
        <v/>
      </c>
      <c r="E226" s="145" t="inlineStr">
        <is>
          <t>z_I9KH3H0125_MO_OS_EUVsales_1</t>
        </is>
      </c>
      <c r="F226" s="144" t="inlineStr">
        <is>
          <t>FY2020</t>
        </is>
      </c>
      <c r="G226" s="144" t="n"/>
      <c r="H226" s="652" t="n"/>
      <c r="I226" s="1674" t="n">
        <v>35</v>
      </c>
      <c r="J226" s="1674" t="n">
        <v>35</v>
      </c>
      <c r="K226" s="1674">
        <f>AVERAGE(I226:J226)</f>
        <v/>
      </c>
      <c r="L226" s="652" t="n"/>
      <c r="M226" s="144">
        <f>IF(INDEX(MO_SNA_IsHistoricalPeriod,,MATCH(F226,MO_Common_ColumnHeader,0)),"Actual","Estimate")</f>
        <v/>
      </c>
      <c r="N226" s="1674">
        <f>IFERROR(INDEX(INDIRECT(E226),0,MATCH(F226,MO_Common_ColumnHeader,0)),"N/A")</f>
        <v/>
      </c>
      <c r="O226" s="1675" t="n"/>
      <c r="P226" s="2112">
        <f>IF(ISNUMBER(N226),N226-K226,"N/A")</f>
        <v/>
      </c>
      <c r="Q226" s="153">
        <f>IFERROR(IF(ISNUMBER(N226),(N226-K226)/ABS(K226),"N/A"),"N/A")</f>
        <v/>
      </c>
      <c r="R226" s="652" t="n"/>
      <c r="S226" s="147" t="n">
        <v>43852</v>
      </c>
      <c r="T226" s="154" t="inlineStr">
        <is>
          <t>Conference Call</t>
        </is>
      </c>
      <c r="U226" s="652" t="n"/>
    </row>
    <row r="227" ht="15" customFormat="1" customHeight="1" s="631">
      <c r="A227" s="101" t="n">
        <v>67</v>
      </c>
      <c r="B227" s="144">
        <f>IF(INDEX(MO_SNA_IsHistoricalPeriod,,MATCH(F227,MO_Common_ColumnHeader,0)),"Historical","Forward")</f>
        <v/>
      </c>
      <c r="C227" s="652" t="n"/>
      <c r="D227" s="151">
        <f>INDEX(INDIRECT(E227),0,COLUMN(MO_Common_Column_A))</f>
        <v/>
      </c>
      <c r="E227" s="145" t="inlineStr">
        <is>
          <t>z_I9KH3H0125_MO_OS_EUVsales</t>
        </is>
      </c>
      <c r="F227" s="144" t="inlineStr">
        <is>
          <t>FY2020</t>
        </is>
      </c>
      <c r="G227" s="144" t="n"/>
      <c r="H227" s="652" t="n"/>
      <c r="I227" s="1637" t="n">
        <v>4500</v>
      </c>
      <c r="J227" s="1637" t="n">
        <v>4500</v>
      </c>
      <c r="K227" s="1637">
        <f>AVERAGE(I227:J227)</f>
        <v/>
      </c>
      <c r="L227" s="652" t="n"/>
      <c r="M227" s="144">
        <f>IF(INDEX(MO_SNA_IsHistoricalPeriod,,MATCH(F227,MO_Common_ColumnHeader,0)),"Actual","Estimate")</f>
        <v/>
      </c>
      <c r="N227" s="1637">
        <f>IFERROR(INDEX(INDIRECT(E227),0,MATCH(F227,MO_Common_ColumnHeader,0)),"N/A")</f>
        <v/>
      </c>
      <c r="O227" s="1562" t="n"/>
      <c r="P227" s="2110">
        <f>IF(ISNUMBER(N227),N227-K227,"N/A")</f>
        <v/>
      </c>
      <c r="Q227" s="153">
        <f>IFERROR(IF(ISNUMBER(N227),(N227-K227)/ABS(K227),"N/A"),"N/A")</f>
        <v/>
      </c>
      <c r="R227" s="652" t="n"/>
      <c r="S227" s="147" t="n">
        <v>43852</v>
      </c>
      <c r="T227" s="154" t="inlineStr">
        <is>
          <t>Conference Call</t>
        </is>
      </c>
      <c r="U227" s="652" t="n"/>
    </row>
    <row r="228" ht="15" customFormat="1" customHeight="1" s="631">
      <c r="A228" s="101" t="n">
        <v>66</v>
      </c>
      <c r="B228" s="144">
        <f>IF(INDEX(MO_SNA_IsHistoricalPeriod,,MATCH(F228,MO_Common_ColumnHeader,0)),"Historical","Forward")</f>
        <v/>
      </c>
      <c r="C228" s="652" t="n"/>
      <c r="D228" s="151">
        <f>INDEX(INDIRECT(E228),0,COLUMN(MO_Common_Column_A))</f>
        <v/>
      </c>
      <c r="E228" s="145" t="inlineStr">
        <is>
          <t>z_I9KH3H0125_MO_OS_Netserviceandfieldoptionsales</t>
        </is>
      </c>
      <c r="F228" s="144" t="inlineStr">
        <is>
          <t>FY2020</t>
        </is>
      </c>
      <c r="G228" s="144" t="n"/>
      <c r="H228" s="652" t="n"/>
      <c r="I228" s="1637" t="n">
        <v>3400</v>
      </c>
      <c r="J228" s="1637" t="n">
        <v>3400</v>
      </c>
      <c r="K228" s="1637">
        <f>AVERAGE(I228:J228)</f>
        <v/>
      </c>
      <c r="L228" s="652" t="n"/>
      <c r="M228" s="144">
        <f>IF(INDEX(MO_SNA_IsHistoricalPeriod,,MATCH(F228,MO_Common_ColumnHeader,0)),"Actual","Estimate")</f>
        <v/>
      </c>
      <c r="N228" s="1637">
        <f>IFERROR(INDEX(INDIRECT(E228),0,MATCH(F228,MO_Common_ColumnHeader,0)),"N/A")</f>
        <v/>
      </c>
      <c r="O228" s="1562" t="n"/>
      <c r="P228" s="2110">
        <f>IF(ISNUMBER(N228),N228-K228,"N/A")</f>
        <v/>
      </c>
      <c r="Q228" s="153">
        <f>IFERROR(IF(ISNUMBER(N228),(N228-K228)/ABS(K228),"N/A"),"N/A")</f>
        <v/>
      </c>
      <c r="R228" s="652" t="n"/>
      <c r="S228" s="147" t="n">
        <v>43852</v>
      </c>
      <c r="T228" s="154" t="inlineStr">
        <is>
          <t>Conference Call</t>
        </is>
      </c>
      <c r="U228" s="652" t="n"/>
    </row>
    <row r="229" ht="15" customHeight="1" s="595">
      <c r="A229" s="101" t="n">
        <v>65</v>
      </c>
      <c r="B229" s="144">
        <f>IF(INDEX(MO_SNA_IsHistoricalPeriod,,MATCH(F229,MO_Common_ColumnHeader,0)),"Historical","Forward")</f>
        <v/>
      </c>
      <c r="C229" s="652" t="n"/>
      <c r="D229" s="151" t="inlineStr">
        <is>
          <t>Effective tax rate</t>
        </is>
      </c>
      <c r="E229" s="145" t="n"/>
      <c r="F229" s="144" t="inlineStr">
        <is>
          <t>FY2020</t>
        </is>
      </c>
      <c r="G229" s="144" t="n"/>
      <c r="H229" s="652" t="n"/>
      <c r="I229" s="1352" t="n">
        <v>0.13</v>
      </c>
      <c r="J229" s="1352" t="n">
        <v>0.13</v>
      </c>
      <c r="K229" s="1352">
        <f>AVERAGE(I229:J229)</f>
        <v/>
      </c>
      <c r="L229" s="652" t="n"/>
      <c r="M229" s="144">
        <f>IF(INDEX(MO_SNA_IsHistoricalPeriod,,MATCH(F229,MO_Common_ColumnHeader,0)),"Actual","Estimate")</f>
        <v/>
      </c>
      <c r="N229" s="1352">
        <f>INDEX(MO_RIS_TaxRate_Current,0,MATCH(F229,MO_Common_ColumnHeader,0))+INDEX(MO_RIS_TaxRate_Deferred,0,MATCH(F229,MO_Common_ColumnHeader,0))</f>
        <v/>
      </c>
      <c r="O229" s="652" t="n"/>
      <c r="P229" s="153">
        <f>IF(ISNUMBER(N229),N229-K229,"N/A")</f>
        <v/>
      </c>
      <c r="Q229" s="153">
        <f>IFERROR(IF(ISNUMBER(N229),(N229-K229)/ABS(K229),"N/A"),"N/A")</f>
        <v/>
      </c>
      <c r="R229" s="652" t="n"/>
      <c r="S229" s="147" t="n">
        <v>43852</v>
      </c>
      <c r="T229" s="154" t="inlineStr">
        <is>
          <t>Investor Presentation</t>
        </is>
      </c>
      <c r="U229" s="652" t="n"/>
    </row>
    <row r="230" ht="15" customHeight="1" s="595">
      <c r="A230" s="101" t="n">
        <v>64</v>
      </c>
      <c r="B230" s="652" t="n"/>
      <c r="C230" s="652" t="n"/>
      <c r="D230" s="131" t="n"/>
      <c r="E230" s="653" t="n"/>
      <c r="F230" s="652" t="n"/>
      <c r="G230" s="652" t="n"/>
      <c r="H230" s="652" t="n"/>
      <c r="I230" s="1562" t="n"/>
      <c r="J230" s="1562" t="n"/>
      <c r="K230" s="1562" t="n"/>
      <c r="L230" s="652" t="n"/>
      <c r="M230" s="652" t="n"/>
      <c r="N230" s="1562" t="n"/>
      <c r="O230" s="652" t="n"/>
      <c r="P230" s="2111" t="n"/>
      <c r="Q230" s="271" t="n"/>
      <c r="R230" s="652" t="n"/>
      <c r="S230" s="136" t="n"/>
      <c r="T230" s="155" t="n"/>
      <c r="U230" s="652" t="n"/>
    </row>
    <row r="231" ht="15" customFormat="1" customHeight="1" s="631">
      <c r="A231" s="101" t="n">
        <v>63</v>
      </c>
      <c r="B231" s="144">
        <f>IF(INDEX(MO_SNA_IsHistoricalPeriod,,MATCH(F231,MO_Common_ColumnHeader,0)),"Historical","Forward")</f>
        <v/>
      </c>
      <c r="C231" s="652" t="n"/>
      <c r="D231" s="151">
        <f>INDEX(INDIRECT(E231),0,COLUMN(MO_Common_Column_A))</f>
        <v/>
      </c>
      <c r="E231" s="145" t="inlineStr">
        <is>
          <t>MO_RIS_REV</t>
        </is>
      </c>
      <c r="F231" s="144" t="inlineStr">
        <is>
          <t>Q1-2020</t>
        </is>
      </c>
      <c r="G231" s="144" t="n"/>
      <c r="H231" s="652" t="n"/>
      <c r="I231" s="1637" t="n">
        <v>3100</v>
      </c>
      <c r="J231" s="1637" t="n">
        <v>3300</v>
      </c>
      <c r="K231" s="1637">
        <f>AVERAGE(I231:J231)</f>
        <v/>
      </c>
      <c r="L231" s="652" t="n"/>
      <c r="M231" s="144">
        <f>IF(INDEX(MO_SNA_IsHistoricalPeriod,,MATCH(F231,MO_Common_ColumnHeader,0)),"Actual","Estimate")</f>
        <v/>
      </c>
      <c r="N231" s="1637">
        <f>IFERROR(INDEX(INDIRECT(E231),0,MATCH(F231,MO_Common_ColumnHeader,0)),"N/A")</f>
        <v/>
      </c>
      <c r="O231" s="652" t="n"/>
      <c r="P231" s="2110">
        <f>IF(ISNUMBER(N231),N231-K231,"N/A")</f>
        <v/>
      </c>
      <c r="Q231" s="153">
        <f>IFERROR(IF(ISNUMBER(N231),(N231-K231)/ABS(K231),"N/A"),"N/A")</f>
        <v/>
      </c>
      <c r="R231" s="652" t="n"/>
      <c r="S231" s="147" t="n">
        <v>43852</v>
      </c>
      <c r="T231" s="154" t="inlineStr">
        <is>
          <t>Investor Presentation</t>
        </is>
      </c>
      <c r="U231" s="652" t="n"/>
    </row>
    <row r="232" ht="15" customFormat="1" customHeight="1" s="631">
      <c r="A232" s="101" t="n">
        <v>62</v>
      </c>
      <c r="B232" s="144">
        <f>IF(INDEX(MO_SNA_IsHistoricalPeriod,,MATCH(F232,MO_Common_ColumnHeader,0)),"Historical","Forward")</f>
        <v/>
      </c>
      <c r="C232" s="652" t="n"/>
      <c r="D232" s="151" t="inlineStr">
        <is>
          <t>Installed Base Management sales</t>
        </is>
      </c>
      <c r="E232" s="145" t="inlineStr">
        <is>
          <t>z_I9KH3H0125_MO_OS_Netserviceandfieldoptionsales</t>
        </is>
      </c>
      <c r="F232" s="144" t="inlineStr">
        <is>
          <t>Q1-2020</t>
        </is>
      </c>
      <c r="G232" s="144" t="n"/>
      <c r="H232" s="652" t="n"/>
      <c r="I232" s="1637" t="n">
        <v>950</v>
      </c>
      <c r="J232" s="1637" t="n">
        <v>950</v>
      </c>
      <c r="K232" s="1637">
        <f>AVERAGE(I232:J232)</f>
        <v/>
      </c>
      <c r="L232" s="652" t="n"/>
      <c r="M232" s="144">
        <f>IF(INDEX(MO_SNA_IsHistoricalPeriod,,MATCH(F232,MO_Common_ColumnHeader,0)),"Actual","Estimate")</f>
        <v/>
      </c>
      <c r="N232" s="1637">
        <f>IFERROR(INDEX(INDIRECT(E232),0,MATCH(F232,MO_Common_ColumnHeader,0)),"N/A")</f>
        <v/>
      </c>
      <c r="O232" s="652" t="n"/>
      <c r="P232" s="2110">
        <f>IF(ISNUMBER(N232),N232-K232,"N/A")</f>
        <v/>
      </c>
      <c r="Q232" s="153">
        <f>IFERROR(IF(ISNUMBER(N232),(N232-K232)/ABS(K232),"N/A"),"N/A")</f>
        <v/>
      </c>
      <c r="R232" s="652" t="n"/>
      <c r="S232" s="147" t="n">
        <v>43852</v>
      </c>
      <c r="T232" s="154" t="inlineStr">
        <is>
          <t>Investor Presentation</t>
        </is>
      </c>
      <c r="U232" s="652" t="n"/>
    </row>
    <row r="233" ht="15" customFormat="1" customHeight="1" s="631">
      <c r="A233" s="101" t="n">
        <v>61</v>
      </c>
      <c r="B233" s="144">
        <f>IF(INDEX(MO_SNA_IsHistoricalPeriod,,MATCH(F233,MO_Common_ColumnHeader,0)),"Historical","Forward")</f>
        <v/>
      </c>
      <c r="C233" s="652" t="n"/>
      <c r="D233" s="151">
        <f>INDEX(INDIRECT(E233),0,COLUMN(MO_Common_Column_A))</f>
        <v/>
      </c>
      <c r="E233" s="145" t="inlineStr">
        <is>
          <t>MO_MA_GM</t>
        </is>
      </c>
      <c r="F233" s="144" t="inlineStr">
        <is>
          <t>Q1-2020</t>
        </is>
      </c>
      <c r="G233" s="144" t="n"/>
      <c r="H233" s="652" t="n"/>
      <c r="I233" s="1352" t="n">
        <v>0.46</v>
      </c>
      <c r="J233" s="1352" t="n">
        <v>0.47</v>
      </c>
      <c r="K233" s="1352">
        <f>AVERAGE(I233:J233)</f>
        <v/>
      </c>
      <c r="L233" s="652" t="n"/>
      <c r="M233" s="144">
        <f>IF(INDEX(MO_SNA_IsHistoricalPeriod,,MATCH(F233,MO_Common_ColumnHeader,0)),"Actual","Estimate")</f>
        <v/>
      </c>
      <c r="N233" s="1352">
        <f>IFERROR(INDEX(INDIRECT(E233),0,MATCH(F233,MO_Common_ColumnHeader,0)),"N/A")</f>
        <v/>
      </c>
      <c r="O233" s="652" t="n"/>
      <c r="P233" s="153">
        <f>IF(ISNUMBER(N233),N233-K233,"N/A")</f>
        <v/>
      </c>
      <c r="Q233" s="153">
        <f>IFERROR(IF(ISNUMBER(N233),(N233-K233)/ABS(K233),"N/A"),"N/A")</f>
        <v/>
      </c>
      <c r="R233" s="652" t="n"/>
      <c r="S233" s="147" t="n">
        <v>43852</v>
      </c>
      <c r="T233" s="154" t="inlineStr">
        <is>
          <t>Investor Presentation</t>
        </is>
      </c>
      <c r="U233" s="652" t="n"/>
    </row>
    <row r="234" ht="15" customFormat="1" customHeight="1" s="631">
      <c r="A234" s="101" t="n">
        <v>60</v>
      </c>
      <c r="B234" s="144">
        <f>IF(INDEX(MO_SNA_IsHistoricalPeriod,,MATCH(F234,MO_Common_ColumnHeader,0)),"Historical","Forward")</f>
        <v/>
      </c>
      <c r="C234" s="652" t="n"/>
      <c r="D234" s="151" t="inlineStr">
        <is>
          <t>R&amp;D Expense</t>
        </is>
      </c>
      <c r="E234" s="145" t="inlineStr">
        <is>
          <t>MO_RIS_RD</t>
        </is>
      </c>
      <c r="F234" s="144" t="inlineStr">
        <is>
          <t>Q1-2020</t>
        </is>
      </c>
      <c r="G234" s="144" t="n"/>
      <c r="H234" s="652" t="n"/>
      <c r="I234" s="1637" t="n">
        <v>550</v>
      </c>
      <c r="J234" s="1637" t="n">
        <v>550</v>
      </c>
      <c r="K234" s="1637">
        <f>AVERAGE(I234:J234)</f>
        <v/>
      </c>
      <c r="L234" s="652" t="n"/>
      <c r="M234" s="144">
        <f>IF(INDEX(MO_SNA_IsHistoricalPeriod,,MATCH(F234,MO_Common_ColumnHeader,0)),"Actual","Estimate")</f>
        <v/>
      </c>
      <c r="N234" s="1637">
        <f>IFERROR(INDEX(INDIRECT(E234),0,MATCH(F234,MO_Common_ColumnHeader,0)),"N/A")</f>
        <v/>
      </c>
      <c r="O234" s="652" t="n"/>
      <c r="P234" s="2110">
        <f>IF(ISNUMBER(N234),N234-K234,"N/A")</f>
        <v/>
      </c>
      <c r="Q234" s="153">
        <f>IFERROR(IF(ISNUMBER(N234),(N234-K234)/ABS(K234),"N/A"),"N/A")</f>
        <v/>
      </c>
      <c r="R234" s="652" t="n"/>
      <c r="S234" s="147" t="n">
        <v>43852</v>
      </c>
      <c r="T234" s="154" t="inlineStr">
        <is>
          <t>Investor Presentation</t>
        </is>
      </c>
      <c r="U234" s="652" t="n"/>
    </row>
    <row r="235" ht="15" customFormat="1" customHeight="1" s="631">
      <c r="A235" s="101" t="n">
        <v>59</v>
      </c>
      <c r="B235" s="144">
        <f>IF(INDEX(MO_SNA_IsHistoricalPeriod,,MATCH(F235,MO_Common_ColumnHeader,0)),"Historical","Forward")</f>
        <v/>
      </c>
      <c r="C235" s="652" t="n"/>
      <c r="D235" s="151">
        <f>INDEX(INDIRECT(E235),0,COLUMN(MO_Common_Column_A))</f>
        <v/>
      </c>
      <c r="E235" s="145" t="inlineStr">
        <is>
          <t>MO_RIS_SGA</t>
        </is>
      </c>
      <c r="F235" s="144" t="inlineStr">
        <is>
          <t>Q1-2020</t>
        </is>
      </c>
      <c r="G235" s="144" t="n"/>
      <c r="H235" s="652" t="n"/>
      <c r="I235" s="1637" t="n">
        <v>140</v>
      </c>
      <c r="J235" s="1637" t="n">
        <v>140</v>
      </c>
      <c r="K235" s="1637">
        <f>AVERAGE(I235:J235)</f>
        <v/>
      </c>
      <c r="L235" s="652" t="n"/>
      <c r="M235" s="144">
        <f>IF(INDEX(MO_SNA_IsHistoricalPeriod,,MATCH(F235,MO_Common_ColumnHeader,0)),"Actual","Estimate")</f>
        <v/>
      </c>
      <c r="N235" s="1637">
        <f>IFERROR(INDEX(INDIRECT(E235),0,MATCH(F235,MO_Common_ColumnHeader,0)),"N/A")</f>
        <v/>
      </c>
      <c r="O235" s="652" t="n"/>
      <c r="P235" s="2110">
        <f>IF(ISNUMBER(N235),N235-K235,"N/A")</f>
        <v/>
      </c>
      <c r="Q235" s="153">
        <f>IFERROR(IF(ISNUMBER(N235),(N235-K235)/ABS(K235),"N/A"),"N/A")</f>
        <v/>
      </c>
      <c r="R235" s="652" t="n"/>
      <c r="S235" s="147" t="n">
        <v>43852</v>
      </c>
      <c r="T235" s="154" t="inlineStr">
        <is>
          <t>Investor Presentation</t>
        </is>
      </c>
      <c r="U235" s="652" t="n"/>
    </row>
    <row r="236" ht="15" customHeight="1" s="595">
      <c r="A236" s="101" t="n">
        <v>58</v>
      </c>
      <c r="B236" s="652" t="n"/>
      <c r="C236" s="652" t="n"/>
      <c r="D236" s="131" t="n"/>
      <c r="E236" s="653" t="n"/>
      <c r="F236" s="652" t="n"/>
      <c r="G236" s="652" t="n"/>
      <c r="H236" s="652" t="n"/>
      <c r="I236" s="1562" t="n"/>
      <c r="J236" s="1562" t="n"/>
      <c r="K236" s="1562" t="n"/>
      <c r="L236" s="652" t="n"/>
      <c r="M236" s="652" t="n"/>
      <c r="N236" s="1562" t="n"/>
      <c r="O236" s="652" t="n"/>
      <c r="P236" s="2111" t="n"/>
      <c r="Q236" s="271" t="n"/>
      <c r="R236" s="652" t="n"/>
      <c r="S236" s="136" t="n"/>
      <c r="T236" s="155" t="n"/>
      <c r="U236" s="652" t="n"/>
    </row>
    <row r="237" ht="15" customHeight="1" s="595">
      <c r="A237" s="101" t="n">
        <v>57</v>
      </c>
      <c r="B237" s="144">
        <f>IF(INDEX(MO_SNA_IsHistoricalPeriod,,MATCH(F237,MO_Common_ColumnHeader,0)),"Historical","Forward")</f>
        <v/>
      </c>
      <c r="C237" s="652" t="n"/>
      <c r="D237" s="151" t="inlineStr">
        <is>
          <t>Effective tax rate</t>
        </is>
      </c>
      <c r="E237" s="145" t="n"/>
      <c r="F237" s="144" t="inlineStr">
        <is>
          <t>FY2019</t>
        </is>
      </c>
      <c r="G237" s="144" t="n"/>
      <c r="H237" s="652" t="n"/>
      <c r="I237" s="1352" t="n">
        <v>0.07000000000000001</v>
      </c>
      <c r="J237" s="1352" t="n">
        <v>0.07000000000000001</v>
      </c>
      <c r="K237" s="1352">
        <f>AVERAGE(I237:J237)</f>
        <v/>
      </c>
      <c r="L237" s="652" t="n"/>
      <c r="M237" s="144">
        <f>IF(INDEX(MO_SNA_IsHistoricalPeriod,,MATCH(F237,MO_Common_ColumnHeader,0)),"Actual","Estimate")</f>
        <v/>
      </c>
      <c r="N237" s="1352">
        <f>INDEX(MO_RIS_TaxRate_Current,0,MATCH(F237,MO_Common_ColumnHeader,0))+INDEX(MO_RIS_TaxRate_Deferred,0,MATCH(F237,MO_Common_ColumnHeader,0))</f>
        <v/>
      </c>
      <c r="O237" s="652" t="n"/>
      <c r="P237" s="153">
        <f>IF(ISNUMBER(N237),N237-K237,"N/A")</f>
        <v/>
      </c>
      <c r="Q237" s="153">
        <f>IFERROR(IF(ISNUMBER(N237),(N237-K237)/ABS(K237),"N/A"),"N/A")</f>
        <v/>
      </c>
      <c r="R237" s="652" t="n"/>
      <c r="S237" s="147" t="n">
        <v>43754</v>
      </c>
      <c r="T237" s="154" t="inlineStr">
        <is>
          <t>Investor Presentation</t>
        </is>
      </c>
      <c r="U237" s="652" t="n"/>
    </row>
    <row r="238" ht="15" customHeight="1" s="595">
      <c r="A238" s="101" t="n">
        <v>56</v>
      </c>
      <c r="B238" s="652" t="n"/>
      <c r="C238" s="652" t="n"/>
      <c r="D238" s="131" t="n"/>
      <c r="E238" s="653" t="n"/>
      <c r="F238" s="652" t="n"/>
      <c r="G238" s="652" t="n"/>
      <c r="H238" s="652" t="n"/>
      <c r="I238" s="1562" t="n"/>
      <c r="J238" s="1562" t="n"/>
      <c r="K238" s="1562" t="n"/>
      <c r="L238" s="652" t="n"/>
      <c r="M238" s="652" t="n"/>
      <c r="N238" s="1562" t="n"/>
      <c r="O238" s="652" t="n"/>
      <c r="P238" s="2111" t="n"/>
      <c r="Q238" s="271" t="n"/>
      <c r="R238" s="652" t="n"/>
      <c r="S238" s="136" t="n"/>
      <c r="T238" s="155" t="n"/>
      <c r="U238" s="652" t="n"/>
    </row>
    <row r="239" ht="15" customHeight="1" s="595">
      <c r="A239" s="101" t="n">
        <v>55</v>
      </c>
      <c r="B239" s="144">
        <f>IF(INDEX(MO_SNA_IsHistoricalPeriod,,MATCH(F239,MO_Common_ColumnHeader,0)),"Historical","Forward")</f>
        <v/>
      </c>
      <c r="C239" s="652" t="n"/>
      <c r="D239" s="151">
        <f>INDEX(INDIRECT(E239),0,COLUMN(MO_Common_Column_A))</f>
        <v/>
      </c>
      <c r="E239" s="145" t="inlineStr">
        <is>
          <t>MO_RIS_REV</t>
        </is>
      </c>
      <c r="F239" s="144" t="inlineStr">
        <is>
          <t>Q4-2019</t>
        </is>
      </c>
      <c r="G239" s="144" t="n"/>
      <c r="H239" s="652" t="n"/>
      <c r="I239" s="1637" t="n">
        <v>3900</v>
      </c>
      <c r="J239" s="1637" t="n">
        <v>3900</v>
      </c>
      <c r="K239" s="1637">
        <f>AVERAGE(I239:J239)</f>
        <v/>
      </c>
      <c r="L239" s="652" t="n"/>
      <c r="M239" s="144">
        <f>IF(INDEX(MO_SNA_IsHistoricalPeriod,,MATCH(F239,MO_Common_ColumnHeader,0)),"Actual","Estimate")</f>
        <v/>
      </c>
      <c r="N239" s="1637">
        <f>IFERROR(INDEX(INDIRECT(E239),0,MATCH(F239,MO_Common_ColumnHeader,0)),"N/A")</f>
        <v/>
      </c>
      <c r="O239" s="652" t="n"/>
      <c r="P239" s="2110">
        <f>IF(ISNUMBER(N239),N239-K239,"N/A")</f>
        <v/>
      </c>
      <c r="Q239" s="153">
        <f>IFERROR(IF(ISNUMBER(N239),(N239-K239)/ABS(K239),"N/A"),"N/A")</f>
        <v/>
      </c>
      <c r="R239" s="652" t="n"/>
      <c r="S239" s="147" t="n">
        <v>43754</v>
      </c>
      <c r="T239" s="154" t="inlineStr">
        <is>
          <t>Investor Presentation</t>
        </is>
      </c>
      <c r="U239" s="652" t="n"/>
    </row>
    <row r="240" ht="15" customHeight="1" s="595">
      <c r="A240" s="101" t="n">
        <v>54</v>
      </c>
      <c r="B240" s="144">
        <f>IF(INDEX(MO_SNA_IsHistoricalPeriod,,MATCH(F240,MO_Common_ColumnHeader,0)),"Historical","Forward")</f>
        <v/>
      </c>
      <c r="C240" s="652" t="n"/>
      <c r="D240" s="151">
        <f>INDEX(INDIRECT(E240),0,COLUMN(MO_Common_Column_A))</f>
        <v/>
      </c>
      <c r="E240" s="145" t="inlineStr">
        <is>
          <t>z_I9KH3H0125_MO_OS_EUVsales_1</t>
        </is>
      </c>
      <c r="F240" s="144" t="inlineStr">
        <is>
          <t>Q4-2019</t>
        </is>
      </c>
      <c r="G240" s="144" t="n"/>
      <c r="H240" s="652" t="n"/>
      <c r="I240" s="1674" t="n">
        <v>8</v>
      </c>
      <c r="J240" s="1674" t="n">
        <v>8</v>
      </c>
      <c r="K240" s="1674">
        <f>AVERAGE(I240:J240)</f>
        <v/>
      </c>
      <c r="L240" s="652" t="n"/>
      <c r="M240" s="144">
        <f>IF(INDEX(MO_SNA_IsHistoricalPeriod,,MATCH(F240,MO_Common_ColumnHeader,0)),"Actual","Estimate")</f>
        <v/>
      </c>
      <c r="N240" s="1674">
        <f>IFERROR(INDEX(INDIRECT(E240),0,MATCH(F240,MO_Common_ColumnHeader,0)),"N/A")</f>
        <v/>
      </c>
      <c r="O240" s="1675" t="n"/>
      <c r="P240" s="2112">
        <f>IF(ISNUMBER(N240),N240-K240,"N/A")</f>
        <v/>
      </c>
      <c r="Q240" s="153">
        <f>IFERROR(IF(ISNUMBER(N240),(N240-K240)/ABS(K240),"N/A"),"N/A")</f>
        <v/>
      </c>
      <c r="R240" s="652" t="n"/>
      <c r="S240" s="147" t="n">
        <v>43754</v>
      </c>
      <c r="T240" s="154" t="inlineStr">
        <is>
          <t>Investor Presentation</t>
        </is>
      </c>
      <c r="U240" s="652" t="n"/>
    </row>
    <row r="241" ht="15" customHeight="1" s="595">
      <c r="A241" s="101" t="n">
        <v>53</v>
      </c>
      <c r="B241" s="144">
        <f>IF(INDEX(MO_SNA_IsHistoricalPeriod,,MATCH(F241,MO_Common_ColumnHeader,0)),"Historical","Forward")</f>
        <v/>
      </c>
      <c r="C241" s="652" t="n"/>
      <c r="D241" s="151">
        <f>INDEX(INDIRECT(E241),0,COLUMN(MO_Common_Column_A))</f>
        <v/>
      </c>
      <c r="E241" s="145" t="inlineStr">
        <is>
          <t>z_I9KH3H0125_MO_OS_EUVsales</t>
        </is>
      </c>
      <c r="F241" s="144" t="inlineStr">
        <is>
          <t>Q4-2019</t>
        </is>
      </c>
      <c r="G241" s="144" t="n"/>
      <c r="H241" s="652" t="n"/>
      <c r="I241" s="1637" t="n">
        <v>950</v>
      </c>
      <c r="J241" s="1637" t="n">
        <v>950</v>
      </c>
      <c r="K241" s="1637">
        <f>AVERAGE(I241:J241)</f>
        <v/>
      </c>
      <c r="L241" s="652" t="n"/>
      <c r="M241" s="144">
        <f>IF(INDEX(MO_SNA_IsHistoricalPeriod,,MATCH(F241,MO_Common_ColumnHeader,0)),"Actual","Estimate")</f>
        <v/>
      </c>
      <c r="N241" s="1637">
        <f>IFERROR(INDEX(INDIRECT(E241),0,MATCH(F241,MO_Common_ColumnHeader,0)),"N/A")</f>
        <v/>
      </c>
      <c r="O241" s="1562" t="n"/>
      <c r="P241" s="2110">
        <f>IF(ISNUMBER(N241),N241-K241,"N/A")</f>
        <v/>
      </c>
      <c r="Q241" s="153">
        <f>IFERROR(IF(ISNUMBER(N241),(N241-K241)/ABS(K241),"N/A"),"N/A")</f>
        <v/>
      </c>
      <c r="R241" s="652" t="n"/>
      <c r="S241" s="147" t="n">
        <v>43754</v>
      </c>
      <c r="T241" s="154" t="inlineStr">
        <is>
          <t>Investor Presentation</t>
        </is>
      </c>
      <c r="U241" s="652" t="n"/>
    </row>
    <row r="242" ht="15" customHeight="1" s="595">
      <c r="A242" s="101" t="n">
        <v>52</v>
      </c>
      <c r="B242" s="144">
        <f>IF(INDEX(MO_SNA_IsHistoricalPeriod,,MATCH(F242,MO_Common_ColumnHeader,0)),"Historical","Forward")</f>
        <v/>
      </c>
      <c r="C242" s="652" t="n"/>
      <c r="D242" s="151" t="inlineStr">
        <is>
          <t>Installed Base Management sales</t>
        </is>
      </c>
      <c r="E242" s="145" t="inlineStr">
        <is>
          <t>z_I9KH3H0125_MO_OS_Netserviceandfieldoptionsales</t>
        </is>
      </c>
      <c r="F242" s="144" t="inlineStr">
        <is>
          <t>Q4-2019</t>
        </is>
      </c>
      <c r="G242" s="144" t="n"/>
      <c r="H242" s="652" t="n"/>
      <c r="I242" s="1637" t="n">
        <v>850</v>
      </c>
      <c r="J242" s="1637" t="n">
        <v>850</v>
      </c>
      <c r="K242" s="1637">
        <f>AVERAGE(I242:J242)</f>
        <v/>
      </c>
      <c r="L242" s="652" t="n"/>
      <c r="M242" s="144">
        <f>IF(INDEX(MO_SNA_IsHistoricalPeriod,,MATCH(F242,MO_Common_ColumnHeader,0)),"Actual","Estimate")</f>
        <v/>
      </c>
      <c r="N242" s="1637">
        <f>IFERROR(INDEX(INDIRECT(E242),0,MATCH(F242,MO_Common_ColumnHeader,0)),"N/A")</f>
        <v/>
      </c>
      <c r="O242" s="652" t="n"/>
      <c r="P242" s="2110">
        <f>IF(ISNUMBER(N242),N242-K242,"N/A")</f>
        <v/>
      </c>
      <c r="Q242" s="153">
        <f>IFERROR(IF(ISNUMBER(N242),(N242-K242)/ABS(K242),"N/A"),"N/A")</f>
        <v/>
      </c>
      <c r="R242" s="652" t="n"/>
      <c r="S242" s="147" t="n">
        <v>43754</v>
      </c>
      <c r="T242" s="154" t="inlineStr">
        <is>
          <t>Investor Presentation</t>
        </is>
      </c>
      <c r="U242" s="652" t="n"/>
    </row>
    <row r="243" ht="15" customHeight="1" s="595">
      <c r="A243" s="101" t="n">
        <v>51</v>
      </c>
      <c r="B243" s="144">
        <f>IF(INDEX(MO_SNA_IsHistoricalPeriod,,MATCH(F243,MO_Common_ColumnHeader,0)),"Historical","Forward")</f>
        <v/>
      </c>
      <c r="C243" s="652" t="n"/>
      <c r="D243" s="151">
        <f>INDEX(INDIRECT(E243),0,COLUMN(MO_Common_Column_A))</f>
        <v/>
      </c>
      <c r="E243" s="145" t="inlineStr">
        <is>
          <t>MO_MA_GM</t>
        </is>
      </c>
      <c r="F243" s="144" t="inlineStr">
        <is>
          <t>Q4-2019</t>
        </is>
      </c>
      <c r="G243" s="144" t="n"/>
      <c r="H243" s="652" t="n"/>
      <c r="I243" s="1352" t="n">
        <v>0.48</v>
      </c>
      <c r="J243" s="1352" t="n">
        <v>0.49</v>
      </c>
      <c r="K243" s="1352">
        <f>AVERAGE(I243:J243)</f>
        <v/>
      </c>
      <c r="L243" s="652" t="n"/>
      <c r="M243" s="144">
        <f>IF(INDEX(MO_SNA_IsHistoricalPeriod,,MATCH(F243,MO_Common_ColumnHeader,0)),"Actual","Estimate")</f>
        <v/>
      </c>
      <c r="N243" s="1352">
        <f>IFERROR(INDEX(INDIRECT(E243),0,MATCH(F243,MO_Common_ColumnHeader,0)),"N/A")</f>
        <v/>
      </c>
      <c r="O243" s="652" t="n"/>
      <c r="P243" s="153">
        <f>IF(ISNUMBER(N243),N243-K243,"N/A")</f>
        <v/>
      </c>
      <c r="Q243" s="153">
        <f>IFERROR(IF(ISNUMBER(N243),(N243-K243)/ABS(K243),"N/A"),"N/A")</f>
        <v/>
      </c>
      <c r="R243" s="652" t="n"/>
      <c r="S243" s="147" t="n">
        <v>43754</v>
      </c>
      <c r="T243" s="154" t="inlineStr">
        <is>
          <t>Investor Presentation</t>
        </is>
      </c>
      <c r="U243" s="652" t="n"/>
    </row>
    <row r="244" ht="15" customHeight="1" s="595">
      <c r="A244" s="101" t="n">
        <v>50</v>
      </c>
      <c r="B244" s="144">
        <f>IF(INDEX(MO_SNA_IsHistoricalPeriod,,MATCH(F244,MO_Common_ColumnHeader,0)),"Historical","Forward")</f>
        <v/>
      </c>
      <c r="C244" s="652" t="n"/>
      <c r="D244" s="151" t="inlineStr">
        <is>
          <t>R&amp;D Expense</t>
        </is>
      </c>
      <c r="E244" s="145" t="inlineStr">
        <is>
          <t>MO_RIS_RD</t>
        </is>
      </c>
      <c r="F244" s="144" t="inlineStr">
        <is>
          <t>Q4-2019</t>
        </is>
      </c>
      <c r="G244" s="144" t="n"/>
      <c r="H244" s="652" t="n"/>
      <c r="I244" s="1637" t="n">
        <v>500</v>
      </c>
      <c r="J244" s="1637" t="n">
        <v>500</v>
      </c>
      <c r="K244" s="1637">
        <f>AVERAGE(I244:J244)</f>
        <v/>
      </c>
      <c r="L244" s="652" t="n"/>
      <c r="M244" s="144">
        <f>IF(INDEX(MO_SNA_IsHistoricalPeriod,,MATCH(F244,MO_Common_ColumnHeader,0)),"Actual","Estimate")</f>
        <v/>
      </c>
      <c r="N244" s="1637">
        <f>IFERROR(INDEX(INDIRECT(E244),0,MATCH(F244,MO_Common_ColumnHeader,0)),"N/A")</f>
        <v/>
      </c>
      <c r="O244" s="652" t="n"/>
      <c r="P244" s="2110">
        <f>IF(ISNUMBER(N244),N244-K244,"N/A")</f>
        <v/>
      </c>
      <c r="Q244" s="153">
        <f>IFERROR(IF(ISNUMBER(N244),(N244-K244)/ABS(K244),"N/A"),"N/A")</f>
        <v/>
      </c>
      <c r="R244" s="652" t="n"/>
      <c r="S244" s="147" t="n">
        <v>43754</v>
      </c>
      <c r="T244" s="154" t="inlineStr">
        <is>
          <t>Investor Presentation</t>
        </is>
      </c>
      <c r="U244" s="652" t="n"/>
    </row>
    <row r="245" ht="15" customHeight="1" s="595">
      <c r="A245" s="101" t="n">
        <v>49</v>
      </c>
      <c r="B245" s="144">
        <f>IF(INDEX(MO_SNA_IsHistoricalPeriod,,MATCH(F245,MO_Common_ColumnHeader,0)),"Historical","Forward")</f>
        <v/>
      </c>
      <c r="C245" s="652" t="n"/>
      <c r="D245" s="151">
        <f>INDEX(INDIRECT(E245),0,COLUMN(MO_Common_Column_A))</f>
        <v/>
      </c>
      <c r="E245" s="145" t="inlineStr">
        <is>
          <t>MO_RIS_SGA</t>
        </is>
      </c>
      <c r="F245" s="144" t="inlineStr">
        <is>
          <t>Q4-2019</t>
        </is>
      </c>
      <c r="G245" s="144" t="n"/>
      <c r="H245" s="652" t="n"/>
      <c r="I245" s="1637" t="n">
        <v>135</v>
      </c>
      <c r="J245" s="1637" t="n">
        <v>135</v>
      </c>
      <c r="K245" s="1637">
        <f>AVERAGE(I245:J245)</f>
        <v/>
      </c>
      <c r="L245" s="652" t="n"/>
      <c r="M245" s="144">
        <f>IF(INDEX(MO_SNA_IsHistoricalPeriod,,MATCH(F245,MO_Common_ColumnHeader,0)),"Actual","Estimate")</f>
        <v/>
      </c>
      <c r="N245" s="1637">
        <f>IFERROR(INDEX(INDIRECT(E245),0,MATCH(F245,MO_Common_ColumnHeader,0)),"N/A")</f>
        <v/>
      </c>
      <c r="O245" s="652" t="n"/>
      <c r="P245" s="2110">
        <f>IF(ISNUMBER(N245),N245-K245,"N/A")</f>
        <v/>
      </c>
      <c r="Q245" s="153">
        <f>IFERROR(IF(ISNUMBER(N245),(N245-K245)/ABS(K245),"N/A"),"N/A")</f>
        <v/>
      </c>
      <c r="R245" s="652" t="n"/>
      <c r="S245" s="147" t="n">
        <v>43754</v>
      </c>
      <c r="T245" s="154" t="inlineStr">
        <is>
          <t>Investor Presentation</t>
        </is>
      </c>
      <c r="U245" s="652" t="n"/>
    </row>
    <row r="246" ht="15" customHeight="1" s="595">
      <c r="A246" s="101" t="n">
        <v>48</v>
      </c>
      <c r="B246" s="652" t="n"/>
      <c r="C246" s="652" t="n"/>
      <c r="D246" s="131" t="n"/>
      <c r="E246" s="653" t="n"/>
      <c r="F246" s="652" t="n"/>
      <c r="G246" s="652" t="n"/>
      <c r="H246" s="652" t="n"/>
      <c r="I246" s="1562" t="n"/>
      <c r="J246" s="1562" t="n"/>
      <c r="K246" s="1562" t="n"/>
      <c r="L246" s="652" t="n"/>
      <c r="M246" s="652" t="n"/>
      <c r="N246" s="1562" t="n"/>
      <c r="O246" s="652" t="n"/>
      <c r="P246" s="2111" t="n"/>
      <c r="Q246" s="271" t="n"/>
      <c r="R246" s="652" t="n"/>
      <c r="S246" s="136" t="n"/>
      <c r="T246" s="155" t="n"/>
      <c r="U246" s="652" t="n"/>
    </row>
    <row r="247" ht="15" customHeight="1" s="595">
      <c r="A247" s="101" t="n">
        <v>47</v>
      </c>
      <c r="B247" s="144">
        <f>IF(INDEX(MO_SNA_IsHistoricalPeriod,,MATCH(F247,MO_Common_ColumnHeader,0)),"Historical","Forward")</f>
        <v/>
      </c>
      <c r="C247" s="652" t="n"/>
      <c r="D247" s="151" t="inlineStr">
        <is>
          <t>Effective tax rate</t>
        </is>
      </c>
      <c r="E247" s="145" t="n"/>
      <c r="F247" s="144" t="inlineStr">
        <is>
          <t>FY2019</t>
        </is>
      </c>
      <c r="G247" s="144" t="n"/>
      <c r="H247" s="652" t="n"/>
      <c r="I247" s="1352" t="n">
        <v>0.09</v>
      </c>
      <c r="J247" s="1352" t="n">
        <v>0.09</v>
      </c>
      <c r="K247" s="1352">
        <f>AVERAGE(I247:J247)</f>
        <v/>
      </c>
      <c r="L247" s="652" t="n"/>
      <c r="M247" s="144">
        <f>IF(INDEX(MO_SNA_IsHistoricalPeriod,,MATCH(F247,MO_Common_ColumnHeader,0)),"Actual","Estimate")</f>
        <v/>
      </c>
      <c r="N247" s="1352">
        <f>INDEX(MO_RIS_TaxRate_Current,0,MATCH(F247,MO_Common_ColumnHeader,0))+INDEX(MO_RIS_TaxRate_Deferred,0,MATCH(F247,MO_Common_ColumnHeader,0))</f>
        <v/>
      </c>
      <c r="O247" s="652" t="n"/>
      <c r="P247" s="153">
        <f>IF(ISNUMBER(N247),N247-K247,"N/A")</f>
        <v/>
      </c>
      <c r="Q247" s="153">
        <f>IFERROR(IF(ISNUMBER(N247),(N247-K247)/ABS(K247),"N/A"),"N/A")</f>
        <v/>
      </c>
      <c r="R247" s="652" t="n"/>
      <c r="S247" s="147" t="n">
        <v>43663</v>
      </c>
      <c r="T247" s="154" t="inlineStr">
        <is>
          <t>Investor Presentation</t>
        </is>
      </c>
      <c r="U247" s="652" t="n"/>
    </row>
    <row r="248" ht="15" customHeight="1" s="595">
      <c r="A248" s="101" t="n">
        <v>46</v>
      </c>
      <c r="B248" s="652" t="n"/>
      <c r="C248" s="652" t="n"/>
      <c r="D248" s="131" t="n"/>
      <c r="E248" s="653" t="n"/>
      <c r="F248" s="652" t="n"/>
      <c r="G248" s="652" t="n"/>
      <c r="H248" s="652" t="n"/>
      <c r="I248" s="1562" t="n"/>
      <c r="J248" s="1562" t="n"/>
      <c r="K248" s="1562" t="n"/>
      <c r="L248" s="652" t="n"/>
      <c r="M248" s="652" t="n"/>
      <c r="N248" s="1562" t="n"/>
      <c r="O248" s="652" t="n"/>
      <c r="P248" s="2111" t="n"/>
      <c r="Q248" s="271" t="n"/>
      <c r="R248" s="652" t="n"/>
      <c r="S248" s="136" t="n"/>
      <c r="T248" s="155" t="inlineStr">
        <is>
          <t>https://www.asml.com/-/media/asml/files/investors/financial-results/q-results/2019/q2/2019-07-17-q2-presentation.pdf</t>
        </is>
      </c>
      <c r="U248" s="652" t="n"/>
    </row>
    <row r="249" ht="15" customHeight="1" s="595">
      <c r="A249" s="101" t="n">
        <v>45</v>
      </c>
      <c r="B249" s="144">
        <f>IF(INDEX(MO_SNA_IsHistoricalPeriod,,MATCH(F249,MO_Common_ColumnHeader,0)),"Historical","Forward")</f>
        <v/>
      </c>
      <c r="C249" s="652" t="n"/>
      <c r="D249" s="151">
        <f>INDEX(INDIRECT(E249),0,COLUMN(MO_Common_Column_A))</f>
        <v/>
      </c>
      <c r="E249" s="145" t="inlineStr">
        <is>
          <t>MO_RIS_REV</t>
        </is>
      </c>
      <c r="F249" s="144" t="inlineStr">
        <is>
          <t>Q3-2019</t>
        </is>
      </c>
      <c r="G249" s="144" t="n"/>
      <c r="H249" s="652" t="n"/>
      <c r="I249" s="1637" t="n">
        <v>3000</v>
      </c>
      <c r="J249" s="1637" t="n">
        <v>3000</v>
      </c>
      <c r="K249" s="1637">
        <f>AVERAGE(I249:J249)</f>
        <v/>
      </c>
      <c r="L249" s="652" t="n"/>
      <c r="M249" s="144">
        <f>IF(INDEX(MO_SNA_IsHistoricalPeriod,,MATCH(F249,MO_Common_ColumnHeader,0)),"Actual","Estimate")</f>
        <v/>
      </c>
      <c r="N249" s="1637">
        <f>IFERROR(INDEX(INDIRECT(E249),0,MATCH(F249,MO_Common_ColumnHeader,0)),"N/A")</f>
        <v/>
      </c>
      <c r="O249" s="652" t="n"/>
      <c r="P249" s="2110">
        <f>IF(ISNUMBER(N249),N249-K249,"N/A")</f>
        <v/>
      </c>
      <c r="Q249" s="153">
        <f>IFERROR(IF(ISNUMBER(N249),(N249-K249)/ABS(K249),"N/A"),"N/A")</f>
        <v/>
      </c>
      <c r="R249" s="652" t="n"/>
      <c r="S249" s="147" t="n">
        <v>43663</v>
      </c>
      <c r="T249" s="154" t="inlineStr">
        <is>
          <t>Investor Presentation</t>
        </is>
      </c>
      <c r="U249" s="652" t="n"/>
    </row>
    <row r="250" ht="15" customHeight="1" s="595">
      <c r="A250" s="101" t="n">
        <v>44</v>
      </c>
      <c r="B250" s="144">
        <f>IF(INDEX(MO_SNA_IsHistoricalPeriod,,MATCH(F250,MO_Common_ColumnHeader,0)),"Historical","Forward")</f>
        <v/>
      </c>
      <c r="C250" s="652" t="n"/>
      <c r="D250" s="151">
        <f>INDEX(INDIRECT(E250),0,COLUMN(MO_Common_Column_A))</f>
        <v/>
      </c>
      <c r="E250" s="145" t="inlineStr">
        <is>
          <t>z_I9KH3H0125_MO_OS_EUVsales_1</t>
        </is>
      </c>
      <c r="F250" s="144" t="inlineStr">
        <is>
          <t>Q3-2019</t>
        </is>
      </c>
      <c r="G250" s="144" t="n"/>
      <c r="H250" s="652" t="n"/>
      <c r="I250" s="1674" t="n">
        <v>7</v>
      </c>
      <c r="J250" s="1674" t="n">
        <v>7</v>
      </c>
      <c r="K250" s="1674">
        <f>AVERAGE(I250:J250)</f>
        <v/>
      </c>
      <c r="L250" s="652" t="n"/>
      <c r="M250" s="144">
        <f>IF(INDEX(MO_SNA_IsHistoricalPeriod,,MATCH(F250,MO_Common_ColumnHeader,0)),"Actual","Estimate")</f>
        <v/>
      </c>
      <c r="N250" s="1674">
        <f>IFERROR(INDEX(INDIRECT(E250),0,MATCH(F250,MO_Common_ColumnHeader,0)),"N/A")</f>
        <v/>
      </c>
      <c r="O250" s="1675" t="n"/>
      <c r="P250" s="2112">
        <f>IF(ISNUMBER(N250),N250-K250,"N/A")</f>
        <v/>
      </c>
      <c r="Q250" s="153">
        <f>IFERROR(IF(ISNUMBER(N250),(N250-K250)/ABS(K250),"N/A"),"N/A")</f>
        <v/>
      </c>
      <c r="R250" s="652" t="n"/>
      <c r="S250" s="147" t="n">
        <v>43663</v>
      </c>
      <c r="T250" s="154" t="inlineStr">
        <is>
          <t>Investor Presentation</t>
        </is>
      </c>
      <c r="U250" s="652" t="n"/>
    </row>
    <row r="251" ht="15" customHeight="1" s="595">
      <c r="A251" s="101" t="n">
        <v>43</v>
      </c>
      <c r="B251" s="144">
        <f>IF(INDEX(MO_SNA_IsHistoricalPeriod,,MATCH(F251,MO_Common_ColumnHeader,0)),"Historical","Forward")</f>
        <v/>
      </c>
      <c r="C251" s="652" t="n"/>
      <c r="D251" s="151">
        <f>INDEX(INDIRECT(E251),0,COLUMN(MO_Common_Column_A))</f>
        <v/>
      </c>
      <c r="E251" s="145" t="inlineStr">
        <is>
          <t>z_I9KH3H0125_MO_OS_EUVsales</t>
        </is>
      </c>
      <c r="F251" s="144" t="inlineStr">
        <is>
          <t>Q3-2019</t>
        </is>
      </c>
      <c r="G251" s="144" t="n"/>
      <c r="H251" s="652" t="n"/>
      <c r="I251" s="1637" t="n">
        <v>750</v>
      </c>
      <c r="J251" s="1637" t="n">
        <v>750</v>
      </c>
      <c r="K251" s="1637">
        <f>AVERAGE(I251:J251)</f>
        <v/>
      </c>
      <c r="L251" s="652" t="n"/>
      <c r="M251" s="144">
        <f>IF(INDEX(MO_SNA_IsHistoricalPeriod,,MATCH(F251,MO_Common_ColumnHeader,0)),"Actual","Estimate")</f>
        <v/>
      </c>
      <c r="N251" s="1637">
        <f>IFERROR(INDEX(INDIRECT(E251),0,MATCH(F251,MO_Common_ColumnHeader,0)),"N/A")</f>
        <v/>
      </c>
      <c r="O251" s="1562" t="n"/>
      <c r="P251" s="2110">
        <f>IF(ISNUMBER(N251),N251-K251,"N/A")</f>
        <v/>
      </c>
      <c r="Q251" s="153">
        <f>IFERROR(IF(ISNUMBER(N251),(N251-K251)/ABS(K251),"N/A"),"N/A")</f>
        <v/>
      </c>
      <c r="R251" s="652" t="n"/>
      <c r="S251" s="147" t="n">
        <v>43663</v>
      </c>
      <c r="T251" s="154" t="inlineStr">
        <is>
          <t>Investor Presentation</t>
        </is>
      </c>
      <c r="U251" s="652" t="n"/>
    </row>
    <row r="252" ht="15" customHeight="1" s="595">
      <c r="A252" s="101" t="n">
        <v>42</v>
      </c>
      <c r="B252" s="144">
        <f>IF(INDEX(MO_SNA_IsHistoricalPeriod,,MATCH(F252,MO_Common_ColumnHeader,0)),"Historical","Forward")</f>
        <v/>
      </c>
      <c r="C252" s="652" t="n"/>
      <c r="D252" s="151">
        <f>INDEX(INDIRECT(E252),0,COLUMN(MO_Common_Column_A))</f>
        <v/>
      </c>
      <c r="E252" s="145" t="inlineStr">
        <is>
          <t>z_I9KH3H0125_MO_OS_Netserviceandfieldoptionsales</t>
        </is>
      </c>
      <c r="F252" s="144" t="inlineStr">
        <is>
          <t>Q3-2019</t>
        </is>
      </c>
      <c r="G252" s="144" t="n"/>
      <c r="H252" s="652" t="n"/>
      <c r="I252" s="1637" t="n">
        <v>700</v>
      </c>
      <c r="J252" s="1637" t="n">
        <v>700</v>
      </c>
      <c r="K252" s="1637">
        <f>AVERAGE(I252:J252)</f>
        <v/>
      </c>
      <c r="L252" s="652" t="n"/>
      <c r="M252" s="144">
        <f>IF(INDEX(MO_SNA_IsHistoricalPeriod,,MATCH(F252,MO_Common_ColumnHeader,0)),"Actual","Estimate")</f>
        <v/>
      </c>
      <c r="N252" s="1637">
        <f>IFERROR(INDEX(INDIRECT(E252),0,MATCH(F252,MO_Common_ColumnHeader,0)),"N/A")</f>
        <v/>
      </c>
      <c r="O252" s="652" t="n"/>
      <c r="P252" s="2110">
        <f>IF(ISNUMBER(N252),N252-K252,"N/A")</f>
        <v/>
      </c>
      <c r="Q252" s="153">
        <f>IFERROR(IF(ISNUMBER(N252),(N252-K252)/ABS(K252),"N/A"),"N/A")</f>
        <v/>
      </c>
      <c r="R252" s="652" t="n"/>
      <c r="S252" s="147" t="n">
        <v>43663</v>
      </c>
      <c r="T252" s="154" t="inlineStr">
        <is>
          <t>Investor Presentation</t>
        </is>
      </c>
      <c r="U252" s="652" t="n"/>
    </row>
    <row r="253" ht="15" customHeight="1" s="595">
      <c r="A253" s="101" t="n">
        <v>41</v>
      </c>
      <c r="B253" s="144">
        <f>IF(INDEX(MO_SNA_IsHistoricalPeriod,,MATCH(F253,MO_Common_ColumnHeader,0)),"Historical","Forward")</f>
        <v/>
      </c>
      <c r="C253" s="652" t="n"/>
      <c r="D253" s="151">
        <f>INDEX(INDIRECT(E253),0,COLUMN(MO_Common_Column_A))</f>
        <v/>
      </c>
      <c r="E253" s="145" t="inlineStr">
        <is>
          <t>MO_MA_GM</t>
        </is>
      </c>
      <c r="F253" s="144" t="inlineStr">
        <is>
          <t>Q3-2019</t>
        </is>
      </c>
      <c r="G253" s="144" t="n"/>
      <c r="H253" s="652" t="n"/>
      <c r="I253" s="1352" t="n">
        <v>0.43</v>
      </c>
      <c r="J253" s="1352" t="n">
        <v>0.44</v>
      </c>
      <c r="K253" s="1352">
        <f>AVERAGE(I253:J253)</f>
        <v/>
      </c>
      <c r="L253" s="652" t="n"/>
      <c r="M253" s="144">
        <f>IF(INDEX(MO_SNA_IsHistoricalPeriod,,MATCH(F253,MO_Common_ColumnHeader,0)),"Actual","Estimate")</f>
        <v/>
      </c>
      <c r="N253" s="1352">
        <f>IFERROR(INDEX(INDIRECT(E253),0,MATCH(F253,MO_Common_ColumnHeader,0)),"N/A")</f>
        <v/>
      </c>
      <c r="O253" s="652" t="n"/>
      <c r="P253" s="153">
        <f>IF(ISNUMBER(N253),N253-K253,"N/A")</f>
        <v/>
      </c>
      <c r="Q253" s="153">
        <f>IFERROR(IF(ISNUMBER(N253),(N253-K253)/ABS(K253),"N/A"),"N/A")</f>
        <v/>
      </c>
      <c r="R253" s="652" t="n"/>
      <c r="S253" s="147" t="n">
        <v>43663</v>
      </c>
      <c r="T253" s="154" t="inlineStr">
        <is>
          <t>Investor Presentation</t>
        </is>
      </c>
      <c r="U253" s="652" t="n"/>
    </row>
    <row r="254" ht="15" customHeight="1" s="595">
      <c r="A254" s="101" t="n">
        <v>40</v>
      </c>
      <c r="B254" s="144">
        <f>IF(INDEX(MO_SNA_IsHistoricalPeriod,,MATCH(F254,MO_Common_ColumnHeader,0)),"Historical","Forward")</f>
        <v/>
      </c>
      <c r="C254" s="652" t="n"/>
      <c r="D254" s="151" t="inlineStr">
        <is>
          <t>R&amp;D Expense</t>
        </is>
      </c>
      <c r="E254" s="145" t="inlineStr">
        <is>
          <t>MO_RIS_RD</t>
        </is>
      </c>
      <c r="F254" s="144" t="inlineStr">
        <is>
          <t>Q3-2019</t>
        </is>
      </c>
      <c r="G254" s="144" t="n"/>
      <c r="H254" s="652" t="n"/>
      <c r="I254" s="1637" t="n">
        <v>495</v>
      </c>
      <c r="J254" s="1637" t="n">
        <v>495</v>
      </c>
      <c r="K254" s="1637">
        <f>AVERAGE(I254:J254)</f>
        <v/>
      </c>
      <c r="L254" s="652" t="n"/>
      <c r="M254" s="144">
        <f>IF(INDEX(MO_SNA_IsHistoricalPeriod,,MATCH(F254,MO_Common_ColumnHeader,0)),"Actual","Estimate")</f>
        <v/>
      </c>
      <c r="N254" s="1637">
        <f>IFERROR(INDEX(INDIRECT(E254),0,MATCH(F254,MO_Common_ColumnHeader,0)),"N/A")</f>
        <v/>
      </c>
      <c r="O254" s="652" t="n"/>
      <c r="P254" s="2110">
        <f>IF(ISNUMBER(N254),N254-K254,"N/A")</f>
        <v/>
      </c>
      <c r="Q254" s="153">
        <f>IFERROR(IF(ISNUMBER(N254),(N254-K254)/ABS(K254),"N/A"),"N/A")</f>
        <v/>
      </c>
      <c r="R254" s="652" t="n"/>
      <c r="S254" s="147" t="n">
        <v>43663</v>
      </c>
      <c r="T254" s="154" t="inlineStr">
        <is>
          <t>Investor Presentation</t>
        </is>
      </c>
      <c r="U254" s="652" t="n"/>
    </row>
    <row r="255" ht="15" customHeight="1" s="595">
      <c r="A255" s="101" t="n">
        <v>39</v>
      </c>
      <c r="B255" s="144">
        <f>IF(INDEX(MO_SNA_IsHistoricalPeriod,,MATCH(F255,MO_Common_ColumnHeader,0)),"Historical","Forward")</f>
        <v/>
      </c>
      <c r="C255" s="652" t="n"/>
      <c r="D255" s="151">
        <f>INDEX(INDIRECT(E255),0,COLUMN(MO_Common_Column_A))</f>
        <v/>
      </c>
      <c r="E255" s="145" t="inlineStr">
        <is>
          <t>MO_RIS_SGA</t>
        </is>
      </c>
      <c r="F255" s="144" t="inlineStr">
        <is>
          <t>Q3-2019</t>
        </is>
      </c>
      <c r="G255" s="144" t="n"/>
      <c r="H255" s="652" t="n"/>
      <c r="I255" s="1637" t="n">
        <v>125</v>
      </c>
      <c r="J255" s="1637" t="n">
        <v>125</v>
      </c>
      <c r="K255" s="1637">
        <f>AVERAGE(I255:J255)</f>
        <v/>
      </c>
      <c r="L255" s="652" t="n"/>
      <c r="M255" s="144">
        <f>IF(INDEX(MO_SNA_IsHistoricalPeriod,,MATCH(F255,MO_Common_ColumnHeader,0)),"Actual","Estimate")</f>
        <v/>
      </c>
      <c r="N255" s="1637">
        <f>IFERROR(INDEX(INDIRECT(E255),0,MATCH(F255,MO_Common_ColumnHeader,0)),"N/A")</f>
        <v/>
      </c>
      <c r="O255" s="652" t="n"/>
      <c r="P255" s="2110">
        <f>IF(ISNUMBER(N255),N255-K255,"N/A")</f>
        <v/>
      </c>
      <c r="Q255" s="153">
        <f>IFERROR(IF(ISNUMBER(N255),(N255-K255)/ABS(K255),"N/A"),"N/A")</f>
        <v/>
      </c>
      <c r="R255" s="652" t="n"/>
      <c r="S255" s="147" t="n">
        <v>43663</v>
      </c>
      <c r="T255" s="154" t="inlineStr">
        <is>
          <t>Investor Presentation</t>
        </is>
      </c>
      <c r="U255" s="652" t="n"/>
    </row>
    <row r="256" ht="15" customHeight="1" s="595">
      <c r="A256" s="101" t="n">
        <v>38</v>
      </c>
      <c r="B256" s="652" t="n"/>
      <c r="C256" s="652" t="n"/>
      <c r="D256" s="131" t="n"/>
      <c r="E256" s="653" t="n"/>
      <c r="F256" s="652" t="n"/>
      <c r="G256" s="652" t="n"/>
      <c r="H256" s="652" t="n"/>
      <c r="I256" s="1562" t="n"/>
      <c r="J256" s="1562" t="n"/>
      <c r="K256" s="1562" t="n"/>
      <c r="L256" s="652" t="n"/>
      <c r="M256" s="652" t="n"/>
      <c r="N256" s="1562" t="n"/>
      <c r="O256" s="652" t="n"/>
      <c r="P256" s="2111" t="n"/>
      <c r="Q256" s="271" t="n"/>
      <c r="R256" s="652" t="n"/>
      <c r="S256" s="136" t="n"/>
      <c r="T256" s="155" t="n"/>
      <c r="U256" s="652" t="n"/>
    </row>
    <row r="257" ht="15" customHeight="1" s="595">
      <c r="A257" s="101" t="n">
        <v>37</v>
      </c>
      <c r="B257" s="144">
        <f>IF(INDEX(MO_SNA_IsHistoricalPeriod,,MATCH(F257,MO_Common_ColumnHeader,0)),"Historical","Forward")</f>
        <v/>
      </c>
      <c r="C257" s="652" t="n"/>
      <c r="D257" s="151">
        <f>INDEX(INDIRECT(E257),0,COLUMN(MO_Common_Column_A))</f>
        <v/>
      </c>
      <c r="E257" s="145" t="inlineStr">
        <is>
          <t>z_I9KH3H0125_MO_OS_EUVsales_1</t>
        </is>
      </c>
      <c r="F257" s="144" t="inlineStr">
        <is>
          <t>FY2019</t>
        </is>
      </c>
      <c r="G257" s="144" t="n"/>
      <c r="H257" s="652" t="n"/>
      <c r="I257" s="1637" t="n">
        <v>30</v>
      </c>
      <c r="J257" s="1637" t="n">
        <v>30</v>
      </c>
      <c r="K257" s="1637">
        <f>AVERAGE(I257:J257)</f>
        <v/>
      </c>
      <c r="L257" s="652" t="n"/>
      <c r="M257" s="144">
        <f>IF(INDEX(MO_SNA_IsHistoricalPeriod,,MATCH(F257,MO_Common_ColumnHeader,0)),"Actual","Estimate")</f>
        <v/>
      </c>
      <c r="N257" s="1637">
        <f>IFERROR(INDEX(INDIRECT(E257),0,MATCH(F257,MO_Common_ColumnHeader,0)),"N/A")</f>
        <v/>
      </c>
      <c r="O257" s="652" t="n"/>
      <c r="P257" s="2110">
        <f>IF(ISNUMBER(N257),N257-K257,"N/A")</f>
        <v/>
      </c>
      <c r="Q257" s="153">
        <f>IFERROR(IF(ISNUMBER(N257),(N257-K257)/ABS(K257),"N/A"),"N/A")</f>
        <v/>
      </c>
      <c r="R257" s="652" t="n"/>
      <c r="S257" s="147" t="n">
        <v>43572</v>
      </c>
      <c r="T257" s="154" t="inlineStr">
        <is>
          <t>Transcript</t>
        </is>
      </c>
      <c r="U257" s="652" t="n"/>
    </row>
    <row r="258" ht="15" customHeight="1" s="595">
      <c r="A258" s="101" t="n">
        <v>36</v>
      </c>
      <c r="B258" s="652" t="n"/>
      <c r="C258" s="652" t="n"/>
      <c r="D258" s="131" t="n"/>
      <c r="E258" s="653" t="n"/>
      <c r="F258" s="652" t="n"/>
      <c r="G258" s="652" t="n"/>
      <c r="H258" s="652" t="n"/>
      <c r="I258" s="1562" t="n"/>
      <c r="J258" s="1562" t="n"/>
      <c r="K258" s="1562" t="n"/>
      <c r="L258" s="652" t="n"/>
      <c r="M258" s="652" t="n"/>
      <c r="N258" s="1562" t="n"/>
      <c r="O258" s="652" t="n"/>
      <c r="P258" s="2111" t="n"/>
      <c r="Q258" s="271" t="n"/>
      <c r="R258" s="652" t="n"/>
      <c r="S258" s="136" t="n"/>
      <c r="T258" s="155" t="n"/>
      <c r="U258" s="652" t="n"/>
    </row>
    <row r="259" ht="15" customHeight="1" s="595">
      <c r="A259" s="101" t="n">
        <v>35</v>
      </c>
      <c r="B259" s="144">
        <f>IF(INDEX(MO_SNA_IsHistoricalPeriod,,MATCH(F259,MO_Common_ColumnHeader,0)),"Historical","Forward")</f>
        <v/>
      </c>
      <c r="C259" s="652" t="n"/>
      <c r="D259" s="151">
        <f>INDEX(INDIRECT(E259),0,COLUMN(MO_Common_Column_A))</f>
        <v/>
      </c>
      <c r="E259" s="145" t="inlineStr">
        <is>
          <t>MO_RIS_REV</t>
        </is>
      </c>
      <c r="F259" s="144" t="inlineStr">
        <is>
          <t>Q2-2019</t>
        </is>
      </c>
      <c r="G259" s="144" t="n"/>
      <c r="H259" s="652" t="n"/>
      <c r="I259" s="1637" t="n">
        <v>2500</v>
      </c>
      <c r="J259" s="1637" t="n">
        <v>2600</v>
      </c>
      <c r="K259" s="1637">
        <f>AVERAGE(I259:J259)</f>
        <v/>
      </c>
      <c r="L259" s="652" t="n"/>
      <c r="M259" s="144">
        <f>IF(INDEX(MO_SNA_IsHistoricalPeriod,,MATCH(F259,MO_Common_ColumnHeader,0)),"Actual","Estimate")</f>
        <v/>
      </c>
      <c r="N259" s="1637">
        <f>IFERROR(INDEX(INDIRECT(E259),0,MATCH(F259,MO_Common_ColumnHeader,0)),"N/A")</f>
        <v/>
      </c>
      <c r="O259" s="652" t="n"/>
      <c r="P259" s="2110">
        <f>IF(ISNUMBER(N259),N259-K259,"N/A")</f>
        <v/>
      </c>
      <c r="Q259" s="153">
        <f>IFERROR(IF(ISNUMBER(N259),(N259-K259)/ABS(K259),"N/A"),"N/A")</f>
        <v/>
      </c>
      <c r="R259" s="652" t="n"/>
      <c r="S259" s="147" t="n">
        <v>43572</v>
      </c>
      <c r="T259" s="154" t="inlineStr">
        <is>
          <t>Press Release</t>
        </is>
      </c>
      <c r="U259" s="652" t="n"/>
    </row>
    <row r="260" ht="15" customHeight="1" s="595">
      <c r="A260" s="101" t="n">
        <v>34</v>
      </c>
      <c r="B260" s="144">
        <f>IF(INDEX(MO_SNA_IsHistoricalPeriod,,MATCH(F260,MO_Common_ColumnHeader,0)),"Historical","Forward")</f>
        <v/>
      </c>
      <c r="C260" s="652" t="n"/>
      <c r="D260" s="151" t="inlineStr">
        <is>
          <t>R&amp;D Expense</t>
        </is>
      </c>
      <c r="E260" s="145" t="inlineStr">
        <is>
          <t>MO_RIS_RD</t>
        </is>
      </c>
      <c r="F260" s="144" t="inlineStr">
        <is>
          <t>Q2-2019</t>
        </is>
      </c>
      <c r="G260" s="144" t="n"/>
      <c r="H260" s="652" t="n"/>
      <c r="I260" s="1637" t="n">
        <v>485</v>
      </c>
      <c r="J260" s="1637" t="n">
        <v>485</v>
      </c>
      <c r="K260" s="1637">
        <f>AVERAGE(I260:J260)</f>
        <v/>
      </c>
      <c r="L260" s="652" t="n"/>
      <c r="M260" s="144">
        <f>IF(INDEX(MO_SNA_IsHistoricalPeriod,,MATCH(F260,MO_Common_ColumnHeader,0)),"Actual","Estimate")</f>
        <v/>
      </c>
      <c r="N260" s="1637">
        <f>IFERROR(INDEX(INDIRECT(E260),0,MATCH(F260,MO_Common_ColumnHeader,0)),"N/A")</f>
        <v/>
      </c>
      <c r="O260" s="652" t="n"/>
      <c r="P260" s="2110">
        <f>IF(ISNUMBER(N260),N260-K260,"N/A")</f>
        <v/>
      </c>
      <c r="Q260" s="153">
        <f>IFERROR(IF(ISNUMBER(N260),(N260-K260)/ABS(K260),"N/A"),"N/A")</f>
        <v/>
      </c>
      <c r="R260" s="652" t="n"/>
      <c r="S260" s="147" t="n">
        <v>43572</v>
      </c>
      <c r="T260" s="154" t="inlineStr">
        <is>
          <t>Press Release</t>
        </is>
      </c>
      <c r="U260" s="652" t="n"/>
    </row>
    <row r="261" ht="15" customHeight="1" s="595">
      <c r="A261" s="101" t="n">
        <v>33</v>
      </c>
      <c r="B261" s="144">
        <f>IF(INDEX(MO_SNA_IsHistoricalPeriod,,MATCH(F261,MO_Common_ColumnHeader,0)),"Historical","Forward")</f>
        <v/>
      </c>
      <c r="C261" s="652" t="n"/>
      <c r="D261" s="151">
        <f>INDEX(INDIRECT(E261),0,COLUMN(MO_Common_Column_A))</f>
        <v/>
      </c>
      <c r="E261" s="145" t="inlineStr">
        <is>
          <t>MO_MA_GM</t>
        </is>
      </c>
      <c r="F261" s="144" t="inlineStr">
        <is>
          <t>Q2-2019</t>
        </is>
      </c>
      <c r="G261" s="144" t="n"/>
      <c r="H261" s="652" t="n"/>
      <c r="I261" s="1352" t="n">
        <v>0.41</v>
      </c>
      <c r="J261" s="1352" t="n">
        <v>0.42</v>
      </c>
      <c r="K261" s="1352">
        <f>AVERAGE(I261:J261)</f>
        <v/>
      </c>
      <c r="L261" s="652" t="n"/>
      <c r="M261" s="144">
        <f>IF(INDEX(MO_SNA_IsHistoricalPeriod,,MATCH(F261,MO_Common_ColumnHeader,0)),"Actual","Estimate")</f>
        <v/>
      </c>
      <c r="N261" s="1352">
        <f>IFERROR(INDEX(INDIRECT(E261),0,MATCH(F261,MO_Common_ColumnHeader,0)),"N/A")</f>
        <v/>
      </c>
      <c r="O261" s="652" t="n"/>
      <c r="P261" s="153">
        <f>IF(ISNUMBER(N261),N261-K261,"N/A")</f>
        <v/>
      </c>
      <c r="Q261" s="153">
        <f>IFERROR(IF(ISNUMBER(N261),(N261-K261)/ABS(K261),"N/A"),"N/A")</f>
        <v/>
      </c>
      <c r="R261" s="652" t="n"/>
      <c r="S261" s="147" t="n">
        <v>43572</v>
      </c>
      <c r="T261" s="154" t="inlineStr">
        <is>
          <t>Press Release</t>
        </is>
      </c>
      <c r="U261" s="652" t="n"/>
    </row>
    <row r="262" ht="15" customHeight="1" s="595">
      <c r="A262" s="101" t="n">
        <v>32</v>
      </c>
      <c r="B262" s="144">
        <f>IF(INDEX(MO_SNA_IsHistoricalPeriod,,MATCH(F262,MO_Common_ColumnHeader,0)),"Historical","Forward")</f>
        <v/>
      </c>
      <c r="C262" s="652" t="n"/>
      <c r="D262" s="151">
        <f>INDEX(INDIRECT(E262),0,COLUMN(MO_Common_Column_A))</f>
        <v/>
      </c>
      <c r="E262" s="145" t="inlineStr">
        <is>
          <t>MO_RIS_SGA</t>
        </is>
      </c>
      <c r="F262" s="144" t="inlineStr">
        <is>
          <t>Q2-2019</t>
        </is>
      </c>
      <c r="G262" s="144" t="n"/>
      <c r="H262" s="652" t="n"/>
      <c r="I262" s="1637" t="n">
        <v>125</v>
      </c>
      <c r="J262" s="1637" t="n">
        <v>125</v>
      </c>
      <c r="K262" s="1637">
        <f>AVERAGE(I262:J262)</f>
        <v/>
      </c>
      <c r="L262" s="652" t="n"/>
      <c r="M262" s="144">
        <f>IF(INDEX(MO_SNA_IsHistoricalPeriod,,MATCH(F262,MO_Common_ColumnHeader,0)),"Actual","Estimate")</f>
        <v/>
      </c>
      <c r="N262" s="1637">
        <f>IFERROR(INDEX(INDIRECT(E262),0,MATCH(F262,MO_Common_ColumnHeader,0)),"N/A")</f>
        <v/>
      </c>
      <c r="O262" s="652" t="n"/>
      <c r="P262" s="2110">
        <f>IF(ISNUMBER(N262),N262-K262,"N/A")</f>
        <v/>
      </c>
      <c r="Q262" s="153">
        <f>IFERROR(IF(ISNUMBER(N262),(N262-K262)/ABS(K262),"N/A"),"N/A")</f>
        <v/>
      </c>
      <c r="R262" s="652" t="n"/>
      <c r="S262" s="147" t="n">
        <v>43572</v>
      </c>
      <c r="T262" s="154" t="inlineStr">
        <is>
          <t>Press Release</t>
        </is>
      </c>
      <c r="U262" s="652" t="n"/>
    </row>
    <row r="263" ht="15" customHeight="1" s="595">
      <c r="A263" s="101" t="n">
        <v>31</v>
      </c>
      <c r="B263" s="144">
        <f>IF(INDEX(MO_SNA_IsHistoricalPeriod,,MATCH(F263,MO_Common_ColumnHeader,0)),"Historical","Forward")</f>
        <v/>
      </c>
      <c r="C263" s="652" t="n"/>
      <c r="D263" s="151" t="inlineStr">
        <is>
          <t>Effective tax rate</t>
        </is>
      </c>
      <c r="E263" s="145" t="n"/>
      <c r="F263" s="144" t="inlineStr">
        <is>
          <t>Q2-2019</t>
        </is>
      </c>
      <c r="G263" s="144" t="n"/>
      <c r="H263" s="652" t="n"/>
      <c r="I263" s="1352" t="n">
        <v>0.11</v>
      </c>
      <c r="J263" s="1352" t="n">
        <v>0.11</v>
      </c>
      <c r="K263" s="1352">
        <f>AVERAGE(I263:J263)</f>
        <v/>
      </c>
      <c r="L263" s="652" t="n"/>
      <c r="M263" s="144">
        <f>IF(INDEX(MO_SNA_IsHistoricalPeriod,,MATCH(F263,MO_Common_ColumnHeader,0)),"Actual","Estimate")</f>
        <v/>
      </c>
      <c r="N263" s="1352">
        <f>INDEX(MO_RIS_TaxRate_Current,0,MATCH(F263,MO_Common_ColumnHeader,0))+INDEX(MO_RIS_TaxRate_Deferred,0,MATCH(F263,MO_Common_ColumnHeader,0))</f>
        <v/>
      </c>
      <c r="O263" s="652" t="n"/>
      <c r="P263" s="153">
        <f>IF(ISNUMBER(N263),N263-K263,"N/A")</f>
        <v/>
      </c>
      <c r="Q263" s="153">
        <f>IFERROR(IF(ISNUMBER(N263),(N263-K263)/ABS(K263),"N/A"),"N/A")</f>
        <v/>
      </c>
      <c r="R263" s="652" t="n"/>
      <c r="S263" s="147" t="n">
        <v>43572</v>
      </c>
      <c r="T263" s="154" t="inlineStr">
        <is>
          <t>Press Release</t>
        </is>
      </c>
      <c r="U263" s="652" t="n"/>
    </row>
    <row r="264" ht="15" customHeight="1" s="595">
      <c r="A264" s="101" t="n">
        <v>30</v>
      </c>
      <c r="B264" s="652" t="n"/>
      <c r="C264" s="652" t="n"/>
      <c r="D264" s="131" t="n"/>
      <c r="E264" s="653" t="n"/>
      <c r="F264" s="652" t="n"/>
      <c r="G264" s="652" t="n"/>
      <c r="H264" s="652" t="n"/>
      <c r="I264" s="1562" t="n"/>
      <c r="J264" s="1562" t="n"/>
      <c r="K264" s="1562" t="n"/>
      <c r="L264" s="652" t="n"/>
      <c r="M264" s="652" t="n"/>
      <c r="N264" s="1562" t="n"/>
      <c r="O264" s="652" t="n"/>
      <c r="P264" s="2111" t="n"/>
      <c r="Q264" s="271" t="n"/>
      <c r="R264" s="652" t="n"/>
      <c r="S264" s="136" t="n"/>
      <c r="T264" s="155" t="n"/>
      <c r="U264" s="652" t="n"/>
    </row>
    <row r="265" ht="15" customHeight="1" s="595">
      <c r="A265" s="101" t="n">
        <v>29</v>
      </c>
      <c r="B265" s="144">
        <f>IF(INDEX(MO_SNA_IsHistoricalPeriod,,MATCH(F265,MO_Common_ColumnHeader,0)),"Historical","Forward")</f>
        <v/>
      </c>
      <c r="C265" s="652" t="n"/>
      <c r="D265" s="151">
        <f>INDEX(INDIRECT(E265),0,COLUMN(MO_Common_Column_A))</f>
        <v/>
      </c>
      <c r="E265" s="145" t="inlineStr">
        <is>
          <t>z_I9KH3H0125_MO_OS_EUVsales_1</t>
        </is>
      </c>
      <c r="F265" s="144" t="inlineStr">
        <is>
          <t>FY2019</t>
        </is>
      </c>
      <c r="G265" s="144" t="n"/>
      <c r="H265" s="652" t="n"/>
      <c r="I265" s="1637" t="n">
        <v>30</v>
      </c>
      <c r="J265" s="1637" t="n">
        <v>30</v>
      </c>
      <c r="K265" s="1637">
        <f>AVERAGE(I265:J265)</f>
        <v/>
      </c>
      <c r="L265" s="652" t="n"/>
      <c r="M265" s="144">
        <f>IF(INDEX(MO_SNA_IsHistoricalPeriod,,MATCH(F265,MO_Common_ColumnHeader,0)),"Actual","Estimate")</f>
        <v/>
      </c>
      <c r="N265" s="1637">
        <f>IFERROR(INDEX(INDIRECT(E265),0,MATCH(F265,MO_Common_ColumnHeader,0)),"N/A")</f>
        <v/>
      </c>
      <c r="O265" s="652" t="n"/>
      <c r="P265" s="2110">
        <f>IF(ISNUMBER(N265),N265-K265,"N/A")</f>
        <v/>
      </c>
      <c r="Q265" s="153">
        <f>IFERROR(IF(ISNUMBER(N265),(N265-K265)/ABS(K265),"N/A"),"N/A")</f>
        <v/>
      </c>
      <c r="R265" s="652" t="n"/>
      <c r="S265" s="147" t="n">
        <v>43488</v>
      </c>
      <c r="T265" s="154" t="inlineStr">
        <is>
          <t>Press Release</t>
        </is>
      </c>
      <c r="U265" s="652" t="n"/>
    </row>
    <row r="266" ht="15" customHeight="1" s="595">
      <c r="A266" s="101" t="n">
        <v>28</v>
      </c>
      <c r="B266" s="652" t="n"/>
      <c r="C266" s="652" t="n"/>
      <c r="D266" s="131" t="n"/>
      <c r="E266" s="653" t="n"/>
      <c r="F266" s="652" t="n"/>
      <c r="G266" s="652" t="n"/>
      <c r="H266" s="652" t="n"/>
      <c r="I266" s="1562" t="n"/>
      <c r="J266" s="1562" t="n"/>
      <c r="K266" s="1562" t="n"/>
      <c r="L266" s="652" t="n"/>
      <c r="M266" s="652" t="n"/>
      <c r="N266" s="1562" t="n"/>
      <c r="O266" s="652" t="n"/>
      <c r="P266" s="2111" t="n"/>
      <c r="Q266" s="271" t="n"/>
      <c r="R266" s="652" t="n"/>
      <c r="S266" s="136" t="n"/>
      <c r="T266" s="155" t="n"/>
      <c r="U266" s="652" t="n"/>
    </row>
    <row r="267" ht="15" customHeight="1" s="595">
      <c r="A267" s="101" t="n">
        <v>27</v>
      </c>
      <c r="B267" s="144">
        <f>IF(INDEX(MO_SNA_IsHistoricalPeriod,,MATCH(F267,MO_Common_ColumnHeader,0)),"Historical","Forward")</f>
        <v/>
      </c>
      <c r="C267" s="652" t="n"/>
      <c r="D267" s="151">
        <f>INDEX(INDIRECT(E267),0,COLUMN(MO_Common_Column_A))</f>
        <v/>
      </c>
      <c r="E267" s="145" t="inlineStr">
        <is>
          <t>MO_RIS_REV</t>
        </is>
      </c>
      <c r="F267" s="144" t="inlineStr">
        <is>
          <t>Q1-2019</t>
        </is>
      </c>
      <c r="G267" s="144" t="n"/>
      <c r="H267" s="652" t="n"/>
      <c r="I267" s="1637" t="n">
        <v>2100</v>
      </c>
      <c r="J267" s="1637" t="n">
        <v>2100</v>
      </c>
      <c r="K267" s="1637">
        <f>AVERAGE(I267:J267)</f>
        <v/>
      </c>
      <c r="L267" s="652" t="n"/>
      <c r="M267" s="144">
        <f>IF(INDEX(MO_SNA_IsHistoricalPeriod,,MATCH(F267,MO_Common_ColumnHeader,0)),"Actual","Estimate")</f>
        <v/>
      </c>
      <c r="N267" s="1637">
        <f>IFERROR(INDEX(INDIRECT(E267),0,MATCH(F267,MO_Common_ColumnHeader,0)),"N/A")</f>
        <v/>
      </c>
      <c r="O267" s="652" t="n"/>
      <c r="P267" s="2110">
        <f>IF(ISNUMBER(N267),N267-K267,"N/A")</f>
        <v/>
      </c>
      <c r="Q267" s="153">
        <f>IFERROR(IF(ISNUMBER(N267),(N267-K267)/ABS(K267),"N/A"),"N/A")</f>
        <v/>
      </c>
      <c r="R267" s="652" t="n"/>
      <c r="S267" s="147" t="n">
        <v>43488</v>
      </c>
      <c r="T267" s="154" t="inlineStr">
        <is>
          <t>Press Release</t>
        </is>
      </c>
      <c r="U267" s="652" t="n"/>
    </row>
    <row r="268" ht="15" customHeight="1" s="595">
      <c r="A268" s="101" t="n">
        <v>26</v>
      </c>
      <c r="B268" s="144">
        <f>IF(INDEX(MO_SNA_IsHistoricalPeriod,,MATCH(F268,MO_Common_ColumnHeader,0)),"Historical","Forward")</f>
        <v/>
      </c>
      <c r="C268" s="652" t="n"/>
      <c r="D268" s="151" t="inlineStr">
        <is>
          <t>R&amp;D Expense</t>
        </is>
      </c>
      <c r="E268" s="145" t="inlineStr">
        <is>
          <t>MO_RIS_RD</t>
        </is>
      </c>
      <c r="F268" s="144" t="inlineStr">
        <is>
          <t>Q1-2019</t>
        </is>
      </c>
      <c r="G268" s="144" t="n"/>
      <c r="H268" s="652" t="n"/>
      <c r="I268" s="1637" t="n">
        <v>480</v>
      </c>
      <c r="J268" s="1637" t="n">
        <v>480</v>
      </c>
      <c r="K268" s="1637">
        <f>AVERAGE(I268:J268)</f>
        <v/>
      </c>
      <c r="L268" s="652" t="n"/>
      <c r="M268" s="144">
        <f>IF(INDEX(MO_SNA_IsHistoricalPeriod,,MATCH(F268,MO_Common_ColumnHeader,0)),"Actual","Estimate")</f>
        <v/>
      </c>
      <c r="N268" s="1637">
        <f>IFERROR(INDEX(INDIRECT(E268),0,MATCH(F268,MO_Common_ColumnHeader,0)),"N/A")</f>
        <v/>
      </c>
      <c r="O268" s="652" t="n"/>
      <c r="P268" s="2110">
        <f>IF(ISNUMBER(N268),N268-K268,"N/A")</f>
        <v/>
      </c>
      <c r="Q268" s="153">
        <f>IFERROR(IF(ISNUMBER(N268),(N268-K268)/ABS(K268),"N/A"),"N/A")</f>
        <v/>
      </c>
      <c r="R268" s="652" t="n"/>
      <c r="S268" s="147" t="n">
        <v>43488</v>
      </c>
      <c r="T268" s="154" t="inlineStr">
        <is>
          <t>Press Release</t>
        </is>
      </c>
      <c r="U268" s="652" t="n"/>
    </row>
    <row r="269" ht="15" customHeight="1" s="595">
      <c r="A269" s="101" t="n">
        <v>25</v>
      </c>
      <c r="B269" s="144">
        <f>IF(INDEX(MO_SNA_IsHistoricalPeriod,,MATCH(F269,MO_Common_ColumnHeader,0)),"Historical","Forward")</f>
        <v/>
      </c>
      <c r="C269" s="652" t="n"/>
      <c r="D269" s="151">
        <f>INDEX(INDIRECT(E269),0,COLUMN(MO_Common_Column_A))</f>
        <v/>
      </c>
      <c r="E269" s="145" t="inlineStr">
        <is>
          <t>MO_MA_GM</t>
        </is>
      </c>
      <c r="F269" s="144" t="inlineStr">
        <is>
          <t>Q1-2019</t>
        </is>
      </c>
      <c r="G269" s="144" t="n"/>
      <c r="H269" s="652" t="n"/>
      <c r="I269" s="1352" t="n">
        <v>0.4</v>
      </c>
      <c r="J269" s="1352" t="n">
        <v>0.4</v>
      </c>
      <c r="K269" s="1352">
        <f>AVERAGE(I269:J269)</f>
        <v/>
      </c>
      <c r="L269" s="652" t="n"/>
      <c r="M269" s="144">
        <f>IF(INDEX(MO_SNA_IsHistoricalPeriod,,MATCH(F269,MO_Common_ColumnHeader,0)),"Actual","Estimate")</f>
        <v/>
      </c>
      <c r="N269" s="1352">
        <f>IFERROR(INDEX(INDIRECT(E269),0,MATCH(F269,MO_Common_ColumnHeader,0)),"N/A")</f>
        <v/>
      </c>
      <c r="O269" s="652" t="n"/>
      <c r="P269" s="153">
        <f>IF(ISNUMBER(N269),N269-K269,"N/A")</f>
        <v/>
      </c>
      <c r="Q269" s="153">
        <f>IFERROR(IF(ISNUMBER(N269),(N269-K269)/ABS(K269),"N/A"),"N/A")</f>
        <v/>
      </c>
      <c r="R269" s="652" t="n"/>
      <c r="S269" s="147" t="n">
        <v>43488</v>
      </c>
      <c r="T269" s="154" t="inlineStr">
        <is>
          <t>Press Release</t>
        </is>
      </c>
      <c r="U269" s="652" t="n"/>
    </row>
    <row r="270" ht="15" customHeight="1" s="595">
      <c r="A270" s="101" t="n">
        <v>24</v>
      </c>
      <c r="B270" s="144">
        <f>IF(INDEX(MO_SNA_IsHistoricalPeriod,,MATCH(F270,MO_Common_ColumnHeader,0)),"Historical","Forward")</f>
        <v/>
      </c>
      <c r="C270" s="652" t="n"/>
      <c r="D270" s="151">
        <f>INDEX(INDIRECT(E270),0,COLUMN(MO_Common_Column_A))</f>
        <v/>
      </c>
      <c r="E270" s="145" t="inlineStr">
        <is>
          <t>MO_RIS_SGA</t>
        </is>
      </c>
      <c r="F270" s="144" t="inlineStr">
        <is>
          <t>Q1-2019</t>
        </is>
      </c>
      <c r="G270" s="144" t="n"/>
      <c r="H270" s="652" t="n"/>
      <c r="I270" s="1637" t="n">
        <v>130</v>
      </c>
      <c r="J270" s="1637" t="n">
        <v>130</v>
      </c>
      <c r="K270" s="1637">
        <f>AVERAGE(I270:J270)</f>
        <v/>
      </c>
      <c r="L270" s="652" t="n"/>
      <c r="M270" s="144">
        <f>IF(INDEX(MO_SNA_IsHistoricalPeriod,,MATCH(F270,MO_Common_ColumnHeader,0)),"Actual","Estimate")</f>
        <v/>
      </c>
      <c r="N270" s="1637">
        <f>IFERROR(INDEX(INDIRECT(E270),0,MATCH(F270,MO_Common_ColumnHeader,0)),"N/A")</f>
        <v/>
      </c>
      <c r="O270" s="652" t="n"/>
      <c r="P270" s="2110">
        <f>IF(ISNUMBER(N270),N270-K270,"N/A")</f>
        <v/>
      </c>
      <c r="Q270" s="153">
        <f>IFERROR(IF(ISNUMBER(N270),(N270-K270)/ABS(K270),"N/A"),"N/A")</f>
        <v/>
      </c>
      <c r="R270" s="652" t="n"/>
      <c r="S270" s="147" t="n">
        <v>43488</v>
      </c>
      <c r="T270" s="154" t="inlineStr">
        <is>
          <t>Press Release</t>
        </is>
      </c>
      <c r="U270" s="652" t="n"/>
    </row>
    <row r="271" ht="15" customHeight="1" s="595">
      <c r="A271" s="101" t="n">
        <v>23</v>
      </c>
      <c r="B271" s="144">
        <f>IF(INDEX(MO_SNA_IsHistoricalPeriod,,MATCH(F271,MO_Common_ColumnHeader,0)),"Historical","Forward")</f>
        <v/>
      </c>
      <c r="C271" s="652" t="n"/>
      <c r="D271" s="151" t="inlineStr">
        <is>
          <t>Effective tax rate</t>
        </is>
      </c>
      <c r="E271" s="145" t="n"/>
      <c r="F271" s="144" t="inlineStr">
        <is>
          <t>Q1-2019</t>
        </is>
      </c>
      <c r="G271" s="144" t="n"/>
      <c r="H271" s="652" t="n"/>
      <c r="I271" s="1352" t="n">
        <v>0.14</v>
      </c>
      <c r="J271" s="1352" t="n">
        <v>0.14</v>
      </c>
      <c r="K271" s="1352">
        <f>AVERAGE(I271:J271)</f>
        <v/>
      </c>
      <c r="L271" s="652" t="n"/>
      <c r="M271" s="144">
        <f>IF(INDEX(MO_SNA_IsHistoricalPeriod,,MATCH(F271,MO_Common_ColumnHeader,0)),"Actual","Estimate")</f>
        <v/>
      </c>
      <c r="N271" s="1352">
        <f>INDEX(MO_RIS_TaxRate_Current,0,MATCH(F271,MO_Common_ColumnHeader,0))+INDEX(MO_RIS_TaxRate_Deferred,0,MATCH(F271,MO_Common_ColumnHeader,0))</f>
        <v/>
      </c>
      <c r="O271" s="652" t="n"/>
      <c r="P271" s="153">
        <f>IF(ISNUMBER(N271),N271-K271,"N/A")</f>
        <v/>
      </c>
      <c r="Q271" s="153">
        <f>IFERROR(IF(ISNUMBER(N271),(N271-K271)/ABS(K271),"N/A"),"N/A")</f>
        <v/>
      </c>
      <c r="R271" s="652" t="n"/>
      <c r="S271" s="147" t="n">
        <v>43488</v>
      </c>
      <c r="T271" s="154" t="inlineStr">
        <is>
          <t>Press Release</t>
        </is>
      </c>
      <c r="U271" s="652" t="n"/>
    </row>
    <row r="272" ht="15" customHeight="1" s="595">
      <c r="A272" s="101" t="n">
        <v>22</v>
      </c>
      <c r="B272" s="652" t="n"/>
      <c r="C272" s="652" t="n"/>
      <c r="D272" s="131" t="n"/>
      <c r="E272" s="653" t="n"/>
      <c r="F272" s="652" t="n"/>
      <c r="G272" s="652" t="n"/>
      <c r="H272" s="652" t="n"/>
      <c r="I272" s="1562" t="n"/>
      <c r="J272" s="1562" t="n"/>
      <c r="K272" s="1562" t="n"/>
      <c r="L272" s="652" t="n"/>
      <c r="M272" s="652" t="n"/>
      <c r="N272" s="1562" t="n"/>
      <c r="O272" s="652" t="n"/>
      <c r="P272" s="2111" t="n"/>
      <c r="Q272" s="271" t="n"/>
      <c r="R272" s="652" t="n"/>
      <c r="S272" s="136" t="n"/>
      <c r="T272" s="155" t="n"/>
      <c r="U272" s="652" t="n"/>
    </row>
    <row r="273" ht="15" customHeight="1" s="595">
      <c r="A273" s="101" t="n">
        <v>21</v>
      </c>
      <c r="B273" s="144">
        <f>IF(INDEX(MO_SNA_IsHistoricalPeriod,,MATCH(F273,MO_Common_ColumnHeader,0)),"Historical","Forward")</f>
        <v/>
      </c>
      <c r="C273" s="652" t="n"/>
      <c r="D273" s="151">
        <f>INDEX(INDIRECT(E273),0,COLUMN(MO_Common_Column_A))</f>
        <v/>
      </c>
      <c r="E273" s="145" t="inlineStr">
        <is>
          <t>z_I9KH3H0125_MO_OS_EUVsales_1</t>
        </is>
      </c>
      <c r="F273" s="144" t="inlineStr">
        <is>
          <t>FY2019</t>
        </is>
      </c>
      <c r="G273" s="144" t="n"/>
      <c r="H273" s="652" t="n"/>
      <c r="I273" s="1637" t="n">
        <v>30</v>
      </c>
      <c r="J273" s="1637" t="n">
        <v>30</v>
      </c>
      <c r="K273" s="1637">
        <f>AVERAGE(I273:J273)</f>
        <v/>
      </c>
      <c r="L273" s="652" t="n"/>
      <c r="M273" s="144">
        <f>IF(INDEX(MO_SNA_IsHistoricalPeriod,,MATCH(F273,MO_Common_ColumnHeader,0)),"Actual","Estimate")</f>
        <v/>
      </c>
      <c r="N273" s="1637">
        <f>IFERROR(INDEX(INDIRECT(E273),0,MATCH(F273,MO_Common_ColumnHeader,0)),"N/A")</f>
        <v/>
      </c>
      <c r="O273" s="652" t="n"/>
      <c r="P273" s="2110">
        <f>IF(ISNUMBER(N273),N273-K273,"N/A")</f>
        <v/>
      </c>
      <c r="Q273" s="153">
        <f>IFERROR(IF(ISNUMBER(N273),(N273-K273)/ABS(K273),"N/A"),"N/A")</f>
        <v/>
      </c>
      <c r="R273" s="652" t="n"/>
      <c r="S273" s="147" t="n">
        <v>43390</v>
      </c>
      <c r="T273" s="154" t="inlineStr">
        <is>
          <t>Press Release</t>
        </is>
      </c>
      <c r="U273" s="652" t="n"/>
    </row>
    <row r="274" ht="15" customHeight="1" s="595">
      <c r="A274" s="101" t="n">
        <v>20</v>
      </c>
      <c r="B274" s="652" t="n"/>
      <c r="C274" s="652" t="n"/>
      <c r="D274" s="131" t="n"/>
      <c r="E274" s="653" t="n"/>
      <c r="F274" s="652" t="n"/>
      <c r="G274" s="652" t="n"/>
      <c r="H274" s="652" t="n"/>
      <c r="I274" s="1562" t="n"/>
      <c r="J274" s="1562" t="n"/>
      <c r="K274" s="1562" t="n"/>
      <c r="L274" s="652" t="n"/>
      <c r="M274" s="652" t="n"/>
      <c r="N274" s="1562" t="n"/>
      <c r="O274" s="652" t="n"/>
      <c r="P274" s="2111" t="n"/>
      <c r="Q274" s="271" t="n"/>
      <c r="R274" s="652" t="n"/>
      <c r="S274" s="136" t="n"/>
      <c r="T274" s="155" t="n"/>
      <c r="U274" s="652" t="n"/>
    </row>
    <row r="275" ht="15" customHeight="1" s="595">
      <c r="A275" s="101" t="n">
        <v>19</v>
      </c>
      <c r="B275" s="144">
        <f>IF(INDEX(MO_SNA_IsHistoricalPeriod,,MATCH(F275,MO_Common_ColumnHeader,0)),"Historical","Forward")</f>
        <v/>
      </c>
      <c r="C275" s="652" t="n"/>
      <c r="D275" s="151">
        <f>INDEX(INDIRECT(E275),0,COLUMN(MO_Common_Column_A))</f>
        <v/>
      </c>
      <c r="E275" s="145" t="inlineStr">
        <is>
          <t>z_I9KH3H0125_MO_OS_EUVsales_1</t>
        </is>
      </c>
      <c r="F275" s="144" t="inlineStr">
        <is>
          <t>FY2018</t>
        </is>
      </c>
      <c r="G275" s="144" t="n"/>
      <c r="H275" s="652" t="n"/>
      <c r="I275" s="1637" t="n">
        <v>18</v>
      </c>
      <c r="J275" s="1637" t="n">
        <v>18</v>
      </c>
      <c r="K275" s="1637">
        <f>AVERAGE(I275:J275)</f>
        <v/>
      </c>
      <c r="L275" s="652" t="n"/>
      <c r="M275" s="144">
        <f>IF(INDEX(MO_SNA_IsHistoricalPeriod,,MATCH(F275,MO_Common_ColumnHeader,0)),"Actual","Estimate")</f>
        <v/>
      </c>
      <c r="N275" s="1637">
        <f>IFERROR(INDEX(INDIRECT(E275),0,MATCH(F275,MO_Common_ColumnHeader,0)),"N/A")</f>
        <v/>
      </c>
      <c r="O275" s="652" t="n"/>
      <c r="P275" s="2110">
        <f>IF(ISNUMBER(N275),N275-K275,"N/A")</f>
        <v/>
      </c>
      <c r="Q275" s="153">
        <f>IFERROR(IF(ISNUMBER(N275),(N275-K275)/ABS(K275),"N/A"),"N/A")</f>
        <v/>
      </c>
      <c r="R275" s="652" t="n"/>
      <c r="S275" s="147" t="n">
        <v>43390</v>
      </c>
      <c r="T275" s="154" t="inlineStr">
        <is>
          <t>Press Release</t>
        </is>
      </c>
      <c r="U275" s="652" t="n"/>
    </row>
    <row r="276" ht="15" customHeight="1" s="595">
      <c r="A276" s="101" t="n">
        <v>18</v>
      </c>
      <c r="B276" s="652" t="n"/>
      <c r="C276" s="652" t="n"/>
      <c r="D276" s="131" t="n"/>
      <c r="E276" s="653" t="n"/>
      <c r="F276" s="652" t="n"/>
      <c r="G276" s="652" t="n"/>
      <c r="H276" s="652" t="n"/>
      <c r="I276" s="1562" t="n"/>
      <c r="J276" s="1562" t="n"/>
      <c r="K276" s="1562" t="n"/>
      <c r="L276" s="652" t="n"/>
      <c r="M276" s="652" t="n"/>
      <c r="N276" s="1562" t="n"/>
      <c r="O276" s="652" t="n"/>
      <c r="P276" s="2111" t="n"/>
      <c r="Q276" s="271" t="n"/>
      <c r="R276" s="652" t="n"/>
      <c r="S276" s="136" t="n"/>
      <c r="T276" s="155" t="n"/>
      <c r="U276" s="652" t="n"/>
    </row>
    <row r="277" ht="15" customHeight="1" s="595">
      <c r="A277" s="101" t="n">
        <v>17</v>
      </c>
      <c r="B277" s="144">
        <f>IF(INDEX(MO_SNA_IsHistoricalPeriod,,MATCH(F277,MO_Common_ColumnHeader,0)),"Historical","Forward")</f>
        <v/>
      </c>
      <c r="C277" s="652" t="n"/>
      <c r="D277" s="151">
        <f>INDEX(INDIRECT(E277),0,COLUMN(MO_Common_Column_A))</f>
        <v/>
      </c>
      <c r="E277" s="145" t="inlineStr">
        <is>
          <t>MO_RIS_REV</t>
        </is>
      </c>
      <c r="F277" s="144" t="inlineStr">
        <is>
          <t>Q4-2018</t>
        </is>
      </c>
      <c r="G277" s="144" t="n"/>
      <c r="H277" s="652" t="n"/>
      <c r="I277" s="1637" t="n">
        <v>3000</v>
      </c>
      <c r="J277" s="1637" t="n">
        <v>3000</v>
      </c>
      <c r="K277" s="1637">
        <f>AVERAGE(I277:J277)</f>
        <v/>
      </c>
      <c r="L277" s="652" t="n"/>
      <c r="M277" s="144">
        <f>IF(INDEX(MO_SNA_IsHistoricalPeriod,,MATCH(F277,MO_Common_ColumnHeader,0)),"Actual","Estimate")</f>
        <v/>
      </c>
      <c r="N277" s="1637">
        <f>IFERROR(INDEX(INDIRECT(E277),0,MATCH(F277,MO_Common_ColumnHeader,0)),"N/A")</f>
        <v/>
      </c>
      <c r="O277" s="652" t="n"/>
      <c r="P277" s="2110">
        <f>IF(ISNUMBER(N277),N277-K277,"N/A")</f>
        <v/>
      </c>
      <c r="Q277" s="153">
        <f>IFERROR(IF(ISNUMBER(N277),(N277-K277)/ABS(K277),"N/A"),"N/A")</f>
        <v/>
      </c>
      <c r="R277" s="652" t="n"/>
      <c r="S277" s="147" t="n">
        <v>43390</v>
      </c>
      <c r="T277" s="154" t="inlineStr">
        <is>
          <t>Press Release</t>
        </is>
      </c>
      <c r="U277" s="652" t="n"/>
    </row>
    <row r="278" ht="15" customHeight="1" s="595">
      <c r="A278" s="101" t="n">
        <v>16</v>
      </c>
      <c r="B278" s="144">
        <f>IF(INDEX(MO_SNA_IsHistoricalPeriod,,MATCH(F278,MO_Common_ColumnHeader,0)),"Historical","Forward")</f>
        <v/>
      </c>
      <c r="C278" s="652" t="n"/>
      <c r="D278" s="151">
        <f>INDEX(INDIRECT(E278),0,COLUMN(MO_Common_Column_A))</f>
        <v/>
      </c>
      <c r="E278" s="145" t="inlineStr">
        <is>
          <t>MO_MA_GM</t>
        </is>
      </c>
      <c r="F278" s="144" t="inlineStr">
        <is>
          <t>Q4-2018</t>
        </is>
      </c>
      <c r="G278" s="144" t="n"/>
      <c r="H278" s="652" t="n"/>
      <c r="I278" s="1352" t="n">
        <v>0.48</v>
      </c>
      <c r="J278" s="1352" t="n">
        <v>0.48</v>
      </c>
      <c r="K278" s="1352">
        <f>AVERAGE(I278:J278)</f>
        <v/>
      </c>
      <c r="L278" s="652" t="n"/>
      <c r="M278" s="144">
        <f>IF(INDEX(MO_SNA_IsHistoricalPeriod,,MATCH(F278,MO_Common_ColumnHeader,0)),"Actual","Estimate")</f>
        <v/>
      </c>
      <c r="N278" s="1352">
        <f>IFERROR(INDEX(INDIRECT(E278),0,MATCH(F278,MO_Common_ColumnHeader,0)),"N/A")</f>
        <v/>
      </c>
      <c r="O278" s="652" t="n"/>
      <c r="P278" s="153">
        <f>IF(ISNUMBER(N278),N278-K278,"N/A")</f>
        <v/>
      </c>
      <c r="Q278" s="153">
        <f>IFERROR(IF(ISNUMBER(N278),(N278-K278)/ABS(K278),"N/A"),"N/A")</f>
        <v/>
      </c>
      <c r="R278" s="652" t="n"/>
      <c r="S278" s="147" t="n">
        <v>43390</v>
      </c>
      <c r="T278" s="154" t="inlineStr">
        <is>
          <t>Press Release</t>
        </is>
      </c>
      <c r="U278" s="652" t="n"/>
    </row>
    <row r="279" ht="15" customHeight="1" s="595">
      <c r="A279" s="101" t="n">
        <v>15</v>
      </c>
      <c r="B279" s="144">
        <f>IF(INDEX(MO_SNA_IsHistoricalPeriod,,MATCH(F279,MO_Common_ColumnHeader,0)),"Historical","Forward")</f>
        <v/>
      </c>
      <c r="C279" s="652" t="n"/>
      <c r="D279" s="151" t="inlineStr">
        <is>
          <t>R&amp;D Expense</t>
        </is>
      </c>
      <c r="E279" s="145" t="inlineStr">
        <is>
          <t>MO_RIS_RD</t>
        </is>
      </c>
      <c r="F279" s="144" t="inlineStr">
        <is>
          <t>Q4-2018</t>
        </is>
      </c>
      <c r="G279" s="144" t="n"/>
      <c r="H279" s="652" t="n"/>
      <c r="I279" s="1637" t="n">
        <v>420</v>
      </c>
      <c r="J279" s="1637" t="n">
        <v>420</v>
      </c>
      <c r="K279" s="1637">
        <f>AVERAGE(I279:J279)</f>
        <v/>
      </c>
      <c r="L279" s="652" t="n"/>
      <c r="M279" s="144">
        <f>IF(INDEX(MO_SNA_IsHistoricalPeriod,,MATCH(F279,MO_Common_ColumnHeader,0)),"Actual","Estimate")</f>
        <v/>
      </c>
      <c r="N279" s="1637">
        <f>IFERROR(INDEX(INDIRECT(E279),0,MATCH(F279,MO_Common_ColumnHeader,0)),"N/A")</f>
        <v/>
      </c>
      <c r="O279" s="652" t="n"/>
      <c r="P279" s="2110">
        <f>IF(ISNUMBER(N279),N279-K279,"N/A")</f>
        <v/>
      </c>
      <c r="Q279" s="153">
        <f>IFERROR(IF(ISNUMBER(N279),(N279-K279)/ABS(K279),"N/A"),"N/A")</f>
        <v/>
      </c>
      <c r="R279" s="652" t="n"/>
      <c r="S279" s="147" t="n">
        <v>43390</v>
      </c>
      <c r="T279" s="154" t="inlineStr">
        <is>
          <t>Press Release</t>
        </is>
      </c>
      <c r="U279" s="652" t="n"/>
    </row>
    <row r="280" ht="15" customHeight="1" s="595">
      <c r="A280" s="101" t="n">
        <v>14</v>
      </c>
      <c r="B280" s="144">
        <f>IF(INDEX(MO_SNA_IsHistoricalPeriod,,MATCH(F280,MO_Common_ColumnHeader,0)),"Historical","Forward")</f>
        <v/>
      </c>
      <c r="C280" s="652" t="n"/>
      <c r="D280" s="151">
        <f>INDEX(INDIRECT(E280),0,COLUMN(MO_Common_Column_A))</f>
        <v/>
      </c>
      <c r="E280" s="145" t="inlineStr">
        <is>
          <t>MO_RIS_SGA</t>
        </is>
      </c>
      <c r="F280" s="144" t="inlineStr">
        <is>
          <t>Q4-2018</t>
        </is>
      </c>
      <c r="G280" s="144" t="n"/>
      <c r="H280" s="652" t="n"/>
      <c r="I280" s="1637" t="n">
        <v>135</v>
      </c>
      <c r="J280" s="1637" t="n">
        <v>135</v>
      </c>
      <c r="K280" s="1637">
        <f>AVERAGE(I280:J280)</f>
        <v/>
      </c>
      <c r="L280" s="652" t="n"/>
      <c r="M280" s="144">
        <f>IF(INDEX(MO_SNA_IsHistoricalPeriod,,MATCH(F280,MO_Common_ColumnHeader,0)),"Actual","Estimate")</f>
        <v/>
      </c>
      <c r="N280" s="1637">
        <f>IFERROR(INDEX(INDIRECT(E280),0,MATCH(F280,MO_Common_ColumnHeader,0)),"N/A")</f>
        <v/>
      </c>
      <c r="O280" s="652" t="n"/>
      <c r="P280" s="2110">
        <f>IF(ISNUMBER(N280),N280-K280,"N/A")</f>
        <v/>
      </c>
      <c r="Q280" s="153">
        <f>IFERROR(IF(ISNUMBER(N280),(N280-K280)/ABS(K280),"N/A"),"N/A")</f>
        <v/>
      </c>
      <c r="R280" s="652" t="n"/>
      <c r="S280" s="147" t="n">
        <v>43390</v>
      </c>
      <c r="T280" s="154" t="inlineStr">
        <is>
          <t>Press Release</t>
        </is>
      </c>
      <c r="U280" s="652" t="n"/>
    </row>
    <row r="281" ht="15" customHeight="1" s="595">
      <c r="A281" s="101" t="n">
        <v>13</v>
      </c>
      <c r="B281" s="144">
        <f>IF(INDEX(MO_SNA_IsHistoricalPeriod,,MATCH(F281,MO_Common_ColumnHeader,0)),"Historical","Forward")</f>
        <v/>
      </c>
      <c r="C281" s="652" t="n"/>
      <c r="D281" s="151" t="inlineStr">
        <is>
          <t>Effective tax rate</t>
        </is>
      </c>
      <c r="E281" s="145" t="n"/>
      <c r="F281" s="144" t="inlineStr">
        <is>
          <t>Q4-2018</t>
        </is>
      </c>
      <c r="G281" s="144" t="n"/>
      <c r="H281" s="652" t="n"/>
      <c r="I281" s="1352" t="n">
        <v>0.14</v>
      </c>
      <c r="J281" s="1352" t="n">
        <v>0.14</v>
      </c>
      <c r="K281" s="1352">
        <f>AVERAGE(I281:J281)</f>
        <v/>
      </c>
      <c r="L281" s="652" t="n"/>
      <c r="M281" s="144">
        <f>IF(INDEX(MO_SNA_IsHistoricalPeriod,,MATCH(F281,MO_Common_ColumnHeader,0)),"Actual","Estimate")</f>
        <v/>
      </c>
      <c r="N281" s="1352">
        <f>INDEX(MO_RIS_TaxRate_Current,0,MATCH(F281,MO_Common_ColumnHeader,0))+INDEX(MO_RIS_TaxRate_Deferred,0,MATCH(F281,MO_Common_ColumnHeader,0))</f>
        <v/>
      </c>
      <c r="O281" s="652" t="n"/>
      <c r="P281" s="153">
        <f>IF(ISNUMBER(N281),N281-K281,"N/A")</f>
        <v/>
      </c>
      <c r="Q281" s="153">
        <f>IFERROR(IF(ISNUMBER(N281),(N281-K281)/ABS(K281),"N/A"),"N/A")</f>
        <v/>
      </c>
      <c r="R281" s="652" t="n"/>
      <c r="S281" s="147" t="n">
        <v>43390</v>
      </c>
      <c r="T281" s="154" t="inlineStr">
        <is>
          <t>Press Release</t>
        </is>
      </c>
      <c r="U281" s="652" t="n"/>
    </row>
    <row r="282" ht="15" customHeight="1" s="595">
      <c r="A282" s="101" t="n">
        <v>12</v>
      </c>
      <c r="B282" s="652" t="n"/>
      <c r="C282" s="652" t="n"/>
      <c r="D282" s="131" t="n"/>
      <c r="E282" s="653" t="n"/>
      <c r="F282" s="652" t="n"/>
      <c r="G282" s="652" t="n"/>
      <c r="H282" s="652" t="n"/>
      <c r="I282" s="1562" t="n"/>
      <c r="J282" s="1562" t="n"/>
      <c r="K282" s="1562" t="n"/>
      <c r="L282" s="652" t="n"/>
      <c r="M282" s="652" t="n"/>
      <c r="N282" s="1562" t="n"/>
      <c r="O282" s="652" t="n"/>
      <c r="P282" s="2111" t="n"/>
      <c r="Q282" s="271" t="n"/>
      <c r="R282" s="652" t="n"/>
      <c r="S282" s="136" t="n"/>
      <c r="T282" s="155" t="n"/>
      <c r="U282" s="652" t="n"/>
    </row>
    <row r="283" ht="15" customHeight="1" s="595">
      <c r="A283" s="101" t="n">
        <v>11</v>
      </c>
      <c r="B283" s="144">
        <f>IF(INDEX(MO_SNA_IsHistoricalPeriod,,MATCH(F283,MO_Common_ColumnHeader,0)),"Historical","Forward")</f>
        <v/>
      </c>
      <c r="C283" s="652" t="n"/>
      <c r="D283" s="151">
        <f>INDEX(INDIRECT(E283),0,COLUMN(MO_Common_Column_A))</f>
        <v/>
      </c>
      <c r="E283" s="145" t="inlineStr">
        <is>
          <t>MO_RIS_REV</t>
        </is>
      </c>
      <c r="F283" s="144" t="inlineStr">
        <is>
          <t>Q3-2018</t>
        </is>
      </c>
      <c r="G283" s="144" t="n"/>
      <c r="H283" s="652" t="n"/>
      <c r="I283" s="1637" t="n">
        <v>2700</v>
      </c>
      <c r="J283" s="1637" t="n">
        <v>2800</v>
      </c>
      <c r="K283" s="1637">
        <f>AVERAGE(I283:J283)</f>
        <v/>
      </c>
      <c r="L283" s="652" t="n"/>
      <c r="M283" s="144">
        <f>IF(INDEX(MO_SNA_IsHistoricalPeriod,,MATCH(F283,MO_Common_ColumnHeader,0)),"Actual","Estimate")</f>
        <v/>
      </c>
      <c r="N283" s="1637">
        <f>IFERROR(INDEX(INDIRECT(E283),0,MATCH(F283,MO_Common_ColumnHeader,0)),"N/A")</f>
        <v/>
      </c>
      <c r="O283" s="652" t="n"/>
      <c r="P283" s="2110">
        <f>IF(ISNUMBER(N283),N283-K283,"N/A")</f>
        <v/>
      </c>
      <c r="Q283" s="153">
        <f>IFERROR(IF(ISNUMBER(N283),(N283-K283)/ABS(K283),"N/A"),"N/A")</f>
        <v/>
      </c>
      <c r="R283" s="652" t="n"/>
      <c r="S283" s="147" t="n">
        <v>43299</v>
      </c>
      <c r="T283" s="154" t="inlineStr">
        <is>
          <t>Press Release</t>
        </is>
      </c>
      <c r="U283" s="652" t="n"/>
    </row>
    <row r="284" ht="15" customHeight="1" s="595">
      <c r="A284" s="101" t="n">
        <v>10</v>
      </c>
      <c r="B284" s="144">
        <f>IF(INDEX(MO_SNA_IsHistoricalPeriod,,MATCH(F284,MO_Common_ColumnHeader,0)),"Historical","Forward")</f>
        <v/>
      </c>
      <c r="C284" s="652" t="n"/>
      <c r="D284" s="151">
        <f>INDEX(INDIRECT(E284),0,COLUMN(MO_Common_Column_A))</f>
        <v/>
      </c>
      <c r="E284" s="145" t="inlineStr">
        <is>
          <t>MO_MA_GM</t>
        </is>
      </c>
      <c r="F284" s="144" t="inlineStr">
        <is>
          <t>Q3-2018</t>
        </is>
      </c>
      <c r="G284" s="144" t="n"/>
      <c r="H284" s="652" t="n"/>
      <c r="I284" s="1352" t="n">
        <v>0.47</v>
      </c>
      <c r="J284" s="1352" t="n">
        <v>0.48</v>
      </c>
      <c r="K284" s="1352">
        <f>AVERAGE(I284:J284)</f>
        <v/>
      </c>
      <c r="L284" s="652" t="n"/>
      <c r="M284" s="144">
        <f>IF(INDEX(MO_SNA_IsHistoricalPeriod,,MATCH(F284,MO_Common_ColumnHeader,0)),"Actual","Estimate")</f>
        <v/>
      </c>
      <c r="N284" s="1352">
        <f>IFERROR(INDEX(INDIRECT(E284),0,MATCH(F284,MO_Common_ColumnHeader,0)),"N/A")</f>
        <v/>
      </c>
      <c r="O284" s="652" t="n"/>
      <c r="P284" s="153">
        <f>IF(ISNUMBER(N284),N284-K284,"N/A")</f>
        <v/>
      </c>
      <c r="Q284" s="153">
        <f>IFERROR(IF(ISNUMBER(N284),(N284-K284)/ABS(K284),"N/A"),"N/A")</f>
        <v/>
      </c>
      <c r="R284" s="652" t="n"/>
      <c r="S284" s="147" t="n">
        <v>43299</v>
      </c>
      <c r="T284" s="154" t="inlineStr">
        <is>
          <t>Press Release</t>
        </is>
      </c>
      <c r="U284" s="652" t="n"/>
    </row>
    <row r="285" ht="15" customHeight="1" s="595">
      <c r="A285" s="101" t="n">
        <v>9</v>
      </c>
      <c r="B285" s="144">
        <f>IF(INDEX(MO_SNA_IsHistoricalPeriod,,MATCH(F285,MO_Common_ColumnHeader,0)),"Historical","Forward")</f>
        <v/>
      </c>
      <c r="C285" s="652" t="n"/>
      <c r="D285" s="151" t="inlineStr">
        <is>
          <t>R&amp;D Expense</t>
        </is>
      </c>
      <c r="E285" s="145" t="inlineStr">
        <is>
          <t>MO_RIS_RD</t>
        </is>
      </c>
      <c r="F285" s="144" t="inlineStr">
        <is>
          <t>Q3-2018</t>
        </is>
      </c>
      <c r="G285" s="144" t="n"/>
      <c r="H285" s="652" t="n"/>
      <c r="I285" s="1637" t="n">
        <v>395</v>
      </c>
      <c r="J285" s="1637" t="n">
        <v>395</v>
      </c>
      <c r="K285" s="1637">
        <f>AVERAGE(I285:J285)</f>
        <v/>
      </c>
      <c r="L285" s="652" t="n"/>
      <c r="M285" s="144">
        <f>IF(INDEX(MO_SNA_IsHistoricalPeriod,,MATCH(F285,MO_Common_ColumnHeader,0)),"Actual","Estimate")</f>
        <v/>
      </c>
      <c r="N285" s="1637">
        <f>IFERROR(INDEX(INDIRECT(E285),0,MATCH(F285,MO_Common_ColumnHeader,0)),"N/A")</f>
        <v/>
      </c>
      <c r="O285" s="652" t="n"/>
      <c r="P285" s="2110">
        <f>IF(ISNUMBER(N285),N285-K285,"N/A")</f>
        <v/>
      </c>
      <c r="Q285" s="153">
        <f>IFERROR(IF(ISNUMBER(N285),(N285-K285)/ABS(K285),"N/A"),"N/A")</f>
        <v/>
      </c>
      <c r="R285" s="652" t="n"/>
      <c r="S285" s="147" t="n">
        <v>43299</v>
      </c>
      <c r="T285" s="154" t="inlineStr">
        <is>
          <t>Press Release</t>
        </is>
      </c>
      <c r="U285" s="652" t="n"/>
    </row>
    <row r="286" ht="15" customHeight="1" s="595">
      <c r="A286" s="101" t="n">
        <v>8</v>
      </c>
      <c r="B286" s="144">
        <f>IF(INDEX(MO_SNA_IsHistoricalPeriod,,MATCH(F286,MO_Common_ColumnHeader,0)),"Historical","Forward")</f>
        <v/>
      </c>
      <c r="C286" s="652" t="n"/>
      <c r="D286" s="151">
        <f>INDEX(INDIRECT(E286),0,COLUMN(MO_Common_Column_A))</f>
        <v/>
      </c>
      <c r="E286" s="145" t="inlineStr">
        <is>
          <t>MO_RIS_SGA</t>
        </is>
      </c>
      <c r="F286" s="144" t="inlineStr">
        <is>
          <t>Q3-2018</t>
        </is>
      </c>
      <c r="G286" s="144" t="n"/>
      <c r="H286" s="652" t="n"/>
      <c r="I286" s="1637" t="n">
        <v>120</v>
      </c>
      <c r="J286" s="1637" t="n">
        <v>120</v>
      </c>
      <c r="K286" s="1637">
        <f>AVERAGE(I286:J286)</f>
        <v/>
      </c>
      <c r="L286" s="652" t="n"/>
      <c r="M286" s="144">
        <f>IF(INDEX(MO_SNA_IsHistoricalPeriod,,MATCH(F286,MO_Common_ColumnHeader,0)),"Actual","Estimate")</f>
        <v/>
      </c>
      <c r="N286" s="1637">
        <f>IFERROR(INDEX(INDIRECT(E286),0,MATCH(F286,MO_Common_ColumnHeader,0)),"N/A")</f>
        <v/>
      </c>
      <c r="O286" s="652" t="n"/>
      <c r="P286" s="2110">
        <f>IF(ISNUMBER(N286),N286-K286,"N/A")</f>
        <v/>
      </c>
      <c r="Q286" s="153">
        <f>IFERROR(IF(ISNUMBER(N286),(N286-K286)/ABS(K286),"N/A"),"N/A")</f>
        <v/>
      </c>
      <c r="R286" s="652" t="n"/>
      <c r="S286" s="147" t="n">
        <v>43299</v>
      </c>
      <c r="T286" s="154" t="inlineStr">
        <is>
          <t>Press Release</t>
        </is>
      </c>
      <c r="U286" s="652" t="n"/>
    </row>
    <row r="287" ht="15" customHeight="1" s="595">
      <c r="A287" s="101" t="n">
        <v>7</v>
      </c>
      <c r="B287" s="144">
        <f>IF(INDEX(MO_SNA_IsHistoricalPeriod,,MATCH(F287,MO_Common_ColumnHeader,0)),"Historical","Forward")</f>
        <v/>
      </c>
      <c r="C287" s="652" t="n"/>
      <c r="D287" s="151" t="inlineStr">
        <is>
          <t>Effective tax rate</t>
        </is>
      </c>
      <c r="E287" s="145" t="n"/>
      <c r="F287" s="144" t="inlineStr">
        <is>
          <t>Q3-2018</t>
        </is>
      </c>
      <c r="G287" s="144" t="n"/>
      <c r="H287" s="652" t="n"/>
      <c r="I287" s="1352" t="n">
        <v>0.14</v>
      </c>
      <c r="J287" s="1352" t="n">
        <v>0.14</v>
      </c>
      <c r="K287" s="1352">
        <f>AVERAGE(I287:J287)</f>
        <v/>
      </c>
      <c r="L287" s="652" t="n"/>
      <c r="M287" s="144">
        <f>IF(INDEX(MO_SNA_IsHistoricalPeriod,,MATCH(F287,MO_Common_ColumnHeader,0)),"Actual","Estimate")</f>
        <v/>
      </c>
      <c r="N287" s="1352">
        <f>INDEX(MO_RIS_TaxRate_Current,0,MATCH(F287,MO_Common_ColumnHeader,0))+INDEX(MO_RIS_TaxRate_Deferred,0,MATCH(F287,MO_Common_ColumnHeader,0))</f>
        <v/>
      </c>
      <c r="O287" s="652" t="n"/>
      <c r="P287" s="153">
        <f>IF(ISNUMBER(N287),N287-K287,"N/A")</f>
        <v/>
      </c>
      <c r="Q287" s="153">
        <f>IFERROR(IF(ISNUMBER(N287),(N287-K287)/ABS(K287),"N/A"),"N/A")</f>
        <v/>
      </c>
      <c r="R287" s="652" t="n"/>
      <c r="S287" s="147" t="n">
        <v>43299</v>
      </c>
      <c r="T287" s="154" t="inlineStr">
        <is>
          <t>Press Release</t>
        </is>
      </c>
      <c r="U287" s="652" t="n"/>
    </row>
    <row r="288" ht="15" customHeight="1" s="595">
      <c r="A288" s="101" t="n">
        <v>6</v>
      </c>
      <c r="B288" s="652" t="n"/>
      <c r="C288" s="652" t="n"/>
      <c r="D288" s="131" t="n"/>
      <c r="E288" s="653" t="n"/>
      <c r="F288" s="652" t="n"/>
      <c r="G288" s="652" t="n"/>
      <c r="H288" s="652" t="n"/>
      <c r="I288" s="1562" t="n"/>
      <c r="J288" s="1562" t="n"/>
      <c r="K288" s="1562" t="n"/>
      <c r="L288" s="652" t="n"/>
      <c r="M288" s="652" t="n"/>
      <c r="N288" s="1562" t="n"/>
      <c r="O288" s="652" t="n"/>
      <c r="P288" s="2111" t="n"/>
      <c r="Q288" s="271" t="n"/>
      <c r="R288" s="652" t="n"/>
      <c r="S288" s="136" t="n"/>
      <c r="T288" s="155" t="n"/>
      <c r="U288" s="652" t="n"/>
    </row>
    <row r="289" ht="15" customHeight="1" s="595">
      <c r="A289" s="101" t="n">
        <v>5</v>
      </c>
      <c r="B289" s="144">
        <f>IF(INDEX(MO_SNA_IsHistoricalPeriod,,MATCH(F289,MO_Common_ColumnHeader,0)),"Historical","Forward")</f>
        <v/>
      </c>
      <c r="C289" s="652" t="n"/>
      <c r="D289" s="151">
        <f>INDEX(INDIRECT(E289),0,COLUMN(MO_Common_Column_A))</f>
        <v/>
      </c>
      <c r="E289" s="145" t="inlineStr">
        <is>
          <t>MO_RIS_REV</t>
        </is>
      </c>
      <c r="F289" s="144" t="inlineStr">
        <is>
          <t>Q2-2018</t>
        </is>
      </c>
      <c r="G289" s="144" t="n"/>
      <c r="H289" s="652" t="n"/>
      <c r="I289" s="1637" t="n">
        <v>2500</v>
      </c>
      <c r="J289" s="1637" t="n">
        <v>2600</v>
      </c>
      <c r="K289" s="1637">
        <f>AVERAGE(I289:J289)</f>
        <v/>
      </c>
      <c r="L289" s="652" t="n"/>
      <c r="M289" s="144">
        <f>IF(INDEX(MO_SNA_IsHistoricalPeriod,,MATCH(F289,MO_Common_ColumnHeader,0)),"Actual","Estimate")</f>
        <v/>
      </c>
      <c r="N289" s="1637">
        <f>IFERROR(INDEX(INDIRECT(E289),0,MATCH(F289,MO_Common_ColumnHeader,0)),"N/A")</f>
        <v/>
      </c>
      <c r="O289" s="652" t="n"/>
      <c r="P289" s="2110">
        <f>IF(ISNUMBER(N289),N289-K289,"N/A")</f>
        <v/>
      </c>
      <c r="Q289" s="153">
        <f>IFERROR(IF(ISNUMBER(N289),(N289-K289)/ABS(K289),"N/A"),"N/A")</f>
        <v/>
      </c>
      <c r="R289" s="652" t="n"/>
      <c r="S289" s="147" t="n">
        <v>43208</v>
      </c>
      <c r="T289" s="154" t="inlineStr">
        <is>
          <t>Press Release</t>
        </is>
      </c>
      <c r="U289" s="652" t="n"/>
    </row>
    <row r="290" ht="15" customHeight="1" s="595">
      <c r="A290" s="101" t="n">
        <v>4</v>
      </c>
      <c r="B290" s="144">
        <f>IF(INDEX(MO_SNA_IsHistoricalPeriod,,MATCH(F290,MO_Common_ColumnHeader,0)),"Historical","Forward")</f>
        <v/>
      </c>
      <c r="C290" s="652" t="n"/>
      <c r="D290" s="151">
        <f>INDEX(INDIRECT(E290),0,COLUMN(MO_Common_Column_A))</f>
        <v/>
      </c>
      <c r="E290" s="145" t="inlineStr">
        <is>
          <t>MO_MA_GM</t>
        </is>
      </c>
      <c r="F290" s="144" t="inlineStr">
        <is>
          <t>Q2-2018</t>
        </is>
      </c>
      <c r="G290" s="144" t="n"/>
      <c r="H290" s="652" t="n"/>
      <c r="I290" s="1352" t="n">
        <v>0.43</v>
      </c>
      <c r="J290" s="1352" t="n">
        <v>0.43</v>
      </c>
      <c r="K290" s="1352">
        <f>AVERAGE(I290:J290)</f>
        <v/>
      </c>
      <c r="L290" s="652" t="n"/>
      <c r="M290" s="144">
        <f>IF(INDEX(MO_SNA_IsHistoricalPeriod,,MATCH(F290,MO_Common_ColumnHeader,0)),"Actual","Estimate")</f>
        <v/>
      </c>
      <c r="N290" s="1352">
        <f>IFERROR(INDEX(INDIRECT(E290),0,MATCH(F290,MO_Common_ColumnHeader,0)),"N/A")</f>
        <v/>
      </c>
      <c r="O290" s="652" t="n"/>
      <c r="P290" s="153">
        <f>IF(ISNUMBER(N290),N290-K290,"N/A")</f>
        <v/>
      </c>
      <c r="Q290" s="153">
        <f>IFERROR(IF(ISNUMBER(N290),(N290-K290)/ABS(K290),"N/A"),"N/A")</f>
        <v/>
      </c>
      <c r="R290" s="652" t="n"/>
      <c r="S290" s="147" t="n">
        <v>43208</v>
      </c>
      <c r="T290" s="154" t="inlineStr">
        <is>
          <t>Press Release</t>
        </is>
      </c>
      <c r="U290" s="652" t="n"/>
    </row>
    <row r="291" ht="15" customHeight="1" s="595">
      <c r="A291" s="101" t="n">
        <v>3</v>
      </c>
      <c r="B291" s="144">
        <f>IF(INDEX(MO_SNA_IsHistoricalPeriod,,MATCH(F291,MO_Common_ColumnHeader,0)),"Historical","Forward")</f>
        <v/>
      </c>
      <c r="C291" s="652" t="n"/>
      <c r="D291" s="151" t="inlineStr">
        <is>
          <t>R&amp;D Expense</t>
        </is>
      </c>
      <c r="E291" s="145" t="inlineStr">
        <is>
          <t>MO_RIS_RD</t>
        </is>
      </c>
      <c r="F291" s="144" t="inlineStr">
        <is>
          <t>Q2-2018</t>
        </is>
      </c>
      <c r="G291" s="144" t="n"/>
      <c r="H291" s="652" t="n"/>
      <c r="I291" s="1637" t="n">
        <v>375</v>
      </c>
      <c r="J291" s="1637" t="n">
        <v>375</v>
      </c>
      <c r="K291" s="1637">
        <f>AVERAGE(I291:J291)</f>
        <v/>
      </c>
      <c r="L291" s="652" t="n"/>
      <c r="M291" s="144">
        <f>IF(INDEX(MO_SNA_IsHistoricalPeriod,,MATCH(F291,MO_Common_ColumnHeader,0)),"Actual","Estimate")</f>
        <v/>
      </c>
      <c r="N291" s="1637">
        <f>IFERROR(INDEX(INDIRECT(E291),0,MATCH(F291,MO_Common_ColumnHeader,0)),"N/A")</f>
        <v/>
      </c>
      <c r="O291" s="652" t="n"/>
      <c r="P291" s="2110">
        <f>IF(ISNUMBER(N291),N291-K291,"N/A")</f>
        <v/>
      </c>
      <c r="Q291" s="153">
        <f>IFERROR(IF(ISNUMBER(N291),(N291-K291)/ABS(K291),"N/A"),"N/A")</f>
        <v/>
      </c>
      <c r="R291" s="652" t="n"/>
      <c r="S291" s="147" t="n">
        <v>43208</v>
      </c>
      <c r="T291" s="154" t="inlineStr">
        <is>
          <t>Press Release</t>
        </is>
      </c>
      <c r="U291" s="652" t="n"/>
    </row>
    <row r="292" ht="15" customHeight="1" s="595">
      <c r="A292" s="101" t="n">
        <v>2</v>
      </c>
      <c r="B292" s="144">
        <f>IF(INDEX(MO_SNA_IsHistoricalPeriod,,MATCH(F292,MO_Common_ColumnHeader,0)),"Historical","Forward")</f>
        <v/>
      </c>
      <c r="C292" s="652" t="n"/>
      <c r="D292" s="151">
        <f>INDEX(INDIRECT(E292),0,COLUMN(MO_Common_Column_A))</f>
        <v/>
      </c>
      <c r="E292" s="145" t="inlineStr">
        <is>
          <t>MO_RIS_SGA</t>
        </is>
      </c>
      <c r="F292" s="144" t="inlineStr">
        <is>
          <t>Q2-2018</t>
        </is>
      </c>
      <c r="G292" s="144" t="n"/>
      <c r="H292" s="652" t="n"/>
      <c r="I292" s="1637" t="n">
        <v>115</v>
      </c>
      <c r="J292" s="1637" t="n">
        <v>115</v>
      </c>
      <c r="K292" s="1637">
        <f>AVERAGE(I292:J292)</f>
        <v/>
      </c>
      <c r="L292" s="652" t="n"/>
      <c r="M292" s="144">
        <f>IF(INDEX(MO_SNA_IsHistoricalPeriod,,MATCH(F292,MO_Common_ColumnHeader,0)),"Actual","Estimate")</f>
        <v/>
      </c>
      <c r="N292" s="1637">
        <f>IFERROR(INDEX(INDIRECT(E292),0,MATCH(F292,MO_Common_ColumnHeader,0)),"N/A")</f>
        <v/>
      </c>
      <c r="O292" s="652" t="n"/>
      <c r="P292" s="2110">
        <f>IF(ISNUMBER(N292),N292-K292,"N/A")</f>
        <v/>
      </c>
      <c r="Q292" s="153">
        <f>IFERROR(IF(ISNUMBER(N292),(N292-K292)/ABS(K292),"N/A"),"N/A")</f>
        <v/>
      </c>
      <c r="R292" s="652" t="n"/>
      <c r="S292" s="147" t="n">
        <v>43208</v>
      </c>
      <c r="T292" s="154" t="inlineStr">
        <is>
          <t>Press Release</t>
        </is>
      </c>
      <c r="U292" s="652" t="n"/>
    </row>
    <row r="293" ht="15" customHeight="1" s="595">
      <c r="A293" s="101" t="n">
        <v>1</v>
      </c>
      <c r="B293" s="144">
        <f>IF(INDEX(MO_SNA_IsHistoricalPeriod,,MATCH(F293,MO_Common_ColumnHeader,0)),"Historical","Forward")</f>
        <v/>
      </c>
      <c r="C293" s="652" t="n"/>
      <c r="D293" s="151" t="inlineStr">
        <is>
          <t>Effective tax rate</t>
        </is>
      </c>
      <c r="E293" s="145" t="n"/>
      <c r="F293" s="144" t="inlineStr">
        <is>
          <t>Q2-2018</t>
        </is>
      </c>
      <c r="G293" s="144" t="n"/>
      <c r="H293" s="652" t="n"/>
      <c r="I293" s="1352" t="n">
        <v>0.14</v>
      </c>
      <c r="J293" s="1352" t="n">
        <v>0.14</v>
      </c>
      <c r="K293" s="1352">
        <f>AVERAGE(I293:J293)</f>
        <v/>
      </c>
      <c r="L293" s="652" t="n"/>
      <c r="M293" s="144">
        <f>IF(INDEX(MO_SNA_IsHistoricalPeriod,,MATCH(F293,MO_Common_ColumnHeader,0)),"Actual","Estimate")</f>
        <v/>
      </c>
      <c r="N293" s="1352">
        <f>INDEX(MO_RIS_TaxRate_Current,0,MATCH(F293,MO_Common_ColumnHeader,0))+INDEX(MO_RIS_TaxRate_Deferred,0,MATCH(F293,MO_Common_ColumnHeader,0))</f>
        <v/>
      </c>
      <c r="O293" s="652" t="n"/>
      <c r="P293" s="153">
        <f>IF(ISNUMBER(N293),N293-K293,"N/A")</f>
        <v/>
      </c>
      <c r="Q293" s="153">
        <f>IFERROR(IF(ISNUMBER(N293),(N293-K293)/ABS(K293),"N/A"),"N/A")</f>
        <v/>
      </c>
      <c r="R293" s="652" t="n"/>
      <c r="S293" s="147" t="n">
        <v>43208</v>
      </c>
      <c r="T293" s="154" t="inlineStr">
        <is>
          <t>Press Release</t>
        </is>
      </c>
      <c r="U293" s="652" t="n"/>
    </row>
    <row r="294" ht="15" customHeight="1" s="595">
      <c r="A294" s="101" t="n">
        <v>0</v>
      </c>
      <c r="B294" s="652" t="n"/>
      <c r="C294" s="652" t="n"/>
      <c r="D294" s="652" t="n"/>
      <c r="E294" s="653" t="n"/>
      <c r="F294" s="652" t="n"/>
      <c r="G294" s="652" t="n"/>
      <c r="H294" s="652" t="n"/>
      <c r="I294" s="1562" t="n"/>
      <c r="J294" s="1562" t="n"/>
      <c r="K294" s="1562" t="n"/>
      <c r="L294" s="652" t="n"/>
      <c r="M294" s="652" t="n"/>
      <c r="N294" s="1562" t="n"/>
      <c r="O294" s="652" t="n"/>
      <c r="P294" s="2113" t="n"/>
      <c r="Q294" s="272" t="n"/>
      <c r="R294" s="652" t="n"/>
      <c r="S294" s="136" t="n"/>
      <c r="T294" s="137" t="n"/>
      <c r="U294" s="652" t="n"/>
    </row>
  </sheetData>
  <autoFilter ref="A5:U5"/>
  <conditionalFormatting sqref="Q1:Q3 Q5 Q247 Q253:Q256 Q265:Q266 Q269:Q276 Q278:Q281 Q291:Q294">
    <cfRule type="colorScale" priority="425">
      <colorScale>
        <cfvo type="num" val="-0.1"/>
        <cfvo type="num" val="0"/>
        <cfvo type="num" val="0.1"/>
        <color rgb="FFF8696B"/>
        <color rgb="FFFFEB84"/>
        <color rgb="FF63BE7B"/>
      </colorScale>
    </cfRule>
  </conditionalFormatting>
  <conditionalFormatting sqref="Q26">
    <cfRule type="colorScale" priority="34">
      <colorScale>
        <cfvo type="num" val="-0.1"/>
        <cfvo type="num" val="0"/>
        <cfvo type="num" val="0.1"/>
        <color rgb="FFF8696B"/>
        <color rgb="FFFFEB84"/>
        <color rgb="FF63BE7B"/>
      </colorScale>
    </cfRule>
    <cfRule type="colorScale" priority="35">
      <colorScale>
        <cfvo type="num" val="-0.1"/>
        <cfvo type="num" val="0"/>
        <cfvo type="num" val="0.1"/>
        <color rgb="FFF8696B"/>
        <color rgb="FFFFEB84"/>
        <color rgb="FF63BE7B"/>
      </colorScale>
    </cfRule>
  </conditionalFormatting>
  <conditionalFormatting sqref="Q27">
    <cfRule type="colorScale" priority="31">
      <colorScale>
        <cfvo type="num" val="-0.1"/>
        <cfvo type="num" val="0"/>
        <cfvo type="num" val="0.1"/>
        <color rgb="FFF8696B"/>
        <color rgb="FFFFEB84"/>
        <color rgb="FF63BE7B"/>
      </colorScale>
    </cfRule>
    <cfRule type="colorScale" priority="32">
      <colorScale>
        <cfvo type="num" val="-0.1"/>
        <cfvo type="num" val="0"/>
        <cfvo type="num" val="0.1"/>
        <color rgb="FFF8696B"/>
        <color rgb="FFFFEB84"/>
        <color rgb="FF63BE7B"/>
      </colorScale>
    </cfRule>
    <cfRule type="colorScale" priority="33">
      <colorScale>
        <cfvo type="num" val="-0.1"/>
        <cfvo type="num" val="0"/>
        <cfvo type="num" val="0.1"/>
        <color rgb="FFF8696B"/>
        <color rgb="FFFFEB84"/>
        <color rgb="FF63BE7B"/>
      </colorScale>
    </cfRule>
  </conditionalFormatting>
  <conditionalFormatting sqref="Q28">
    <cfRule type="colorScale" priority="40">
      <colorScale>
        <cfvo type="num" val="-0.1"/>
        <cfvo type="num" val="0"/>
        <cfvo type="num" val="0.1"/>
        <color rgb="FFF8696B"/>
        <color rgb="FFFFEB84"/>
        <color rgb="FF63BE7B"/>
      </colorScale>
    </cfRule>
  </conditionalFormatting>
  <conditionalFormatting sqref="Q29">
    <cfRule type="colorScale" priority="38">
      <colorScale>
        <cfvo type="num" val="-0.1"/>
        <cfvo type="num" val="0"/>
        <cfvo type="num" val="0.1"/>
        <color rgb="FFF8696B"/>
        <color rgb="FFFFEB84"/>
        <color rgb="FF63BE7B"/>
      </colorScale>
    </cfRule>
    <cfRule type="colorScale" priority="39">
      <colorScale>
        <cfvo type="num" val="-0.1"/>
        <cfvo type="num" val="0"/>
        <cfvo type="num" val="0.1"/>
        <color rgb="FFF8696B"/>
        <color rgb="FFFFEB84"/>
        <color rgb="FF63BE7B"/>
      </colorScale>
    </cfRule>
  </conditionalFormatting>
  <conditionalFormatting sqref="Q30">
    <cfRule type="colorScale" priority="43">
      <colorScale>
        <cfvo type="num" val="-0.1"/>
        <cfvo type="num" val="0"/>
        <cfvo type="num" val="0.1"/>
        <color rgb="FFF8696B"/>
        <color rgb="FFFFEB84"/>
        <color rgb="FF63BE7B"/>
      </colorScale>
    </cfRule>
    <cfRule type="colorScale" priority="44">
      <colorScale>
        <cfvo type="num" val="-0.1"/>
        <cfvo type="num" val="0"/>
        <cfvo type="num" val="0.1"/>
        <color rgb="FFF8696B"/>
        <color rgb="FFFFEB84"/>
        <color rgb="FF63BE7B"/>
      </colorScale>
    </cfRule>
  </conditionalFormatting>
  <conditionalFormatting sqref="Q31:Q32">
    <cfRule type="colorScale" priority="41">
      <colorScale>
        <cfvo type="num" val="-0.1"/>
        <cfvo type="num" val="0"/>
        <cfvo type="num" val="0.1"/>
        <color rgb="FFF8696B"/>
        <color rgb="FFFFEB84"/>
        <color rgb="FF63BE7B"/>
      </colorScale>
    </cfRule>
    <cfRule type="colorScale" priority="42">
      <colorScale>
        <cfvo type="num" val="-0.1"/>
        <cfvo type="num" val="0"/>
        <cfvo type="num" val="0.1"/>
        <color rgb="FFF8696B"/>
        <color rgb="FFFFEB84"/>
        <color rgb="FF63BE7B"/>
      </colorScale>
    </cfRule>
  </conditionalFormatting>
  <conditionalFormatting sqref="Q32:Q34">
    <cfRule type="colorScale" priority="45">
      <colorScale>
        <cfvo type="num" val="-0.1"/>
        <cfvo type="num" val="0"/>
        <cfvo type="num" val="0.1"/>
        <color rgb="FFF8696B"/>
        <color rgb="FFFFEB84"/>
        <color rgb="FF63BE7B"/>
      </colorScale>
    </cfRule>
  </conditionalFormatting>
  <conditionalFormatting sqref="Q35">
    <cfRule type="colorScale" priority="36">
      <colorScale>
        <cfvo type="num" val="-0.1"/>
        <cfvo type="num" val="0"/>
        <cfvo type="num" val="0.1"/>
        <color rgb="FFF8696B"/>
        <color rgb="FFFFEB84"/>
        <color rgb="FF63BE7B"/>
      </colorScale>
    </cfRule>
    <cfRule type="colorScale" priority="37">
      <colorScale>
        <cfvo type="num" val="-0.1"/>
        <cfvo type="num" val="0"/>
        <cfvo type="num" val="0.1"/>
        <color rgb="FFF8696B"/>
        <color rgb="FFFFEB84"/>
        <color rgb="FF63BE7B"/>
      </colorScale>
    </cfRule>
  </conditionalFormatting>
  <conditionalFormatting sqref="Q36">
    <cfRule type="colorScale" priority="49">
      <colorScale>
        <cfvo type="num" val="-0.1"/>
        <cfvo type="num" val="0"/>
        <cfvo type="num" val="0.1"/>
        <color rgb="FFF8696B"/>
        <color rgb="FFFFEB84"/>
        <color rgb="FF63BE7B"/>
      </colorScale>
    </cfRule>
    <cfRule type="colorScale" priority="50">
      <colorScale>
        <cfvo type="num" val="-0.1"/>
        <cfvo type="num" val="0"/>
        <cfvo type="num" val="0.1"/>
        <color rgb="FFF8696B"/>
        <color rgb="FFFFEB84"/>
        <color rgb="FF63BE7B"/>
      </colorScale>
    </cfRule>
  </conditionalFormatting>
  <conditionalFormatting sqref="Q37">
    <cfRule type="colorScale" priority="46">
      <colorScale>
        <cfvo type="num" val="-0.1"/>
        <cfvo type="num" val="0"/>
        <cfvo type="num" val="0.1"/>
        <color rgb="FFF8696B"/>
        <color rgb="FFFFEB84"/>
        <color rgb="FF63BE7B"/>
      </colorScale>
    </cfRule>
    <cfRule type="colorScale" priority="47">
      <colorScale>
        <cfvo type="num" val="-0.1"/>
        <cfvo type="num" val="0"/>
        <cfvo type="num" val="0.1"/>
        <color rgb="FFF8696B"/>
        <color rgb="FFFFEB84"/>
        <color rgb="FF63BE7B"/>
      </colorScale>
    </cfRule>
    <cfRule type="colorScale" priority="48">
      <colorScale>
        <cfvo type="num" val="-0.1"/>
        <cfvo type="num" val="0"/>
        <cfvo type="num" val="0.1"/>
        <color rgb="FFF8696B"/>
        <color rgb="FFFFEB84"/>
        <color rgb="FF63BE7B"/>
      </colorScale>
    </cfRule>
  </conditionalFormatting>
  <conditionalFormatting sqref="Q38">
    <cfRule type="colorScale" priority="55">
      <colorScale>
        <cfvo type="num" val="-0.1"/>
        <cfvo type="num" val="0"/>
        <cfvo type="num" val="0.1"/>
        <color rgb="FFF8696B"/>
        <color rgb="FFFFEB84"/>
        <color rgb="FF63BE7B"/>
      </colorScale>
    </cfRule>
  </conditionalFormatting>
  <conditionalFormatting sqref="Q39">
    <cfRule type="colorScale" priority="53">
      <colorScale>
        <cfvo type="num" val="-0.1"/>
        <cfvo type="num" val="0"/>
        <cfvo type="num" val="0.1"/>
        <color rgb="FFF8696B"/>
        <color rgb="FFFFEB84"/>
        <color rgb="FF63BE7B"/>
      </colorScale>
    </cfRule>
    <cfRule type="colorScale" priority="54">
      <colorScale>
        <cfvo type="num" val="-0.1"/>
        <cfvo type="num" val="0"/>
        <cfvo type="num" val="0.1"/>
        <color rgb="FFF8696B"/>
        <color rgb="FFFFEB84"/>
        <color rgb="FF63BE7B"/>
      </colorScale>
    </cfRule>
  </conditionalFormatting>
  <conditionalFormatting sqref="Q40">
    <cfRule type="colorScale" priority="58">
      <colorScale>
        <cfvo type="num" val="-0.1"/>
        <cfvo type="num" val="0"/>
        <cfvo type="num" val="0.1"/>
        <color rgb="FFF8696B"/>
        <color rgb="FFFFEB84"/>
        <color rgb="FF63BE7B"/>
      </colorScale>
    </cfRule>
    <cfRule type="colorScale" priority="59">
      <colorScale>
        <cfvo type="num" val="-0.1"/>
        <cfvo type="num" val="0"/>
        <cfvo type="num" val="0.1"/>
        <color rgb="FFF8696B"/>
        <color rgb="FFFFEB84"/>
        <color rgb="FF63BE7B"/>
      </colorScale>
    </cfRule>
  </conditionalFormatting>
  <conditionalFormatting sqref="Q41:Q42">
    <cfRule type="colorScale" priority="56">
      <colorScale>
        <cfvo type="num" val="-0.1"/>
        <cfvo type="num" val="0"/>
        <cfvo type="num" val="0.1"/>
        <color rgb="FFF8696B"/>
        <color rgb="FFFFEB84"/>
        <color rgb="FF63BE7B"/>
      </colorScale>
    </cfRule>
    <cfRule type="colorScale" priority="57">
      <colorScale>
        <cfvo type="num" val="-0.1"/>
        <cfvo type="num" val="0"/>
        <cfvo type="num" val="0.1"/>
        <color rgb="FFF8696B"/>
        <color rgb="FFFFEB84"/>
        <color rgb="FF63BE7B"/>
      </colorScale>
    </cfRule>
  </conditionalFormatting>
  <conditionalFormatting sqref="Q42:Q44">
    <cfRule type="colorScale" priority="60">
      <colorScale>
        <cfvo type="num" val="-0.1"/>
        <cfvo type="num" val="0"/>
        <cfvo type="num" val="0.1"/>
        <color rgb="FFF8696B"/>
        <color rgb="FFFFEB84"/>
        <color rgb="FF63BE7B"/>
      </colorScale>
    </cfRule>
  </conditionalFormatting>
  <conditionalFormatting sqref="Q45">
    <cfRule type="colorScale" priority="51">
      <colorScale>
        <cfvo type="num" val="-0.1"/>
        <cfvo type="num" val="0"/>
        <cfvo type="num" val="0.1"/>
        <color rgb="FFF8696B"/>
        <color rgb="FFFFEB84"/>
        <color rgb="FF63BE7B"/>
      </colorScale>
    </cfRule>
    <cfRule type="colorScale" priority="52">
      <colorScale>
        <cfvo type="num" val="-0.1"/>
        <cfvo type="num" val="0"/>
        <cfvo type="num" val="0.1"/>
        <color rgb="FFF8696B"/>
        <color rgb="FFFFEB84"/>
        <color rgb="FF63BE7B"/>
      </colorScale>
    </cfRule>
  </conditionalFormatting>
  <conditionalFormatting sqref="Q46">
    <cfRule type="colorScale" priority="64">
      <colorScale>
        <cfvo type="num" val="-0.1"/>
        <cfvo type="num" val="0"/>
        <cfvo type="num" val="0.1"/>
        <color rgb="FFF8696B"/>
        <color rgb="FFFFEB84"/>
        <color rgb="FF63BE7B"/>
      </colorScale>
    </cfRule>
    <cfRule type="colorScale" priority="65">
      <colorScale>
        <cfvo type="num" val="-0.1"/>
        <cfvo type="num" val="0"/>
        <cfvo type="num" val="0.1"/>
        <color rgb="FFF8696B"/>
        <color rgb="FFFFEB84"/>
        <color rgb="FF63BE7B"/>
      </colorScale>
    </cfRule>
  </conditionalFormatting>
  <conditionalFormatting sqref="Q47">
    <cfRule type="colorScale" priority="61">
      <colorScale>
        <cfvo type="num" val="-0.1"/>
        <cfvo type="num" val="0"/>
        <cfvo type="num" val="0.1"/>
        <color rgb="FFF8696B"/>
        <color rgb="FFFFEB84"/>
        <color rgb="FF63BE7B"/>
      </colorScale>
    </cfRule>
    <cfRule type="colorScale" priority="62">
      <colorScale>
        <cfvo type="num" val="-0.1"/>
        <cfvo type="num" val="0"/>
        <cfvo type="num" val="0.1"/>
        <color rgb="FFF8696B"/>
        <color rgb="FFFFEB84"/>
        <color rgb="FF63BE7B"/>
      </colorScale>
    </cfRule>
    <cfRule type="colorScale" priority="63">
      <colorScale>
        <cfvo type="num" val="-0.1"/>
        <cfvo type="num" val="0"/>
        <cfvo type="num" val="0.1"/>
        <color rgb="FFF8696B"/>
        <color rgb="FFFFEB84"/>
        <color rgb="FF63BE7B"/>
      </colorScale>
    </cfRule>
  </conditionalFormatting>
  <conditionalFormatting sqref="Q48">
    <cfRule type="colorScale" priority="70">
      <colorScale>
        <cfvo type="num" val="-0.1"/>
        <cfvo type="num" val="0"/>
        <cfvo type="num" val="0.1"/>
        <color rgb="FFF8696B"/>
        <color rgb="FFFFEB84"/>
        <color rgb="FF63BE7B"/>
      </colorScale>
    </cfRule>
  </conditionalFormatting>
  <conditionalFormatting sqref="Q49">
    <cfRule type="colorScale" priority="68">
      <colorScale>
        <cfvo type="num" val="-0.1"/>
        <cfvo type="num" val="0"/>
        <cfvo type="num" val="0.1"/>
        <color rgb="FFF8696B"/>
        <color rgb="FFFFEB84"/>
        <color rgb="FF63BE7B"/>
      </colorScale>
    </cfRule>
    <cfRule type="colorScale" priority="69">
      <colorScale>
        <cfvo type="num" val="-0.1"/>
        <cfvo type="num" val="0"/>
        <cfvo type="num" val="0.1"/>
        <color rgb="FFF8696B"/>
        <color rgb="FFFFEB84"/>
        <color rgb="FF63BE7B"/>
      </colorScale>
    </cfRule>
  </conditionalFormatting>
  <conditionalFormatting sqref="Q50">
    <cfRule type="colorScale" priority="73">
      <colorScale>
        <cfvo type="num" val="-0.1"/>
        <cfvo type="num" val="0"/>
        <cfvo type="num" val="0.1"/>
        <color rgb="FFF8696B"/>
        <color rgb="FFFFEB84"/>
        <color rgb="FF63BE7B"/>
      </colorScale>
    </cfRule>
    <cfRule type="colorScale" priority="74">
      <colorScale>
        <cfvo type="num" val="-0.1"/>
        <cfvo type="num" val="0"/>
        <cfvo type="num" val="0.1"/>
        <color rgb="FFF8696B"/>
        <color rgb="FFFFEB84"/>
        <color rgb="FF63BE7B"/>
      </colorScale>
    </cfRule>
  </conditionalFormatting>
  <conditionalFormatting sqref="Q51:Q52">
    <cfRule type="colorScale" priority="71">
      <colorScale>
        <cfvo type="num" val="-0.1"/>
        <cfvo type="num" val="0"/>
        <cfvo type="num" val="0.1"/>
        <color rgb="FFF8696B"/>
        <color rgb="FFFFEB84"/>
        <color rgb="FF63BE7B"/>
      </colorScale>
    </cfRule>
    <cfRule type="colorScale" priority="72">
      <colorScale>
        <cfvo type="num" val="-0.1"/>
        <cfvo type="num" val="0"/>
        <cfvo type="num" val="0.1"/>
        <color rgb="FFF8696B"/>
        <color rgb="FFFFEB84"/>
        <color rgb="FF63BE7B"/>
      </colorScale>
    </cfRule>
  </conditionalFormatting>
  <conditionalFormatting sqref="Q52:Q54">
    <cfRule type="colorScale" priority="75">
      <colorScale>
        <cfvo type="num" val="-0.1"/>
        <cfvo type="num" val="0"/>
        <cfvo type="num" val="0.1"/>
        <color rgb="FFF8696B"/>
        <color rgb="FFFFEB84"/>
        <color rgb="FF63BE7B"/>
      </colorScale>
    </cfRule>
  </conditionalFormatting>
  <conditionalFormatting sqref="Q55">
    <cfRule type="colorScale" priority="66">
      <colorScale>
        <cfvo type="num" val="-0.1"/>
        <cfvo type="num" val="0"/>
        <cfvo type="num" val="0.1"/>
        <color rgb="FFF8696B"/>
        <color rgb="FFFFEB84"/>
        <color rgb="FF63BE7B"/>
      </colorScale>
    </cfRule>
    <cfRule type="colorScale" priority="67">
      <colorScale>
        <cfvo type="num" val="-0.1"/>
        <cfvo type="num" val="0"/>
        <cfvo type="num" val="0.1"/>
        <color rgb="FFF8696B"/>
        <color rgb="FFFFEB84"/>
        <color rgb="FF63BE7B"/>
      </colorScale>
    </cfRule>
  </conditionalFormatting>
  <conditionalFormatting sqref="Q56">
    <cfRule type="colorScale" priority="79">
      <colorScale>
        <cfvo type="num" val="-0.1"/>
        <cfvo type="num" val="0"/>
        <cfvo type="num" val="0.1"/>
        <color rgb="FFF8696B"/>
        <color rgb="FFFFEB84"/>
        <color rgb="FF63BE7B"/>
      </colorScale>
    </cfRule>
    <cfRule type="colorScale" priority="80">
      <colorScale>
        <cfvo type="num" val="-0.1"/>
        <cfvo type="num" val="0"/>
        <cfvo type="num" val="0.1"/>
        <color rgb="FFF8696B"/>
        <color rgb="FFFFEB84"/>
        <color rgb="FF63BE7B"/>
      </colorScale>
    </cfRule>
  </conditionalFormatting>
  <conditionalFormatting sqref="Q57">
    <cfRule type="colorScale" priority="76">
      <colorScale>
        <cfvo type="num" val="-0.1"/>
        <cfvo type="num" val="0"/>
        <cfvo type="num" val="0.1"/>
        <color rgb="FFF8696B"/>
        <color rgb="FFFFEB84"/>
        <color rgb="FF63BE7B"/>
      </colorScale>
    </cfRule>
    <cfRule type="colorScale" priority="77">
      <colorScale>
        <cfvo type="num" val="-0.1"/>
        <cfvo type="num" val="0"/>
        <cfvo type="num" val="0.1"/>
        <color rgb="FFF8696B"/>
        <color rgb="FFFFEB84"/>
        <color rgb="FF63BE7B"/>
      </colorScale>
    </cfRule>
    <cfRule type="colorScale" priority="78">
      <colorScale>
        <cfvo type="num" val="-0.1"/>
        <cfvo type="num" val="0"/>
        <cfvo type="num" val="0.1"/>
        <color rgb="FFF8696B"/>
        <color rgb="FFFFEB84"/>
        <color rgb="FF63BE7B"/>
      </colorScale>
    </cfRule>
  </conditionalFormatting>
  <conditionalFormatting sqref="Q58">
    <cfRule type="colorScale" priority="88">
      <colorScale>
        <cfvo type="num" val="-0.1"/>
        <cfvo type="num" val="0"/>
        <cfvo type="num" val="0.1"/>
        <color rgb="FFF8696B"/>
        <color rgb="FFFFEB84"/>
        <color rgb="FF63BE7B"/>
      </colorScale>
    </cfRule>
  </conditionalFormatting>
  <conditionalFormatting sqref="Q59">
    <cfRule type="colorScale" priority="86">
      <colorScale>
        <cfvo type="num" val="-0.1"/>
        <cfvo type="num" val="0"/>
        <cfvo type="num" val="0.1"/>
        <color rgb="FFF8696B"/>
        <color rgb="FFFFEB84"/>
        <color rgb="FF63BE7B"/>
      </colorScale>
    </cfRule>
    <cfRule type="colorScale" priority="87">
      <colorScale>
        <cfvo type="num" val="-0.1"/>
        <cfvo type="num" val="0"/>
        <cfvo type="num" val="0.1"/>
        <color rgb="FFF8696B"/>
        <color rgb="FFFFEB84"/>
        <color rgb="FF63BE7B"/>
      </colorScale>
    </cfRule>
  </conditionalFormatting>
  <conditionalFormatting sqref="Q60">
    <cfRule type="colorScale" priority="91">
      <colorScale>
        <cfvo type="num" val="-0.1"/>
        <cfvo type="num" val="0"/>
        <cfvo type="num" val="0.1"/>
        <color rgb="FFF8696B"/>
        <color rgb="FFFFEB84"/>
        <color rgb="FF63BE7B"/>
      </colorScale>
    </cfRule>
    <cfRule type="colorScale" priority="92">
      <colorScale>
        <cfvo type="num" val="-0.1"/>
        <cfvo type="num" val="0"/>
        <cfvo type="num" val="0.1"/>
        <color rgb="FFF8696B"/>
        <color rgb="FFFFEB84"/>
        <color rgb="FF63BE7B"/>
      </colorScale>
    </cfRule>
  </conditionalFormatting>
  <conditionalFormatting sqref="Q61:Q62">
    <cfRule type="colorScale" priority="89">
      <colorScale>
        <cfvo type="num" val="-0.1"/>
        <cfvo type="num" val="0"/>
        <cfvo type="num" val="0.1"/>
        <color rgb="FFF8696B"/>
        <color rgb="FFFFEB84"/>
        <color rgb="FF63BE7B"/>
      </colorScale>
    </cfRule>
    <cfRule type="colorScale" priority="90">
      <colorScale>
        <cfvo type="num" val="-0.1"/>
        <cfvo type="num" val="0"/>
        <cfvo type="num" val="0.1"/>
        <color rgb="FFF8696B"/>
        <color rgb="FFFFEB84"/>
        <color rgb="FF63BE7B"/>
      </colorScale>
    </cfRule>
  </conditionalFormatting>
  <conditionalFormatting sqref="Q62:Q64">
    <cfRule type="colorScale" priority="93">
      <colorScale>
        <cfvo type="num" val="-0.1"/>
        <cfvo type="num" val="0"/>
        <cfvo type="num" val="0.1"/>
        <color rgb="FFF8696B"/>
        <color rgb="FFFFEB84"/>
        <color rgb="FF63BE7B"/>
      </colorScale>
    </cfRule>
  </conditionalFormatting>
  <conditionalFormatting sqref="Q65">
    <cfRule type="colorScale" priority="84">
      <colorScale>
        <cfvo type="num" val="-0.1"/>
        <cfvo type="num" val="0"/>
        <cfvo type="num" val="0.1"/>
        <color rgb="FFF8696B"/>
        <color rgb="FFFFEB84"/>
        <color rgb="FF63BE7B"/>
      </colorScale>
    </cfRule>
    <cfRule type="colorScale" priority="85">
      <colorScale>
        <cfvo type="num" val="-0.1"/>
        <cfvo type="num" val="0"/>
        <cfvo type="num" val="0.1"/>
        <color rgb="FFF8696B"/>
        <color rgb="FFFFEB84"/>
        <color rgb="FF63BE7B"/>
      </colorScale>
    </cfRule>
  </conditionalFormatting>
  <conditionalFormatting sqref="Q66">
    <cfRule type="colorScale" priority="94">
      <colorScale>
        <cfvo type="num" val="-0.1"/>
        <cfvo type="num" val="0"/>
        <cfvo type="num" val="0.1"/>
        <color rgb="FFF8696B"/>
        <color rgb="FFFFEB84"/>
        <color rgb="FF63BE7B"/>
      </colorScale>
    </cfRule>
    <cfRule type="colorScale" priority="95">
      <colorScale>
        <cfvo type="num" val="-0.1"/>
        <cfvo type="num" val="0"/>
        <cfvo type="num" val="0.1"/>
        <color rgb="FFF8696B"/>
        <color rgb="FFFFEB84"/>
        <color rgb="FF63BE7B"/>
      </colorScale>
    </cfRule>
    <cfRule type="colorScale" priority="96">
      <colorScale>
        <cfvo type="num" val="-0.1"/>
        <cfvo type="num" val="0"/>
        <cfvo type="num" val="0.1"/>
        <color rgb="FFF8696B"/>
        <color rgb="FFFFEB84"/>
        <color rgb="FF63BE7B"/>
      </colorScale>
    </cfRule>
  </conditionalFormatting>
  <conditionalFormatting sqref="Q67">
    <cfRule type="colorScale" priority="101">
      <colorScale>
        <cfvo type="num" val="-0.1"/>
        <cfvo type="num" val="0"/>
        <cfvo type="num" val="0.1"/>
        <color rgb="FFF8696B"/>
        <color rgb="FFFFEB84"/>
        <color rgb="FF63BE7B"/>
      </colorScale>
    </cfRule>
  </conditionalFormatting>
  <conditionalFormatting sqref="Q68">
    <cfRule type="colorScale" priority="99">
      <colorScale>
        <cfvo type="num" val="-0.1"/>
        <cfvo type="num" val="0"/>
        <cfvo type="num" val="0.1"/>
        <color rgb="FFF8696B"/>
        <color rgb="FFFFEB84"/>
        <color rgb="FF63BE7B"/>
      </colorScale>
    </cfRule>
    <cfRule type="colorScale" priority="100">
      <colorScale>
        <cfvo type="num" val="-0.1"/>
        <cfvo type="num" val="0"/>
        <cfvo type="num" val="0.1"/>
        <color rgb="FFF8696B"/>
        <color rgb="FFFFEB84"/>
        <color rgb="FF63BE7B"/>
      </colorScale>
    </cfRule>
  </conditionalFormatting>
  <conditionalFormatting sqref="Q69">
    <cfRule type="colorScale" priority="104">
      <colorScale>
        <cfvo type="num" val="-0.1"/>
        <cfvo type="num" val="0"/>
        <cfvo type="num" val="0.1"/>
        <color rgb="FFF8696B"/>
        <color rgb="FFFFEB84"/>
        <color rgb="FF63BE7B"/>
      </colorScale>
    </cfRule>
    <cfRule type="colorScale" priority="105">
      <colorScale>
        <cfvo type="num" val="-0.1"/>
        <cfvo type="num" val="0"/>
        <cfvo type="num" val="0.1"/>
        <color rgb="FFF8696B"/>
        <color rgb="FFFFEB84"/>
        <color rgb="FF63BE7B"/>
      </colorScale>
    </cfRule>
  </conditionalFormatting>
  <conditionalFormatting sqref="Q70:Q71">
    <cfRule type="colorScale" priority="102">
      <colorScale>
        <cfvo type="num" val="-0.1"/>
        <cfvo type="num" val="0"/>
        <cfvo type="num" val="0.1"/>
        <color rgb="FFF8696B"/>
        <color rgb="FFFFEB84"/>
        <color rgb="FF63BE7B"/>
      </colorScale>
    </cfRule>
    <cfRule type="colorScale" priority="103">
      <colorScale>
        <cfvo type="num" val="-0.1"/>
        <cfvo type="num" val="0"/>
        <cfvo type="num" val="0.1"/>
        <color rgb="FFF8696B"/>
        <color rgb="FFFFEB84"/>
        <color rgb="FF63BE7B"/>
      </colorScale>
    </cfRule>
  </conditionalFormatting>
  <conditionalFormatting sqref="Q71:Q73">
    <cfRule type="colorScale" priority="106">
      <colorScale>
        <cfvo type="num" val="-0.1"/>
        <cfvo type="num" val="0"/>
        <cfvo type="num" val="0.1"/>
        <color rgb="FFF8696B"/>
        <color rgb="FFFFEB84"/>
        <color rgb="FF63BE7B"/>
      </colorScale>
    </cfRule>
  </conditionalFormatting>
  <conditionalFormatting sqref="Q74">
    <cfRule type="colorScale" priority="97">
      <colorScale>
        <cfvo type="num" val="-0.1"/>
        <cfvo type="num" val="0"/>
        <cfvo type="num" val="0.1"/>
        <color rgb="FFF8696B"/>
        <color rgb="FFFFEB84"/>
        <color rgb="FF63BE7B"/>
      </colorScale>
    </cfRule>
    <cfRule type="colorScale" priority="98">
      <colorScale>
        <cfvo type="num" val="-0.1"/>
        <cfvo type="num" val="0"/>
        <cfvo type="num" val="0.1"/>
        <color rgb="FFF8696B"/>
        <color rgb="FFFFEB84"/>
        <color rgb="FF63BE7B"/>
      </colorScale>
    </cfRule>
  </conditionalFormatting>
  <conditionalFormatting sqref="Q75">
    <cfRule type="colorScale" priority="107">
      <colorScale>
        <cfvo type="num" val="-0.1"/>
        <cfvo type="num" val="0"/>
        <cfvo type="num" val="0.1"/>
        <color rgb="FFF8696B"/>
        <color rgb="FFFFEB84"/>
        <color rgb="FF63BE7B"/>
      </colorScale>
    </cfRule>
    <cfRule type="colorScale" priority="108">
      <colorScale>
        <cfvo type="num" val="-0.1"/>
        <cfvo type="num" val="0"/>
        <cfvo type="num" val="0.1"/>
        <color rgb="FFF8696B"/>
        <color rgb="FFFFEB84"/>
        <color rgb="FF63BE7B"/>
      </colorScale>
    </cfRule>
    <cfRule type="colorScale" priority="109">
      <colorScale>
        <cfvo type="num" val="-0.1"/>
        <cfvo type="num" val="0"/>
        <cfvo type="num" val="0.1"/>
        <color rgb="FFF8696B"/>
        <color rgb="FFFFEB84"/>
        <color rgb="FF63BE7B"/>
      </colorScale>
    </cfRule>
  </conditionalFormatting>
  <conditionalFormatting sqref="Q76">
    <cfRule type="colorScale" priority="114">
      <colorScale>
        <cfvo type="num" val="-0.1"/>
        <cfvo type="num" val="0"/>
        <cfvo type="num" val="0.1"/>
        <color rgb="FFF8696B"/>
        <color rgb="FFFFEB84"/>
        <color rgb="FF63BE7B"/>
      </colorScale>
    </cfRule>
  </conditionalFormatting>
  <conditionalFormatting sqref="Q77">
    <cfRule type="colorScale" priority="112">
      <colorScale>
        <cfvo type="num" val="-0.1"/>
        <cfvo type="num" val="0"/>
        <cfvo type="num" val="0.1"/>
        <color rgb="FFF8696B"/>
        <color rgb="FFFFEB84"/>
        <color rgb="FF63BE7B"/>
      </colorScale>
    </cfRule>
    <cfRule type="colorScale" priority="113">
      <colorScale>
        <cfvo type="num" val="-0.1"/>
        <cfvo type="num" val="0"/>
        <cfvo type="num" val="0.1"/>
        <color rgb="FFF8696B"/>
        <color rgb="FFFFEB84"/>
        <color rgb="FF63BE7B"/>
      </colorScale>
    </cfRule>
  </conditionalFormatting>
  <conditionalFormatting sqref="Q78">
    <cfRule type="colorScale" priority="117">
      <colorScale>
        <cfvo type="num" val="-0.1"/>
        <cfvo type="num" val="0"/>
        <cfvo type="num" val="0.1"/>
        <color rgb="FFF8696B"/>
        <color rgb="FFFFEB84"/>
        <color rgb="FF63BE7B"/>
      </colorScale>
    </cfRule>
    <cfRule type="colorScale" priority="118">
      <colorScale>
        <cfvo type="num" val="-0.1"/>
        <cfvo type="num" val="0"/>
        <cfvo type="num" val="0.1"/>
        <color rgb="FFF8696B"/>
        <color rgb="FFFFEB84"/>
        <color rgb="FF63BE7B"/>
      </colorScale>
    </cfRule>
  </conditionalFormatting>
  <conditionalFormatting sqref="Q79:Q80">
    <cfRule type="colorScale" priority="115">
      <colorScale>
        <cfvo type="num" val="-0.1"/>
        <cfvo type="num" val="0"/>
        <cfvo type="num" val="0.1"/>
        <color rgb="FFF8696B"/>
        <color rgb="FFFFEB84"/>
        <color rgb="FF63BE7B"/>
      </colorScale>
    </cfRule>
    <cfRule type="colorScale" priority="116">
      <colorScale>
        <cfvo type="num" val="-0.1"/>
        <cfvo type="num" val="0"/>
        <cfvo type="num" val="0.1"/>
        <color rgb="FFF8696B"/>
        <color rgb="FFFFEB84"/>
        <color rgb="FF63BE7B"/>
      </colorScale>
    </cfRule>
  </conditionalFormatting>
  <conditionalFormatting sqref="Q80:Q82">
    <cfRule type="colorScale" priority="119">
      <colorScale>
        <cfvo type="num" val="-0.1"/>
        <cfvo type="num" val="0"/>
        <cfvo type="num" val="0.1"/>
        <color rgb="FFF8696B"/>
        <color rgb="FFFFEB84"/>
        <color rgb="FF63BE7B"/>
      </colorScale>
    </cfRule>
  </conditionalFormatting>
  <conditionalFormatting sqref="Q83">
    <cfRule type="colorScale" priority="110">
      <colorScale>
        <cfvo type="num" val="-0.1"/>
        <cfvo type="num" val="0"/>
        <cfvo type="num" val="0.1"/>
        <color rgb="FFF8696B"/>
        <color rgb="FFFFEB84"/>
        <color rgb="FF63BE7B"/>
      </colorScale>
    </cfRule>
    <cfRule type="colorScale" priority="111">
      <colorScale>
        <cfvo type="num" val="-0.1"/>
        <cfvo type="num" val="0"/>
        <cfvo type="num" val="0.1"/>
        <color rgb="FFF8696B"/>
        <color rgb="FFFFEB84"/>
        <color rgb="FF63BE7B"/>
      </colorScale>
    </cfRule>
  </conditionalFormatting>
  <conditionalFormatting sqref="Q84">
    <cfRule type="colorScale" priority="120">
      <colorScale>
        <cfvo type="num" val="-0.1"/>
        <cfvo type="num" val="0"/>
        <cfvo type="num" val="0.1"/>
        <color rgb="FFF8696B"/>
        <color rgb="FFFFEB84"/>
        <color rgb="FF63BE7B"/>
      </colorScale>
    </cfRule>
    <cfRule type="colorScale" priority="121">
      <colorScale>
        <cfvo type="num" val="-0.1"/>
        <cfvo type="num" val="0"/>
        <cfvo type="num" val="0.1"/>
        <color rgb="FFF8696B"/>
        <color rgb="FFFFEB84"/>
        <color rgb="FF63BE7B"/>
      </colorScale>
    </cfRule>
    <cfRule type="colorScale" priority="122">
      <colorScale>
        <cfvo type="num" val="-0.1"/>
        <cfvo type="num" val="0"/>
        <cfvo type="num" val="0.1"/>
        <color rgb="FFF8696B"/>
        <color rgb="FFFFEB84"/>
        <color rgb="FF63BE7B"/>
      </colorScale>
    </cfRule>
  </conditionalFormatting>
  <conditionalFormatting sqref="Q85">
    <cfRule type="colorScale" priority="127">
      <colorScale>
        <cfvo type="num" val="-0.1"/>
        <cfvo type="num" val="0"/>
        <cfvo type="num" val="0.1"/>
        <color rgb="FFF8696B"/>
        <color rgb="FFFFEB84"/>
        <color rgb="FF63BE7B"/>
      </colorScale>
    </cfRule>
  </conditionalFormatting>
  <conditionalFormatting sqref="Q86">
    <cfRule type="colorScale" priority="125">
      <colorScale>
        <cfvo type="num" val="-0.1"/>
        <cfvo type="num" val="0"/>
        <cfvo type="num" val="0.1"/>
        <color rgb="FFF8696B"/>
        <color rgb="FFFFEB84"/>
        <color rgb="FF63BE7B"/>
      </colorScale>
    </cfRule>
    <cfRule type="colorScale" priority="126">
      <colorScale>
        <cfvo type="num" val="-0.1"/>
        <cfvo type="num" val="0"/>
        <cfvo type="num" val="0.1"/>
        <color rgb="FFF8696B"/>
        <color rgb="FFFFEB84"/>
        <color rgb="FF63BE7B"/>
      </colorScale>
    </cfRule>
  </conditionalFormatting>
  <conditionalFormatting sqref="Q87">
    <cfRule type="colorScale" priority="130">
      <colorScale>
        <cfvo type="num" val="-0.1"/>
        <cfvo type="num" val="0"/>
        <cfvo type="num" val="0.1"/>
        <color rgb="FFF8696B"/>
        <color rgb="FFFFEB84"/>
        <color rgb="FF63BE7B"/>
      </colorScale>
    </cfRule>
    <cfRule type="colorScale" priority="131">
      <colorScale>
        <cfvo type="num" val="-0.1"/>
        <cfvo type="num" val="0"/>
        <cfvo type="num" val="0.1"/>
        <color rgb="FFF8696B"/>
        <color rgb="FFFFEB84"/>
        <color rgb="FF63BE7B"/>
      </colorScale>
    </cfRule>
  </conditionalFormatting>
  <conditionalFormatting sqref="Q88:Q89">
    <cfRule type="colorScale" priority="128">
      <colorScale>
        <cfvo type="num" val="-0.1"/>
        <cfvo type="num" val="0"/>
        <cfvo type="num" val="0.1"/>
        <color rgb="FFF8696B"/>
        <color rgb="FFFFEB84"/>
        <color rgb="FF63BE7B"/>
      </colorScale>
    </cfRule>
    <cfRule type="colorScale" priority="129">
      <colorScale>
        <cfvo type="num" val="-0.1"/>
        <cfvo type="num" val="0"/>
        <cfvo type="num" val="0.1"/>
        <color rgb="FFF8696B"/>
        <color rgb="FFFFEB84"/>
        <color rgb="FF63BE7B"/>
      </colorScale>
    </cfRule>
  </conditionalFormatting>
  <conditionalFormatting sqref="Q89:Q91">
    <cfRule type="colorScale" priority="132">
      <colorScale>
        <cfvo type="num" val="-0.1"/>
        <cfvo type="num" val="0"/>
        <cfvo type="num" val="0.1"/>
        <color rgb="FFF8696B"/>
        <color rgb="FFFFEB84"/>
        <color rgb="FF63BE7B"/>
      </colorScale>
    </cfRule>
  </conditionalFormatting>
  <conditionalFormatting sqref="Q92">
    <cfRule type="colorScale" priority="123">
      <colorScale>
        <cfvo type="num" val="-0.1"/>
        <cfvo type="num" val="0"/>
        <cfvo type="num" val="0.1"/>
        <color rgb="FFF8696B"/>
        <color rgb="FFFFEB84"/>
        <color rgb="FF63BE7B"/>
      </colorScale>
    </cfRule>
    <cfRule type="colorScale" priority="124">
      <colorScale>
        <cfvo type="num" val="-0.1"/>
        <cfvo type="num" val="0"/>
        <cfvo type="num" val="0.1"/>
        <color rgb="FFF8696B"/>
        <color rgb="FFFFEB84"/>
        <color rgb="FF63BE7B"/>
      </colorScale>
    </cfRule>
  </conditionalFormatting>
  <conditionalFormatting sqref="Q93">
    <cfRule type="colorScale" priority="133">
      <colorScale>
        <cfvo type="num" val="-0.1"/>
        <cfvo type="num" val="0"/>
        <cfvo type="num" val="0.1"/>
        <color rgb="FFF8696B"/>
        <color rgb="FFFFEB84"/>
        <color rgb="FF63BE7B"/>
      </colorScale>
    </cfRule>
    <cfRule type="colorScale" priority="134">
      <colorScale>
        <cfvo type="num" val="-0.1"/>
        <cfvo type="num" val="0"/>
        <cfvo type="num" val="0.1"/>
        <color rgb="FFF8696B"/>
        <color rgb="FFFFEB84"/>
        <color rgb="FF63BE7B"/>
      </colorScale>
    </cfRule>
    <cfRule type="colorScale" priority="135">
      <colorScale>
        <cfvo type="num" val="-0.1"/>
        <cfvo type="num" val="0"/>
        <cfvo type="num" val="0.1"/>
        <color rgb="FFF8696B"/>
        <color rgb="FFFFEB84"/>
        <color rgb="FF63BE7B"/>
      </colorScale>
    </cfRule>
  </conditionalFormatting>
  <conditionalFormatting sqref="Q94">
    <cfRule type="colorScale" priority="140">
      <colorScale>
        <cfvo type="num" val="-0.1"/>
        <cfvo type="num" val="0"/>
        <cfvo type="num" val="0.1"/>
        <color rgb="FFF8696B"/>
        <color rgb="FFFFEB84"/>
        <color rgb="FF63BE7B"/>
      </colorScale>
    </cfRule>
  </conditionalFormatting>
  <conditionalFormatting sqref="Q95">
    <cfRule type="colorScale" priority="138">
      <colorScale>
        <cfvo type="num" val="-0.1"/>
        <cfvo type="num" val="0"/>
        <cfvo type="num" val="0.1"/>
        <color rgb="FFF8696B"/>
        <color rgb="FFFFEB84"/>
        <color rgb="FF63BE7B"/>
      </colorScale>
    </cfRule>
    <cfRule type="colorScale" priority="139">
      <colorScale>
        <cfvo type="num" val="-0.1"/>
        <cfvo type="num" val="0"/>
        <cfvo type="num" val="0.1"/>
        <color rgb="FFF8696B"/>
        <color rgb="FFFFEB84"/>
        <color rgb="FF63BE7B"/>
      </colorScale>
    </cfRule>
  </conditionalFormatting>
  <conditionalFormatting sqref="Q96">
    <cfRule type="colorScale" priority="143">
      <colorScale>
        <cfvo type="num" val="-0.1"/>
        <cfvo type="num" val="0"/>
        <cfvo type="num" val="0.1"/>
        <color rgb="FFF8696B"/>
        <color rgb="FFFFEB84"/>
        <color rgb="FF63BE7B"/>
      </colorScale>
    </cfRule>
    <cfRule type="colorScale" priority="144">
      <colorScale>
        <cfvo type="num" val="-0.1"/>
        <cfvo type="num" val="0"/>
        <cfvo type="num" val="0.1"/>
        <color rgb="FFF8696B"/>
        <color rgb="FFFFEB84"/>
        <color rgb="FF63BE7B"/>
      </colorScale>
    </cfRule>
  </conditionalFormatting>
  <conditionalFormatting sqref="Q97:Q98">
    <cfRule type="colorScale" priority="141">
      <colorScale>
        <cfvo type="num" val="-0.1"/>
        <cfvo type="num" val="0"/>
        <cfvo type="num" val="0.1"/>
        <color rgb="FFF8696B"/>
        <color rgb="FFFFEB84"/>
        <color rgb="FF63BE7B"/>
      </colorScale>
    </cfRule>
    <cfRule type="colorScale" priority="142">
      <colorScale>
        <cfvo type="num" val="-0.1"/>
        <cfvo type="num" val="0"/>
        <cfvo type="num" val="0.1"/>
        <color rgb="FFF8696B"/>
        <color rgb="FFFFEB84"/>
        <color rgb="FF63BE7B"/>
      </colorScale>
    </cfRule>
  </conditionalFormatting>
  <conditionalFormatting sqref="Q98:Q100">
    <cfRule type="colorScale" priority="145">
      <colorScale>
        <cfvo type="num" val="-0.1"/>
        <cfvo type="num" val="0"/>
        <cfvo type="num" val="0.1"/>
        <color rgb="FFF8696B"/>
        <color rgb="FFFFEB84"/>
        <color rgb="FF63BE7B"/>
      </colorScale>
    </cfRule>
  </conditionalFormatting>
  <conditionalFormatting sqref="Q101">
    <cfRule type="colorScale" priority="136">
      <colorScale>
        <cfvo type="num" val="-0.1"/>
        <cfvo type="num" val="0"/>
        <cfvo type="num" val="0.1"/>
        <color rgb="FFF8696B"/>
        <color rgb="FFFFEB84"/>
        <color rgb="FF63BE7B"/>
      </colorScale>
    </cfRule>
    <cfRule type="colorScale" priority="137">
      <colorScale>
        <cfvo type="num" val="-0.1"/>
        <cfvo type="num" val="0"/>
        <cfvo type="num" val="0.1"/>
        <color rgb="FFF8696B"/>
        <color rgb="FFFFEB84"/>
        <color rgb="FF63BE7B"/>
      </colorScale>
    </cfRule>
  </conditionalFormatting>
  <conditionalFormatting sqref="Q102">
    <cfRule type="colorScale" priority="146">
      <colorScale>
        <cfvo type="num" val="-0.1"/>
        <cfvo type="num" val="0"/>
        <cfvo type="num" val="0.1"/>
        <color rgb="FFF8696B"/>
        <color rgb="FFFFEB84"/>
        <color rgb="FF63BE7B"/>
      </colorScale>
    </cfRule>
    <cfRule type="colorScale" priority="147">
      <colorScale>
        <cfvo type="num" val="-0.1"/>
        <cfvo type="num" val="0"/>
        <cfvo type="num" val="0.1"/>
        <color rgb="FFF8696B"/>
        <color rgb="FFFFEB84"/>
        <color rgb="FF63BE7B"/>
      </colorScale>
    </cfRule>
    <cfRule type="colorScale" priority="148">
      <colorScale>
        <cfvo type="num" val="-0.1"/>
        <cfvo type="num" val="0"/>
        <cfvo type="num" val="0.1"/>
        <color rgb="FFF8696B"/>
        <color rgb="FFFFEB84"/>
        <color rgb="FF63BE7B"/>
      </colorScale>
    </cfRule>
  </conditionalFormatting>
  <conditionalFormatting sqref="Q103">
    <cfRule type="colorScale" priority="153">
      <colorScale>
        <cfvo type="num" val="-0.1"/>
        <cfvo type="num" val="0"/>
        <cfvo type="num" val="0.1"/>
        <color rgb="FFF8696B"/>
        <color rgb="FFFFEB84"/>
        <color rgb="FF63BE7B"/>
      </colorScale>
    </cfRule>
  </conditionalFormatting>
  <conditionalFormatting sqref="Q104">
    <cfRule type="colorScale" priority="151">
      <colorScale>
        <cfvo type="num" val="-0.1"/>
        <cfvo type="num" val="0"/>
        <cfvo type="num" val="0.1"/>
        <color rgb="FFF8696B"/>
        <color rgb="FFFFEB84"/>
        <color rgb="FF63BE7B"/>
      </colorScale>
    </cfRule>
    <cfRule type="colorScale" priority="152">
      <colorScale>
        <cfvo type="num" val="-0.1"/>
        <cfvo type="num" val="0"/>
        <cfvo type="num" val="0.1"/>
        <color rgb="FFF8696B"/>
        <color rgb="FFFFEB84"/>
        <color rgb="FF63BE7B"/>
      </colorScale>
    </cfRule>
  </conditionalFormatting>
  <conditionalFormatting sqref="Q105">
    <cfRule type="colorScale" priority="156">
      <colorScale>
        <cfvo type="num" val="-0.1"/>
        <cfvo type="num" val="0"/>
        <cfvo type="num" val="0.1"/>
        <color rgb="FFF8696B"/>
        <color rgb="FFFFEB84"/>
        <color rgb="FF63BE7B"/>
      </colorScale>
    </cfRule>
    <cfRule type="colorScale" priority="157">
      <colorScale>
        <cfvo type="num" val="-0.1"/>
        <cfvo type="num" val="0"/>
        <cfvo type="num" val="0.1"/>
        <color rgb="FFF8696B"/>
        <color rgb="FFFFEB84"/>
        <color rgb="FF63BE7B"/>
      </colorScale>
    </cfRule>
  </conditionalFormatting>
  <conditionalFormatting sqref="Q106:Q107">
    <cfRule type="colorScale" priority="154">
      <colorScale>
        <cfvo type="num" val="-0.1"/>
        <cfvo type="num" val="0"/>
        <cfvo type="num" val="0.1"/>
        <color rgb="FFF8696B"/>
        <color rgb="FFFFEB84"/>
        <color rgb="FF63BE7B"/>
      </colorScale>
    </cfRule>
    <cfRule type="colorScale" priority="155">
      <colorScale>
        <cfvo type="num" val="-0.1"/>
        <cfvo type="num" val="0"/>
        <cfvo type="num" val="0.1"/>
        <color rgb="FFF8696B"/>
        <color rgb="FFFFEB84"/>
        <color rgb="FF63BE7B"/>
      </colorScale>
    </cfRule>
  </conditionalFormatting>
  <conditionalFormatting sqref="Q107:Q109">
    <cfRule type="colorScale" priority="158">
      <colorScale>
        <cfvo type="num" val="-0.1"/>
        <cfvo type="num" val="0"/>
        <cfvo type="num" val="0.1"/>
        <color rgb="FFF8696B"/>
        <color rgb="FFFFEB84"/>
        <color rgb="FF63BE7B"/>
      </colorScale>
    </cfRule>
  </conditionalFormatting>
  <conditionalFormatting sqref="Q110">
    <cfRule type="colorScale" priority="149">
      <colorScale>
        <cfvo type="num" val="-0.1"/>
        <cfvo type="num" val="0"/>
        <cfvo type="num" val="0.1"/>
        <color rgb="FFF8696B"/>
        <color rgb="FFFFEB84"/>
        <color rgb="FF63BE7B"/>
      </colorScale>
    </cfRule>
    <cfRule type="colorScale" priority="150">
      <colorScale>
        <cfvo type="num" val="-0.1"/>
        <cfvo type="num" val="0"/>
        <cfvo type="num" val="0.1"/>
        <color rgb="FFF8696B"/>
        <color rgb="FFFFEB84"/>
        <color rgb="FF63BE7B"/>
      </colorScale>
    </cfRule>
  </conditionalFormatting>
  <conditionalFormatting sqref="Q111">
    <cfRule type="colorScale" priority="159">
      <colorScale>
        <cfvo type="num" val="-0.1"/>
        <cfvo type="num" val="0"/>
        <cfvo type="num" val="0.1"/>
        <color rgb="FFF8696B"/>
        <color rgb="FFFFEB84"/>
        <color rgb="FF63BE7B"/>
      </colorScale>
    </cfRule>
    <cfRule type="colorScale" priority="160">
      <colorScale>
        <cfvo type="num" val="-0.1"/>
        <cfvo type="num" val="0"/>
        <cfvo type="num" val="0.1"/>
        <color rgb="FFF8696B"/>
        <color rgb="FFFFEB84"/>
        <color rgb="FF63BE7B"/>
      </colorScale>
    </cfRule>
    <cfRule type="colorScale" priority="161">
      <colorScale>
        <cfvo type="num" val="-0.1"/>
        <cfvo type="num" val="0"/>
        <cfvo type="num" val="0.1"/>
        <color rgb="FFF8696B"/>
        <color rgb="FFFFEB84"/>
        <color rgb="FF63BE7B"/>
      </colorScale>
    </cfRule>
  </conditionalFormatting>
  <conditionalFormatting sqref="Q112">
    <cfRule type="colorScale" priority="166">
      <colorScale>
        <cfvo type="num" val="-0.1"/>
        <cfvo type="num" val="0"/>
        <cfvo type="num" val="0.1"/>
        <color rgb="FFF8696B"/>
        <color rgb="FFFFEB84"/>
        <color rgb="FF63BE7B"/>
      </colorScale>
    </cfRule>
  </conditionalFormatting>
  <conditionalFormatting sqref="Q113">
    <cfRule type="colorScale" priority="164">
      <colorScale>
        <cfvo type="num" val="-0.1"/>
        <cfvo type="num" val="0"/>
        <cfvo type="num" val="0.1"/>
        <color rgb="FFF8696B"/>
        <color rgb="FFFFEB84"/>
        <color rgb="FF63BE7B"/>
      </colorScale>
    </cfRule>
    <cfRule type="colorScale" priority="165">
      <colorScale>
        <cfvo type="num" val="-0.1"/>
        <cfvo type="num" val="0"/>
        <cfvo type="num" val="0.1"/>
        <color rgb="FFF8696B"/>
        <color rgb="FFFFEB84"/>
        <color rgb="FF63BE7B"/>
      </colorScale>
    </cfRule>
  </conditionalFormatting>
  <conditionalFormatting sqref="Q114">
    <cfRule type="colorScale" priority="169">
      <colorScale>
        <cfvo type="num" val="-0.1"/>
        <cfvo type="num" val="0"/>
        <cfvo type="num" val="0.1"/>
        <color rgb="FFF8696B"/>
        <color rgb="FFFFEB84"/>
        <color rgb="FF63BE7B"/>
      </colorScale>
    </cfRule>
    <cfRule type="colorScale" priority="170">
      <colorScale>
        <cfvo type="num" val="-0.1"/>
        <cfvo type="num" val="0"/>
        <cfvo type="num" val="0.1"/>
        <color rgb="FFF8696B"/>
        <color rgb="FFFFEB84"/>
        <color rgb="FF63BE7B"/>
      </colorScale>
    </cfRule>
  </conditionalFormatting>
  <conditionalFormatting sqref="Q115:Q116">
    <cfRule type="colorScale" priority="167">
      <colorScale>
        <cfvo type="num" val="-0.1"/>
        <cfvo type="num" val="0"/>
        <cfvo type="num" val="0.1"/>
        <color rgb="FFF8696B"/>
        <color rgb="FFFFEB84"/>
        <color rgb="FF63BE7B"/>
      </colorScale>
    </cfRule>
    <cfRule type="colorScale" priority="168">
      <colorScale>
        <cfvo type="num" val="-0.1"/>
        <cfvo type="num" val="0"/>
        <cfvo type="num" val="0.1"/>
        <color rgb="FFF8696B"/>
        <color rgb="FFFFEB84"/>
        <color rgb="FF63BE7B"/>
      </colorScale>
    </cfRule>
  </conditionalFormatting>
  <conditionalFormatting sqref="Q116:Q118">
    <cfRule type="colorScale" priority="171">
      <colorScale>
        <cfvo type="num" val="-0.1"/>
        <cfvo type="num" val="0"/>
        <cfvo type="num" val="0.1"/>
        <color rgb="FFF8696B"/>
        <color rgb="FFFFEB84"/>
        <color rgb="FF63BE7B"/>
      </colorScale>
    </cfRule>
  </conditionalFormatting>
  <conditionalFormatting sqref="Q119">
    <cfRule type="colorScale" priority="162">
      <colorScale>
        <cfvo type="num" val="-0.1"/>
        <cfvo type="num" val="0"/>
        <cfvo type="num" val="0.1"/>
        <color rgb="FFF8696B"/>
        <color rgb="FFFFEB84"/>
        <color rgb="FF63BE7B"/>
      </colorScale>
    </cfRule>
    <cfRule type="colorScale" priority="163">
      <colorScale>
        <cfvo type="num" val="-0.1"/>
        <cfvo type="num" val="0"/>
        <cfvo type="num" val="0.1"/>
        <color rgb="FFF8696B"/>
        <color rgb="FFFFEB84"/>
        <color rgb="FF63BE7B"/>
      </colorScale>
    </cfRule>
  </conditionalFormatting>
  <conditionalFormatting sqref="Q120">
    <cfRule type="colorScale" priority="174">
      <colorScale>
        <cfvo type="num" val="-0.1"/>
        <cfvo type="num" val="0"/>
        <cfvo type="num" val="0.1"/>
        <color rgb="FFF8696B"/>
        <color rgb="FFFFEB84"/>
        <color rgb="FF63BE7B"/>
      </colorScale>
    </cfRule>
    <cfRule type="colorScale" priority="175">
      <colorScale>
        <cfvo type="num" val="-0.1"/>
        <cfvo type="num" val="0"/>
        <cfvo type="num" val="0.1"/>
        <color rgb="FFF8696B"/>
        <color rgb="FFFFEB84"/>
        <color rgb="FF63BE7B"/>
      </colorScale>
    </cfRule>
    <cfRule type="colorScale" priority="176">
      <colorScale>
        <cfvo type="num" val="-0.1"/>
        <cfvo type="num" val="0"/>
        <cfvo type="num" val="0.1"/>
        <color rgb="FFF8696B"/>
        <color rgb="FFFFEB84"/>
        <color rgb="FF63BE7B"/>
      </colorScale>
    </cfRule>
  </conditionalFormatting>
  <conditionalFormatting sqref="Q121">
    <cfRule type="colorScale" priority="181">
      <colorScale>
        <cfvo type="num" val="-0.1"/>
        <cfvo type="num" val="0"/>
        <cfvo type="num" val="0.1"/>
        <color rgb="FFF8696B"/>
        <color rgb="FFFFEB84"/>
        <color rgb="FF63BE7B"/>
      </colorScale>
    </cfRule>
  </conditionalFormatting>
  <conditionalFormatting sqref="Q122">
    <cfRule type="colorScale" priority="179">
      <colorScale>
        <cfvo type="num" val="-0.1"/>
        <cfvo type="num" val="0"/>
        <cfvo type="num" val="0.1"/>
        <color rgb="FFF8696B"/>
        <color rgb="FFFFEB84"/>
        <color rgb="FF63BE7B"/>
      </colorScale>
    </cfRule>
    <cfRule type="colorScale" priority="180">
      <colorScale>
        <cfvo type="num" val="-0.1"/>
        <cfvo type="num" val="0"/>
        <cfvo type="num" val="0.1"/>
        <color rgb="FFF8696B"/>
        <color rgb="FFFFEB84"/>
        <color rgb="FF63BE7B"/>
      </colorScale>
    </cfRule>
  </conditionalFormatting>
  <conditionalFormatting sqref="Q123">
    <cfRule type="colorScale" priority="184">
      <colorScale>
        <cfvo type="num" val="-0.1"/>
        <cfvo type="num" val="0"/>
        <cfvo type="num" val="0.1"/>
        <color rgb="FFF8696B"/>
        <color rgb="FFFFEB84"/>
        <color rgb="FF63BE7B"/>
      </colorScale>
    </cfRule>
    <cfRule type="colorScale" priority="185">
      <colorScale>
        <cfvo type="num" val="-0.1"/>
        <cfvo type="num" val="0"/>
        <cfvo type="num" val="0.1"/>
        <color rgb="FFF8696B"/>
        <color rgb="FFFFEB84"/>
        <color rgb="FF63BE7B"/>
      </colorScale>
    </cfRule>
  </conditionalFormatting>
  <conditionalFormatting sqref="Q124:Q125">
    <cfRule type="colorScale" priority="182">
      <colorScale>
        <cfvo type="num" val="-0.1"/>
        <cfvo type="num" val="0"/>
        <cfvo type="num" val="0.1"/>
        <color rgb="FFF8696B"/>
        <color rgb="FFFFEB84"/>
        <color rgb="FF63BE7B"/>
      </colorScale>
    </cfRule>
    <cfRule type="colorScale" priority="183">
      <colorScale>
        <cfvo type="num" val="-0.1"/>
        <cfvo type="num" val="0"/>
        <cfvo type="num" val="0.1"/>
        <color rgb="FFF8696B"/>
        <color rgb="FFFFEB84"/>
        <color rgb="FF63BE7B"/>
      </colorScale>
    </cfRule>
  </conditionalFormatting>
  <conditionalFormatting sqref="Q125:Q127">
    <cfRule type="colorScale" priority="186">
      <colorScale>
        <cfvo type="num" val="-0.1"/>
        <cfvo type="num" val="0"/>
        <cfvo type="num" val="0.1"/>
        <color rgb="FFF8696B"/>
        <color rgb="FFFFEB84"/>
        <color rgb="FF63BE7B"/>
      </colorScale>
    </cfRule>
  </conditionalFormatting>
  <conditionalFormatting sqref="Q128">
    <cfRule type="colorScale" priority="177">
      <colorScale>
        <cfvo type="num" val="-0.1"/>
        <cfvo type="num" val="0"/>
        <cfvo type="num" val="0.1"/>
        <color rgb="FFF8696B"/>
        <color rgb="FFFFEB84"/>
        <color rgb="FF63BE7B"/>
      </colorScale>
    </cfRule>
    <cfRule type="colorScale" priority="178">
      <colorScale>
        <cfvo type="num" val="-0.1"/>
        <cfvo type="num" val="0"/>
        <cfvo type="num" val="0.1"/>
        <color rgb="FFF8696B"/>
        <color rgb="FFFFEB84"/>
        <color rgb="FF63BE7B"/>
      </colorScale>
    </cfRule>
  </conditionalFormatting>
  <conditionalFormatting sqref="Q129">
    <cfRule type="colorScale" priority="187">
      <colorScale>
        <cfvo type="num" val="-0.1"/>
        <cfvo type="num" val="0"/>
        <cfvo type="num" val="0.1"/>
        <color rgb="FFF8696B"/>
        <color rgb="FFFFEB84"/>
        <color rgb="FF63BE7B"/>
      </colorScale>
    </cfRule>
    <cfRule type="colorScale" priority="188">
      <colorScale>
        <cfvo type="num" val="-0.1"/>
        <cfvo type="num" val="0"/>
        <cfvo type="num" val="0.1"/>
        <color rgb="FFF8696B"/>
        <color rgb="FFFFEB84"/>
        <color rgb="FF63BE7B"/>
      </colorScale>
    </cfRule>
  </conditionalFormatting>
  <conditionalFormatting sqref="Q130">
    <cfRule type="colorScale" priority="189">
      <colorScale>
        <cfvo type="num" val="-0.1"/>
        <cfvo type="num" val="0"/>
        <cfvo type="num" val="0.1"/>
        <color rgb="FFF8696B"/>
        <color rgb="FFFFEB84"/>
        <color rgb="FF63BE7B"/>
      </colorScale>
    </cfRule>
    <cfRule type="colorScale" priority="190">
      <colorScale>
        <cfvo type="num" val="-0.1"/>
        <cfvo type="num" val="0"/>
        <cfvo type="num" val="0.1"/>
        <color rgb="FFF8696B"/>
        <color rgb="FFFFEB84"/>
        <color rgb="FF63BE7B"/>
      </colorScale>
    </cfRule>
    <cfRule type="colorScale" priority="191">
      <colorScale>
        <cfvo type="num" val="-0.1"/>
        <cfvo type="num" val="0"/>
        <cfvo type="num" val="0.1"/>
        <color rgb="FFF8696B"/>
        <color rgb="FFFFEB84"/>
        <color rgb="FF63BE7B"/>
      </colorScale>
    </cfRule>
  </conditionalFormatting>
  <conditionalFormatting sqref="Q131">
    <cfRule type="colorScale" priority="199">
      <colorScale>
        <cfvo type="num" val="-0.1"/>
        <cfvo type="num" val="0"/>
        <cfvo type="num" val="0.1"/>
        <color rgb="FFF8696B"/>
        <color rgb="FFFFEB84"/>
        <color rgb="FF63BE7B"/>
      </colorScale>
    </cfRule>
  </conditionalFormatting>
  <conditionalFormatting sqref="Q132">
    <cfRule type="colorScale" priority="194">
      <colorScale>
        <cfvo type="num" val="-0.1"/>
        <cfvo type="num" val="0"/>
        <cfvo type="num" val="0.1"/>
        <color rgb="FFF8696B"/>
        <color rgb="FFFFEB84"/>
        <color rgb="FF63BE7B"/>
      </colorScale>
    </cfRule>
    <cfRule type="colorScale" priority="195">
      <colorScale>
        <cfvo type="num" val="-0.1"/>
        <cfvo type="num" val="0"/>
        <cfvo type="num" val="0.1"/>
        <color rgb="FFF8696B"/>
        <color rgb="FFFFEB84"/>
        <color rgb="FF63BE7B"/>
      </colorScale>
    </cfRule>
  </conditionalFormatting>
  <conditionalFormatting sqref="Q133">
    <cfRule type="colorScale" priority="202">
      <colorScale>
        <cfvo type="num" val="-0.1"/>
        <cfvo type="num" val="0"/>
        <cfvo type="num" val="0.1"/>
        <color rgb="FFF8696B"/>
        <color rgb="FFFFEB84"/>
        <color rgb="FF63BE7B"/>
      </colorScale>
    </cfRule>
    <cfRule type="colorScale" priority="203">
      <colorScale>
        <cfvo type="num" val="-0.1"/>
        <cfvo type="num" val="0"/>
        <cfvo type="num" val="0.1"/>
        <color rgb="FFF8696B"/>
        <color rgb="FFFFEB84"/>
        <color rgb="FF63BE7B"/>
      </colorScale>
    </cfRule>
  </conditionalFormatting>
  <conditionalFormatting sqref="Q134:Q135">
    <cfRule type="colorScale" priority="200">
      <colorScale>
        <cfvo type="num" val="-0.1"/>
        <cfvo type="num" val="0"/>
        <cfvo type="num" val="0.1"/>
        <color rgb="FFF8696B"/>
        <color rgb="FFFFEB84"/>
        <color rgb="FF63BE7B"/>
      </colorScale>
    </cfRule>
    <cfRule type="colorScale" priority="201">
      <colorScale>
        <cfvo type="num" val="-0.1"/>
        <cfvo type="num" val="0"/>
        <cfvo type="num" val="0.1"/>
        <color rgb="FFF8696B"/>
        <color rgb="FFFFEB84"/>
        <color rgb="FF63BE7B"/>
      </colorScale>
    </cfRule>
  </conditionalFormatting>
  <conditionalFormatting sqref="Q135:Q137">
    <cfRule type="colorScale" priority="204">
      <colorScale>
        <cfvo type="num" val="-0.1"/>
        <cfvo type="num" val="0"/>
        <cfvo type="num" val="0.1"/>
        <color rgb="FFF8696B"/>
        <color rgb="FFFFEB84"/>
        <color rgb="FF63BE7B"/>
      </colorScale>
    </cfRule>
  </conditionalFormatting>
  <conditionalFormatting sqref="Q138">
    <cfRule type="colorScale" priority="192">
      <colorScale>
        <cfvo type="num" val="-0.1"/>
        <cfvo type="num" val="0"/>
        <cfvo type="num" val="0.1"/>
        <color rgb="FFF8696B"/>
        <color rgb="FFFFEB84"/>
        <color rgb="FF63BE7B"/>
      </colorScale>
    </cfRule>
    <cfRule type="colorScale" priority="193">
      <colorScale>
        <cfvo type="num" val="-0.1"/>
        <cfvo type="num" val="0"/>
        <cfvo type="num" val="0.1"/>
        <color rgb="FFF8696B"/>
        <color rgb="FFFFEB84"/>
        <color rgb="FF63BE7B"/>
      </colorScale>
    </cfRule>
  </conditionalFormatting>
  <conditionalFormatting sqref="Q139">
    <cfRule type="colorScale" priority="212">
      <colorScale>
        <cfvo type="num" val="-0.1"/>
        <cfvo type="num" val="0"/>
        <cfvo type="num" val="0.1"/>
        <color rgb="FFF8696B"/>
        <color rgb="FFFFEB84"/>
        <color rgb="FF63BE7B"/>
      </colorScale>
    </cfRule>
    <cfRule type="colorScale" priority="213">
      <colorScale>
        <cfvo type="num" val="-0.1"/>
        <cfvo type="num" val="0"/>
        <cfvo type="num" val="0.1"/>
        <color rgb="FFF8696B"/>
        <color rgb="FFFFEB84"/>
        <color rgb="FF63BE7B"/>
      </colorScale>
    </cfRule>
    <cfRule type="colorScale" priority="214">
      <colorScale>
        <cfvo type="num" val="-0.1"/>
        <cfvo type="num" val="0"/>
        <cfvo type="num" val="0.1"/>
        <color rgb="FFF8696B"/>
        <color rgb="FFFFEB84"/>
        <color rgb="FF63BE7B"/>
      </colorScale>
    </cfRule>
  </conditionalFormatting>
  <conditionalFormatting sqref="Q140">
    <cfRule type="colorScale" priority="205">
      <colorScale>
        <cfvo type="num" val="-0.1"/>
        <cfvo type="num" val="0"/>
        <cfvo type="num" val="0.1"/>
        <color rgb="FFF8696B"/>
        <color rgb="FFFFEB84"/>
        <color rgb="FF63BE7B"/>
      </colorScale>
    </cfRule>
    <cfRule type="colorScale" priority="206">
      <colorScale>
        <cfvo type="num" val="-0.1"/>
        <cfvo type="num" val="0"/>
        <cfvo type="num" val="0.1"/>
        <color rgb="FFF8696B"/>
        <color rgb="FFFFEB84"/>
        <color rgb="FF63BE7B"/>
      </colorScale>
    </cfRule>
    <cfRule type="colorScale" priority="207">
      <colorScale>
        <cfvo type="num" val="-0.1"/>
        <cfvo type="num" val="0"/>
        <cfvo type="num" val="0.1"/>
        <color rgb="FFF8696B"/>
        <color rgb="FFFFEB84"/>
        <color rgb="FF63BE7B"/>
      </colorScale>
    </cfRule>
  </conditionalFormatting>
  <conditionalFormatting sqref="Q141">
    <cfRule type="colorScale" priority="215">
      <colorScale>
        <cfvo type="num" val="-0.1"/>
        <cfvo type="num" val="0"/>
        <cfvo type="num" val="0.1"/>
        <color rgb="FFF8696B"/>
        <color rgb="FFFFEB84"/>
        <color rgb="FF63BE7B"/>
      </colorScale>
    </cfRule>
  </conditionalFormatting>
  <conditionalFormatting sqref="Q142">
    <cfRule type="colorScale" priority="210">
      <colorScale>
        <cfvo type="num" val="-0.1"/>
        <cfvo type="num" val="0"/>
        <cfvo type="num" val="0.1"/>
        <color rgb="FFF8696B"/>
        <color rgb="FFFFEB84"/>
        <color rgb="FF63BE7B"/>
      </colorScale>
    </cfRule>
    <cfRule type="colorScale" priority="211">
      <colorScale>
        <cfvo type="num" val="-0.1"/>
        <cfvo type="num" val="0"/>
        <cfvo type="num" val="0.1"/>
        <color rgb="FFF8696B"/>
        <color rgb="FFFFEB84"/>
        <color rgb="FF63BE7B"/>
      </colorScale>
    </cfRule>
  </conditionalFormatting>
  <conditionalFormatting sqref="Q143">
    <cfRule type="colorScale" priority="218">
      <colorScale>
        <cfvo type="num" val="-0.1"/>
        <cfvo type="num" val="0"/>
        <cfvo type="num" val="0.1"/>
        <color rgb="FFF8696B"/>
        <color rgb="FFFFEB84"/>
        <color rgb="FF63BE7B"/>
      </colorScale>
    </cfRule>
    <cfRule type="colorScale" priority="219">
      <colorScale>
        <cfvo type="num" val="-0.1"/>
        <cfvo type="num" val="0"/>
        <cfvo type="num" val="0.1"/>
        <color rgb="FFF8696B"/>
        <color rgb="FFFFEB84"/>
        <color rgb="FF63BE7B"/>
      </colorScale>
    </cfRule>
  </conditionalFormatting>
  <conditionalFormatting sqref="Q144:Q145">
    <cfRule type="colorScale" priority="216">
      <colorScale>
        <cfvo type="num" val="-0.1"/>
        <cfvo type="num" val="0"/>
        <cfvo type="num" val="0.1"/>
        <color rgb="FFF8696B"/>
        <color rgb="FFFFEB84"/>
        <color rgb="FF63BE7B"/>
      </colorScale>
    </cfRule>
    <cfRule type="colorScale" priority="217">
      <colorScale>
        <cfvo type="num" val="-0.1"/>
        <cfvo type="num" val="0"/>
        <cfvo type="num" val="0.1"/>
        <color rgb="FFF8696B"/>
        <color rgb="FFFFEB84"/>
        <color rgb="FF63BE7B"/>
      </colorScale>
    </cfRule>
  </conditionalFormatting>
  <conditionalFormatting sqref="Q145:Q147">
    <cfRule type="colorScale" priority="220">
      <colorScale>
        <cfvo type="num" val="-0.1"/>
        <cfvo type="num" val="0"/>
        <cfvo type="num" val="0.1"/>
        <color rgb="FFF8696B"/>
        <color rgb="FFFFEB84"/>
        <color rgb="FF63BE7B"/>
      </colorScale>
    </cfRule>
  </conditionalFormatting>
  <conditionalFormatting sqref="Q148">
    <cfRule type="colorScale" priority="208">
      <colorScale>
        <cfvo type="num" val="-0.1"/>
        <cfvo type="num" val="0"/>
        <cfvo type="num" val="0.1"/>
        <color rgb="FFF8696B"/>
        <color rgb="FFFFEB84"/>
        <color rgb="FF63BE7B"/>
      </colorScale>
    </cfRule>
    <cfRule type="colorScale" priority="209">
      <colorScale>
        <cfvo type="num" val="-0.1"/>
        <cfvo type="num" val="0"/>
        <cfvo type="num" val="0.1"/>
        <color rgb="FFF8696B"/>
        <color rgb="FFFFEB84"/>
        <color rgb="FF63BE7B"/>
      </colorScale>
    </cfRule>
  </conditionalFormatting>
  <conditionalFormatting sqref="Q149">
    <cfRule type="colorScale" priority="223">
      <colorScale>
        <cfvo type="num" val="-0.1"/>
        <cfvo type="num" val="0"/>
        <cfvo type="num" val="0.1"/>
        <color rgb="FFF8696B"/>
        <color rgb="FFFFEB84"/>
        <color rgb="FF63BE7B"/>
      </colorScale>
    </cfRule>
    <cfRule type="colorScale" priority="224">
      <colorScale>
        <cfvo type="num" val="-0.1"/>
        <cfvo type="num" val="0"/>
        <cfvo type="num" val="0.1"/>
        <color rgb="FFF8696B"/>
        <color rgb="FFFFEB84"/>
        <color rgb="FF63BE7B"/>
      </colorScale>
    </cfRule>
    <cfRule type="colorScale" priority="225">
      <colorScale>
        <cfvo type="num" val="-0.1"/>
        <cfvo type="num" val="0"/>
        <cfvo type="num" val="0.1"/>
        <color rgb="FFF8696B"/>
        <color rgb="FFFFEB84"/>
        <color rgb="FF63BE7B"/>
      </colorScale>
    </cfRule>
  </conditionalFormatting>
  <conditionalFormatting sqref="Q150">
    <cfRule type="colorScale" priority="226">
      <colorScale>
        <cfvo type="num" val="-0.1"/>
        <cfvo type="num" val="0"/>
        <cfvo type="num" val="0.1"/>
        <color rgb="FFF8696B"/>
        <color rgb="FFFFEB84"/>
        <color rgb="FF63BE7B"/>
      </colorScale>
    </cfRule>
  </conditionalFormatting>
  <conditionalFormatting sqref="Q151">
    <cfRule type="colorScale" priority="221">
      <colorScale>
        <cfvo type="num" val="-0.1"/>
        <cfvo type="num" val="0"/>
        <cfvo type="num" val="0.1"/>
        <color rgb="FFF8696B"/>
        <color rgb="FFFFEB84"/>
        <color rgb="FF63BE7B"/>
      </colorScale>
    </cfRule>
    <cfRule type="colorScale" priority="222">
      <colorScale>
        <cfvo type="num" val="-0.1"/>
        <cfvo type="num" val="0"/>
        <cfvo type="num" val="0.1"/>
        <color rgb="FFF8696B"/>
        <color rgb="FFFFEB84"/>
        <color rgb="FF63BE7B"/>
      </colorScale>
    </cfRule>
  </conditionalFormatting>
  <conditionalFormatting sqref="Q152">
    <cfRule type="colorScale" priority="231">
      <colorScale>
        <cfvo type="num" val="-0.1"/>
        <cfvo type="num" val="0"/>
        <cfvo type="num" val="0.1"/>
        <color rgb="FFF8696B"/>
        <color rgb="FFFFEB84"/>
        <color rgb="FF63BE7B"/>
      </colorScale>
    </cfRule>
    <cfRule type="colorScale" priority="232">
      <colorScale>
        <cfvo type="num" val="-0.1"/>
        <cfvo type="num" val="0"/>
        <cfvo type="num" val="0.1"/>
        <color rgb="FFF8696B"/>
        <color rgb="FFFFEB84"/>
        <color rgb="FF63BE7B"/>
      </colorScale>
    </cfRule>
  </conditionalFormatting>
  <conditionalFormatting sqref="Q153:Q154">
    <cfRule type="colorScale" priority="229">
      <colorScale>
        <cfvo type="num" val="-0.1"/>
        <cfvo type="num" val="0"/>
        <cfvo type="num" val="0.1"/>
        <color rgb="FFF8696B"/>
        <color rgb="FFFFEB84"/>
        <color rgb="FF63BE7B"/>
      </colorScale>
    </cfRule>
    <cfRule type="colorScale" priority="230">
      <colorScale>
        <cfvo type="num" val="-0.1"/>
        <cfvo type="num" val="0"/>
        <cfvo type="num" val="0.1"/>
        <color rgb="FFF8696B"/>
        <color rgb="FFFFEB84"/>
        <color rgb="FF63BE7B"/>
      </colorScale>
    </cfRule>
  </conditionalFormatting>
  <conditionalFormatting sqref="Q154:Q156">
    <cfRule type="colorScale" priority="233">
      <colorScale>
        <cfvo type="num" val="-0.1"/>
        <cfvo type="num" val="0"/>
        <cfvo type="num" val="0.1"/>
        <color rgb="FFF8696B"/>
        <color rgb="FFFFEB84"/>
        <color rgb="FF63BE7B"/>
      </colorScale>
    </cfRule>
  </conditionalFormatting>
  <conditionalFormatting sqref="Q157">
    <cfRule type="colorScale" priority="227">
      <colorScale>
        <cfvo type="num" val="-0.1"/>
        <cfvo type="num" val="0"/>
        <cfvo type="num" val="0.1"/>
        <color rgb="FFF8696B"/>
        <color rgb="FFFFEB84"/>
        <color rgb="FF63BE7B"/>
      </colorScale>
    </cfRule>
    <cfRule type="colorScale" priority="228">
      <colorScale>
        <cfvo type="num" val="-0.1"/>
        <cfvo type="num" val="0"/>
        <cfvo type="num" val="0.1"/>
        <color rgb="FFF8696B"/>
        <color rgb="FFFFEB84"/>
        <color rgb="FF63BE7B"/>
      </colorScale>
    </cfRule>
  </conditionalFormatting>
  <conditionalFormatting sqref="Q158">
    <cfRule type="colorScale" priority="234">
      <colorScale>
        <cfvo type="num" val="-0.1"/>
        <cfvo type="num" val="0"/>
        <cfvo type="num" val="0.1"/>
        <color rgb="FFF8696B"/>
        <color rgb="FFFFEB84"/>
        <color rgb="FF63BE7B"/>
      </colorScale>
    </cfRule>
    <cfRule type="colorScale" priority="235">
      <colorScale>
        <cfvo type="num" val="-0.1"/>
        <cfvo type="num" val="0"/>
        <cfvo type="num" val="0.1"/>
        <color rgb="FFF8696B"/>
        <color rgb="FFFFEB84"/>
        <color rgb="FF63BE7B"/>
      </colorScale>
    </cfRule>
    <cfRule type="colorScale" priority="236">
      <colorScale>
        <cfvo type="num" val="-0.1"/>
        <cfvo type="num" val="0"/>
        <cfvo type="num" val="0.1"/>
        <color rgb="FFF8696B"/>
        <color rgb="FFFFEB84"/>
        <color rgb="FF63BE7B"/>
      </colorScale>
    </cfRule>
  </conditionalFormatting>
  <conditionalFormatting sqref="Q159">
    <cfRule type="colorScale" priority="239">
      <colorScale>
        <cfvo type="num" val="-0.1"/>
        <cfvo type="num" val="0"/>
        <cfvo type="num" val="0.1"/>
        <color rgb="FFF8696B"/>
        <color rgb="FFFFEB84"/>
        <color rgb="FF63BE7B"/>
      </colorScale>
    </cfRule>
  </conditionalFormatting>
  <conditionalFormatting sqref="Q160">
    <cfRule type="colorScale" priority="237">
      <colorScale>
        <cfvo type="num" val="-0.1"/>
        <cfvo type="num" val="0"/>
        <cfvo type="num" val="0.1"/>
        <color rgb="FFF8696B"/>
        <color rgb="FFFFEB84"/>
        <color rgb="FF63BE7B"/>
      </colorScale>
    </cfRule>
    <cfRule type="colorScale" priority="238">
      <colorScale>
        <cfvo type="num" val="-0.1"/>
        <cfvo type="num" val="0"/>
        <cfvo type="num" val="0.1"/>
        <color rgb="FFF8696B"/>
        <color rgb="FFFFEB84"/>
        <color rgb="FF63BE7B"/>
      </colorScale>
    </cfRule>
  </conditionalFormatting>
  <conditionalFormatting sqref="Q161">
    <cfRule type="colorScale" priority="244">
      <colorScale>
        <cfvo type="num" val="-0.1"/>
        <cfvo type="num" val="0"/>
        <cfvo type="num" val="0.1"/>
        <color rgb="FFF8696B"/>
        <color rgb="FFFFEB84"/>
        <color rgb="FF63BE7B"/>
      </colorScale>
    </cfRule>
    <cfRule type="colorScale" priority="245">
      <colorScale>
        <cfvo type="num" val="-0.1"/>
        <cfvo type="num" val="0"/>
        <cfvo type="num" val="0.1"/>
        <color rgb="FFF8696B"/>
        <color rgb="FFFFEB84"/>
        <color rgb="FF63BE7B"/>
      </colorScale>
    </cfRule>
  </conditionalFormatting>
  <conditionalFormatting sqref="Q162:Q163">
    <cfRule type="colorScale" priority="242">
      <colorScale>
        <cfvo type="num" val="-0.1"/>
        <cfvo type="num" val="0"/>
        <cfvo type="num" val="0.1"/>
        <color rgb="FFF8696B"/>
        <color rgb="FFFFEB84"/>
        <color rgb="FF63BE7B"/>
      </colorScale>
    </cfRule>
    <cfRule type="colorScale" priority="243">
      <colorScale>
        <cfvo type="num" val="-0.1"/>
        <cfvo type="num" val="0"/>
        <cfvo type="num" val="0.1"/>
        <color rgb="FFF8696B"/>
        <color rgb="FFFFEB84"/>
        <color rgb="FF63BE7B"/>
      </colorScale>
    </cfRule>
  </conditionalFormatting>
  <conditionalFormatting sqref="Q163:Q165">
    <cfRule type="colorScale" priority="246">
      <colorScale>
        <cfvo type="num" val="-0.1"/>
        <cfvo type="num" val="0"/>
        <cfvo type="num" val="0.1"/>
        <color rgb="FFF8696B"/>
        <color rgb="FFFFEB84"/>
        <color rgb="FF63BE7B"/>
      </colorScale>
    </cfRule>
  </conditionalFormatting>
  <conditionalFormatting sqref="Q166">
    <cfRule type="colorScale" priority="240">
      <colorScale>
        <cfvo type="num" val="-0.1"/>
        <cfvo type="num" val="0"/>
        <cfvo type="num" val="0.1"/>
        <color rgb="FFF8696B"/>
        <color rgb="FFFFEB84"/>
        <color rgb="FF63BE7B"/>
      </colorScale>
    </cfRule>
    <cfRule type="colorScale" priority="241">
      <colorScale>
        <cfvo type="num" val="-0.1"/>
        <cfvo type="num" val="0"/>
        <cfvo type="num" val="0.1"/>
        <color rgb="FFF8696B"/>
        <color rgb="FFFFEB84"/>
        <color rgb="FF63BE7B"/>
      </colorScale>
    </cfRule>
  </conditionalFormatting>
  <conditionalFormatting sqref="Q167">
    <cfRule type="colorScale" priority="250">
      <colorScale>
        <cfvo type="num" val="-0.1"/>
        <cfvo type="num" val="0"/>
        <cfvo type="num" val="0.1"/>
        <color rgb="FFF8696B"/>
        <color rgb="FFFFEB84"/>
        <color rgb="FF63BE7B"/>
      </colorScale>
    </cfRule>
    <cfRule type="colorScale" priority="251">
      <colorScale>
        <cfvo type="num" val="-0.1"/>
        <cfvo type="num" val="0"/>
        <cfvo type="num" val="0.1"/>
        <color rgb="FFF8696B"/>
        <color rgb="FFFFEB84"/>
        <color rgb="FF63BE7B"/>
      </colorScale>
    </cfRule>
    <cfRule type="colorScale" priority="252">
      <colorScale>
        <cfvo type="num" val="-0.1"/>
        <cfvo type="num" val="0"/>
        <cfvo type="num" val="0.1"/>
        <color rgb="FFF8696B"/>
        <color rgb="FFFFEB84"/>
        <color rgb="FF63BE7B"/>
      </colorScale>
    </cfRule>
  </conditionalFormatting>
  <conditionalFormatting sqref="Q168">
    <cfRule type="colorScale" priority="255">
      <colorScale>
        <cfvo type="num" val="-0.1"/>
        <cfvo type="num" val="0"/>
        <cfvo type="num" val="0.1"/>
        <color rgb="FFF8696B"/>
        <color rgb="FFFFEB84"/>
        <color rgb="FF63BE7B"/>
      </colorScale>
    </cfRule>
  </conditionalFormatting>
  <conditionalFormatting sqref="Q169">
    <cfRule type="colorScale" priority="253">
      <colorScale>
        <cfvo type="num" val="-0.1"/>
        <cfvo type="num" val="0"/>
        <cfvo type="num" val="0.1"/>
        <color rgb="FFF8696B"/>
        <color rgb="FFFFEB84"/>
        <color rgb="FF63BE7B"/>
      </colorScale>
    </cfRule>
    <cfRule type="colorScale" priority="254">
      <colorScale>
        <cfvo type="num" val="-0.1"/>
        <cfvo type="num" val="0"/>
        <cfvo type="num" val="0.1"/>
        <color rgb="FFF8696B"/>
        <color rgb="FFFFEB84"/>
        <color rgb="FF63BE7B"/>
      </colorScale>
    </cfRule>
  </conditionalFormatting>
  <conditionalFormatting sqref="Q170">
    <cfRule type="colorScale" priority="260">
      <colorScale>
        <cfvo type="num" val="-0.1"/>
        <cfvo type="num" val="0"/>
        <cfvo type="num" val="0.1"/>
        <color rgb="FFF8696B"/>
        <color rgb="FFFFEB84"/>
        <color rgb="FF63BE7B"/>
      </colorScale>
    </cfRule>
    <cfRule type="colorScale" priority="261">
      <colorScale>
        <cfvo type="num" val="-0.1"/>
        <cfvo type="num" val="0"/>
        <cfvo type="num" val="0.1"/>
        <color rgb="FFF8696B"/>
        <color rgb="FFFFEB84"/>
        <color rgb="FF63BE7B"/>
      </colorScale>
    </cfRule>
  </conditionalFormatting>
  <conditionalFormatting sqref="Q171:Q172">
    <cfRule type="colorScale" priority="258">
      <colorScale>
        <cfvo type="num" val="-0.1"/>
        <cfvo type="num" val="0"/>
        <cfvo type="num" val="0.1"/>
        <color rgb="FFF8696B"/>
        <color rgb="FFFFEB84"/>
        <color rgb="FF63BE7B"/>
      </colorScale>
    </cfRule>
    <cfRule type="colorScale" priority="259">
      <colorScale>
        <cfvo type="num" val="-0.1"/>
        <cfvo type="num" val="0"/>
        <cfvo type="num" val="0.1"/>
        <color rgb="FFF8696B"/>
        <color rgb="FFFFEB84"/>
        <color rgb="FF63BE7B"/>
      </colorScale>
    </cfRule>
  </conditionalFormatting>
  <conditionalFormatting sqref="Q172:Q174">
    <cfRule type="colorScale" priority="262">
      <colorScale>
        <cfvo type="num" val="-0.1"/>
        <cfvo type="num" val="0"/>
        <cfvo type="num" val="0.1"/>
        <color rgb="FFF8696B"/>
        <color rgb="FFFFEB84"/>
        <color rgb="FF63BE7B"/>
      </colorScale>
    </cfRule>
  </conditionalFormatting>
  <conditionalFormatting sqref="Q175">
    <cfRule type="colorScale" priority="256">
      <colorScale>
        <cfvo type="num" val="-0.1"/>
        <cfvo type="num" val="0"/>
        <cfvo type="num" val="0.1"/>
        <color rgb="FFF8696B"/>
        <color rgb="FFFFEB84"/>
        <color rgb="FF63BE7B"/>
      </colorScale>
    </cfRule>
    <cfRule type="colorScale" priority="257">
      <colorScale>
        <cfvo type="num" val="-0.1"/>
        <cfvo type="num" val="0"/>
        <cfvo type="num" val="0.1"/>
        <color rgb="FFF8696B"/>
        <color rgb="FFFFEB84"/>
        <color rgb="FF63BE7B"/>
      </colorScale>
    </cfRule>
  </conditionalFormatting>
  <conditionalFormatting sqref="Q176">
    <cfRule type="colorScale" priority="266">
      <colorScale>
        <cfvo type="num" val="-0.1"/>
        <cfvo type="num" val="0"/>
        <cfvo type="num" val="0.1"/>
        <color rgb="FFF8696B"/>
        <color rgb="FFFFEB84"/>
        <color rgb="FF63BE7B"/>
      </colorScale>
    </cfRule>
    <cfRule type="colorScale" priority="267">
      <colorScale>
        <cfvo type="num" val="-0.1"/>
        <cfvo type="num" val="0"/>
        <cfvo type="num" val="0.1"/>
        <color rgb="FFF8696B"/>
        <color rgb="FFFFEB84"/>
        <color rgb="FF63BE7B"/>
      </colorScale>
    </cfRule>
    <cfRule type="colorScale" priority="268">
      <colorScale>
        <cfvo type="num" val="-0.1"/>
        <cfvo type="num" val="0"/>
        <cfvo type="num" val="0.1"/>
        <color rgb="FFF8696B"/>
        <color rgb="FFFFEB84"/>
        <color rgb="FF63BE7B"/>
      </colorScale>
    </cfRule>
  </conditionalFormatting>
  <conditionalFormatting sqref="Q177">
    <cfRule type="colorScale" priority="263">
      <colorScale>
        <cfvo type="num" val="-0.1"/>
        <cfvo type="num" val="0"/>
        <cfvo type="num" val="0.1"/>
        <color rgb="FFF8696B"/>
        <color rgb="FFFFEB84"/>
        <color rgb="FF63BE7B"/>
      </colorScale>
    </cfRule>
    <cfRule type="colorScale" priority="264">
      <colorScale>
        <cfvo type="num" val="-0.1"/>
        <cfvo type="num" val="0"/>
        <cfvo type="num" val="0.1"/>
        <color rgb="FFF8696B"/>
        <color rgb="FFFFEB84"/>
        <color rgb="FF63BE7B"/>
      </colorScale>
    </cfRule>
    <cfRule type="colorScale" priority="265">
      <colorScale>
        <cfvo type="num" val="-0.1"/>
        <cfvo type="num" val="0"/>
        <cfvo type="num" val="0.1"/>
        <color rgb="FFF8696B"/>
        <color rgb="FFFFEB84"/>
        <color rgb="FF63BE7B"/>
      </colorScale>
    </cfRule>
  </conditionalFormatting>
  <conditionalFormatting sqref="Q178">
    <cfRule type="colorScale" priority="271">
      <colorScale>
        <cfvo type="num" val="-0.1"/>
        <cfvo type="num" val="0"/>
        <cfvo type="num" val="0.1"/>
        <color rgb="FFF8696B"/>
        <color rgb="FFFFEB84"/>
        <color rgb="FF63BE7B"/>
      </colorScale>
    </cfRule>
  </conditionalFormatting>
  <conditionalFormatting sqref="Q179">
    <cfRule type="colorScale" priority="269">
      <colorScale>
        <cfvo type="num" val="-0.1"/>
        <cfvo type="num" val="0"/>
        <cfvo type="num" val="0.1"/>
        <color rgb="FFF8696B"/>
        <color rgb="FFFFEB84"/>
        <color rgb="FF63BE7B"/>
      </colorScale>
    </cfRule>
    <cfRule type="colorScale" priority="270">
      <colorScale>
        <cfvo type="num" val="-0.1"/>
        <cfvo type="num" val="0"/>
        <cfvo type="num" val="0.1"/>
        <color rgb="FFF8696B"/>
        <color rgb="FFFFEB84"/>
        <color rgb="FF63BE7B"/>
      </colorScale>
    </cfRule>
  </conditionalFormatting>
  <conditionalFormatting sqref="Q180">
    <cfRule type="colorScale" priority="276">
      <colorScale>
        <cfvo type="num" val="-0.1"/>
        <cfvo type="num" val="0"/>
        <cfvo type="num" val="0.1"/>
        <color rgb="FFF8696B"/>
        <color rgb="FFFFEB84"/>
        <color rgb="FF63BE7B"/>
      </colorScale>
    </cfRule>
    <cfRule type="colorScale" priority="277">
      <colorScale>
        <cfvo type="num" val="-0.1"/>
        <cfvo type="num" val="0"/>
        <cfvo type="num" val="0.1"/>
        <color rgb="FFF8696B"/>
        <color rgb="FFFFEB84"/>
        <color rgb="FF63BE7B"/>
      </colorScale>
    </cfRule>
  </conditionalFormatting>
  <conditionalFormatting sqref="Q181:Q182">
    <cfRule type="colorScale" priority="274">
      <colorScale>
        <cfvo type="num" val="-0.1"/>
        <cfvo type="num" val="0"/>
        <cfvo type="num" val="0.1"/>
        <color rgb="FFF8696B"/>
        <color rgb="FFFFEB84"/>
        <color rgb="FF63BE7B"/>
      </colorScale>
    </cfRule>
    <cfRule type="colorScale" priority="275">
      <colorScale>
        <cfvo type="num" val="-0.1"/>
        <cfvo type="num" val="0"/>
        <cfvo type="num" val="0.1"/>
        <color rgb="FFF8696B"/>
        <color rgb="FFFFEB84"/>
        <color rgb="FF63BE7B"/>
      </colorScale>
    </cfRule>
  </conditionalFormatting>
  <conditionalFormatting sqref="Q182:Q184">
    <cfRule type="colorScale" priority="278">
      <colorScale>
        <cfvo type="num" val="-0.1"/>
        <cfvo type="num" val="0"/>
        <cfvo type="num" val="0.1"/>
        <color rgb="FFF8696B"/>
        <color rgb="FFFFEB84"/>
        <color rgb="FF63BE7B"/>
      </colorScale>
    </cfRule>
  </conditionalFormatting>
  <conditionalFormatting sqref="Q185">
    <cfRule type="colorScale" priority="272">
      <colorScale>
        <cfvo type="num" val="-0.1"/>
        <cfvo type="num" val="0"/>
        <cfvo type="num" val="0.1"/>
        <color rgb="FFF8696B"/>
        <color rgb="FFFFEB84"/>
        <color rgb="FF63BE7B"/>
      </colorScale>
    </cfRule>
    <cfRule type="colorScale" priority="273">
      <colorScale>
        <cfvo type="num" val="-0.1"/>
        <cfvo type="num" val="0"/>
        <cfvo type="num" val="0.1"/>
        <color rgb="FFF8696B"/>
        <color rgb="FFFFEB84"/>
        <color rgb="FF63BE7B"/>
      </colorScale>
    </cfRule>
  </conditionalFormatting>
  <conditionalFormatting sqref="Q186">
    <cfRule type="colorScale" priority="282">
      <colorScale>
        <cfvo type="num" val="-0.1"/>
        <cfvo type="num" val="0"/>
        <cfvo type="num" val="0.1"/>
        <color rgb="FFF8696B"/>
        <color rgb="FFFFEB84"/>
        <color rgb="FF63BE7B"/>
      </colorScale>
    </cfRule>
    <cfRule type="colorScale" priority="283">
      <colorScale>
        <cfvo type="num" val="-0.1"/>
        <cfvo type="num" val="0"/>
        <cfvo type="num" val="0.1"/>
        <color rgb="FFF8696B"/>
        <color rgb="FFFFEB84"/>
        <color rgb="FF63BE7B"/>
      </colorScale>
    </cfRule>
    <cfRule type="colorScale" priority="284">
      <colorScale>
        <cfvo type="num" val="-0.1"/>
        <cfvo type="num" val="0"/>
        <cfvo type="num" val="0.1"/>
        <color rgb="FFF8696B"/>
        <color rgb="FFFFEB84"/>
        <color rgb="FF63BE7B"/>
      </colorScale>
    </cfRule>
  </conditionalFormatting>
  <conditionalFormatting sqref="Q187">
    <cfRule type="colorScale" priority="279">
      <colorScale>
        <cfvo type="num" val="-0.1"/>
        <cfvo type="num" val="0"/>
        <cfvo type="num" val="0.1"/>
        <color rgb="FFF8696B"/>
        <color rgb="FFFFEB84"/>
        <color rgb="FF63BE7B"/>
      </colorScale>
    </cfRule>
    <cfRule type="colorScale" priority="280">
      <colorScale>
        <cfvo type="num" val="-0.1"/>
        <cfvo type="num" val="0"/>
        <cfvo type="num" val="0.1"/>
        <color rgb="FFF8696B"/>
        <color rgb="FFFFEB84"/>
        <color rgb="FF63BE7B"/>
      </colorScale>
    </cfRule>
    <cfRule type="colorScale" priority="281">
      <colorScale>
        <cfvo type="num" val="-0.1"/>
        <cfvo type="num" val="0"/>
        <cfvo type="num" val="0.1"/>
        <color rgb="FFF8696B"/>
        <color rgb="FFFFEB84"/>
        <color rgb="FF63BE7B"/>
      </colorScale>
    </cfRule>
  </conditionalFormatting>
  <conditionalFormatting sqref="Q188">
    <cfRule type="colorScale" priority="287">
      <colorScale>
        <cfvo type="num" val="-0.1"/>
        <cfvo type="num" val="0"/>
        <cfvo type="num" val="0.1"/>
        <color rgb="FFF8696B"/>
        <color rgb="FFFFEB84"/>
        <color rgb="FF63BE7B"/>
      </colorScale>
    </cfRule>
  </conditionalFormatting>
  <conditionalFormatting sqref="Q189">
    <cfRule type="colorScale" priority="285">
      <colorScale>
        <cfvo type="num" val="-0.1"/>
        <cfvo type="num" val="0"/>
        <cfvo type="num" val="0.1"/>
        <color rgb="FFF8696B"/>
        <color rgb="FFFFEB84"/>
        <color rgb="FF63BE7B"/>
      </colorScale>
    </cfRule>
    <cfRule type="colorScale" priority="286">
      <colorScale>
        <cfvo type="num" val="-0.1"/>
        <cfvo type="num" val="0"/>
        <cfvo type="num" val="0.1"/>
        <color rgb="FFF8696B"/>
        <color rgb="FFFFEB84"/>
        <color rgb="FF63BE7B"/>
      </colorScale>
    </cfRule>
  </conditionalFormatting>
  <conditionalFormatting sqref="Q190">
    <cfRule type="colorScale" priority="292">
      <colorScale>
        <cfvo type="num" val="-0.1"/>
        <cfvo type="num" val="0"/>
        <cfvo type="num" val="0.1"/>
        <color rgb="FFF8696B"/>
        <color rgb="FFFFEB84"/>
        <color rgb="FF63BE7B"/>
      </colorScale>
    </cfRule>
    <cfRule type="colorScale" priority="293">
      <colorScale>
        <cfvo type="num" val="-0.1"/>
        <cfvo type="num" val="0"/>
        <cfvo type="num" val="0.1"/>
        <color rgb="FFF8696B"/>
        <color rgb="FFFFEB84"/>
        <color rgb="FF63BE7B"/>
      </colorScale>
    </cfRule>
  </conditionalFormatting>
  <conditionalFormatting sqref="Q191:Q192">
    <cfRule type="colorScale" priority="290">
      <colorScale>
        <cfvo type="num" val="-0.1"/>
        <cfvo type="num" val="0"/>
        <cfvo type="num" val="0.1"/>
        <color rgb="FFF8696B"/>
        <color rgb="FFFFEB84"/>
        <color rgb="FF63BE7B"/>
      </colorScale>
    </cfRule>
    <cfRule type="colorScale" priority="291">
      <colorScale>
        <cfvo type="num" val="-0.1"/>
        <cfvo type="num" val="0"/>
        <cfvo type="num" val="0.1"/>
        <color rgb="FFF8696B"/>
        <color rgb="FFFFEB84"/>
        <color rgb="FF63BE7B"/>
      </colorScale>
    </cfRule>
  </conditionalFormatting>
  <conditionalFormatting sqref="Q192:Q194">
    <cfRule type="colorScale" priority="294">
      <colorScale>
        <cfvo type="num" val="-0.1"/>
        <cfvo type="num" val="0"/>
        <cfvo type="num" val="0.1"/>
        <color rgb="FFF8696B"/>
        <color rgb="FFFFEB84"/>
        <color rgb="FF63BE7B"/>
      </colorScale>
    </cfRule>
  </conditionalFormatting>
  <conditionalFormatting sqref="Q195">
    <cfRule type="colorScale" priority="288">
      <colorScale>
        <cfvo type="num" val="-0.1"/>
        <cfvo type="num" val="0"/>
        <cfvo type="num" val="0.1"/>
        <color rgb="FFF8696B"/>
        <color rgb="FFFFEB84"/>
        <color rgb="FF63BE7B"/>
      </colorScale>
    </cfRule>
    <cfRule type="colorScale" priority="289">
      <colorScale>
        <cfvo type="num" val="-0.1"/>
        <cfvo type="num" val="0"/>
        <cfvo type="num" val="0.1"/>
        <color rgb="FFF8696B"/>
        <color rgb="FFFFEB84"/>
        <color rgb="FF63BE7B"/>
      </colorScale>
    </cfRule>
  </conditionalFormatting>
  <conditionalFormatting sqref="Q196">
    <cfRule type="colorScale" priority="297">
      <colorScale>
        <cfvo type="num" val="-0.1"/>
        <cfvo type="num" val="0"/>
        <cfvo type="num" val="0.1"/>
        <color rgb="FFF8696B"/>
        <color rgb="FFFFEB84"/>
        <color rgb="FF63BE7B"/>
      </colorScale>
    </cfRule>
  </conditionalFormatting>
  <conditionalFormatting sqref="Q197">
    <cfRule type="colorScale" priority="295">
      <colorScale>
        <cfvo type="num" val="-0.1"/>
        <cfvo type="num" val="0"/>
        <cfvo type="num" val="0.1"/>
        <color rgb="FFF8696B"/>
        <color rgb="FFFFEB84"/>
        <color rgb="FF63BE7B"/>
      </colorScale>
    </cfRule>
    <cfRule type="colorScale" priority="296">
      <colorScale>
        <cfvo type="num" val="-0.1"/>
        <cfvo type="num" val="0"/>
        <cfvo type="num" val="0.1"/>
        <color rgb="FFF8696B"/>
        <color rgb="FFFFEB84"/>
        <color rgb="FF63BE7B"/>
      </colorScale>
    </cfRule>
  </conditionalFormatting>
  <conditionalFormatting sqref="Q198">
    <cfRule type="colorScale" priority="305">
      <colorScale>
        <cfvo type="num" val="-0.1"/>
        <cfvo type="num" val="0"/>
        <cfvo type="num" val="0.1"/>
        <color rgb="FFF8696B"/>
        <color rgb="FFFFEB84"/>
        <color rgb="FF63BE7B"/>
      </colorScale>
    </cfRule>
    <cfRule type="colorScale" priority="306">
      <colorScale>
        <cfvo type="num" val="-0.1"/>
        <cfvo type="num" val="0"/>
        <cfvo type="num" val="0.1"/>
        <color rgb="FFF8696B"/>
        <color rgb="FFFFEB84"/>
        <color rgb="FF63BE7B"/>
      </colorScale>
    </cfRule>
  </conditionalFormatting>
  <conditionalFormatting sqref="Q199:Q200">
    <cfRule type="colorScale" priority="303">
      <colorScale>
        <cfvo type="num" val="-0.1"/>
        <cfvo type="num" val="0"/>
        <cfvo type="num" val="0.1"/>
        <color rgb="FFF8696B"/>
        <color rgb="FFFFEB84"/>
        <color rgb="FF63BE7B"/>
      </colorScale>
    </cfRule>
    <cfRule type="colorScale" priority="304">
      <colorScale>
        <cfvo type="num" val="-0.1"/>
        <cfvo type="num" val="0"/>
        <cfvo type="num" val="0.1"/>
        <color rgb="FFF8696B"/>
        <color rgb="FFFFEB84"/>
        <color rgb="FF63BE7B"/>
      </colorScale>
    </cfRule>
  </conditionalFormatting>
  <conditionalFormatting sqref="Q200:Q202">
    <cfRule type="colorScale" priority="307">
      <colorScale>
        <cfvo type="num" val="-0.1"/>
        <cfvo type="num" val="0"/>
        <cfvo type="num" val="0.1"/>
        <color rgb="FFF8696B"/>
        <color rgb="FFFFEB84"/>
        <color rgb="FF63BE7B"/>
      </colorScale>
    </cfRule>
  </conditionalFormatting>
  <conditionalFormatting sqref="Q203">
    <cfRule type="colorScale" priority="298">
      <colorScale>
        <cfvo type="num" val="-0.1"/>
        <cfvo type="num" val="0"/>
        <cfvo type="num" val="0.1"/>
        <color rgb="FFF8696B"/>
        <color rgb="FFFFEB84"/>
        <color rgb="FF63BE7B"/>
      </colorScale>
    </cfRule>
    <cfRule type="colorScale" priority="299">
      <colorScale>
        <cfvo type="num" val="-0.1"/>
        <cfvo type="num" val="0"/>
        <cfvo type="num" val="0.1"/>
        <color rgb="FFF8696B"/>
        <color rgb="FFFFEB84"/>
        <color rgb="FF63BE7B"/>
      </colorScale>
    </cfRule>
  </conditionalFormatting>
  <conditionalFormatting sqref="Q204">
    <cfRule type="colorScale" priority="300">
      <colorScale>
        <cfvo type="num" val="-0.1"/>
        <cfvo type="num" val="0"/>
        <cfvo type="num" val="0.1"/>
        <color rgb="FFF8696B"/>
        <color rgb="FFFFEB84"/>
        <color rgb="FF63BE7B"/>
      </colorScale>
    </cfRule>
  </conditionalFormatting>
  <conditionalFormatting sqref="Q205">
    <cfRule type="colorScale" priority="301">
      <colorScale>
        <cfvo type="num" val="-0.1"/>
        <cfvo type="num" val="0"/>
        <cfvo type="num" val="0.1"/>
        <color rgb="FFF8696B"/>
        <color rgb="FFFFEB84"/>
        <color rgb="FF63BE7B"/>
      </colorScale>
    </cfRule>
    <cfRule type="colorScale" priority="302">
      <colorScale>
        <cfvo type="num" val="-0.1"/>
        <cfvo type="num" val="0"/>
        <cfvo type="num" val="0.1"/>
        <color rgb="FFF8696B"/>
        <color rgb="FFFFEB84"/>
        <color rgb="FF63BE7B"/>
      </colorScale>
    </cfRule>
  </conditionalFormatting>
  <conditionalFormatting sqref="Q206">
    <cfRule type="colorScale" priority="313">
      <colorScale>
        <cfvo type="num" val="-0.1"/>
        <cfvo type="num" val="0"/>
        <cfvo type="num" val="0.1"/>
        <color rgb="FFF8696B"/>
        <color rgb="FFFFEB84"/>
        <color rgb="FF63BE7B"/>
      </colorScale>
    </cfRule>
    <cfRule type="colorScale" priority="314">
      <colorScale>
        <cfvo type="num" val="-0.1"/>
        <cfvo type="num" val="0"/>
        <cfvo type="num" val="0.1"/>
        <color rgb="FFF8696B"/>
        <color rgb="FFFFEB84"/>
        <color rgb="FF63BE7B"/>
      </colorScale>
    </cfRule>
  </conditionalFormatting>
  <conditionalFormatting sqref="Q207:Q208">
    <cfRule type="colorScale" priority="311">
      <colorScale>
        <cfvo type="num" val="-0.1"/>
        <cfvo type="num" val="0"/>
        <cfvo type="num" val="0.1"/>
        <color rgb="FFF8696B"/>
        <color rgb="FFFFEB84"/>
        <color rgb="FF63BE7B"/>
      </colorScale>
    </cfRule>
    <cfRule type="colorScale" priority="312">
      <colorScale>
        <cfvo type="num" val="-0.1"/>
        <cfvo type="num" val="0"/>
        <cfvo type="num" val="0.1"/>
        <color rgb="FFF8696B"/>
        <color rgb="FFFFEB84"/>
        <color rgb="FF63BE7B"/>
      </colorScale>
    </cfRule>
  </conditionalFormatting>
  <conditionalFormatting sqref="Q208:Q210">
    <cfRule type="colorScale" priority="315">
      <colorScale>
        <cfvo type="num" val="-0.1"/>
        <cfvo type="num" val="0"/>
        <cfvo type="num" val="0.1"/>
        <color rgb="FFF8696B"/>
        <color rgb="FFFFEB84"/>
        <color rgb="FF63BE7B"/>
      </colorScale>
    </cfRule>
  </conditionalFormatting>
  <conditionalFormatting sqref="Q211">
    <cfRule type="colorScale" priority="308">
      <colorScale>
        <cfvo type="num" val="-0.1"/>
        <cfvo type="num" val="0"/>
        <cfvo type="num" val="0.1"/>
        <color rgb="FFF8696B"/>
        <color rgb="FFFFEB84"/>
        <color rgb="FF63BE7B"/>
      </colorScale>
    </cfRule>
  </conditionalFormatting>
  <conditionalFormatting sqref="Q212">
    <cfRule type="colorScale" priority="309">
      <colorScale>
        <cfvo type="num" val="-0.1"/>
        <cfvo type="num" val="0"/>
        <cfvo type="num" val="0.1"/>
        <color rgb="FFF8696B"/>
        <color rgb="FFFFEB84"/>
        <color rgb="FF63BE7B"/>
      </colorScale>
    </cfRule>
    <cfRule type="colorScale" priority="310">
      <colorScale>
        <cfvo type="num" val="-0.1"/>
        <cfvo type="num" val="0"/>
        <cfvo type="num" val="0.1"/>
        <color rgb="FFF8696B"/>
        <color rgb="FFFFEB84"/>
        <color rgb="FF63BE7B"/>
      </colorScale>
    </cfRule>
  </conditionalFormatting>
  <conditionalFormatting sqref="Q213">
    <cfRule type="colorScale" priority="320">
      <colorScale>
        <cfvo type="num" val="-0.1"/>
        <cfvo type="num" val="0"/>
        <cfvo type="num" val="0.1"/>
        <color rgb="FFF8696B"/>
        <color rgb="FFFFEB84"/>
        <color rgb="FF63BE7B"/>
      </colorScale>
    </cfRule>
    <cfRule type="colorScale" priority="321">
      <colorScale>
        <cfvo type="num" val="-0.1"/>
        <cfvo type="num" val="0"/>
        <cfvo type="num" val="0.1"/>
        <color rgb="FFF8696B"/>
        <color rgb="FFFFEB84"/>
        <color rgb="FF63BE7B"/>
      </colorScale>
    </cfRule>
  </conditionalFormatting>
  <conditionalFormatting sqref="Q214:Q215">
    <cfRule type="colorScale" priority="318">
      <colorScale>
        <cfvo type="num" val="-0.1"/>
        <cfvo type="num" val="0"/>
        <cfvo type="num" val="0.1"/>
        <color rgb="FFF8696B"/>
        <color rgb="FFFFEB84"/>
        <color rgb="FF63BE7B"/>
      </colorScale>
    </cfRule>
    <cfRule type="colorScale" priority="319">
      <colorScale>
        <cfvo type="num" val="-0.1"/>
        <cfvo type="num" val="0"/>
        <cfvo type="num" val="0.1"/>
        <color rgb="FFF8696B"/>
        <color rgb="FFFFEB84"/>
        <color rgb="FF63BE7B"/>
      </colorScale>
    </cfRule>
  </conditionalFormatting>
  <conditionalFormatting sqref="Q215:Q217">
    <cfRule type="colorScale" priority="322">
      <colorScale>
        <cfvo type="num" val="-0.1"/>
        <cfvo type="num" val="0"/>
        <cfvo type="num" val="0.1"/>
        <color rgb="FFF8696B"/>
        <color rgb="FFFFEB84"/>
        <color rgb="FF63BE7B"/>
      </colorScale>
    </cfRule>
  </conditionalFormatting>
  <conditionalFormatting sqref="Q218">
    <cfRule type="colorScale" priority="316">
      <colorScale>
        <cfvo type="num" val="-0.1"/>
        <cfvo type="num" val="0"/>
        <cfvo type="num" val="0.1"/>
        <color rgb="FFF8696B"/>
        <color rgb="FFFFEB84"/>
        <color rgb="FF63BE7B"/>
      </colorScale>
    </cfRule>
    <cfRule type="colorScale" priority="317">
      <colorScale>
        <cfvo type="num" val="-0.1"/>
        <cfvo type="num" val="0"/>
        <cfvo type="num" val="0.1"/>
        <color rgb="FFF8696B"/>
        <color rgb="FFFFEB84"/>
        <color rgb="FF63BE7B"/>
      </colorScale>
    </cfRule>
  </conditionalFormatting>
  <conditionalFormatting sqref="Q219">
    <cfRule type="colorScale" priority="325">
      <colorScale>
        <cfvo type="num" val="-0.1"/>
        <cfvo type="num" val="0"/>
        <cfvo type="num" val="0.1"/>
        <color rgb="FFF8696B"/>
        <color rgb="FFFFEB84"/>
        <color rgb="FF63BE7B"/>
      </colorScale>
    </cfRule>
  </conditionalFormatting>
  <conditionalFormatting sqref="Q220">
    <cfRule type="colorScale" priority="323">
      <colorScale>
        <cfvo type="num" val="-0.1"/>
        <cfvo type="num" val="0"/>
        <cfvo type="num" val="0.1"/>
        <color rgb="FFF8696B"/>
        <color rgb="FFFFEB84"/>
        <color rgb="FF63BE7B"/>
      </colorScale>
    </cfRule>
    <cfRule type="colorScale" priority="324">
      <colorScale>
        <cfvo type="num" val="-0.1"/>
        <cfvo type="num" val="0"/>
        <cfvo type="num" val="0.1"/>
        <color rgb="FFF8696B"/>
        <color rgb="FFFFEB84"/>
        <color rgb="FF63BE7B"/>
      </colorScale>
    </cfRule>
  </conditionalFormatting>
  <conditionalFormatting sqref="Q221">
    <cfRule type="colorScale" priority="339">
      <colorScale>
        <cfvo type="num" val="-0.1"/>
        <cfvo type="num" val="0"/>
        <cfvo type="num" val="0.1"/>
        <color rgb="FFF8696B"/>
        <color rgb="FFFFEB84"/>
        <color rgb="FF63BE7B"/>
      </colorScale>
    </cfRule>
    <cfRule type="colorScale" priority="340">
      <colorScale>
        <cfvo type="num" val="-0.1"/>
        <cfvo type="num" val="0"/>
        <cfvo type="num" val="0.1"/>
        <color rgb="FFF8696B"/>
        <color rgb="FFFFEB84"/>
        <color rgb="FF63BE7B"/>
      </colorScale>
    </cfRule>
  </conditionalFormatting>
  <conditionalFormatting sqref="Q222">
    <cfRule type="colorScale" priority="336">
      <colorScale>
        <cfvo type="num" val="-0.1"/>
        <cfvo type="num" val="0"/>
        <cfvo type="num" val="0.1"/>
        <color rgb="FFF8696B"/>
        <color rgb="FFFFEB84"/>
        <color rgb="FF63BE7B"/>
      </colorScale>
    </cfRule>
    <cfRule type="colorScale" priority="337">
      <colorScale>
        <cfvo type="num" val="-0.1"/>
        <cfvo type="num" val="0"/>
        <cfvo type="num" val="0.1"/>
        <color rgb="FFF8696B"/>
        <color rgb="FFFFEB84"/>
        <color rgb="FF63BE7B"/>
      </colorScale>
    </cfRule>
    <cfRule type="colorScale" priority="338">
      <colorScale>
        <cfvo type="num" val="-0.1"/>
        <cfvo type="num" val="0"/>
        <cfvo type="num" val="0.1"/>
        <color rgb="FFF8696B"/>
        <color rgb="FFFFEB84"/>
        <color rgb="FF63BE7B"/>
      </colorScale>
    </cfRule>
  </conditionalFormatting>
  <conditionalFormatting sqref="Q223">
    <cfRule type="colorScale" priority="334">
      <colorScale>
        <cfvo type="num" val="-0.1"/>
        <cfvo type="num" val="0"/>
        <cfvo type="num" val="0.1"/>
        <color rgb="FFF8696B"/>
        <color rgb="FFFFEB84"/>
        <color rgb="FF63BE7B"/>
      </colorScale>
    </cfRule>
    <cfRule type="colorScale" priority="335">
      <colorScale>
        <cfvo type="num" val="-0.1"/>
        <cfvo type="num" val="0"/>
        <cfvo type="num" val="0.1"/>
        <color rgb="FFF8696B"/>
        <color rgb="FFFFEB84"/>
        <color rgb="FF63BE7B"/>
      </colorScale>
    </cfRule>
  </conditionalFormatting>
  <conditionalFormatting sqref="Q224">
    <cfRule type="colorScale" priority="345">
      <colorScale>
        <cfvo type="num" val="-0.1"/>
        <cfvo type="num" val="0"/>
        <cfvo type="num" val="0.1"/>
        <color rgb="FFF8696B"/>
        <color rgb="FFFFEB84"/>
        <color rgb="FF63BE7B"/>
      </colorScale>
    </cfRule>
    <cfRule type="colorScale" priority="346">
      <colorScale>
        <cfvo type="num" val="-0.1"/>
        <cfvo type="num" val="0"/>
        <cfvo type="num" val="0.1"/>
        <color rgb="FFF8696B"/>
        <color rgb="FFFFEB84"/>
        <color rgb="FF63BE7B"/>
      </colorScale>
    </cfRule>
  </conditionalFormatting>
  <conditionalFormatting sqref="Q225">
    <cfRule type="colorScale" priority="343">
      <colorScale>
        <cfvo type="num" val="-0.1"/>
        <cfvo type="num" val="0"/>
        <cfvo type="num" val="0.1"/>
        <color rgb="FFF8696B"/>
        <color rgb="FFFFEB84"/>
        <color rgb="FF63BE7B"/>
      </colorScale>
    </cfRule>
    <cfRule type="colorScale" priority="344">
      <colorScale>
        <cfvo type="num" val="-0.1"/>
        <cfvo type="num" val="0"/>
        <cfvo type="num" val="0.1"/>
        <color rgb="FFF8696B"/>
        <color rgb="FFFFEB84"/>
        <color rgb="FF63BE7B"/>
      </colorScale>
    </cfRule>
  </conditionalFormatting>
  <conditionalFormatting sqref="Q226">
    <cfRule type="colorScale" priority="354">
      <colorScale>
        <cfvo type="num" val="-0.1"/>
        <cfvo type="num" val="0"/>
        <cfvo type="num" val="0.1"/>
        <color rgb="FFF8696B"/>
        <color rgb="FFFFEB84"/>
        <color rgb="FF63BE7B"/>
      </colorScale>
    </cfRule>
    <cfRule type="colorScale" priority="355">
      <colorScale>
        <cfvo type="num" val="-0.1"/>
        <cfvo type="num" val="0"/>
        <cfvo type="num" val="0.1"/>
        <color rgb="FFF8696B"/>
        <color rgb="FFFFEB84"/>
        <color rgb="FF63BE7B"/>
      </colorScale>
    </cfRule>
  </conditionalFormatting>
  <conditionalFormatting sqref="Q227">
    <cfRule type="colorScale" priority="352">
      <colorScale>
        <cfvo type="num" val="-0.1"/>
        <cfvo type="num" val="0"/>
        <cfvo type="num" val="0.1"/>
        <color rgb="FFF8696B"/>
        <color rgb="FFFFEB84"/>
        <color rgb="FF63BE7B"/>
      </colorScale>
    </cfRule>
    <cfRule type="colorScale" priority="353">
      <colorScale>
        <cfvo type="num" val="-0.1"/>
        <cfvo type="num" val="0"/>
        <cfvo type="num" val="0.1"/>
        <color rgb="FFF8696B"/>
        <color rgb="FFFFEB84"/>
        <color rgb="FF63BE7B"/>
      </colorScale>
    </cfRule>
  </conditionalFormatting>
  <conditionalFormatting sqref="Q228">
    <cfRule type="colorScale" priority="341">
      <colorScale>
        <cfvo type="num" val="-0.1"/>
        <cfvo type="num" val="0"/>
        <cfvo type="num" val="0.1"/>
        <color rgb="FFF8696B"/>
        <color rgb="FFFFEB84"/>
        <color rgb="FF63BE7B"/>
      </colorScale>
    </cfRule>
    <cfRule type="colorScale" priority="342">
      <colorScale>
        <cfvo type="num" val="-0.1"/>
        <cfvo type="num" val="0"/>
        <cfvo type="num" val="0.1"/>
        <color rgb="FFF8696B"/>
        <color rgb="FFFFEB84"/>
        <color rgb="FF63BE7B"/>
      </colorScale>
    </cfRule>
  </conditionalFormatting>
  <conditionalFormatting sqref="Q229">
    <cfRule type="colorScale" priority="351">
      <colorScale>
        <cfvo type="num" val="-0.1"/>
        <cfvo type="num" val="0"/>
        <cfvo type="num" val="0.1"/>
        <color rgb="FFF8696B"/>
        <color rgb="FFFFEB84"/>
        <color rgb="FF63BE7B"/>
      </colorScale>
    </cfRule>
  </conditionalFormatting>
  <conditionalFormatting sqref="Q230">
    <cfRule type="colorScale" priority="347">
      <colorScale>
        <cfvo type="num" val="-0.1"/>
        <cfvo type="num" val="0"/>
        <cfvo type="num" val="0.1"/>
        <color rgb="FFF8696B"/>
        <color rgb="FFFFEB84"/>
        <color rgb="FF63BE7B"/>
      </colorScale>
    </cfRule>
    <cfRule type="colorScale" priority="348">
      <colorScale>
        <cfvo type="num" val="-0.1"/>
        <cfvo type="num" val="0"/>
        <cfvo type="num" val="0.1"/>
        <color rgb="FFF8696B"/>
        <color rgb="FFFFEB84"/>
        <color rgb="FF63BE7B"/>
      </colorScale>
    </cfRule>
  </conditionalFormatting>
  <conditionalFormatting sqref="Q231">
    <cfRule type="colorScale" priority="364">
      <colorScale>
        <cfvo type="num" val="-0.1"/>
        <cfvo type="num" val="0"/>
        <cfvo type="num" val="0.1"/>
        <color rgb="FFF8696B"/>
        <color rgb="FFFFEB84"/>
        <color rgb="FF63BE7B"/>
      </colorScale>
    </cfRule>
    <cfRule type="colorScale" priority="365">
      <colorScale>
        <cfvo type="num" val="-0.1"/>
        <cfvo type="num" val="0"/>
        <cfvo type="num" val="0.1"/>
        <color rgb="FFF8696B"/>
        <color rgb="FFFFEB84"/>
        <color rgb="FF63BE7B"/>
      </colorScale>
    </cfRule>
  </conditionalFormatting>
  <conditionalFormatting sqref="Q232:Q233">
    <cfRule type="colorScale" priority="360">
      <colorScale>
        <cfvo type="num" val="-0.1"/>
        <cfvo type="num" val="0"/>
        <cfvo type="num" val="0.1"/>
        <color rgb="FFF8696B"/>
        <color rgb="FFFFEB84"/>
        <color rgb="FF63BE7B"/>
      </colorScale>
    </cfRule>
    <cfRule type="colorScale" priority="361">
      <colorScale>
        <cfvo type="num" val="-0.1"/>
        <cfvo type="num" val="0"/>
        <cfvo type="num" val="0.1"/>
        <color rgb="FFF8696B"/>
        <color rgb="FFFFEB84"/>
        <color rgb="FF63BE7B"/>
      </colorScale>
    </cfRule>
  </conditionalFormatting>
  <conditionalFormatting sqref="Q233:Q235">
    <cfRule type="colorScale" priority="366">
      <colorScale>
        <cfvo type="num" val="-0.1"/>
        <cfvo type="num" val="0"/>
        <cfvo type="num" val="0.1"/>
        <color rgb="FFF8696B"/>
        <color rgb="FFFFEB84"/>
        <color rgb="FF63BE7B"/>
      </colorScale>
    </cfRule>
  </conditionalFormatting>
  <conditionalFormatting sqref="Q236">
    <cfRule type="colorScale" priority="356">
      <colorScale>
        <cfvo type="num" val="-0.1"/>
        <cfvo type="num" val="0"/>
        <cfvo type="num" val="0.1"/>
        <color rgb="FFF8696B"/>
        <color rgb="FFFFEB84"/>
        <color rgb="FF63BE7B"/>
      </colorScale>
    </cfRule>
    <cfRule type="colorScale" priority="357">
      <colorScale>
        <cfvo type="num" val="-0.1"/>
        <cfvo type="num" val="0"/>
        <cfvo type="num" val="0.1"/>
        <color rgb="FFF8696B"/>
        <color rgb="FFFFEB84"/>
        <color rgb="FF63BE7B"/>
      </colorScale>
    </cfRule>
  </conditionalFormatting>
  <conditionalFormatting sqref="Q238">
    <cfRule type="colorScale" priority="369">
      <colorScale>
        <cfvo type="num" val="-0.1"/>
        <cfvo type="num" val="0"/>
        <cfvo type="num" val="0.1"/>
        <color rgb="FFF8696B"/>
        <color rgb="FFFFEB84"/>
        <color rgb="FF63BE7B"/>
      </colorScale>
    </cfRule>
    <cfRule type="colorScale" priority="370">
      <colorScale>
        <cfvo type="num" val="-0.1"/>
        <cfvo type="num" val="0"/>
        <cfvo type="num" val="0.1"/>
        <color rgb="FFF8696B"/>
        <color rgb="FFFFEB84"/>
        <color rgb="FF63BE7B"/>
      </colorScale>
    </cfRule>
  </conditionalFormatting>
  <conditionalFormatting sqref="Q239">
    <cfRule type="colorScale" priority="375">
      <colorScale>
        <cfvo type="num" val="-0.1"/>
        <cfvo type="num" val="0"/>
        <cfvo type="num" val="0.1"/>
        <color rgb="FFF8696B"/>
        <color rgb="FFFFEB84"/>
        <color rgb="FF63BE7B"/>
      </colorScale>
    </cfRule>
    <cfRule type="colorScale" priority="376">
      <colorScale>
        <cfvo type="num" val="-0.1"/>
        <cfvo type="num" val="0"/>
        <cfvo type="num" val="0.1"/>
        <color rgb="FFF8696B"/>
        <color rgb="FFFFEB84"/>
        <color rgb="FF63BE7B"/>
      </colorScale>
    </cfRule>
  </conditionalFormatting>
  <conditionalFormatting sqref="Q240">
    <cfRule type="colorScale" priority="373">
      <colorScale>
        <cfvo type="num" val="-0.1"/>
        <cfvo type="num" val="0"/>
        <cfvo type="num" val="0.1"/>
        <color rgb="FFF8696B"/>
        <color rgb="FFFFEB84"/>
        <color rgb="FF63BE7B"/>
      </colorScale>
    </cfRule>
    <cfRule type="colorScale" priority="374">
      <colorScale>
        <cfvo type="num" val="-0.1"/>
        <cfvo type="num" val="0"/>
        <cfvo type="num" val="0.1"/>
        <color rgb="FFF8696B"/>
        <color rgb="FFFFEB84"/>
        <color rgb="FF63BE7B"/>
      </colorScale>
    </cfRule>
  </conditionalFormatting>
  <conditionalFormatting sqref="Q241">
    <cfRule type="colorScale" priority="367">
      <colorScale>
        <cfvo type="num" val="-0.1"/>
        <cfvo type="num" val="0"/>
        <cfvo type="num" val="0.1"/>
        <color rgb="FFF8696B"/>
        <color rgb="FFFFEB84"/>
        <color rgb="FF63BE7B"/>
      </colorScale>
    </cfRule>
    <cfRule type="colorScale" priority="368">
      <colorScale>
        <cfvo type="num" val="-0.1"/>
        <cfvo type="num" val="0"/>
        <cfvo type="num" val="0.1"/>
        <color rgb="FFF8696B"/>
        <color rgb="FFFFEB84"/>
        <color rgb="FF63BE7B"/>
      </colorScale>
    </cfRule>
  </conditionalFormatting>
  <conditionalFormatting sqref="Q242:Q243">
    <cfRule type="colorScale" priority="371">
      <colorScale>
        <cfvo type="num" val="-0.1"/>
        <cfvo type="num" val="0"/>
        <cfvo type="num" val="0.1"/>
        <color rgb="FFF8696B"/>
        <color rgb="FFFFEB84"/>
        <color rgb="FF63BE7B"/>
      </colorScale>
    </cfRule>
    <cfRule type="colorScale" priority="372">
      <colorScale>
        <cfvo type="num" val="-0.1"/>
        <cfvo type="num" val="0"/>
        <cfvo type="num" val="0.1"/>
        <color rgb="FFF8696B"/>
        <color rgb="FFFFEB84"/>
        <color rgb="FF63BE7B"/>
      </colorScale>
    </cfRule>
  </conditionalFormatting>
  <conditionalFormatting sqref="Q237 Q243:Q246">
    <cfRule type="colorScale" priority="378">
      <colorScale>
        <cfvo type="num" val="-0.1"/>
        <cfvo type="num" val="0"/>
        <cfvo type="num" val="0.1"/>
        <color rgb="FFF8696B"/>
        <color rgb="FFFFEB84"/>
        <color rgb="FF63BE7B"/>
      </colorScale>
    </cfRule>
  </conditionalFormatting>
  <conditionalFormatting sqref="Q246">
    <cfRule type="colorScale" priority="377">
      <colorScale>
        <cfvo type="num" val="-0.1"/>
        <cfvo type="num" val="0"/>
        <cfvo type="num" val="0.1"/>
        <color rgb="FFF8696B"/>
        <color rgb="FFFFEB84"/>
        <color rgb="FF63BE7B"/>
      </colorScale>
    </cfRule>
  </conditionalFormatting>
  <conditionalFormatting sqref="Q248">
    <cfRule type="colorScale" priority="381">
      <colorScale>
        <cfvo type="num" val="-0.1"/>
        <cfvo type="num" val="0"/>
        <cfvo type="num" val="0.1"/>
        <color rgb="FFF8696B"/>
        <color rgb="FFFFEB84"/>
        <color rgb="FF63BE7B"/>
      </colorScale>
    </cfRule>
    <cfRule type="colorScale" priority="382">
      <colorScale>
        <cfvo type="num" val="-0.1"/>
        <cfvo type="num" val="0"/>
        <cfvo type="num" val="0.1"/>
        <color rgb="FFF8696B"/>
        <color rgb="FFFFEB84"/>
        <color rgb="FF63BE7B"/>
      </colorScale>
    </cfRule>
  </conditionalFormatting>
  <conditionalFormatting sqref="Q249">
    <cfRule type="colorScale" priority="389">
      <colorScale>
        <cfvo type="num" val="-0.1"/>
        <cfvo type="num" val="0"/>
        <cfvo type="num" val="0.1"/>
        <color rgb="FFF8696B"/>
        <color rgb="FFFFEB84"/>
        <color rgb="FF63BE7B"/>
      </colorScale>
    </cfRule>
    <cfRule type="colorScale" priority="390">
      <colorScale>
        <cfvo type="num" val="-0.1"/>
        <cfvo type="num" val="0"/>
        <cfvo type="num" val="0.1"/>
        <color rgb="FFF8696B"/>
        <color rgb="FFFFEB84"/>
        <color rgb="FF63BE7B"/>
      </colorScale>
    </cfRule>
  </conditionalFormatting>
  <conditionalFormatting sqref="Q250">
    <cfRule type="colorScale" priority="385">
      <colorScale>
        <cfvo type="num" val="-0.1"/>
        <cfvo type="num" val="0"/>
        <cfvo type="num" val="0.1"/>
        <color rgb="FFF8696B"/>
        <color rgb="FFFFEB84"/>
        <color rgb="FF63BE7B"/>
      </colorScale>
    </cfRule>
    <cfRule type="colorScale" priority="386">
      <colorScale>
        <cfvo type="num" val="-0.1"/>
        <cfvo type="num" val="0"/>
        <cfvo type="num" val="0.1"/>
        <color rgb="FFF8696B"/>
        <color rgb="FFFFEB84"/>
        <color rgb="FF63BE7B"/>
      </colorScale>
    </cfRule>
  </conditionalFormatting>
  <conditionalFormatting sqref="Q251">
    <cfRule type="colorScale" priority="379">
      <colorScale>
        <cfvo type="num" val="-0.1"/>
        <cfvo type="num" val="0"/>
        <cfvo type="num" val="0.1"/>
        <color rgb="FFF8696B"/>
        <color rgb="FFFFEB84"/>
        <color rgb="FF63BE7B"/>
      </colorScale>
    </cfRule>
    <cfRule type="colorScale" priority="380">
      <colorScale>
        <cfvo type="num" val="-0.1"/>
        <cfvo type="num" val="0"/>
        <cfvo type="num" val="0.1"/>
        <color rgb="FFF8696B"/>
        <color rgb="FFFFEB84"/>
        <color rgb="FF63BE7B"/>
      </colorScale>
    </cfRule>
  </conditionalFormatting>
  <conditionalFormatting sqref="Q252:Q253">
    <cfRule type="colorScale" priority="383">
      <colorScale>
        <cfvo type="num" val="-0.1"/>
        <cfvo type="num" val="0"/>
        <cfvo type="num" val="0.1"/>
        <color rgb="FFF8696B"/>
        <color rgb="FFFFEB84"/>
        <color rgb="FF63BE7B"/>
      </colorScale>
    </cfRule>
    <cfRule type="colorScale" priority="384">
      <colorScale>
        <cfvo type="num" val="-0.1"/>
        <cfvo type="num" val="0"/>
        <cfvo type="num" val="0.1"/>
        <color rgb="FFF8696B"/>
        <color rgb="FFFFEB84"/>
        <color rgb="FF63BE7B"/>
      </colorScale>
    </cfRule>
  </conditionalFormatting>
  <conditionalFormatting sqref="Q256">
    <cfRule type="colorScale" priority="394">
      <colorScale>
        <cfvo type="num" val="-0.1"/>
        <cfvo type="num" val="0"/>
        <cfvo type="num" val="0.1"/>
        <color rgb="FFF8696B"/>
        <color rgb="FFFFEB84"/>
        <color rgb="FF63BE7B"/>
      </colorScale>
    </cfRule>
  </conditionalFormatting>
  <conditionalFormatting sqref="Q257">
    <cfRule type="colorScale" priority="396">
      <colorScale>
        <cfvo type="num" val="-0.1"/>
        <cfvo type="num" val="0"/>
        <cfvo type="num" val="0.1"/>
        <color rgb="FFF8696B"/>
        <color rgb="FFFFEB84"/>
        <color rgb="FF63BE7B"/>
      </colorScale>
    </cfRule>
  </conditionalFormatting>
  <conditionalFormatting sqref="Q257:Q258">
    <cfRule type="colorScale" priority="397">
      <colorScale>
        <cfvo type="num" val="-0.1"/>
        <cfvo type="num" val="0"/>
        <cfvo type="num" val="0.1"/>
        <color rgb="FFF8696B"/>
        <color rgb="FFFFEB84"/>
        <color rgb="FF63BE7B"/>
      </colorScale>
    </cfRule>
  </conditionalFormatting>
  <conditionalFormatting sqref="Q259:Q264">
    <cfRule type="colorScale" priority="398">
      <colorScale>
        <cfvo type="num" val="-0.1"/>
        <cfvo type="num" val="0"/>
        <cfvo type="num" val="0.1"/>
        <color rgb="FFF8696B"/>
        <color rgb="FFFFEB84"/>
        <color rgb="FF63BE7B"/>
      </colorScale>
    </cfRule>
    <cfRule type="colorScale" priority="399">
      <colorScale>
        <cfvo type="num" val="-0.1"/>
        <cfvo type="num" val="0"/>
        <cfvo type="num" val="0.1"/>
        <color rgb="FFF8696B"/>
        <color rgb="FFFFEB84"/>
        <color rgb="FF63BE7B"/>
      </colorScale>
    </cfRule>
  </conditionalFormatting>
  <conditionalFormatting sqref="Q260:Q264">
    <cfRule type="colorScale" priority="400">
      <colorScale>
        <cfvo type="num" val="-0.1"/>
        <cfvo type="num" val="0"/>
        <cfvo type="num" val="0.1"/>
        <color rgb="FFF8696B"/>
        <color rgb="FFFFEB84"/>
        <color rgb="FF63BE7B"/>
      </colorScale>
    </cfRule>
  </conditionalFormatting>
  <conditionalFormatting sqref="Q261:Q264">
    <cfRule type="colorScale" priority="404">
      <colorScale>
        <cfvo type="num" val="-0.1"/>
        <cfvo type="num" val="0"/>
        <cfvo type="num" val="0.1"/>
        <color rgb="FFF8696B"/>
        <color rgb="FFFFEB84"/>
        <color rgb="FF63BE7B"/>
      </colorScale>
    </cfRule>
  </conditionalFormatting>
  <conditionalFormatting sqref="Q262:Q264">
    <cfRule type="colorScale" priority="401">
      <colorScale>
        <cfvo type="num" val="-0.1"/>
        <cfvo type="num" val="0"/>
        <cfvo type="num" val="0.1"/>
        <color rgb="FFF8696B"/>
        <color rgb="FFFFEB84"/>
        <color rgb="FF63BE7B"/>
      </colorScale>
    </cfRule>
  </conditionalFormatting>
  <conditionalFormatting sqref="Q263:Q264">
    <cfRule type="colorScale" priority="402">
      <colorScale>
        <cfvo type="num" val="-0.1"/>
        <cfvo type="num" val="0"/>
        <cfvo type="num" val="0.1"/>
        <color rgb="FFF8696B"/>
        <color rgb="FFFFEB84"/>
        <color rgb="FF63BE7B"/>
      </colorScale>
    </cfRule>
  </conditionalFormatting>
  <conditionalFormatting sqref="Q264">
    <cfRule type="colorScale" priority="403">
      <colorScale>
        <cfvo type="num" val="-0.1"/>
        <cfvo type="num" val="0"/>
        <cfvo type="num" val="0.1"/>
        <color rgb="FFF8696B"/>
        <color rgb="FFFFEB84"/>
        <color rgb="FF63BE7B"/>
      </colorScale>
    </cfRule>
  </conditionalFormatting>
  <conditionalFormatting sqref="Q265">
    <cfRule type="colorScale" priority="409">
      <colorScale>
        <cfvo type="num" val="-0.1"/>
        <cfvo type="num" val="0"/>
        <cfvo type="num" val="0.1"/>
        <color rgb="FFF8696B"/>
        <color rgb="FFFFEB84"/>
        <color rgb="FF63BE7B"/>
      </colorScale>
    </cfRule>
  </conditionalFormatting>
  <conditionalFormatting sqref="Q267:Q276">
    <cfRule type="colorScale" priority="406">
      <colorScale>
        <cfvo type="num" val="-0.1"/>
        <cfvo type="num" val="0"/>
        <cfvo type="num" val="0.1"/>
        <color rgb="FFF8696B"/>
        <color rgb="FFFFEB84"/>
        <color rgb="FF63BE7B"/>
      </colorScale>
    </cfRule>
    <cfRule type="colorScale" priority="407">
      <colorScale>
        <cfvo type="num" val="-0.1"/>
        <cfvo type="num" val="0"/>
        <cfvo type="num" val="0.1"/>
        <color rgb="FFF8696B"/>
        <color rgb="FFFFEB84"/>
        <color rgb="FF63BE7B"/>
      </colorScale>
    </cfRule>
  </conditionalFormatting>
  <conditionalFormatting sqref="Q268:Q276">
    <cfRule type="colorScale" priority="410">
      <colorScale>
        <cfvo type="num" val="-0.1"/>
        <cfvo type="num" val="0"/>
        <cfvo type="num" val="0.1"/>
        <color rgb="FFF8696B"/>
        <color rgb="FFFFEB84"/>
        <color rgb="FF63BE7B"/>
      </colorScale>
    </cfRule>
  </conditionalFormatting>
  <conditionalFormatting sqref="Q270:Q276">
    <cfRule type="colorScale" priority="411">
      <colorScale>
        <cfvo type="num" val="-0.1"/>
        <cfvo type="num" val="0"/>
        <cfvo type="num" val="0.1"/>
        <color rgb="FFF8696B"/>
        <color rgb="FFFFEB84"/>
        <color rgb="FF63BE7B"/>
      </colorScale>
    </cfRule>
  </conditionalFormatting>
  <conditionalFormatting sqref="Q271:Q276">
    <cfRule type="colorScale" priority="412">
      <colorScale>
        <cfvo type="num" val="-0.1"/>
        <cfvo type="num" val="0"/>
        <cfvo type="num" val="0.1"/>
        <color rgb="FFF8696B"/>
        <color rgb="FFFFEB84"/>
        <color rgb="FF63BE7B"/>
      </colorScale>
    </cfRule>
  </conditionalFormatting>
  <conditionalFormatting sqref="Q272">
    <cfRule type="colorScale" priority="422">
      <colorScale>
        <cfvo type="num" val="-0.1"/>
        <cfvo type="num" val="0"/>
        <cfvo type="num" val="0.1"/>
        <color rgb="FFF8696B"/>
        <color rgb="FFFFEB84"/>
        <color rgb="FF63BE7B"/>
      </colorScale>
    </cfRule>
  </conditionalFormatting>
  <conditionalFormatting sqref="Q273">
    <cfRule type="colorScale" priority="408">
      <colorScale>
        <cfvo type="num" val="-0.1"/>
        <cfvo type="num" val="0"/>
        <cfvo type="num" val="0.1"/>
        <color rgb="FFF8696B"/>
        <color rgb="FFFFEB84"/>
        <color rgb="FF63BE7B"/>
      </colorScale>
    </cfRule>
  </conditionalFormatting>
  <conditionalFormatting sqref="Q276">
    <cfRule type="colorScale" priority="423">
      <colorScale>
        <cfvo type="num" val="-0.1"/>
        <cfvo type="num" val="0"/>
        <cfvo type="num" val="0.1"/>
        <color rgb="FFF8696B"/>
        <color rgb="FFFFEB84"/>
        <color rgb="FF63BE7B"/>
      </colorScale>
    </cfRule>
  </conditionalFormatting>
  <conditionalFormatting sqref="Q277">
    <cfRule type="colorScale" priority="405">
      <colorScale>
        <cfvo type="num" val="-0.1"/>
        <cfvo type="num" val="0"/>
        <cfvo type="num" val="0.1"/>
        <color rgb="FFF8696B"/>
        <color rgb="FFFFEB84"/>
        <color rgb="FF63BE7B"/>
      </colorScale>
    </cfRule>
  </conditionalFormatting>
  <conditionalFormatting sqref="Q279">
    <cfRule type="colorScale" priority="413">
      <colorScale>
        <cfvo type="num" val="-0.1"/>
        <cfvo type="num" val="0"/>
        <cfvo type="num" val="0.1"/>
        <color rgb="FFF8696B"/>
        <color rgb="FFFFEB84"/>
        <color rgb="FF63BE7B"/>
      </colorScale>
    </cfRule>
  </conditionalFormatting>
  <conditionalFormatting sqref="Q280">
    <cfRule type="colorScale" priority="414">
      <colorScale>
        <cfvo type="num" val="-0.1"/>
        <cfvo type="num" val="0"/>
        <cfvo type="num" val="0.1"/>
        <color rgb="FFF8696B"/>
        <color rgb="FFFFEB84"/>
        <color rgb="FF63BE7B"/>
      </colorScale>
    </cfRule>
  </conditionalFormatting>
  <conditionalFormatting sqref="Q282">
    <cfRule type="colorScale" priority="416">
      <colorScale>
        <cfvo type="num" val="-0.1"/>
        <cfvo type="num" val="0"/>
        <cfvo type="num" val="0.1"/>
        <color rgb="FFF8696B"/>
        <color rgb="FFFFEB84"/>
        <color rgb="FF63BE7B"/>
      </colorScale>
    </cfRule>
  </conditionalFormatting>
  <conditionalFormatting sqref="Q283">
    <cfRule type="colorScale" priority="415">
      <colorScale>
        <cfvo type="num" val="-0.1"/>
        <cfvo type="num" val="0"/>
        <cfvo type="num" val="0.1"/>
        <color rgb="FFF8696B"/>
        <color rgb="FFFFEB84"/>
        <color rgb="FF63BE7B"/>
      </colorScale>
    </cfRule>
  </conditionalFormatting>
  <conditionalFormatting sqref="Q284">
    <cfRule type="colorScale" priority="417">
      <colorScale>
        <cfvo type="num" val="-0.1"/>
        <cfvo type="num" val="0"/>
        <cfvo type="num" val="0.1"/>
        <color rgb="FFF8696B"/>
        <color rgb="FFFFEB84"/>
        <color rgb="FF63BE7B"/>
      </colorScale>
    </cfRule>
  </conditionalFormatting>
  <conditionalFormatting sqref="Q285:Q287 Q290">
    <cfRule type="colorScale" priority="420">
      <colorScale>
        <cfvo type="num" val="-0.1"/>
        <cfvo type="num" val="0"/>
        <cfvo type="num" val="0.1"/>
        <color rgb="FFF8696B"/>
        <color rgb="FFFFEB84"/>
        <color rgb="FF63BE7B"/>
      </colorScale>
    </cfRule>
  </conditionalFormatting>
  <conditionalFormatting sqref="Q288">
    <cfRule type="colorScale" priority="419">
      <colorScale>
        <cfvo type="num" val="-0.1"/>
        <cfvo type="num" val="0"/>
        <cfvo type="num" val="0.1"/>
        <color rgb="FFF8696B"/>
        <color rgb="FFFFEB84"/>
        <color rgb="FF63BE7B"/>
      </colorScale>
    </cfRule>
  </conditionalFormatting>
  <conditionalFormatting sqref="Q289">
    <cfRule type="colorScale" priority="418">
      <colorScale>
        <cfvo type="num" val="-0.1"/>
        <cfvo type="num" val="0"/>
        <cfvo type="num" val="0.1"/>
        <color rgb="FFF8696B"/>
        <color rgb="FFFFEB84"/>
        <color rgb="FF63BE7B"/>
      </colorScale>
    </cfRule>
  </conditionalFormatting>
  <conditionalFormatting sqref="Q16">
    <cfRule type="colorScale" priority="19">
      <colorScale>
        <cfvo type="num" val="-0.1"/>
        <cfvo type="num" val="0"/>
        <cfvo type="num" val="0.1"/>
        <color rgb="FFF8696B"/>
        <color rgb="FFFFEB84"/>
        <color rgb="FF63BE7B"/>
      </colorScale>
    </cfRule>
    <cfRule type="colorScale" priority="20">
      <colorScale>
        <cfvo type="num" val="-0.1"/>
        <cfvo type="num" val="0"/>
        <cfvo type="num" val="0.1"/>
        <color rgb="FFF8696B"/>
        <color rgb="FFFFEB84"/>
        <color rgb="FF63BE7B"/>
      </colorScale>
    </cfRule>
  </conditionalFormatting>
  <conditionalFormatting sqref="Q17">
    <cfRule type="colorScale" priority="16">
      <colorScale>
        <cfvo type="num" val="-0.1"/>
        <cfvo type="num" val="0"/>
        <cfvo type="num" val="0.1"/>
        <color rgb="FFF8696B"/>
        <color rgb="FFFFEB84"/>
        <color rgb="FF63BE7B"/>
      </colorScale>
    </cfRule>
    <cfRule type="colorScale" priority="17">
      <colorScale>
        <cfvo type="num" val="-0.1"/>
        <cfvo type="num" val="0"/>
        <cfvo type="num" val="0.1"/>
        <color rgb="FFF8696B"/>
        <color rgb="FFFFEB84"/>
        <color rgb="FF63BE7B"/>
      </colorScale>
    </cfRule>
    <cfRule type="colorScale" priority="18">
      <colorScale>
        <cfvo type="num" val="-0.1"/>
        <cfvo type="num" val="0"/>
        <cfvo type="num" val="0.1"/>
        <color rgb="FFF8696B"/>
        <color rgb="FFFFEB84"/>
        <color rgb="FF63BE7B"/>
      </colorScale>
    </cfRule>
  </conditionalFormatting>
  <conditionalFormatting sqref="Q18">
    <cfRule type="colorScale" priority="25">
      <colorScale>
        <cfvo type="num" val="-0.1"/>
        <cfvo type="num" val="0"/>
        <cfvo type="num" val="0.1"/>
        <color rgb="FFF8696B"/>
        <color rgb="FFFFEB84"/>
        <color rgb="FF63BE7B"/>
      </colorScale>
    </cfRule>
  </conditionalFormatting>
  <conditionalFormatting sqref="Q19">
    <cfRule type="colorScale" priority="23">
      <colorScale>
        <cfvo type="num" val="-0.1"/>
        <cfvo type="num" val="0"/>
        <cfvo type="num" val="0.1"/>
        <color rgb="FFF8696B"/>
        <color rgb="FFFFEB84"/>
        <color rgb="FF63BE7B"/>
      </colorScale>
    </cfRule>
    <cfRule type="colorScale" priority="24">
      <colorScale>
        <cfvo type="num" val="-0.1"/>
        <cfvo type="num" val="0"/>
        <cfvo type="num" val="0.1"/>
        <color rgb="FFF8696B"/>
        <color rgb="FFFFEB84"/>
        <color rgb="FF63BE7B"/>
      </colorScale>
    </cfRule>
  </conditionalFormatting>
  <conditionalFormatting sqref="Q20">
    <cfRule type="colorScale" priority="28">
      <colorScale>
        <cfvo type="num" val="-0.1"/>
        <cfvo type="num" val="0"/>
        <cfvo type="num" val="0.1"/>
        <color rgb="FFF8696B"/>
        <color rgb="FFFFEB84"/>
        <color rgb="FF63BE7B"/>
      </colorScale>
    </cfRule>
    <cfRule type="colorScale" priority="29">
      <colorScale>
        <cfvo type="num" val="-0.1"/>
        <cfvo type="num" val="0"/>
        <cfvo type="num" val="0.1"/>
        <color rgb="FFF8696B"/>
        <color rgb="FFFFEB84"/>
        <color rgb="FF63BE7B"/>
      </colorScale>
    </cfRule>
  </conditionalFormatting>
  <conditionalFormatting sqref="Q21:Q22">
    <cfRule type="colorScale" priority="26">
      <colorScale>
        <cfvo type="num" val="-0.1"/>
        <cfvo type="num" val="0"/>
        <cfvo type="num" val="0.1"/>
        <color rgb="FFF8696B"/>
        <color rgb="FFFFEB84"/>
        <color rgb="FF63BE7B"/>
      </colorScale>
    </cfRule>
    <cfRule type="colorScale" priority="27">
      <colorScale>
        <cfvo type="num" val="-0.1"/>
        <cfvo type="num" val="0"/>
        <cfvo type="num" val="0.1"/>
        <color rgb="FFF8696B"/>
        <color rgb="FFFFEB84"/>
        <color rgb="FF63BE7B"/>
      </colorScale>
    </cfRule>
  </conditionalFormatting>
  <conditionalFormatting sqref="Q22:Q24">
    <cfRule type="colorScale" priority="30">
      <colorScale>
        <cfvo type="num" val="-0.1"/>
        <cfvo type="num" val="0"/>
        <cfvo type="num" val="0.1"/>
        <color rgb="FFF8696B"/>
        <color rgb="FFFFEB84"/>
        <color rgb="FF63BE7B"/>
      </colorScale>
    </cfRule>
  </conditionalFormatting>
  <conditionalFormatting sqref="Q25">
    <cfRule type="colorScale" priority="21">
      <colorScale>
        <cfvo type="num" val="-0.1"/>
        <cfvo type="num" val="0"/>
        <cfvo type="num" val="0.1"/>
        <color rgb="FFF8696B"/>
        <color rgb="FFFFEB84"/>
        <color rgb="FF63BE7B"/>
      </colorScale>
    </cfRule>
    <cfRule type="colorScale" priority="22">
      <colorScale>
        <cfvo type="num" val="-0.1"/>
        <cfvo type="num" val="0"/>
        <cfvo type="num" val="0.1"/>
        <color rgb="FFF8696B"/>
        <color rgb="FFFFEB84"/>
        <color rgb="FF63BE7B"/>
      </colorScale>
    </cfRule>
  </conditionalFormatting>
  <conditionalFormatting sqref="Q6">
    <cfRule type="colorScale" priority="4">
      <colorScale>
        <cfvo type="num" val="-0.1"/>
        <cfvo type="num" val="0"/>
        <cfvo type="num" val="0.1"/>
        <color rgb="FFF8696B"/>
        <color rgb="FFFFEB84"/>
        <color rgb="FF63BE7B"/>
      </colorScale>
    </cfRule>
    <cfRule type="colorScale" priority="5">
      <colorScale>
        <cfvo type="num" val="-0.1"/>
        <cfvo type="num" val="0"/>
        <cfvo type="num" val="0.1"/>
        <color rgb="FFF8696B"/>
        <color rgb="FFFFEB84"/>
        <color rgb="FF63BE7B"/>
      </colorScale>
    </cfRule>
  </conditionalFormatting>
  <conditionalFormatting sqref="Q7">
    <cfRule type="colorScale" priority="1">
      <colorScale>
        <cfvo type="num" val="-0.1"/>
        <cfvo type="num" val="0"/>
        <cfvo type="num" val="0.1"/>
        <color rgb="FFF8696B"/>
        <color rgb="FFFFEB84"/>
        <color rgb="FF63BE7B"/>
      </colorScale>
    </cfRule>
    <cfRule type="colorScale" priority="2">
      <colorScale>
        <cfvo type="num" val="-0.1"/>
        <cfvo type="num" val="0"/>
        <cfvo type="num" val="0.1"/>
        <color rgb="FFF8696B"/>
        <color rgb="FFFFEB84"/>
        <color rgb="FF63BE7B"/>
      </colorScale>
    </cfRule>
    <cfRule type="colorScale" priority="3">
      <colorScale>
        <cfvo type="num" val="-0.1"/>
        <cfvo type="num" val="0"/>
        <cfvo type="num" val="0.1"/>
        <color rgb="FFF8696B"/>
        <color rgb="FFFFEB84"/>
        <color rgb="FF63BE7B"/>
      </colorScale>
    </cfRule>
  </conditionalFormatting>
  <conditionalFormatting sqref="Q8">
    <cfRule type="colorScale" priority="10">
      <colorScale>
        <cfvo type="num" val="-0.1"/>
        <cfvo type="num" val="0"/>
        <cfvo type="num" val="0.1"/>
        <color rgb="FFF8696B"/>
        <color rgb="FFFFEB84"/>
        <color rgb="FF63BE7B"/>
      </colorScale>
    </cfRule>
  </conditionalFormatting>
  <conditionalFormatting sqref="Q9">
    <cfRule type="colorScale" priority="8">
      <colorScale>
        <cfvo type="num" val="-0.1"/>
        <cfvo type="num" val="0"/>
        <cfvo type="num" val="0.1"/>
        <color rgb="FFF8696B"/>
        <color rgb="FFFFEB84"/>
        <color rgb="FF63BE7B"/>
      </colorScale>
    </cfRule>
    <cfRule type="colorScale" priority="9">
      <colorScale>
        <cfvo type="num" val="-0.1"/>
        <cfvo type="num" val="0"/>
        <cfvo type="num" val="0.1"/>
        <color rgb="FFF8696B"/>
        <color rgb="FFFFEB84"/>
        <color rgb="FF63BE7B"/>
      </colorScale>
    </cfRule>
  </conditionalFormatting>
  <conditionalFormatting sqref="Q10">
    <cfRule type="colorScale" priority="13">
      <colorScale>
        <cfvo type="num" val="-0.1"/>
        <cfvo type="num" val="0"/>
        <cfvo type="num" val="0.1"/>
        <color rgb="FFF8696B"/>
        <color rgb="FFFFEB84"/>
        <color rgb="FF63BE7B"/>
      </colorScale>
    </cfRule>
    <cfRule type="colorScale" priority="14">
      <colorScale>
        <cfvo type="num" val="-0.1"/>
        <cfvo type="num" val="0"/>
        <cfvo type="num" val="0.1"/>
        <color rgb="FFF8696B"/>
        <color rgb="FFFFEB84"/>
        <color rgb="FF63BE7B"/>
      </colorScale>
    </cfRule>
  </conditionalFormatting>
  <conditionalFormatting sqref="Q11:Q12">
    <cfRule type="colorScale" priority="11">
      <colorScale>
        <cfvo type="num" val="-0.1"/>
        <cfvo type="num" val="0"/>
        <cfvo type="num" val="0.1"/>
        <color rgb="FFF8696B"/>
        <color rgb="FFFFEB84"/>
        <color rgb="FF63BE7B"/>
      </colorScale>
    </cfRule>
    <cfRule type="colorScale" priority="12">
      <colorScale>
        <cfvo type="num" val="-0.1"/>
        <cfvo type="num" val="0"/>
        <cfvo type="num" val="0.1"/>
        <color rgb="FFF8696B"/>
        <color rgb="FFFFEB84"/>
        <color rgb="FF63BE7B"/>
      </colorScale>
    </cfRule>
  </conditionalFormatting>
  <conditionalFormatting sqref="Q12:Q14">
    <cfRule type="colorScale" priority="15">
      <colorScale>
        <cfvo type="num" val="-0.1"/>
        <cfvo type="num" val="0"/>
        <cfvo type="num" val="0.1"/>
        <color rgb="FFF8696B"/>
        <color rgb="FFFFEB84"/>
        <color rgb="FF63BE7B"/>
      </colorScale>
    </cfRule>
  </conditionalFormatting>
  <conditionalFormatting sqref="Q15">
    <cfRule type="colorScale" priority="6">
      <colorScale>
        <cfvo type="num" val="-0.1"/>
        <cfvo type="num" val="0"/>
        <cfvo type="num" val="0.1"/>
        <color rgb="FFF8696B"/>
        <color rgb="FFFFEB84"/>
        <color rgb="FF63BE7B"/>
      </colorScale>
    </cfRule>
    <cfRule type="colorScale" priority="7">
      <colorScale>
        <cfvo type="num" val="-0.1"/>
        <cfvo type="num" val="0"/>
        <cfvo type="num" val="0.1"/>
        <color rgb="FFF8696B"/>
        <color rgb="FFFFEB84"/>
        <color rgb="FF63BE7B"/>
      </colorScale>
    </cfRule>
  </conditionalFormatting>
  <hyperlinks>
    <hyperlink xmlns:r="http://schemas.openxmlformats.org/officeDocument/2006/relationships" ref="T6" display="Investor Presentation" r:id="rId1"/>
    <hyperlink xmlns:r="http://schemas.openxmlformats.org/officeDocument/2006/relationships" ref="T7" display="Investor Presentation" r:id="rId2"/>
    <hyperlink xmlns:r="http://schemas.openxmlformats.org/officeDocument/2006/relationships" ref="T8" display="Investor Presentation" r:id="rId3"/>
    <hyperlink xmlns:r="http://schemas.openxmlformats.org/officeDocument/2006/relationships" ref="T10" display="Investor Presentation" r:id="rId4"/>
    <hyperlink xmlns:r="http://schemas.openxmlformats.org/officeDocument/2006/relationships" ref="T11" display="Investor Presentation" r:id="rId5"/>
    <hyperlink xmlns:r="http://schemas.openxmlformats.org/officeDocument/2006/relationships" ref="T12" display="Investor Presentation" r:id="rId6"/>
    <hyperlink xmlns:r="http://schemas.openxmlformats.org/officeDocument/2006/relationships" ref="T13" display="Investor Presentation" r:id="rId7"/>
    <hyperlink xmlns:r="http://schemas.openxmlformats.org/officeDocument/2006/relationships" ref="T14" display="Investor Presentation" r:id="rId8"/>
    <hyperlink xmlns:r="http://schemas.openxmlformats.org/officeDocument/2006/relationships" ref="T16" display="Investor Presentation" r:id="rId9"/>
    <hyperlink xmlns:r="http://schemas.openxmlformats.org/officeDocument/2006/relationships" ref="T17" display="Investor Presentation" r:id="rId10"/>
    <hyperlink xmlns:r="http://schemas.openxmlformats.org/officeDocument/2006/relationships" ref="T18" display="Investor Presentation" r:id="rId11"/>
    <hyperlink xmlns:r="http://schemas.openxmlformats.org/officeDocument/2006/relationships" ref="T20" display="Investor Presentation" r:id="rId12"/>
    <hyperlink xmlns:r="http://schemas.openxmlformats.org/officeDocument/2006/relationships" ref="T21" display="Investor Presentation" r:id="rId13"/>
    <hyperlink xmlns:r="http://schemas.openxmlformats.org/officeDocument/2006/relationships" ref="T22" display="Investor Presentation" r:id="rId14"/>
    <hyperlink xmlns:r="http://schemas.openxmlformats.org/officeDocument/2006/relationships" ref="T23" display="Investor Presentation" r:id="rId15"/>
    <hyperlink xmlns:r="http://schemas.openxmlformats.org/officeDocument/2006/relationships" ref="T24" display="Investor Presentation" r:id="rId16"/>
    <hyperlink xmlns:r="http://schemas.openxmlformats.org/officeDocument/2006/relationships" ref="T26" display="Investor Presentation" r:id="rId17"/>
    <hyperlink xmlns:r="http://schemas.openxmlformats.org/officeDocument/2006/relationships" ref="T27" display="Investor Presentation" r:id="rId18"/>
    <hyperlink xmlns:r="http://schemas.openxmlformats.org/officeDocument/2006/relationships" ref="T28" display="Investor Presentation" r:id="rId19"/>
    <hyperlink xmlns:r="http://schemas.openxmlformats.org/officeDocument/2006/relationships" ref="T30" display="Investor Presentation" r:id="rId20"/>
    <hyperlink xmlns:r="http://schemas.openxmlformats.org/officeDocument/2006/relationships" ref="T31" display="Investor Presentation" r:id="rId21"/>
    <hyperlink xmlns:r="http://schemas.openxmlformats.org/officeDocument/2006/relationships" ref="T32" display="Investor Presentation" r:id="rId22"/>
    <hyperlink xmlns:r="http://schemas.openxmlformats.org/officeDocument/2006/relationships" ref="T33" display="Investor Presentation" r:id="rId23"/>
    <hyperlink xmlns:r="http://schemas.openxmlformats.org/officeDocument/2006/relationships" ref="T34" display="Investor Presentation" r:id="rId24"/>
    <hyperlink xmlns:r="http://schemas.openxmlformats.org/officeDocument/2006/relationships" ref="T36" display="Investor Presentation" r:id="rId25"/>
    <hyperlink xmlns:r="http://schemas.openxmlformats.org/officeDocument/2006/relationships" ref="T37" display="Investor Presentation" r:id="rId26"/>
    <hyperlink xmlns:r="http://schemas.openxmlformats.org/officeDocument/2006/relationships" ref="T38" display="Investor Presentation" r:id="rId27"/>
    <hyperlink xmlns:r="http://schemas.openxmlformats.org/officeDocument/2006/relationships" ref="T40" display="Investor Presentation" r:id="rId28"/>
    <hyperlink xmlns:r="http://schemas.openxmlformats.org/officeDocument/2006/relationships" ref="T41" display="Investor Presentation" r:id="rId29"/>
    <hyperlink xmlns:r="http://schemas.openxmlformats.org/officeDocument/2006/relationships" ref="T42" display="Investor Presentation" r:id="rId30"/>
    <hyperlink xmlns:r="http://schemas.openxmlformats.org/officeDocument/2006/relationships" ref="T43" display="Investor Presentation" r:id="rId31"/>
    <hyperlink xmlns:r="http://schemas.openxmlformats.org/officeDocument/2006/relationships" ref="T44" display="Investor Presentation" r:id="rId32"/>
    <hyperlink xmlns:r="http://schemas.openxmlformats.org/officeDocument/2006/relationships" ref="T46" display="Investor Presentation" r:id="rId33"/>
    <hyperlink xmlns:r="http://schemas.openxmlformats.org/officeDocument/2006/relationships" ref="T47" display="Investor Presentation" r:id="rId34"/>
    <hyperlink xmlns:r="http://schemas.openxmlformats.org/officeDocument/2006/relationships" ref="T48" display="Investor Presentation" r:id="rId35"/>
    <hyperlink xmlns:r="http://schemas.openxmlformats.org/officeDocument/2006/relationships" ref="T50" display="Investor Presentation" r:id="rId36"/>
    <hyperlink xmlns:r="http://schemas.openxmlformats.org/officeDocument/2006/relationships" ref="T51" display="Investor Presentation" r:id="rId37"/>
    <hyperlink xmlns:r="http://schemas.openxmlformats.org/officeDocument/2006/relationships" ref="T52" display="Investor Presentation" r:id="rId38"/>
    <hyperlink xmlns:r="http://schemas.openxmlformats.org/officeDocument/2006/relationships" ref="T53" display="Investor Presentation" r:id="rId39"/>
    <hyperlink xmlns:r="http://schemas.openxmlformats.org/officeDocument/2006/relationships" ref="T54" display="Investor Presentation" r:id="rId40"/>
    <hyperlink xmlns:r="http://schemas.openxmlformats.org/officeDocument/2006/relationships" ref="T56" display="Investor Presentation" r:id="rId41"/>
    <hyperlink xmlns:r="http://schemas.openxmlformats.org/officeDocument/2006/relationships" ref="T57" display="Investor Presentation" r:id="rId42"/>
    <hyperlink xmlns:r="http://schemas.openxmlformats.org/officeDocument/2006/relationships" ref="T58" display="Investor Presentation" r:id="rId43"/>
    <hyperlink xmlns:r="http://schemas.openxmlformats.org/officeDocument/2006/relationships" ref="T60" display="Investor Presentation" r:id="rId44"/>
    <hyperlink xmlns:r="http://schemas.openxmlformats.org/officeDocument/2006/relationships" ref="T61" display="Investor Presentation" r:id="rId45"/>
    <hyperlink xmlns:r="http://schemas.openxmlformats.org/officeDocument/2006/relationships" ref="T62" display="Investor Presentation" r:id="rId46"/>
    <hyperlink xmlns:r="http://schemas.openxmlformats.org/officeDocument/2006/relationships" ref="T63" display="Investor Presentation" r:id="rId47"/>
    <hyperlink xmlns:r="http://schemas.openxmlformats.org/officeDocument/2006/relationships" ref="T64" display="Investor Presentation" r:id="rId48"/>
    <hyperlink xmlns:r="http://schemas.openxmlformats.org/officeDocument/2006/relationships" ref="T66" display="Investor Presentation" r:id="rId49"/>
    <hyperlink xmlns:r="http://schemas.openxmlformats.org/officeDocument/2006/relationships" ref="T67" display="Investor Presentation" r:id="rId50"/>
    <hyperlink xmlns:r="http://schemas.openxmlformats.org/officeDocument/2006/relationships" ref="T69" display="Investor Presentation" r:id="rId51"/>
    <hyperlink xmlns:r="http://schemas.openxmlformats.org/officeDocument/2006/relationships" ref="T70" display="Investor Presentation" r:id="rId52"/>
    <hyperlink xmlns:r="http://schemas.openxmlformats.org/officeDocument/2006/relationships" ref="T71" display="Investor Presentation" r:id="rId53"/>
    <hyperlink xmlns:r="http://schemas.openxmlformats.org/officeDocument/2006/relationships" ref="T72" display="Investor Presentation" r:id="rId54"/>
    <hyperlink xmlns:r="http://schemas.openxmlformats.org/officeDocument/2006/relationships" ref="T73" display="Investor Presentation" r:id="rId55"/>
    <hyperlink xmlns:r="http://schemas.openxmlformats.org/officeDocument/2006/relationships" ref="T75" display="Investor Presentation" r:id="rId56"/>
    <hyperlink xmlns:r="http://schemas.openxmlformats.org/officeDocument/2006/relationships" ref="T76" display="Investor Presentation" r:id="rId57"/>
    <hyperlink xmlns:r="http://schemas.openxmlformats.org/officeDocument/2006/relationships" ref="T78" display="Investor Presentation" r:id="rId58"/>
    <hyperlink xmlns:r="http://schemas.openxmlformats.org/officeDocument/2006/relationships" ref="T79" display="Investor Presentation" r:id="rId59"/>
    <hyperlink xmlns:r="http://schemas.openxmlformats.org/officeDocument/2006/relationships" ref="T80" display="Investor Presentation" r:id="rId60"/>
    <hyperlink xmlns:r="http://schemas.openxmlformats.org/officeDocument/2006/relationships" ref="T81" display="Investor Presentation" r:id="rId61"/>
    <hyperlink xmlns:r="http://schemas.openxmlformats.org/officeDocument/2006/relationships" ref="T82" display="Investor Presentation" r:id="rId62"/>
    <hyperlink xmlns:r="http://schemas.openxmlformats.org/officeDocument/2006/relationships" ref="T84" display="Investor Presentation" r:id="rId63"/>
    <hyperlink xmlns:r="http://schemas.openxmlformats.org/officeDocument/2006/relationships" ref="T85" display="Investor Presentation" r:id="rId64"/>
    <hyperlink xmlns:r="http://schemas.openxmlformats.org/officeDocument/2006/relationships" ref="T87" display="Investor Presentation" r:id="rId65"/>
    <hyperlink xmlns:r="http://schemas.openxmlformats.org/officeDocument/2006/relationships" ref="T88" display="Investor Presentation" r:id="rId66"/>
    <hyperlink xmlns:r="http://schemas.openxmlformats.org/officeDocument/2006/relationships" ref="T89" display="Investor Presentation" r:id="rId67"/>
    <hyperlink xmlns:r="http://schemas.openxmlformats.org/officeDocument/2006/relationships" ref="T90" display="Investor Presentation" r:id="rId68"/>
    <hyperlink xmlns:r="http://schemas.openxmlformats.org/officeDocument/2006/relationships" ref="T91" display="Investor Presentation" r:id="rId69"/>
    <hyperlink xmlns:r="http://schemas.openxmlformats.org/officeDocument/2006/relationships" ref="T93" display="Investor Presentation" r:id="rId70"/>
    <hyperlink xmlns:r="http://schemas.openxmlformats.org/officeDocument/2006/relationships" ref="T94" display="Investor Presentation" r:id="rId71"/>
    <hyperlink xmlns:r="http://schemas.openxmlformats.org/officeDocument/2006/relationships" ref="T96" display="Investor Presentation" r:id="rId72"/>
    <hyperlink xmlns:r="http://schemas.openxmlformats.org/officeDocument/2006/relationships" ref="T97" display="Investor Presentation" r:id="rId73"/>
    <hyperlink xmlns:r="http://schemas.openxmlformats.org/officeDocument/2006/relationships" ref="T98" display="Investor Presentation" r:id="rId74"/>
    <hyperlink xmlns:r="http://schemas.openxmlformats.org/officeDocument/2006/relationships" ref="T99" display="Investor Presentation" r:id="rId75"/>
    <hyperlink xmlns:r="http://schemas.openxmlformats.org/officeDocument/2006/relationships" ref="T100" display="Investor Presentation" r:id="rId76"/>
    <hyperlink xmlns:r="http://schemas.openxmlformats.org/officeDocument/2006/relationships" ref="T102" display="Investor Presentation" r:id="rId77"/>
    <hyperlink xmlns:r="http://schemas.openxmlformats.org/officeDocument/2006/relationships" ref="T103" display="Investor Presentation" r:id="rId78"/>
    <hyperlink xmlns:r="http://schemas.openxmlformats.org/officeDocument/2006/relationships" ref="T105" display="Investor Presentation" r:id="rId79"/>
    <hyperlink xmlns:r="http://schemas.openxmlformats.org/officeDocument/2006/relationships" ref="T106" display="Investor Presentation" r:id="rId80"/>
    <hyperlink xmlns:r="http://schemas.openxmlformats.org/officeDocument/2006/relationships" ref="T107" display="Investor Presentation" r:id="rId81"/>
    <hyperlink xmlns:r="http://schemas.openxmlformats.org/officeDocument/2006/relationships" ref="T108" display="Investor Presentation" r:id="rId82"/>
    <hyperlink xmlns:r="http://schemas.openxmlformats.org/officeDocument/2006/relationships" ref="T109" display="Investor Presentation" r:id="rId83"/>
    <hyperlink xmlns:r="http://schemas.openxmlformats.org/officeDocument/2006/relationships" ref="T111" display="Investor Presentation" r:id="rId84"/>
    <hyperlink xmlns:r="http://schemas.openxmlformats.org/officeDocument/2006/relationships" ref="T112" display="Investor Presentation" r:id="rId85"/>
    <hyperlink xmlns:r="http://schemas.openxmlformats.org/officeDocument/2006/relationships" ref="T114" display="Investor Presentation" r:id="rId86"/>
    <hyperlink xmlns:r="http://schemas.openxmlformats.org/officeDocument/2006/relationships" ref="T115" display="Investor Presentation" r:id="rId87"/>
    <hyperlink xmlns:r="http://schemas.openxmlformats.org/officeDocument/2006/relationships" ref="T116" display="Investor Presentation" r:id="rId88"/>
    <hyperlink xmlns:r="http://schemas.openxmlformats.org/officeDocument/2006/relationships" ref="T117" display="Investor Presentation" r:id="rId89"/>
    <hyperlink xmlns:r="http://schemas.openxmlformats.org/officeDocument/2006/relationships" ref="T118" display="Investor Presentation" r:id="rId90"/>
    <hyperlink xmlns:r="http://schemas.openxmlformats.org/officeDocument/2006/relationships" ref="T120" display="Investor Presentation" r:id="rId91"/>
    <hyperlink xmlns:r="http://schemas.openxmlformats.org/officeDocument/2006/relationships" ref="T121" display="Investor Presentation" r:id="rId92"/>
    <hyperlink xmlns:r="http://schemas.openxmlformats.org/officeDocument/2006/relationships" ref="T123" display="Investor Presentation" r:id="rId93"/>
    <hyperlink xmlns:r="http://schemas.openxmlformats.org/officeDocument/2006/relationships" ref="T124" display="Investor Presentation" r:id="rId94"/>
    <hyperlink xmlns:r="http://schemas.openxmlformats.org/officeDocument/2006/relationships" ref="T125" display="Investor Presentation" r:id="rId95"/>
    <hyperlink xmlns:r="http://schemas.openxmlformats.org/officeDocument/2006/relationships" ref="T126" display="Investor Presentation" r:id="rId96"/>
    <hyperlink xmlns:r="http://schemas.openxmlformats.org/officeDocument/2006/relationships" ref="T127" display="Investor Presentation" r:id="rId97"/>
    <hyperlink xmlns:r="http://schemas.openxmlformats.org/officeDocument/2006/relationships" ref="T129" display="Investor Presentation" r:id="rId98"/>
    <hyperlink xmlns:r="http://schemas.openxmlformats.org/officeDocument/2006/relationships" ref="T130" display="Investor Presentation" r:id="rId99"/>
    <hyperlink xmlns:r="http://schemas.openxmlformats.org/officeDocument/2006/relationships" ref="T131" display="Investor Presentation" r:id="rId100"/>
    <hyperlink xmlns:r="http://schemas.openxmlformats.org/officeDocument/2006/relationships" ref="T133" display="Investor Presentation" r:id="rId101"/>
    <hyperlink xmlns:r="http://schemas.openxmlformats.org/officeDocument/2006/relationships" ref="T134" display="Investor Presentation" r:id="rId102"/>
    <hyperlink xmlns:r="http://schemas.openxmlformats.org/officeDocument/2006/relationships" ref="T135" display="Investor Presentation" r:id="rId103"/>
    <hyperlink xmlns:r="http://schemas.openxmlformats.org/officeDocument/2006/relationships" ref="T136" display="Investor Presentation" r:id="rId104"/>
    <hyperlink xmlns:r="http://schemas.openxmlformats.org/officeDocument/2006/relationships" ref="T137" display="Investor Presentation" r:id="rId105"/>
    <hyperlink xmlns:r="http://schemas.openxmlformats.org/officeDocument/2006/relationships" ref="T139" display="Investor Presentation" r:id="rId106"/>
    <hyperlink xmlns:r="http://schemas.openxmlformats.org/officeDocument/2006/relationships" ref="T140" display="Investor Presentation" r:id="rId107"/>
    <hyperlink xmlns:r="http://schemas.openxmlformats.org/officeDocument/2006/relationships" ref="T141" display="Investor Presentation" r:id="rId108"/>
    <hyperlink xmlns:r="http://schemas.openxmlformats.org/officeDocument/2006/relationships" ref="T143" display="Investor Presentation" r:id="rId109"/>
    <hyperlink xmlns:r="http://schemas.openxmlformats.org/officeDocument/2006/relationships" ref="T144" display="Investor Presentation" r:id="rId110"/>
    <hyperlink xmlns:r="http://schemas.openxmlformats.org/officeDocument/2006/relationships" ref="T145" display="Investor Presentation" r:id="rId111"/>
    <hyperlink xmlns:r="http://schemas.openxmlformats.org/officeDocument/2006/relationships" ref="T146" display="Investor Presentation" r:id="rId112"/>
    <hyperlink xmlns:r="http://schemas.openxmlformats.org/officeDocument/2006/relationships" ref="T147" display="Investor Presentation" r:id="rId113"/>
    <hyperlink xmlns:r="http://schemas.openxmlformats.org/officeDocument/2006/relationships" ref="T149" display="Investor Presentation" r:id="rId114"/>
    <hyperlink xmlns:r="http://schemas.openxmlformats.org/officeDocument/2006/relationships" ref="T150" display="Investor Presentation" r:id="rId115"/>
    <hyperlink xmlns:r="http://schemas.openxmlformats.org/officeDocument/2006/relationships" ref="T152" display="Investor Presentation" r:id="rId116"/>
    <hyperlink xmlns:r="http://schemas.openxmlformats.org/officeDocument/2006/relationships" ref="T153" display="Investor Presentation" r:id="rId117"/>
    <hyperlink xmlns:r="http://schemas.openxmlformats.org/officeDocument/2006/relationships" ref="T154" display="Investor Presentation" r:id="rId118"/>
    <hyperlink xmlns:r="http://schemas.openxmlformats.org/officeDocument/2006/relationships" ref="T155" display="Investor Presentation" r:id="rId119"/>
    <hyperlink xmlns:r="http://schemas.openxmlformats.org/officeDocument/2006/relationships" ref="T156" display="Investor Presentation" r:id="rId120"/>
    <hyperlink xmlns:r="http://schemas.openxmlformats.org/officeDocument/2006/relationships" ref="T158" display="Investor Presentation" r:id="rId121"/>
    <hyperlink xmlns:r="http://schemas.openxmlformats.org/officeDocument/2006/relationships" ref="T159" display="Investor Presentation" r:id="rId122"/>
    <hyperlink xmlns:r="http://schemas.openxmlformats.org/officeDocument/2006/relationships" ref="T161" display="Investor Presentation" r:id="rId123"/>
    <hyperlink xmlns:r="http://schemas.openxmlformats.org/officeDocument/2006/relationships" ref="T162" display="Investor Presentation" r:id="rId124"/>
    <hyperlink xmlns:r="http://schemas.openxmlformats.org/officeDocument/2006/relationships" ref="T163" display="Investor Presentation" r:id="rId125"/>
    <hyperlink xmlns:r="http://schemas.openxmlformats.org/officeDocument/2006/relationships" ref="T164" display="Investor Presentation" r:id="rId126"/>
    <hyperlink xmlns:r="http://schemas.openxmlformats.org/officeDocument/2006/relationships" ref="T165" display="Investor Presentation" r:id="rId127"/>
    <hyperlink xmlns:r="http://schemas.openxmlformats.org/officeDocument/2006/relationships" ref="T167" display="Investor Presentation" r:id="rId128"/>
    <hyperlink xmlns:r="http://schemas.openxmlformats.org/officeDocument/2006/relationships" ref="T168" display="Investor Presentation" r:id="rId129"/>
    <hyperlink xmlns:r="http://schemas.openxmlformats.org/officeDocument/2006/relationships" ref="T170" display="Investor Presentation" r:id="rId130"/>
    <hyperlink xmlns:r="http://schemas.openxmlformats.org/officeDocument/2006/relationships" ref="T171" display="Investor Presentation" r:id="rId131"/>
    <hyperlink xmlns:r="http://schemas.openxmlformats.org/officeDocument/2006/relationships" ref="T172" display="Investor Presentation" r:id="rId132"/>
    <hyperlink xmlns:r="http://schemas.openxmlformats.org/officeDocument/2006/relationships" ref="T173" display="Investor Presentation" r:id="rId133"/>
    <hyperlink xmlns:r="http://schemas.openxmlformats.org/officeDocument/2006/relationships" ref="T174" display="Investor Presentation" r:id="rId134"/>
    <hyperlink xmlns:r="http://schemas.openxmlformats.org/officeDocument/2006/relationships" ref="T176" display="Investor Presentation" r:id="rId135"/>
    <hyperlink xmlns:r="http://schemas.openxmlformats.org/officeDocument/2006/relationships" ref="T177" display="Investor Presentation" r:id="rId136"/>
    <hyperlink xmlns:r="http://schemas.openxmlformats.org/officeDocument/2006/relationships" ref="T178" display="Investor Presentation" r:id="rId137"/>
    <hyperlink xmlns:r="http://schemas.openxmlformats.org/officeDocument/2006/relationships" ref="T180" display="Investor Presentation" r:id="rId138"/>
    <hyperlink xmlns:r="http://schemas.openxmlformats.org/officeDocument/2006/relationships" ref="T181" display="Investor Presentation" r:id="rId139"/>
    <hyperlink xmlns:r="http://schemas.openxmlformats.org/officeDocument/2006/relationships" ref="T182" display="Investor Presentation" r:id="rId140"/>
    <hyperlink xmlns:r="http://schemas.openxmlformats.org/officeDocument/2006/relationships" ref="T183" display="Investor Presentation" r:id="rId141"/>
    <hyperlink xmlns:r="http://schemas.openxmlformats.org/officeDocument/2006/relationships" ref="T184" display="Investor Presentation" r:id="rId142"/>
    <hyperlink xmlns:r="http://schemas.openxmlformats.org/officeDocument/2006/relationships" ref="T186" display="Investor Presentation" r:id="rId143"/>
    <hyperlink xmlns:r="http://schemas.openxmlformats.org/officeDocument/2006/relationships" ref="T187" display="Investor Presentation" r:id="rId144"/>
    <hyperlink xmlns:r="http://schemas.openxmlformats.org/officeDocument/2006/relationships" ref="T188" display="Investor Presentation" r:id="rId145"/>
    <hyperlink xmlns:r="http://schemas.openxmlformats.org/officeDocument/2006/relationships" ref="T190" display="Investor Presentation" r:id="rId146"/>
    <hyperlink xmlns:r="http://schemas.openxmlformats.org/officeDocument/2006/relationships" ref="T191" display="Investor Presentation" r:id="rId147"/>
    <hyperlink xmlns:r="http://schemas.openxmlformats.org/officeDocument/2006/relationships" ref="T192" display="Investor Presentation" r:id="rId148"/>
    <hyperlink xmlns:r="http://schemas.openxmlformats.org/officeDocument/2006/relationships" ref="T193" display="Investor Presentation" r:id="rId149"/>
    <hyperlink xmlns:r="http://schemas.openxmlformats.org/officeDocument/2006/relationships" ref="T194" display="Investor Presentation" r:id="rId150"/>
    <hyperlink xmlns:r="http://schemas.openxmlformats.org/officeDocument/2006/relationships" ref="T196" display="Investor Presentation" r:id="rId151"/>
    <hyperlink xmlns:r="http://schemas.openxmlformats.org/officeDocument/2006/relationships" ref="T198" display="Investor Presentation" r:id="rId152"/>
    <hyperlink xmlns:r="http://schemas.openxmlformats.org/officeDocument/2006/relationships" ref="T199" display="Investor Presentation" r:id="rId153"/>
    <hyperlink xmlns:r="http://schemas.openxmlformats.org/officeDocument/2006/relationships" ref="T200" display="Investor Presentation" r:id="rId154"/>
    <hyperlink xmlns:r="http://schemas.openxmlformats.org/officeDocument/2006/relationships" ref="T201" display="Investor Presentation" r:id="rId155"/>
    <hyperlink xmlns:r="http://schemas.openxmlformats.org/officeDocument/2006/relationships" ref="T202" display="Investor Presentation" r:id="rId156"/>
    <hyperlink xmlns:r="http://schemas.openxmlformats.org/officeDocument/2006/relationships" ref="T204" display="Investor Presentation" r:id="rId157"/>
    <hyperlink xmlns:r="http://schemas.openxmlformats.org/officeDocument/2006/relationships" ref="T206" display="Investor Presentation" r:id="rId158"/>
    <hyperlink xmlns:r="http://schemas.openxmlformats.org/officeDocument/2006/relationships" ref="T207" display="Investor Presentation" r:id="rId159"/>
    <hyperlink xmlns:r="http://schemas.openxmlformats.org/officeDocument/2006/relationships" ref="T208" display="Investor Presentation" r:id="rId160"/>
    <hyperlink xmlns:r="http://schemas.openxmlformats.org/officeDocument/2006/relationships" ref="T209" display="Investor Presentation" r:id="rId161"/>
    <hyperlink xmlns:r="http://schemas.openxmlformats.org/officeDocument/2006/relationships" ref="T210" display="Investor Presentation" r:id="rId162"/>
    <hyperlink xmlns:r="http://schemas.openxmlformats.org/officeDocument/2006/relationships" ref="T211" display="Investor Presentation" r:id="rId163"/>
    <hyperlink xmlns:r="http://schemas.openxmlformats.org/officeDocument/2006/relationships" ref="T213" display="Investor Presentation" r:id="rId164"/>
    <hyperlink xmlns:r="http://schemas.openxmlformats.org/officeDocument/2006/relationships" ref="T214" display="Investor Presentation" r:id="rId165"/>
    <hyperlink xmlns:r="http://schemas.openxmlformats.org/officeDocument/2006/relationships" ref="T215" display="Investor Presentation" r:id="rId166"/>
    <hyperlink xmlns:r="http://schemas.openxmlformats.org/officeDocument/2006/relationships" ref="T216" display="Investor Presentation" r:id="rId167"/>
    <hyperlink xmlns:r="http://schemas.openxmlformats.org/officeDocument/2006/relationships" ref="T217" display="Investor Presentation" r:id="rId168"/>
    <hyperlink xmlns:r="http://schemas.openxmlformats.org/officeDocument/2006/relationships" ref="T219" display="Investor Presentation" r:id="rId169"/>
    <hyperlink xmlns:r="http://schemas.openxmlformats.org/officeDocument/2006/relationships" ref="T221" display="Press Release" r:id="rId170"/>
    <hyperlink xmlns:r="http://schemas.openxmlformats.org/officeDocument/2006/relationships" ref="T222" display="Press Release" r:id="rId171"/>
    <hyperlink xmlns:r="http://schemas.openxmlformats.org/officeDocument/2006/relationships" ref="T224" display="Conference Call" r:id="rId172"/>
    <hyperlink xmlns:r="http://schemas.openxmlformats.org/officeDocument/2006/relationships" ref="T226" display="Conference Call" r:id="rId173"/>
    <hyperlink xmlns:r="http://schemas.openxmlformats.org/officeDocument/2006/relationships" ref="T227" display="Conference Call" r:id="rId174"/>
    <hyperlink xmlns:r="http://schemas.openxmlformats.org/officeDocument/2006/relationships" ref="T228" display="Conference Call" r:id="rId175"/>
    <hyperlink xmlns:r="http://schemas.openxmlformats.org/officeDocument/2006/relationships" ref="T229" display="Investor Presentation" r:id="rId176"/>
    <hyperlink xmlns:r="http://schemas.openxmlformats.org/officeDocument/2006/relationships" ref="T231" display="Investor Presentation" r:id="rId177"/>
    <hyperlink xmlns:r="http://schemas.openxmlformats.org/officeDocument/2006/relationships" ref="T232" display="Investor Presentation" r:id="rId178"/>
    <hyperlink xmlns:r="http://schemas.openxmlformats.org/officeDocument/2006/relationships" ref="T233" display="Investor Presentation" r:id="rId179"/>
    <hyperlink xmlns:r="http://schemas.openxmlformats.org/officeDocument/2006/relationships" ref="T234" display="Investor Presentation" r:id="rId180"/>
    <hyperlink xmlns:r="http://schemas.openxmlformats.org/officeDocument/2006/relationships" ref="T235" display="Investor Presentation" r:id="rId181"/>
    <hyperlink xmlns:r="http://schemas.openxmlformats.org/officeDocument/2006/relationships" ref="T237" display="Investor Presentation" r:id="rId182"/>
    <hyperlink xmlns:r="http://schemas.openxmlformats.org/officeDocument/2006/relationships" ref="T239" display="Investor Presentation" r:id="rId183"/>
    <hyperlink xmlns:r="http://schemas.openxmlformats.org/officeDocument/2006/relationships" ref="T240" display="Investor Presentation" r:id="rId184"/>
    <hyperlink xmlns:r="http://schemas.openxmlformats.org/officeDocument/2006/relationships" ref="T241" display="Investor Presentation" r:id="rId185"/>
    <hyperlink xmlns:r="http://schemas.openxmlformats.org/officeDocument/2006/relationships" ref="T242" display="Investor Presentation" r:id="rId186"/>
    <hyperlink xmlns:r="http://schemas.openxmlformats.org/officeDocument/2006/relationships" ref="T243" display="Investor Presentation" r:id="rId187"/>
    <hyperlink xmlns:r="http://schemas.openxmlformats.org/officeDocument/2006/relationships" ref="T244" display="Investor Presentation" r:id="rId188"/>
    <hyperlink xmlns:r="http://schemas.openxmlformats.org/officeDocument/2006/relationships" ref="T245" display="Investor Presentation" r:id="rId189"/>
    <hyperlink xmlns:r="http://schemas.openxmlformats.org/officeDocument/2006/relationships" ref="T247" display="Investor Presentation" r:id="rId190"/>
    <hyperlink xmlns:r="http://schemas.openxmlformats.org/officeDocument/2006/relationships" ref="T248" display="Investor Presentation" r:id="rId191"/>
    <hyperlink xmlns:r="http://schemas.openxmlformats.org/officeDocument/2006/relationships" ref="T249" display="Investor Presentation" r:id="rId192"/>
    <hyperlink xmlns:r="http://schemas.openxmlformats.org/officeDocument/2006/relationships" ref="T250" display="Investor Presentation" r:id="rId193"/>
    <hyperlink xmlns:r="http://schemas.openxmlformats.org/officeDocument/2006/relationships" ref="T251" display="Investor Presentation" r:id="rId194"/>
    <hyperlink xmlns:r="http://schemas.openxmlformats.org/officeDocument/2006/relationships" ref="T252" display="Investor Presentation" r:id="rId195"/>
    <hyperlink xmlns:r="http://schemas.openxmlformats.org/officeDocument/2006/relationships" ref="T253" display="Investor Presentation" r:id="rId196"/>
    <hyperlink xmlns:r="http://schemas.openxmlformats.org/officeDocument/2006/relationships" ref="T254" display="Investor Presentation" r:id="rId197"/>
    <hyperlink xmlns:r="http://schemas.openxmlformats.org/officeDocument/2006/relationships" ref="T255" display="Investor Presentation" r:id="rId198"/>
    <hyperlink xmlns:r="http://schemas.openxmlformats.org/officeDocument/2006/relationships" ref="T257" display="Transcript" r:id="rId199"/>
    <hyperlink xmlns:r="http://schemas.openxmlformats.org/officeDocument/2006/relationships" ref="T259" display="Press Release" r:id="rId200"/>
    <hyperlink xmlns:r="http://schemas.openxmlformats.org/officeDocument/2006/relationships" ref="T260" display="Press Release" r:id="rId201"/>
    <hyperlink xmlns:r="http://schemas.openxmlformats.org/officeDocument/2006/relationships" ref="T261" display="Press Release" r:id="rId202"/>
    <hyperlink xmlns:r="http://schemas.openxmlformats.org/officeDocument/2006/relationships" ref="T262" display="Press Release" r:id="rId203"/>
    <hyperlink xmlns:r="http://schemas.openxmlformats.org/officeDocument/2006/relationships" ref="T263" display="Press Release" r:id="rId204"/>
    <hyperlink xmlns:r="http://schemas.openxmlformats.org/officeDocument/2006/relationships" ref="T265" display="Press Release" r:id="rId205"/>
    <hyperlink xmlns:r="http://schemas.openxmlformats.org/officeDocument/2006/relationships" ref="T267" display="Press Release" r:id="rId206"/>
    <hyperlink xmlns:r="http://schemas.openxmlformats.org/officeDocument/2006/relationships" ref="T268" display="Press Release" r:id="rId207"/>
    <hyperlink xmlns:r="http://schemas.openxmlformats.org/officeDocument/2006/relationships" ref="T269" display="Press Release" r:id="rId208"/>
    <hyperlink xmlns:r="http://schemas.openxmlformats.org/officeDocument/2006/relationships" ref="T270" display="Press Release" r:id="rId209"/>
    <hyperlink xmlns:r="http://schemas.openxmlformats.org/officeDocument/2006/relationships" ref="T271" display="Press Release" r:id="rId210"/>
    <hyperlink xmlns:r="http://schemas.openxmlformats.org/officeDocument/2006/relationships" ref="T273" display="Press Release" r:id="rId211"/>
    <hyperlink xmlns:r="http://schemas.openxmlformats.org/officeDocument/2006/relationships" ref="T275" display="Press Release" r:id="rId212"/>
    <hyperlink xmlns:r="http://schemas.openxmlformats.org/officeDocument/2006/relationships" ref="T277" display="Press Release" r:id="rId213"/>
    <hyperlink xmlns:r="http://schemas.openxmlformats.org/officeDocument/2006/relationships" ref="T278" display="Press Release" r:id="rId214"/>
    <hyperlink xmlns:r="http://schemas.openxmlformats.org/officeDocument/2006/relationships" ref="T279" display="Press Release" r:id="rId215"/>
    <hyperlink xmlns:r="http://schemas.openxmlformats.org/officeDocument/2006/relationships" ref="T280" display="Press Release" r:id="rId216"/>
    <hyperlink xmlns:r="http://schemas.openxmlformats.org/officeDocument/2006/relationships" ref="T281" display="Press Release" r:id="rId217"/>
    <hyperlink xmlns:r="http://schemas.openxmlformats.org/officeDocument/2006/relationships" ref="T283" display="Press Release" r:id="rId218"/>
    <hyperlink xmlns:r="http://schemas.openxmlformats.org/officeDocument/2006/relationships" ref="T284" display="Press Release" r:id="rId219"/>
    <hyperlink xmlns:r="http://schemas.openxmlformats.org/officeDocument/2006/relationships" ref="T285" display="Press Release" r:id="rId220"/>
    <hyperlink xmlns:r="http://schemas.openxmlformats.org/officeDocument/2006/relationships" ref="T286" display="Press Release" r:id="rId221"/>
    <hyperlink xmlns:r="http://schemas.openxmlformats.org/officeDocument/2006/relationships" ref="T287" display="Press Release" r:id="rId222"/>
    <hyperlink xmlns:r="http://schemas.openxmlformats.org/officeDocument/2006/relationships" ref="T289" display="Press Release" r:id="rId223"/>
    <hyperlink xmlns:r="http://schemas.openxmlformats.org/officeDocument/2006/relationships" ref="T290" display="Press Release" r:id="rId224"/>
    <hyperlink xmlns:r="http://schemas.openxmlformats.org/officeDocument/2006/relationships" ref="T291" display="Press Release" r:id="rId225"/>
    <hyperlink xmlns:r="http://schemas.openxmlformats.org/officeDocument/2006/relationships" ref="T292" display="Press Release" r:id="rId226"/>
    <hyperlink xmlns:r="http://schemas.openxmlformats.org/officeDocument/2006/relationships" ref="T293" display="Press Release" r:id="rId227"/>
  </hyperlinks>
  <pageMargins left="0.7" right="0.7" top="0.75" bottom="0.75" header="0.3" footer="0.3"/>
  <pageSetup orientation="portrait" paperSize="1"/>
  <legacyDrawing xmlns:r="http://schemas.openxmlformats.org/officeDocument/2006/relationships" r:id="anysvml"/>
</worksheet>
</file>

<file path=xl/worksheets/sheet5.xml><?xml version="1.0" encoding="utf-8"?>
<worksheet xmlns="http://schemas.openxmlformats.org/spreadsheetml/2006/main">
  <sheetPr codeName="Sheet1">
    <outlinePr summaryBelow="1" summaryRight="1"/>
    <pageSetUpPr fitToPage="1"/>
  </sheetPr>
  <dimension ref="A1:CC134"/>
  <sheetViews>
    <sheetView topLeftCell="A1" workbookViewId="0">
      <pane xSplit="2" ySplit="2" topLeftCell="C3" activePane="bottomRight" state="frozenSplit"/>
      <selection pane="topLeft" activeCell="A1" sqref="A1"/>
      <selection pane="bottomLeft" activeCell="A3" sqref="A3"/>
      <selection pane="topRight" activeCell="C1" sqref="C1"/>
      <selection pane="bottomRight" activeCell="A1" sqref="A1"/>
    </sheetView>
  </sheetViews>
  <sheetFormatPr baseColWidth="8" defaultColWidth="9.28428571428571" defaultRowHeight="15" outlineLevelRow="1"/>
  <cols>
    <col width="41.2857142857143" customWidth="1" style="632" min="1" max="1"/>
    <col width="9.71428571428571" customWidth="1" style="632" min="2" max="2"/>
    <col width="10.5714285714286" customWidth="1" style="632" min="3" max="7"/>
    <col hidden="1" outlineLevel="1" width="10.5714285714286" customWidth="1" style="632" min="8" max="11"/>
    <col collapsed="1" width="10.5714285714286" customWidth="1" style="632" min="12" max="12"/>
    <col hidden="1" outlineLevel="1" width="10.5714285714286" customWidth="1" style="632" min="13" max="16"/>
    <col collapsed="1" width="10.5714285714286" customWidth="1" style="632" min="17" max="17"/>
    <col hidden="1" outlineLevel="1" width="10.5714285714286" customWidth="1" style="632" min="18" max="21"/>
    <col collapsed="1" width="10.5714285714286" customWidth="1" style="632" min="22" max="22"/>
    <col hidden="1" outlineLevel="1" width="10.5714285714286" customWidth="1" style="632" min="23" max="26"/>
    <col collapsed="1" width="10.5714285714286" customWidth="1" style="632" min="27" max="27"/>
    <col hidden="1" outlineLevel="1" width="10.5714285714286" customWidth="1" style="632" min="28" max="31"/>
    <col collapsed="1" width="10.5714285714286" customWidth="1" style="632" min="32" max="32"/>
    <col hidden="1" outlineLevel="1" width="10.5714285714286" customWidth="1" style="632" min="33" max="36"/>
    <col collapsed="1" width="10.5714285714286" customWidth="1" style="632" min="37" max="37"/>
    <col hidden="1" outlineLevel="1" width="10.5714285714286" customWidth="1" style="632" min="38" max="41"/>
    <col collapsed="1" width="10.5714285714286" customWidth="1" style="632" min="42" max="42"/>
    <col hidden="1" outlineLevel="1" width="10.5714285714286" customWidth="1" style="632" min="43" max="46"/>
    <col collapsed="1" width="10.5714285714286" customWidth="1" style="632" min="47" max="47"/>
    <col hidden="1" outlineLevel="1" collapsed="1" width="10.5714285714286" customWidth="1" style="632" min="48" max="50"/>
    <col hidden="1" outlineLevel="1" width="10.5714285714286" customWidth="1" style="632" min="51" max="51"/>
    <col collapsed="1" width="10.5714285714286" customWidth="1" style="632" min="52" max="52"/>
    <col hidden="1" outlineLevel="1" collapsed="1" width="10.5714285714286" customWidth="1" style="632" min="53" max="55"/>
    <col hidden="1" outlineLevel="1" width="10.5714285714286" customWidth="1" style="632" min="56" max="56"/>
    <col collapsed="1" width="10.5714285714286" customWidth="1" style="632" min="57" max="57"/>
    <col hidden="1" outlineLevel="1" collapsed="1" width="10.5714285714286" customWidth="1" style="632" min="58" max="60"/>
    <col hidden="1" outlineLevel="1" width="10.5714285714286" customWidth="1" style="632" min="61" max="61"/>
    <col collapsed="1" width="10.5714285714286" customWidth="1" style="632" min="62" max="62"/>
    <col hidden="1" outlineLevel="1" collapsed="1" width="10.5714285714286" customWidth="1" style="632" min="63" max="65"/>
    <col hidden="1" outlineLevel="1" width="10.5714285714286" customWidth="1" style="632" min="66" max="66"/>
    <col collapsed="1" width="10.5714285714286" customWidth="1" style="632" min="67" max="67"/>
    <col outlineLevel="1" collapsed="1" width="10.5714285714286" customWidth="1" style="632" min="68" max="70"/>
    <col outlineLevel="1" width="10.5714285714286" customWidth="1" style="632" min="71" max="71"/>
    <col width="10.5714285714286" customWidth="1" style="632" min="72" max="72"/>
    <col hidden="1" outlineLevel="1" collapsed="1" width="10.5714285714286" customWidth="1" style="632" min="73" max="75"/>
    <col hidden="1" outlineLevel="1" width="10.5714285714286" customWidth="1" style="632" min="76" max="76"/>
    <col collapsed="1" width="10.5714285714286" customWidth="1" style="632" min="77" max="77"/>
    <col width="10.5714285714286" customWidth="1" style="632" min="78" max="80"/>
    <col width="8.71428571428571" customWidth="1" style="632" min="81" max="81"/>
    <col width="9.28571428571429" customWidth="1" style="632" min="82" max="88"/>
    <col width="9.28571428571429" customWidth="1" style="632" min="89" max="16384"/>
  </cols>
  <sheetData>
    <row r="1" ht="28.5" customHeight="1" s="595">
      <c r="A1" s="2109">
        <f>MO.CompanyName</f>
        <v/>
      </c>
      <c r="B1" s="1970" t="n"/>
      <c r="C1" s="1494">
        <f>INDEX(MO_Common_QEndDate,0,COLUMN())</f>
        <v/>
      </c>
      <c r="D1" s="1497">
        <f>INDEX(MO_Common_QEndDate,0,COLUMN())</f>
        <v/>
      </c>
      <c r="E1" s="1497">
        <f>INDEX(MO_Common_QEndDate,0,COLUMN())</f>
        <v/>
      </c>
      <c r="F1" s="1497">
        <f>INDEX(MO_Common_QEndDate,0,COLUMN())</f>
        <v/>
      </c>
      <c r="G1" s="1497">
        <f>INDEX(MO_Common_QEndDate,0,COLUMN())</f>
        <v/>
      </c>
      <c r="H1" s="771">
        <f>INDEX(MO_Common_QEndDate,0,COLUMN())</f>
        <v/>
      </c>
      <c r="I1" s="771">
        <f>INDEX(MO_Common_QEndDate,0,COLUMN())</f>
        <v/>
      </c>
      <c r="J1" s="771">
        <f>INDEX(MO_Common_QEndDate,0,COLUMN())</f>
        <v/>
      </c>
      <c r="K1" s="771">
        <f>INDEX(MO_Common_QEndDate,0,COLUMN())</f>
        <v/>
      </c>
      <c r="L1" s="1497">
        <f>INDEX(MO_Common_QEndDate,0,COLUMN())</f>
        <v/>
      </c>
      <c r="M1" s="771">
        <f>INDEX(MO_Common_QEndDate,0,COLUMN())</f>
        <v/>
      </c>
      <c r="N1" s="771">
        <f>INDEX(MO_Common_QEndDate,0,COLUMN())</f>
        <v/>
      </c>
      <c r="O1" s="771">
        <f>INDEX(MO_Common_QEndDate,0,COLUMN())</f>
        <v/>
      </c>
      <c r="P1" s="771">
        <f>INDEX(MO_Common_QEndDate,0,COLUMN())</f>
        <v/>
      </c>
      <c r="Q1" s="1497">
        <f>INDEX(MO_Common_QEndDate,0,COLUMN())</f>
        <v/>
      </c>
      <c r="R1" s="771">
        <f>INDEX(MO_Common_QEndDate,0,COLUMN())</f>
        <v/>
      </c>
      <c r="S1" s="771">
        <f>INDEX(MO_Common_QEndDate,0,COLUMN())</f>
        <v/>
      </c>
      <c r="T1" s="771">
        <f>INDEX(MO_Common_QEndDate,0,COLUMN())</f>
        <v/>
      </c>
      <c r="U1" s="771">
        <f>INDEX(MO_Common_QEndDate,0,COLUMN())</f>
        <v/>
      </c>
      <c r="V1" s="1497">
        <f>INDEX(MO_Common_QEndDate,0,COLUMN())</f>
        <v/>
      </c>
      <c r="W1" s="771">
        <f>INDEX(MO_Common_QEndDate,0,COLUMN())</f>
        <v/>
      </c>
      <c r="X1" s="771">
        <f>INDEX(MO_Common_QEndDate,0,COLUMN())</f>
        <v/>
      </c>
      <c r="Y1" s="771">
        <f>INDEX(MO_Common_QEndDate,0,COLUMN())</f>
        <v/>
      </c>
      <c r="Z1" s="771">
        <f>INDEX(MO_Common_QEndDate,0,COLUMN())</f>
        <v/>
      </c>
      <c r="AA1" s="1497">
        <f>INDEX(MO_Common_QEndDate,0,COLUMN())</f>
        <v/>
      </c>
      <c r="AB1" s="771">
        <f>INDEX(MO_Common_QEndDate,0,COLUMN())</f>
        <v/>
      </c>
      <c r="AC1" s="771">
        <f>INDEX(MO_Common_QEndDate,0,COLUMN())</f>
        <v/>
      </c>
      <c r="AD1" s="771">
        <f>INDEX(MO_Common_QEndDate,0,COLUMN())</f>
        <v/>
      </c>
      <c r="AE1" s="771">
        <f>INDEX(MO_Common_QEndDate,0,COLUMN())</f>
        <v/>
      </c>
      <c r="AF1" s="1497">
        <f>INDEX(MO_Common_QEndDate,0,COLUMN())</f>
        <v/>
      </c>
      <c r="AG1" s="771">
        <f>INDEX(MO_Common_QEndDate,0,COLUMN())</f>
        <v/>
      </c>
      <c r="AH1" s="771">
        <f>INDEX(MO_Common_QEndDate,0,COLUMN())</f>
        <v/>
      </c>
      <c r="AI1" s="771">
        <f>INDEX(MO_Common_QEndDate,0,COLUMN())</f>
        <v/>
      </c>
      <c r="AJ1" s="771">
        <f>INDEX(MO_Common_QEndDate,0,COLUMN())</f>
        <v/>
      </c>
      <c r="AK1" s="1497">
        <f>INDEX(MO_Common_QEndDate,0,COLUMN())</f>
        <v/>
      </c>
      <c r="AL1" s="771">
        <f>INDEX(MO_Common_QEndDate,0,COLUMN())</f>
        <v/>
      </c>
      <c r="AM1" s="771">
        <f>INDEX(MO_Common_QEndDate,0,COLUMN())</f>
        <v/>
      </c>
      <c r="AN1" s="771">
        <f>INDEX(MO_Common_QEndDate,0,COLUMN())</f>
        <v/>
      </c>
      <c r="AO1" s="771">
        <f>INDEX(MO_Common_QEndDate,0,COLUMN())</f>
        <v/>
      </c>
      <c r="AP1" s="1497">
        <f>INDEX(MO_Common_QEndDate,0,COLUMN())</f>
        <v/>
      </c>
      <c r="AQ1" s="771">
        <f>INDEX(MO_Common_QEndDate,0,COLUMN())</f>
        <v/>
      </c>
      <c r="AR1" s="771">
        <f>INDEX(MO_Common_QEndDate,0,COLUMN())</f>
        <v/>
      </c>
      <c r="AS1" s="771">
        <f>INDEX(MO_Common_QEndDate,0,COLUMN())</f>
        <v/>
      </c>
      <c r="AT1" s="771">
        <f>INDEX(MO_Common_QEndDate,0,COLUMN())</f>
        <v/>
      </c>
      <c r="AU1" s="1497">
        <f>INDEX(MO_Common_QEndDate,0,COLUMN())</f>
        <v/>
      </c>
      <c r="AV1" s="771">
        <f>INDEX(MO_Common_QEndDate,0,COLUMN())</f>
        <v/>
      </c>
      <c r="AW1" s="771">
        <f>INDEX(MO_Common_QEndDate,0,COLUMN())</f>
        <v/>
      </c>
      <c r="AX1" s="771">
        <f>INDEX(MO_Common_QEndDate,0,COLUMN())</f>
        <v/>
      </c>
      <c r="AY1" s="771">
        <f>INDEX(MO_Common_QEndDate,0,COLUMN())</f>
        <v/>
      </c>
      <c r="AZ1" s="1497">
        <f>INDEX(MO_Common_QEndDate,0,COLUMN())</f>
        <v/>
      </c>
      <c r="BA1" s="771">
        <f>INDEX(MO_Common_QEndDate,0,COLUMN())</f>
        <v/>
      </c>
      <c r="BB1" s="771">
        <f>INDEX(MO_Common_QEndDate,0,COLUMN())</f>
        <v/>
      </c>
      <c r="BC1" s="771">
        <f>INDEX(MO_Common_QEndDate,0,COLUMN())</f>
        <v/>
      </c>
      <c r="BD1" s="771">
        <f>INDEX(MO_Common_QEndDate,0,COLUMN())</f>
        <v/>
      </c>
      <c r="BE1" s="1497">
        <f>INDEX(MO_Common_QEndDate,0,COLUMN())</f>
        <v/>
      </c>
      <c r="BF1" s="771">
        <f>INDEX(MO_Common_QEndDate,0,COLUMN())</f>
        <v/>
      </c>
      <c r="BG1" s="771">
        <f>INDEX(MO_Common_QEndDate,0,COLUMN())</f>
        <v/>
      </c>
      <c r="BH1" s="771">
        <f>INDEX(MO_Common_QEndDate,0,COLUMN())</f>
        <v/>
      </c>
      <c r="BI1" s="771">
        <f>INDEX(MO_Common_QEndDate,0,COLUMN())</f>
        <v/>
      </c>
      <c r="BJ1" s="1497">
        <f>INDEX(MO_Common_QEndDate,0,COLUMN())</f>
        <v/>
      </c>
      <c r="BK1" s="771">
        <f>INDEX(MO_Common_QEndDate,0,COLUMN())</f>
        <v/>
      </c>
      <c r="BL1" s="771">
        <f>INDEX(MO_Common_QEndDate,0,COLUMN())</f>
        <v/>
      </c>
      <c r="BM1" s="771">
        <f>INDEX(MO_Common_QEndDate,0,COLUMN())</f>
        <v/>
      </c>
      <c r="BN1" s="771">
        <f>INDEX(MO_Common_QEndDate,0,COLUMN())</f>
        <v/>
      </c>
      <c r="BO1" s="1496">
        <f>INDEX(MO_Common_QEndDate,0,COLUMN())</f>
        <v/>
      </c>
      <c r="BP1" s="771">
        <f>INDEX(MO_Common_QEndDate,0,COLUMN())</f>
        <v/>
      </c>
      <c r="BQ1" s="771">
        <f>INDEX(MO_Common_QEndDate,0,COLUMN())</f>
        <v/>
      </c>
      <c r="BR1" s="771">
        <f>INDEX(MO_Common_QEndDate,0,COLUMN())</f>
        <v/>
      </c>
      <c r="BS1" s="771">
        <f>INDEX(MO_Common_QEndDate,0,COLUMN())</f>
        <v/>
      </c>
      <c r="BT1" s="1497">
        <f>INDEX(MO_Common_QEndDate,0,COLUMN())</f>
        <v/>
      </c>
      <c r="BU1" s="771">
        <f>INDEX(MO_Common_QEndDate,0,COLUMN())</f>
        <v/>
      </c>
      <c r="BV1" s="771">
        <f>INDEX(MO_Common_QEndDate,0,COLUMN())</f>
        <v/>
      </c>
      <c r="BW1" s="771">
        <f>INDEX(MO_Common_QEndDate,0,COLUMN())</f>
        <v/>
      </c>
      <c r="BX1" s="771">
        <f>INDEX(MO_Common_QEndDate,0,COLUMN())</f>
        <v/>
      </c>
      <c r="BY1" s="1497">
        <f>INDEX(MO_Common_QEndDate,0,COLUMN())</f>
        <v/>
      </c>
      <c r="BZ1" s="1497">
        <f>INDEX(MO_Common_QEndDate,0,COLUMN())</f>
        <v/>
      </c>
      <c r="CA1" s="1497">
        <f>INDEX(MO_Common_QEndDate,0,COLUMN())</f>
        <v/>
      </c>
      <c r="CB1" s="1497">
        <f>INDEX(MO_Common_QEndDate,0,COLUMN())</f>
        <v/>
      </c>
      <c r="CC1" s="1970" t="n"/>
    </row>
    <row r="2" ht="15" customFormat="1" customHeight="1" s="2114">
      <c r="A2" s="2115" t="inlineStr">
        <is>
          <t>Reports</t>
        </is>
      </c>
      <c r="B2" s="2116">
        <f>MO.ReportFX</f>
        <v/>
      </c>
      <c r="C2" s="2117">
        <f>INDEX(MO_Common_ColumnHeader,0,COLUMN())</f>
        <v/>
      </c>
      <c r="D2" s="2118">
        <f>INDEX(MO_Common_ColumnHeader,0,COLUMN())</f>
        <v/>
      </c>
      <c r="E2" s="2118">
        <f>INDEX(MO_Common_ColumnHeader,0,COLUMN())</f>
        <v/>
      </c>
      <c r="F2" s="2118">
        <f>INDEX(MO_Common_ColumnHeader,0,COLUMN())</f>
        <v/>
      </c>
      <c r="G2" s="2118">
        <f>INDEX(MO_Common_ColumnHeader,0,COLUMN())</f>
        <v/>
      </c>
      <c r="H2" s="2119">
        <f>INDEX(MO_Common_ColumnHeader,0,COLUMN())</f>
        <v/>
      </c>
      <c r="I2" s="2119">
        <f>INDEX(MO_Common_ColumnHeader,0,COLUMN())</f>
        <v/>
      </c>
      <c r="J2" s="2119">
        <f>INDEX(MO_Common_ColumnHeader,0,COLUMN())</f>
        <v/>
      </c>
      <c r="K2" s="2119">
        <f>INDEX(MO_Common_ColumnHeader,0,COLUMN())</f>
        <v/>
      </c>
      <c r="L2" s="2118">
        <f>INDEX(MO_Common_ColumnHeader,0,COLUMN())</f>
        <v/>
      </c>
      <c r="M2" s="2119">
        <f>INDEX(MO_Common_ColumnHeader,0,COLUMN())</f>
        <v/>
      </c>
      <c r="N2" s="2119">
        <f>INDEX(MO_Common_ColumnHeader,0,COLUMN())</f>
        <v/>
      </c>
      <c r="O2" s="2119">
        <f>INDEX(MO_Common_ColumnHeader,0,COLUMN())</f>
        <v/>
      </c>
      <c r="P2" s="2119">
        <f>INDEX(MO_Common_ColumnHeader,0,COLUMN())</f>
        <v/>
      </c>
      <c r="Q2" s="2118">
        <f>INDEX(MO_Common_ColumnHeader,0,COLUMN())</f>
        <v/>
      </c>
      <c r="R2" s="2119">
        <f>INDEX(MO_Common_ColumnHeader,0,COLUMN())</f>
        <v/>
      </c>
      <c r="S2" s="2119">
        <f>INDEX(MO_Common_ColumnHeader,0,COLUMN())</f>
        <v/>
      </c>
      <c r="T2" s="2119">
        <f>INDEX(MO_Common_ColumnHeader,0,COLUMN())</f>
        <v/>
      </c>
      <c r="U2" s="2119">
        <f>INDEX(MO_Common_ColumnHeader,0,COLUMN())</f>
        <v/>
      </c>
      <c r="V2" s="2118">
        <f>INDEX(MO_Common_ColumnHeader,0,COLUMN())</f>
        <v/>
      </c>
      <c r="W2" s="2119">
        <f>INDEX(MO_Common_ColumnHeader,0,COLUMN())</f>
        <v/>
      </c>
      <c r="X2" s="2119">
        <f>INDEX(MO_Common_ColumnHeader,0,COLUMN())</f>
        <v/>
      </c>
      <c r="Y2" s="2119">
        <f>INDEX(MO_Common_ColumnHeader,0,COLUMN())</f>
        <v/>
      </c>
      <c r="Z2" s="2119">
        <f>INDEX(MO_Common_ColumnHeader,0,COLUMN())</f>
        <v/>
      </c>
      <c r="AA2" s="2118">
        <f>INDEX(MO_Common_ColumnHeader,0,COLUMN())</f>
        <v/>
      </c>
      <c r="AB2" s="2119">
        <f>INDEX(MO_Common_ColumnHeader,0,COLUMN())</f>
        <v/>
      </c>
      <c r="AC2" s="2119">
        <f>INDEX(MO_Common_ColumnHeader,0,COLUMN())</f>
        <v/>
      </c>
      <c r="AD2" s="2119">
        <f>INDEX(MO_Common_ColumnHeader,0,COLUMN())</f>
        <v/>
      </c>
      <c r="AE2" s="2119">
        <f>INDEX(MO_Common_ColumnHeader,0,COLUMN())</f>
        <v/>
      </c>
      <c r="AF2" s="2118">
        <f>INDEX(MO_Common_ColumnHeader,0,COLUMN())</f>
        <v/>
      </c>
      <c r="AG2" s="2119">
        <f>INDEX(MO_Common_ColumnHeader,0,COLUMN())</f>
        <v/>
      </c>
      <c r="AH2" s="2119">
        <f>INDEX(MO_Common_ColumnHeader,0,COLUMN())</f>
        <v/>
      </c>
      <c r="AI2" s="2119">
        <f>INDEX(MO_Common_ColumnHeader,0,COLUMN())</f>
        <v/>
      </c>
      <c r="AJ2" s="2119">
        <f>INDEX(MO_Common_ColumnHeader,0,COLUMN())</f>
        <v/>
      </c>
      <c r="AK2" s="2118">
        <f>INDEX(MO_Common_ColumnHeader,0,COLUMN())</f>
        <v/>
      </c>
      <c r="AL2" s="2119">
        <f>INDEX(MO_Common_ColumnHeader,0,COLUMN())</f>
        <v/>
      </c>
      <c r="AM2" s="2119">
        <f>INDEX(MO_Common_ColumnHeader,0,COLUMN())</f>
        <v/>
      </c>
      <c r="AN2" s="2119">
        <f>INDEX(MO_Common_ColumnHeader,0,COLUMN())</f>
        <v/>
      </c>
      <c r="AO2" s="2119">
        <f>INDEX(MO_Common_ColumnHeader,0,COLUMN())</f>
        <v/>
      </c>
      <c r="AP2" s="2118">
        <f>INDEX(MO_Common_ColumnHeader,0,COLUMN())</f>
        <v/>
      </c>
      <c r="AQ2" s="2119">
        <f>INDEX(MO_Common_ColumnHeader,0,COLUMN())</f>
        <v/>
      </c>
      <c r="AR2" s="2119">
        <f>INDEX(MO_Common_ColumnHeader,0,COLUMN())</f>
        <v/>
      </c>
      <c r="AS2" s="2119">
        <f>INDEX(MO_Common_ColumnHeader,0,COLUMN())</f>
        <v/>
      </c>
      <c r="AT2" s="2119">
        <f>INDEX(MO_Common_ColumnHeader,0,COLUMN())</f>
        <v/>
      </c>
      <c r="AU2" s="2118">
        <f>INDEX(MO_Common_ColumnHeader,0,COLUMN())</f>
        <v/>
      </c>
      <c r="AV2" s="2119">
        <f>INDEX(MO_Common_ColumnHeader,0,COLUMN())</f>
        <v/>
      </c>
      <c r="AW2" s="2119">
        <f>INDEX(MO_Common_ColumnHeader,0,COLUMN())</f>
        <v/>
      </c>
      <c r="AX2" s="2119">
        <f>INDEX(MO_Common_ColumnHeader,0,COLUMN())</f>
        <v/>
      </c>
      <c r="AY2" s="2119">
        <f>INDEX(MO_Common_ColumnHeader,0,COLUMN())</f>
        <v/>
      </c>
      <c r="AZ2" s="2118">
        <f>INDEX(MO_Common_ColumnHeader,0,COLUMN())</f>
        <v/>
      </c>
      <c r="BA2" s="2119">
        <f>INDEX(MO_Common_ColumnHeader,0,COLUMN())</f>
        <v/>
      </c>
      <c r="BB2" s="2119">
        <f>INDEX(MO_Common_ColumnHeader,0,COLUMN())</f>
        <v/>
      </c>
      <c r="BC2" s="2119">
        <f>INDEX(MO_Common_ColumnHeader,0,COLUMN())</f>
        <v/>
      </c>
      <c r="BD2" s="2119">
        <f>INDEX(MO_Common_ColumnHeader,0,COLUMN())</f>
        <v/>
      </c>
      <c r="BE2" s="2118">
        <f>INDEX(MO_Common_ColumnHeader,0,COLUMN())</f>
        <v/>
      </c>
      <c r="BF2" s="2119">
        <f>INDEX(MO_Common_ColumnHeader,0,COLUMN())</f>
        <v/>
      </c>
      <c r="BG2" s="2119">
        <f>INDEX(MO_Common_ColumnHeader,0,COLUMN())</f>
        <v/>
      </c>
      <c r="BH2" s="2119">
        <f>INDEX(MO_Common_ColumnHeader,0,COLUMN())</f>
        <v/>
      </c>
      <c r="BI2" s="2119">
        <f>INDEX(MO_Common_ColumnHeader,0,COLUMN())</f>
        <v/>
      </c>
      <c r="BJ2" s="2118">
        <f>INDEX(MO_Common_ColumnHeader,0,COLUMN())</f>
        <v/>
      </c>
      <c r="BK2" s="2119">
        <f>INDEX(MO_Common_ColumnHeader,0,COLUMN())</f>
        <v/>
      </c>
      <c r="BL2" s="2119">
        <f>INDEX(MO_Common_ColumnHeader,0,COLUMN())</f>
        <v/>
      </c>
      <c r="BM2" s="2119">
        <f>INDEX(MO_Common_ColumnHeader,0,COLUMN())</f>
        <v/>
      </c>
      <c r="BN2" s="2119">
        <f>INDEX(MO_Common_ColumnHeader,0,COLUMN())</f>
        <v/>
      </c>
      <c r="BO2" s="2120">
        <f>INDEX(MO_Common_ColumnHeader,0,COLUMN())</f>
        <v/>
      </c>
      <c r="BP2" s="2119">
        <f>INDEX(MO_Common_ColumnHeader,0,COLUMN())</f>
        <v/>
      </c>
      <c r="BQ2" s="2119">
        <f>INDEX(MO_Common_ColumnHeader,0,COLUMN())</f>
        <v/>
      </c>
      <c r="BR2" s="2119">
        <f>INDEX(MO_Common_ColumnHeader,0,COLUMN())</f>
        <v/>
      </c>
      <c r="BS2" s="2119">
        <f>INDEX(MO_Common_ColumnHeader,0,COLUMN())</f>
        <v/>
      </c>
      <c r="BT2" s="2118">
        <f>INDEX(MO_Common_ColumnHeader,0,COLUMN())</f>
        <v/>
      </c>
      <c r="BU2" s="2119">
        <f>INDEX(MO_Common_ColumnHeader,0,COLUMN())</f>
        <v/>
      </c>
      <c r="BV2" s="2119">
        <f>INDEX(MO_Common_ColumnHeader,0,COLUMN())</f>
        <v/>
      </c>
      <c r="BW2" s="2119">
        <f>INDEX(MO_Common_ColumnHeader,0,COLUMN())</f>
        <v/>
      </c>
      <c r="BX2" s="2119">
        <f>INDEX(MO_Common_ColumnHeader,0,COLUMN())</f>
        <v/>
      </c>
      <c r="BY2" s="2118">
        <f>INDEX(MO_Common_ColumnHeader,0,COLUMN())</f>
        <v/>
      </c>
      <c r="BZ2" s="2118">
        <f>INDEX(MO_Common_ColumnHeader,0,COLUMN())</f>
        <v/>
      </c>
      <c r="CA2" s="2118">
        <f>INDEX(MO_Common_ColumnHeader,0,COLUMN())</f>
        <v/>
      </c>
      <c r="CB2" s="2118">
        <f>INDEX(MO_Common_ColumnHeader,0,COLUMN())</f>
        <v/>
      </c>
      <c r="CC2" s="1970" t="n"/>
    </row>
    <row r="3" ht="15" customHeight="1" s="595">
      <c r="A3" s="2121" t="inlineStr">
        <is>
          <t>Capitalization Summary</t>
        </is>
      </c>
      <c r="B3" s="2121" t="n"/>
      <c r="C3" s="2121" t="n"/>
      <c r="D3" s="2121" t="n"/>
      <c r="E3" s="2121" t="n"/>
      <c r="F3" s="2121" t="n"/>
      <c r="G3" s="2121" t="n"/>
      <c r="H3" s="2121" t="n"/>
      <c r="I3" s="2121" t="n"/>
      <c r="J3" s="2121" t="n"/>
      <c r="K3" s="2121" t="n"/>
      <c r="L3" s="2121" t="n"/>
      <c r="M3" s="2121" t="n"/>
      <c r="N3" s="2121" t="n"/>
      <c r="O3" s="2121" t="n"/>
      <c r="P3" s="2121" t="n"/>
      <c r="Q3" s="2121" t="n"/>
      <c r="R3" s="2121" t="n"/>
      <c r="S3" s="2121" t="n"/>
      <c r="T3" s="2121" t="n"/>
      <c r="U3" s="2121" t="n"/>
      <c r="V3" s="2121" t="n"/>
      <c r="W3" s="2121" t="n"/>
      <c r="X3" s="2121" t="n"/>
      <c r="Y3" s="2121" t="n"/>
      <c r="Z3" s="2121" t="n"/>
      <c r="AA3" s="2121" t="n"/>
      <c r="AB3" s="2121" t="n"/>
      <c r="AC3" s="2121" t="n"/>
      <c r="AD3" s="2121" t="n"/>
      <c r="AE3" s="2121" t="n"/>
      <c r="AF3" s="2121" t="n"/>
      <c r="AG3" s="2121" t="n"/>
      <c r="AH3" s="2121" t="n"/>
      <c r="AI3" s="2121" t="n"/>
      <c r="AJ3" s="2121" t="n"/>
      <c r="AK3" s="2121" t="n"/>
      <c r="AL3" s="2121" t="n"/>
      <c r="AM3" s="2121" t="n"/>
      <c r="AN3" s="2121" t="n"/>
      <c r="AO3" s="2121" t="n"/>
      <c r="AP3" s="2121" t="n"/>
      <c r="AQ3" s="2121" t="n"/>
      <c r="AR3" s="2121" t="n"/>
      <c r="AS3" s="2121" t="n"/>
      <c r="AT3" s="2121" t="n"/>
      <c r="AU3" s="2121" t="n"/>
      <c r="AV3" s="2121" t="n"/>
      <c r="AW3" s="2121" t="n"/>
      <c r="AX3" s="2121" t="n"/>
      <c r="AY3" s="2121" t="n"/>
      <c r="AZ3" s="2121" t="n"/>
      <c r="BA3" s="2121" t="n"/>
      <c r="BB3" s="2121" t="n"/>
      <c r="BC3" s="2121" t="n"/>
      <c r="BD3" s="2121" t="n"/>
      <c r="BE3" s="2121" t="n"/>
      <c r="BF3" s="2121" t="n"/>
      <c r="BG3" s="2121" t="n"/>
      <c r="BH3" s="2121" t="n"/>
      <c r="BI3" s="2121" t="n"/>
      <c r="BJ3" s="2121" t="n"/>
      <c r="BK3" s="2121" t="n"/>
      <c r="BL3" s="2121" t="n"/>
      <c r="BM3" s="2121" t="n"/>
      <c r="BN3" s="2121" t="n"/>
      <c r="BO3" s="2122" t="n"/>
      <c r="BP3" s="2121" t="n"/>
      <c r="BQ3" s="2121" t="n"/>
      <c r="BR3" s="2121" t="n"/>
      <c r="BS3" s="2121" t="n"/>
      <c r="BT3" s="2121" t="n"/>
      <c r="BU3" s="2121" t="n"/>
      <c r="BV3" s="2121" t="n"/>
      <c r="BW3" s="2121" t="n"/>
      <c r="BX3" s="2121" t="n"/>
      <c r="BY3" s="2121" t="n"/>
      <c r="BZ3" s="2121" t="n"/>
      <c r="CA3" s="2121" t="n"/>
      <c r="CB3" s="2121" t="n"/>
      <c r="CC3" s="800" t="n"/>
    </row>
    <row r="4" ht="15" customFormat="1" customHeight="1" s="2123">
      <c r="A4" s="2124">
        <f>"Stock Price - "&amp;SP.ValuationToggle</f>
        <v/>
      </c>
      <c r="B4" s="2125" t="inlineStr">
        <is>
          <t>EoP</t>
        </is>
      </c>
      <c r="C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D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E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F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G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H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I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J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K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L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M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N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O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P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Q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R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S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T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U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V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W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X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Y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Z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A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B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C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D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E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F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G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H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I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J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K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L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M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N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O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P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Q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R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S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T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U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V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W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X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Y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Z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A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B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C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D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E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F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G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H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I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J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K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L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M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N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O4" s="2127">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P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Q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R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S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T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U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V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W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X4" s="1850">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Y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BZ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CA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CB4" s="2126">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CC4" s="2128" t="n"/>
    </row>
    <row r="5" ht="15" customFormat="1" customHeight="1" s="2123">
      <c r="A5" s="2129">
        <f>INDEX(MO_SCA_ShareCount_EoP_Diluted,0,COLUMN())</f>
        <v/>
      </c>
      <c r="B5" s="2130" t="n"/>
      <c r="C5" s="1688">
        <f>INDEX(MO_SCA_ShareCount_EoP_Diluted,0,COLUMN())</f>
        <v/>
      </c>
      <c r="D5" s="1688">
        <f>INDEX(MO_SCA_ShareCount_EoP_Diluted,0,COLUMN())</f>
        <v/>
      </c>
      <c r="E5" s="1688">
        <f>INDEX(MO_SCA_ShareCount_EoP_Diluted,0,COLUMN())</f>
        <v/>
      </c>
      <c r="F5" s="1688">
        <f>INDEX(MO_SCA_ShareCount_EoP_Diluted,0,COLUMN())</f>
        <v/>
      </c>
      <c r="G5" s="1688">
        <f>INDEX(MO_SCA_ShareCount_EoP_Diluted,0,COLUMN())</f>
        <v/>
      </c>
      <c r="H5" s="1710">
        <f>INDEX(MO_SCA_ShareCount_EoP_Diluted,0,COLUMN())</f>
        <v/>
      </c>
      <c r="I5" s="1710">
        <f>INDEX(MO_SCA_ShareCount_EoP_Diluted,0,COLUMN())</f>
        <v/>
      </c>
      <c r="J5" s="1710">
        <f>INDEX(MO_SCA_ShareCount_EoP_Diluted,0,COLUMN())</f>
        <v/>
      </c>
      <c r="K5" s="1710">
        <f>INDEX(MO_SCA_ShareCount_EoP_Diluted,0,COLUMN())</f>
        <v/>
      </c>
      <c r="L5" s="1688">
        <f>INDEX(MO_SCA_ShareCount_EoP_Diluted,0,COLUMN())</f>
        <v/>
      </c>
      <c r="M5" s="1710">
        <f>INDEX(MO_SCA_ShareCount_EoP_Diluted,0,COLUMN())</f>
        <v/>
      </c>
      <c r="N5" s="1710">
        <f>INDEX(MO_SCA_ShareCount_EoP_Diluted,0,COLUMN())</f>
        <v/>
      </c>
      <c r="O5" s="1710">
        <f>INDEX(MO_SCA_ShareCount_EoP_Diluted,0,COLUMN())</f>
        <v/>
      </c>
      <c r="P5" s="1710">
        <f>INDEX(MO_SCA_ShareCount_EoP_Diluted,0,COLUMN())</f>
        <v/>
      </c>
      <c r="Q5" s="1688">
        <f>INDEX(MO_SCA_ShareCount_EoP_Diluted,0,COLUMN())</f>
        <v/>
      </c>
      <c r="R5" s="1710">
        <f>INDEX(MO_SCA_ShareCount_EoP_Diluted,0,COLUMN())</f>
        <v/>
      </c>
      <c r="S5" s="1710">
        <f>INDEX(MO_SCA_ShareCount_EoP_Diluted,0,COLUMN())</f>
        <v/>
      </c>
      <c r="T5" s="1710">
        <f>INDEX(MO_SCA_ShareCount_EoP_Diluted,0,COLUMN())</f>
        <v/>
      </c>
      <c r="U5" s="1710">
        <f>INDEX(MO_SCA_ShareCount_EoP_Diluted,0,COLUMN())</f>
        <v/>
      </c>
      <c r="V5" s="1688">
        <f>INDEX(MO_SCA_ShareCount_EoP_Diluted,0,COLUMN())</f>
        <v/>
      </c>
      <c r="W5" s="1710">
        <f>INDEX(MO_SCA_ShareCount_EoP_Diluted,0,COLUMN())</f>
        <v/>
      </c>
      <c r="X5" s="1710">
        <f>INDEX(MO_SCA_ShareCount_EoP_Diluted,0,COLUMN())</f>
        <v/>
      </c>
      <c r="Y5" s="1710">
        <f>INDEX(MO_SCA_ShareCount_EoP_Diluted,0,COLUMN())</f>
        <v/>
      </c>
      <c r="Z5" s="1710">
        <f>INDEX(MO_SCA_ShareCount_EoP_Diluted,0,COLUMN())</f>
        <v/>
      </c>
      <c r="AA5" s="1688">
        <f>INDEX(MO_SCA_ShareCount_EoP_Diluted,0,COLUMN())</f>
        <v/>
      </c>
      <c r="AB5" s="1710">
        <f>INDEX(MO_SCA_ShareCount_EoP_Diluted,0,COLUMN())</f>
        <v/>
      </c>
      <c r="AC5" s="1710">
        <f>INDEX(MO_SCA_ShareCount_EoP_Diluted,0,COLUMN())</f>
        <v/>
      </c>
      <c r="AD5" s="1710">
        <f>INDEX(MO_SCA_ShareCount_EoP_Diluted,0,COLUMN())</f>
        <v/>
      </c>
      <c r="AE5" s="1710">
        <f>INDEX(MO_SCA_ShareCount_EoP_Diluted,0,COLUMN())</f>
        <v/>
      </c>
      <c r="AF5" s="1688">
        <f>INDEX(MO_SCA_ShareCount_EoP_Diluted,0,COLUMN())</f>
        <v/>
      </c>
      <c r="AG5" s="1710">
        <f>INDEX(MO_SCA_ShareCount_EoP_Diluted,0,COLUMN())</f>
        <v/>
      </c>
      <c r="AH5" s="1710">
        <f>INDEX(MO_SCA_ShareCount_EoP_Diluted,0,COLUMN())</f>
        <v/>
      </c>
      <c r="AI5" s="1710">
        <f>INDEX(MO_SCA_ShareCount_EoP_Diluted,0,COLUMN())</f>
        <v/>
      </c>
      <c r="AJ5" s="1710">
        <f>INDEX(MO_SCA_ShareCount_EoP_Diluted,0,COLUMN())</f>
        <v/>
      </c>
      <c r="AK5" s="1688">
        <f>INDEX(MO_SCA_ShareCount_EoP_Diluted,0,COLUMN())</f>
        <v/>
      </c>
      <c r="AL5" s="1710">
        <f>INDEX(MO_SCA_ShareCount_EoP_Diluted,0,COLUMN())</f>
        <v/>
      </c>
      <c r="AM5" s="1710">
        <f>INDEX(MO_SCA_ShareCount_EoP_Diluted,0,COLUMN())</f>
        <v/>
      </c>
      <c r="AN5" s="1710">
        <f>INDEX(MO_SCA_ShareCount_EoP_Diluted,0,COLUMN())</f>
        <v/>
      </c>
      <c r="AO5" s="1710">
        <f>INDEX(MO_SCA_ShareCount_EoP_Diluted,0,COLUMN())</f>
        <v/>
      </c>
      <c r="AP5" s="1688">
        <f>INDEX(MO_SCA_ShareCount_EoP_Diluted,0,COLUMN())</f>
        <v/>
      </c>
      <c r="AQ5" s="1710">
        <f>INDEX(MO_SCA_ShareCount_EoP_Diluted,0,COLUMN())</f>
        <v/>
      </c>
      <c r="AR5" s="1710">
        <f>INDEX(MO_SCA_ShareCount_EoP_Diluted,0,COLUMN())</f>
        <v/>
      </c>
      <c r="AS5" s="1710">
        <f>INDEX(MO_SCA_ShareCount_EoP_Diluted,0,COLUMN())</f>
        <v/>
      </c>
      <c r="AT5" s="1710">
        <f>INDEX(MO_SCA_ShareCount_EoP_Diluted,0,COLUMN())</f>
        <v/>
      </c>
      <c r="AU5" s="1688">
        <f>INDEX(MO_SCA_ShareCount_EoP_Diluted,0,COLUMN())</f>
        <v/>
      </c>
      <c r="AV5" s="1710">
        <f>INDEX(MO_SCA_ShareCount_EoP_Diluted,0,COLUMN())</f>
        <v/>
      </c>
      <c r="AW5" s="1710">
        <f>INDEX(MO_SCA_ShareCount_EoP_Diluted,0,COLUMN())</f>
        <v/>
      </c>
      <c r="AX5" s="1710">
        <f>INDEX(MO_SCA_ShareCount_EoP_Diluted,0,COLUMN())</f>
        <v/>
      </c>
      <c r="AY5" s="1710">
        <f>INDEX(MO_SCA_ShareCount_EoP_Diluted,0,COLUMN())</f>
        <v/>
      </c>
      <c r="AZ5" s="1688">
        <f>INDEX(MO_SCA_ShareCount_EoP_Diluted,0,COLUMN())</f>
        <v/>
      </c>
      <c r="BA5" s="1710">
        <f>INDEX(MO_SCA_ShareCount_EoP_Diluted,0,COLUMN())</f>
        <v/>
      </c>
      <c r="BB5" s="1710">
        <f>INDEX(MO_SCA_ShareCount_EoP_Diluted,0,COLUMN())</f>
        <v/>
      </c>
      <c r="BC5" s="1710">
        <f>INDEX(MO_SCA_ShareCount_EoP_Diluted,0,COLUMN())</f>
        <v/>
      </c>
      <c r="BD5" s="1710">
        <f>INDEX(MO_SCA_ShareCount_EoP_Diluted,0,COLUMN())</f>
        <v/>
      </c>
      <c r="BE5" s="1688">
        <f>INDEX(MO_SCA_ShareCount_EoP_Diluted,0,COLUMN())</f>
        <v/>
      </c>
      <c r="BF5" s="1710">
        <f>INDEX(MO_SCA_ShareCount_EoP_Diluted,0,COLUMN())</f>
        <v/>
      </c>
      <c r="BG5" s="1710">
        <f>INDEX(MO_SCA_ShareCount_EoP_Diluted,0,COLUMN())</f>
        <v/>
      </c>
      <c r="BH5" s="1710">
        <f>INDEX(MO_SCA_ShareCount_EoP_Diluted,0,COLUMN())</f>
        <v/>
      </c>
      <c r="BI5" s="1710">
        <f>INDEX(MO_SCA_ShareCount_EoP_Diluted,0,COLUMN())</f>
        <v/>
      </c>
      <c r="BJ5" s="1688">
        <f>INDEX(MO_SCA_ShareCount_EoP_Diluted,0,COLUMN())</f>
        <v/>
      </c>
      <c r="BK5" s="1710">
        <f>INDEX(MO_SCA_ShareCount_EoP_Diluted,0,COLUMN())</f>
        <v/>
      </c>
      <c r="BL5" s="1710">
        <f>INDEX(MO_SCA_ShareCount_EoP_Diluted,0,COLUMN())</f>
        <v/>
      </c>
      <c r="BM5" s="1710">
        <f>INDEX(MO_SCA_ShareCount_EoP_Diluted,0,COLUMN())</f>
        <v/>
      </c>
      <c r="BN5" s="1710">
        <f>INDEX(MO_SCA_ShareCount_EoP_Diluted,0,COLUMN())</f>
        <v/>
      </c>
      <c r="BO5" s="1690">
        <f>INDEX(MO_SCA_ShareCount_EoP_Diluted,0,COLUMN())</f>
        <v/>
      </c>
      <c r="BP5" s="1710">
        <f>INDEX(MO_SCA_ShareCount_EoP_Diluted,0,COLUMN())</f>
        <v/>
      </c>
      <c r="BQ5" s="1710">
        <f>INDEX(MO_SCA_ShareCount_EoP_Diluted,0,COLUMN())</f>
        <v/>
      </c>
      <c r="BR5" s="1710">
        <f>INDEX(MO_SCA_ShareCount_EoP_Diluted,0,COLUMN())</f>
        <v/>
      </c>
      <c r="BS5" s="1710">
        <f>INDEX(MO_SCA_ShareCount_EoP_Diluted,0,COLUMN())</f>
        <v/>
      </c>
      <c r="BT5" s="1688">
        <f>INDEX(MO_SCA_ShareCount_EoP_Diluted,0,COLUMN())</f>
        <v/>
      </c>
      <c r="BU5" s="1710">
        <f>INDEX(MO_SCA_ShareCount_EoP_Diluted,0,COLUMN())</f>
        <v/>
      </c>
      <c r="BV5" s="1710">
        <f>INDEX(MO_SCA_ShareCount_EoP_Diluted,0,COLUMN())</f>
        <v/>
      </c>
      <c r="BW5" s="1710">
        <f>INDEX(MO_SCA_ShareCount_EoP_Diluted,0,COLUMN())</f>
        <v/>
      </c>
      <c r="BX5" s="1710">
        <f>INDEX(MO_SCA_ShareCount_EoP_Diluted,0,COLUMN())</f>
        <v/>
      </c>
      <c r="BY5" s="1688">
        <f>INDEX(MO_SCA_ShareCount_EoP_Diluted,0,COLUMN())</f>
        <v/>
      </c>
      <c r="BZ5" s="1688">
        <f>INDEX(MO_SCA_ShareCount_EoP_Diluted,0,COLUMN())</f>
        <v/>
      </c>
      <c r="CA5" s="1688">
        <f>INDEX(MO_SCA_ShareCount_EoP_Diluted,0,COLUMN())</f>
        <v/>
      </c>
      <c r="CB5" s="1688">
        <f>INDEX(MO_SCA_ShareCount_EoP_Diluted,0,COLUMN())</f>
        <v/>
      </c>
      <c r="CC5" s="2128" t="n"/>
    </row>
    <row r="6" ht="15" customFormat="1" customHeight="1" s="2131">
      <c r="A6" s="1639">
        <f>"Market Cap - "&amp;SP.ValuationToggle</f>
        <v/>
      </c>
      <c r="B6" s="2132" t="n"/>
      <c r="C6" s="2133">
        <f>INDEX(SP_CS_StockPrice,0,COLUMN())*INDEX(SP_CS_ShareCount_EoP_Diluted,0,COLUMN())</f>
        <v/>
      </c>
      <c r="D6" s="2133">
        <f>INDEX(SP_CS_StockPrice,0,COLUMN())*INDEX(SP_CS_ShareCount_EoP_Diluted,0,COLUMN())</f>
        <v/>
      </c>
      <c r="E6" s="2133">
        <f>INDEX(SP_CS_StockPrice,0,COLUMN())*INDEX(SP_CS_ShareCount_EoP_Diluted,0,COLUMN())</f>
        <v/>
      </c>
      <c r="F6" s="2133">
        <f>INDEX(SP_CS_StockPrice,0,COLUMN())*INDEX(SP_CS_ShareCount_EoP_Diluted,0,COLUMN())</f>
        <v/>
      </c>
      <c r="G6" s="2133">
        <f>INDEX(SP_CS_StockPrice,0,COLUMN())*INDEX(SP_CS_ShareCount_EoP_Diluted,0,COLUMN())</f>
        <v/>
      </c>
      <c r="H6" s="2134">
        <f>INDEX(SP_CS_StockPrice,0,COLUMN())*INDEX(SP_CS_ShareCount_EoP_Diluted,0,COLUMN())</f>
        <v/>
      </c>
      <c r="I6" s="2134">
        <f>INDEX(SP_CS_StockPrice,0,COLUMN())*INDEX(SP_CS_ShareCount_EoP_Diluted,0,COLUMN())</f>
        <v/>
      </c>
      <c r="J6" s="2134">
        <f>INDEX(SP_CS_StockPrice,0,COLUMN())*INDEX(SP_CS_ShareCount_EoP_Diluted,0,COLUMN())</f>
        <v/>
      </c>
      <c r="K6" s="2134">
        <f>INDEX(SP_CS_StockPrice,0,COLUMN())*INDEX(SP_CS_ShareCount_EoP_Diluted,0,COLUMN())</f>
        <v/>
      </c>
      <c r="L6" s="2133">
        <f>INDEX(SP_CS_StockPrice,0,COLUMN())*INDEX(SP_CS_ShareCount_EoP_Diluted,0,COLUMN())</f>
        <v/>
      </c>
      <c r="M6" s="2134">
        <f>INDEX(SP_CS_StockPrice,0,COLUMN())*INDEX(SP_CS_ShareCount_EoP_Diluted,0,COLUMN())</f>
        <v/>
      </c>
      <c r="N6" s="2134">
        <f>INDEX(SP_CS_StockPrice,0,COLUMN())*INDEX(SP_CS_ShareCount_EoP_Diluted,0,COLUMN())</f>
        <v/>
      </c>
      <c r="O6" s="2134">
        <f>INDEX(SP_CS_StockPrice,0,COLUMN())*INDEX(SP_CS_ShareCount_EoP_Diluted,0,COLUMN())</f>
        <v/>
      </c>
      <c r="P6" s="2134">
        <f>INDEX(SP_CS_StockPrice,0,COLUMN())*INDEX(SP_CS_ShareCount_EoP_Diluted,0,COLUMN())</f>
        <v/>
      </c>
      <c r="Q6" s="2133">
        <f>INDEX(SP_CS_StockPrice,0,COLUMN())*INDEX(SP_CS_ShareCount_EoP_Diluted,0,COLUMN())</f>
        <v/>
      </c>
      <c r="R6" s="2134">
        <f>INDEX(SP_CS_StockPrice,0,COLUMN())*INDEX(SP_CS_ShareCount_EoP_Diluted,0,COLUMN())</f>
        <v/>
      </c>
      <c r="S6" s="2134">
        <f>INDEX(SP_CS_StockPrice,0,COLUMN())*INDEX(SP_CS_ShareCount_EoP_Diluted,0,COLUMN())</f>
        <v/>
      </c>
      <c r="T6" s="2134">
        <f>INDEX(SP_CS_StockPrice,0,COLUMN())*INDEX(SP_CS_ShareCount_EoP_Diluted,0,COLUMN())</f>
        <v/>
      </c>
      <c r="U6" s="2134">
        <f>INDEX(SP_CS_StockPrice,0,COLUMN())*INDEX(SP_CS_ShareCount_EoP_Diluted,0,COLUMN())</f>
        <v/>
      </c>
      <c r="V6" s="2133">
        <f>INDEX(SP_CS_StockPrice,0,COLUMN())*INDEX(SP_CS_ShareCount_EoP_Diluted,0,COLUMN())</f>
        <v/>
      </c>
      <c r="W6" s="2134">
        <f>INDEX(SP_CS_StockPrice,0,COLUMN())*INDEX(SP_CS_ShareCount_EoP_Diluted,0,COLUMN())</f>
        <v/>
      </c>
      <c r="X6" s="2134">
        <f>INDEX(SP_CS_StockPrice,0,COLUMN())*INDEX(SP_CS_ShareCount_EoP_Diluted,0,COLUMN())</f>
        <v/>
      </c>
      <c r="Y6" s="2134">
        <f>INDEX(SP_CS_StockPrice,0,COLUMN())*INDEX(SP_CS_ShareCount_EoP_Diluted,0,COLUMN())</f>
        <v/>
      </c>
      <c r="Z6" s="2134">
        <f>INDEX(SP_CS_StockPrice,0,COLUMN())*INDEX(SP_CS_ShareCount_EoP_Diluted,0,COLUMN())</f>
        <v/>
      </c>
      <c r="AA6" s="2133">
        <f>INDEX(SP_CS_StockPrice,0,COLUMN())*INDEX(SP_CS_ShareCount_EoP_Diluted,0,COLUMN())</f>
        <v/>
      </c>
      <c r="AB6" s="2134">
        <f>INDEX(SP_CS_StockPrice,0,COLUMN())*INDEX(SP_CS_ShareCount_EoP_Diluted,0,COLUMN())</f>
        <v/>
      </c>
      <c r="AC6" s="2134">
        <f>INDEX(SP_CS_StockPrice,0,COLUMN())*INDEX(SP_CS_ShareCount_EoP_Diluted,0,COLUMN())</f>
        <v/>
      </c>
      <c r="AD6" s="2134">
        <f>INDEX(SP_CS_StockPrice,0,COLUMN())*INDEX(SP_CS_ShareCount_EoP_Diluted,0,COLUMN())</f>
        <v/>
      </c>
      <c r="AE6" s="2134">
        <f>INDEX(SP_CS_StockPrice,0,COLUMN())*INDEX(SP_CS_ShareCount_EoP_Diluted,0,COLUMN())</f>
        <v/>
      </c>
      <c r="AF6" s="2133">
        <f>INDEX(SP_CS_StockPrice,0,COLUMN())*INDEX(SP_CS_ShareCount_EoP_Diluted,0,COLUMN())</f>
        <v/>
      </c>
      <c r="AG6" s="2134">
        <f>INDEX(SP_CS_StockPrice,0,COLUMN())*INDEX(SP_CS_ShareCount_EoP_Diluted,0,COLUMN())</f>
        <v/>
      </c>
      <c r="AH6" s="2134">
        <f>INDEX(SP_CS_StockPrice,0,COLUMN())*INDEX(SP_CS_ShareCount_EoP_Diluted,0,COLUMN())</f>
        <v/>
      </c>
      <c r="AI6" s="2134">
        <f>INDEX(SP_CS_StockPrice,0,COLUMN())*INDEX(SP_CS_ShareCount_EoP_Diluted,0,COLUMN())</f>
        <v/>
      </c>
      <c r="AJ6" s="2134">
        <f>INDEX(SP_CS_StockPrice,0,COLUMN())*INDEX(SP_CS_ShareCount_EoP_Diluted,0,COLUMN())</f>
        <v/>
      </c>
      <c r="AK6" s="2133">
        <f>INDEX(SP_CS_StockPrice,0,COLUMN())*INDEX(SP_CS_ShareCount_EoP_Diluted,0,COLUMN())</f>
        <v/>
      </c>
      <c r="AL6" s="2134">
        <f>INDEX(SP_CS_StockPrice,0,COLUMN())*INDEX(SP_CS_ShareCount_EoP_Diluted,0,COLUMN())</f>
        <v/>
      </c>
      <c r="AM6" s="2134">
        <f>INDEX(SP_CS_StockPrice,0,COLUMN())*INDEX(SP_CS_ShareCount_EoP_Diluted,0,COLUMN())</f>
        <v/>
      </c>
      <c r="AN6" s="2134">
        <f>INDEX(SP_CS_StockPrice,0,COLUMN())*INDEX(SP_CS_ShareCount_EoP_Diluted,0,COLUMN())</f>
        <v/>
      </c>
      <c r="AO6" s="2134">
        <f>INDEX(SP_CS_StockPrice,0,COLUMN())*INDEX(SP_CS_ShareCount_EoP_Diluted,0,COLUMN())</f>
        <v/>
      </c>
      <c r="AP6" s="2133">
        <f>INDEX(SP_CS_StockPrice,0,COLUMN())*INDEX(SP_CS_ShareCount_EoP_Diluted,0,COLUMN())</f>
        <v/>
      </c>
      <c r="AQ6" s="2134">
        <f>INDEX(SP_CS_StockPrice,0,COLUMN())*INDEX(SP_CS_ShareCount_EoP_Diluted,0,COLUMN())</f>
        <v/>
      </c>
      <c r="AR6" s="2134">
        <f>INDEX(SP_CS_StockPrice,0,COLUMN())*INDEX(SP_CS_ShareCount_EoP_Diluted,0,COLUMN())</f>
        <v/>
      </c>
      <c r="AS6" s="2134">
        <f>INDEX(SP_CS_StockPrice,0,COLUMN())*INDEX(SP_CS_ShareCount_EoP_Diluted,0,COLUMN())</f>
        <v/>
      </c>
      <c r="AT6" s="2134">
        <f>INDEX(SP_CS_StockPrice,0,COLUMN())*INDEX(SP_CS_ShareCount_EoP_Diluted,0,COLUMN())</f>
        <v/>
      </c>
      <c r="AU6" s="2133">
        <f>INDEX(SP_CS_StockPrice,0,COLUMN())*INDEX(SP_CS_ShareCount_EoP_Diluted,0,COLUMN())</f>
        <v/>
      </c>
      <c r="AV6" s="2134">
        <f>INDEX(SP_CS_StockPrice,0,COLUMN())*INDEX(SP_CS_ShareCount_EoP_Diluted,0,COLUMN())</f>
        <v/>
      </c>
      <c r="AW6" s="2134">
        <f>INDEX(SP_CS_StockPrice,0,COLUMN())*INDEX(SP_CS_ShareCount_EoP_Diluted,0,COLUMN())</f>
        <v/>
      </c>
      <c r="AX6" s="2134">
        <f>INDEX(SP_CS_StockPrice,0,COLUMN())*INDEX(SP_CS_ShareCount_EoP_Diluted,0,COLUMN())</f>
        <v/>
      </c>
      <c r="AY6" s="2134">
        <f>INDEX(SP_CS_StockPrice,0,COLUMN())*INDEX(SP_CS_ShareCount_EoP_Diluted,0,COLUMN())</f>
        <v/>
      </c>
      <c r="AZ6" s="2133">
        <f>INDEX(SP_CS_StockPrice,0,COLUMN())*INDEX(SP_CS_ShareCount_EoP_Diluted,0,COLUMN())</f>
        <v/>
      </c>
      <c r="BA6" s="2134">
        <f>INDEX(SP_CS_StockPrice,0,COLUMN())*INDEX(SP_CS_ShareCount_EoP_Diluted,0,COLUMN())</f>
        <v/>
      </c>
      <c r="BB6" s="2134">
        <f>INDEX(SP_CS_StockPrice,0,COLUMN())*INDEX(SP_CS_ShareCount_EoP_Diluted,0,COLUMN())</f>
        <v/>
      </c>
      <c r="BC6" s="2134">
        <f>INDEX(SP_CS_StockPrice,0,COLUMN())*INDEX(SP_CS_ShareCount_EoP_Diluted,0,COLUMN())</f>
        <v/>
      </c>
      <c r="BD6" s="2134">
        <f>INDEX(SP_CS_StockPrice,0,COLUMN())*INDEX(SP_CS_ShareCount_EoP_Diluted,0,COLUMN())</f>
        <v/>
      </c>
      <c r="BE6" s="2133">
        <f>INDEX(SP_CS_StockPrice,0,COLUMN())*INDEX(SP_CS_ShareCount_EoP_Diluted,0,COLUMN())</f>
        <v/>
      </c>
      <c r="BF6" s="2134">
        <f>INDEX(SP_CS_StockPrice,0,COLUMN())*INDEX(SP_CS_ShareCount_EoP_Diluted,0,COLUMN())</f>
        <v/>
      </c>
      <c r="BG6" s="2134">
        <f>INDEX(SP_CS_StockPrice,0,COLUMN())*INDEX(SP_CS_ShareCount_EoP_Diluted,0,COLUMN())</f>
        <v/>
      </c>
      <c r="BH6" s="2134">
        <f>INDEX(SP_CS_StockPrice,0,COLUMN())*INDEX(SP_CS_ShareCount_EoP_Diluted,0,COLUMN())</f>
        <v/>
      </c>
      <c r="BI6" s="2134">
        <f>INDEX(SP_CS_StockPrice,0,COLUMN())*INDEX(SP_CS_ShareCount_EoP_Diluted,0,COLUMN())</f>
        <v/>
      </c>
      <c r="BJ6" s="2133">
        <f>INDEX(SP_CS_StockPrice,0,COLUMN())*INDEX(SP_CS_ShareCount_EoP_Diluted,0,COLUMN())</f>
        <v/>
      </c>
      <c r="BK6" s="2134">
        <f>INDEX(SP_CS_StockPrice,0,COLUMN())*INDEX(SP_CS_ShareCount_EoP_Diluted,0,COLUMN())</f>
        <v/>
      </c>
      <c r="BL6" s="2134">
        <f>INDEX(SP_CS_StockPrice,0,COLUMN())*INDEX(SP_CS_ShareCount_EoP_Diluted,0,COLUMN())</f>
        <v/>
      </c>
      <c r="BM6" s="2134">
        <f>INDEX(SP_CS_StockPrice,0,COLUMN())*INDEX(SP_CS_ShareCount_EoP_Diluted,0,COLUMN())</f>
        <v/>
      </c>
      <c r="BN6" s="2134">
        <f>INDEX(SP_CS_StockPrice,0,COLUMN())*INDEX(SP_CS_ShareCount_EoP_Diluted,0,COLUMN())</f>
        <v/>
      </c>
      <c r="BO6" s="2135">
        <f>INDEX(SP_CS_StockPrice,0,COLUMN())*INDEX(SP_CS_ShareCount_EoP_Diluted,0,COLUMN())</f>
        <v/>
      </c>
      <c r="BP6" s="2134">
        <f>INDEX(SP_CS_StockPrice,0,COLUMN())*INDEX(SP_CS_ShareCount_EoP_Diluted,0,COLUMN())</f>
        <v/>
      </c>
      <c r="BQ6" s="2134">
        <f>INDEX(SP_CS_StockPrice,0,COLUMN())*INDEX(SP_CS_ShareCount_EoP_Diluted,0,COLUMN())</f>
        <v/>
      </c>
      <c r="BR6" s="2134">
        <f>INDEX(SP_CS_StockPrice,0,COLUMN())*INDEX(SP_CS_ShareCount_EoP_Diluted,0,COLUMN())</f>
        <v/>
      </c>
      <c r="BS6" s="2134">
        <f>INDEX(SP_CS_StockPrice,0,COLUMN())*INDEX(SP_CS_ShareCount_EoP_Diluted,0,COLUMN())</f>
        <v/>
      </c>
      <c r="BT6" s="2133">
        <f>INDEX(SP_CS_StockPrice,0,COLUMN())*INDEX(SP_CS_ShareCount_EoP_Diluted,0,COLUMN())</f>
        <v/>
      </c>
      <c r="BU6" s="2134">
        <f>INDEX(SP_CS_StockPrice,0,COLUMN())*INDEX(SP_CS_ShareCount_EoP_Diluted,0,COLUMN())</f>
        <v/>
      </c>
      <c r="BV6" s="2134">
        <f>INDEX(SP_CS_StockPrice,0,COLUMN())*INDEX(SP_CS_ShareCount_EoP_Diluted,0,COLUMN())</f>
        <v/>
      </c>
      <c r="BW6" s="2134">
        <f>INDEX(SP_CS_StockPrice,0,COLUMN())*INDEX(SP_CS_ShareCount_EoP_Diluted,0,COLUMN())</f>
        <v/>
      </c>
      <c r="BX6" s="2134">
        <f>INDEX(SP_CS_StockPrice,0,COLUMN())*INDEX(SP_CS_ShareCount_EoP_Diluted,0,COLUMN())</f>
        <v/>
      </c>
      <c r="BY6" s="2133">
        <f>INDEX(SP_CS_StockPrice,0,COLUMN())*INDEX(SP_CS_ShareCount_EoP_Diluted,0,COLUMN())</f>
        <v/>
      </c>
      <c r="BZ6" s="2133">
        <f>INDEX(SP_CS_StockPrice,0,COLUMN())*INDEX(SP_CS_ShareCount_EoP_Diluted,0,COLUMN())</f>
        <v/>
      </c>
      <c r="CA6" s="2133">
        <f>INDEX(SP_CS_StockPrice,0,COLUMN())*INDEX(SP_CS_ShareCount_EoP_Diluted,0,COLUMN())</f>
        <v/>
      </c>
      <c r="CB6" s="2133">
        <f>INDEX(SP_CS_StockPrice,0,COLUMN())*INDEX(SP_CS_ShareCount_EoP_Diluted,0,COLUMN())</f>
        <v/>
      </c>
      <c r="CC6" s="2136" t="n"/>
    </row>
    <row r="7" ht="15" customFormat="1" customHeight="1" s="2114">
      <c r="A7" s="1635">
        <f>INDEX(MO_BSS_Cash,0,COLUMN())</f>
        <v/>
      </c>
      <c r="B7" s="2137" t="n"/>
      <c r="C7" s="1804">
        <f>INDEX(MO_BSS_Cash,0,COLUMN())</f>
        <v/>
      </c>
      <c r="D7" s="1804">
        <f>INDEX(MO_BSS_Cash,0,COLUMN())</f>
        <v/>
      </c>
      <c r="E7" s="1804">
        <f>INDEX(MO_BSS_Cash,0,COLUMN())</f>
        <v/>
      </c>
      <c r="F7" s="1804">
        <f>INDEX(MO_BSS_Cash,0,COLUMN())</f>
        <v/>
      </c>
      <c r="G7" s="1804">
        <f>INDEX(MO_BSS_Cash,0,COLUMN())</f>
        <v/>
      </c>
      <c r="H7" s="1970">
        <f>INDEX(MO_BSS_Cash,0,COLUMN())</f>
        <v/>
      </c>
      <c r="I7" s="1970">
        <f>INDEX(MO_BSS_Cash,0,COLUMN())</f>
        <v/>
      </c>
      <c r="J7" s="1970">
        <f>INDEX(MO_BSS_Cash,0,COLUMN())</f>
        <v/>
      </c>
      <c r="K7" s="1970">
        <f>INDEX(MO_BSS_Cash,0,COLUMN())</f>
        <v/>
      </c>
      <c r="L7" s="1804">
        <f>INDEX(MO_BSS_Cash,0,COLUMN())</f>
        <v/>
      </c>
      <c r="M7" s="1970">
        <f>INDEX(MO_BSS_Cash,0,COLUMN())</f>
        <v/>
      </c>
      <c r="N7" s="1970">
        <f>INDEX(MO_BSS_Cash,0,COLUMN())</f>
        <v/>
      </c>
      <c r="O7" s="1970">
        <f>INDEX(MO_BSS_Cash,0,COLUMN())</f>
        <v/>
      </c>
      <c r="P7" s="1970">
        <f>INDEX(MO_BSS_Cash,0,COLUMN())</f>
        <v/>
      </c>
      <c r="Q7" s="1804">
        <f>INDEX(MO_BSS_Cash,0,COLUMN())</f>
        <v/>
      </c>
      <c r="R7" s="1970">
        <f>INDEX(MO_BSS_Cash,0,COLUMN())</f>
        <v/>
      </c>
      <c r="S7" s="1970">
        <f>INDEX(MO_BSS_Cash,0,COLUMN())</f>
        <v/>
      </c>
      <c r="T7" s="1970">
        <f>INDEX(MO_BSS_Cash,0,COLUMN())</f>
        <v/>
      </c>
      <c r="U7" s="1970">
        <f>INDEX(MO_BSS_Cash,0,COLUMN())</f>
        <v/>
      </c>
      <c r="V7" s="1804">
        <f>INDEX(MO_BSS_Cash,0,COLUMN())</f>
        <v/>
      </c>
      <c r="W7" s="1970">
        <f>INDEX(MO_BSS_Cash,0,COLUMN())</f>
        <v/>
      </c>
      <c r="X7" s="1970">
        <f>INDEX(MO_BSS_Cash,0,COLUMN())</f>
        <v/>
      </c>
      <c r="Y7" s="1970">
        <f>INDEX(MO_BSS_Cash,0,COLUMN())</f>
        <v/>
      </c>
      <c r="Z7" s="1970">
        <f>INDEX(MO_BSS_Cash,0,COLUMN())</f>
        <v/>
      </c>
      <c r="AA7" s="1804">
        <f>INDEX(MO_BSS_Cash,0,COLUMN())</f>
        <v/>
      </c>
      <c r="AB7" s="1970">
        <f>INDEX(MO_BSS_Cash,0,COLUMN())</f>
        <v/>
      </c>
      <c r="AC7" s="1970">
        <f>INDEX(MO_BSS_Cash,0,COLUMN())</f>
        <v/>
      </c>
      <c r="AD7" s="1970">
        <f>INDEX(MO_BSS_Cash,0,COLUMN())</f>
        <v/>
      </c>
      <c r="AE7" s="1970">
        <f>INDEX(MO_BSS_Cash,0,COLUMN())</f>
        <v/>
      </c>
      <c r="AF7" s="1804">
        <f>INDEX(MO_BSS_Cash,0,COLUMN())</f>
        <v/>
      </c>
      <c r="AG7" s="1970">
        <f>INDEX(MO_BSS_Cash,0,COLUMN())</f>
        <v/>
      </c>
      <c r="AH7" s="1970">
        <f>INDEX(MO_BSS_Cash,0,COLUMN())</f>
        <v/>
      </c>
      <c r="AI7" s="1970">
        <f>INDEX(MO_BSS_Cash,0,COLUMN())</f>
        <v/>
      </c>
      <c r="AJ7" s="1970">
        <f>INDEX(MO_BSS_Cash,0,COLUMN())</f>
        <v/>
      </c>
      <c r="AK7" s="1804">
        <f>INDEX(MO_BSS_Cash,0,COLUMN())</f>
        <v/>
      </c>
      <c r="AL7" s="1970">
        <f>INDEX(MO_BSS_Cash,0,COLUMN())</f>
        <v/>
      </c>
      <c r="AM7" s="1970">
        <f>INDEX(MO_BSS_Cash,0,COLUMN())</f>
        <v/>
      </c>
      <c r="AN7" s="1970">
        <f>INDEX(MO_BSS_Cash,0,COLUMN())</f>
        <v/>
      </c>
      <c r="AO7" s="1970">
        <f>INDEX(MO_BSS_Cash,0,COLUMN())</f>
        <v/>
      </c>
      <c r="AP7" s="1804">
        <f>INDEX(MO_BSS_Cash,0,COLUMN())</f>
        <v/>
      </c>
      <c r="AQ7" s="1970">
        <f>INDEX(MO_BSS_Cash,0,COLUMN())</f>
        <v/>
      </c>
      <c r="AR7" s="1970">
        <f>INDEX(MO_BSS_Cash,0,COLUMN())</f>
        <v/>
      </c>
      <c r="AS7" s="1970">
        <f>INDEX(MO_BSS_Cash,0,COLUMN())</f>
        <v/>
      </c>
      <c r="AT7" s="1970">
        <f>INDEX(MO_BSS_Cash,0,COLUMN())</f>
        <v/>
      </c>
      <c r="AU7" s="1804">
        <f>INDEX(MO_BSS_Cash,0,COLUMN())</f>
        <v/>
      </c>
      <c r="AV7" s="1970">
        <f>INDEX(MO_BSS_Cash,0,COLUMN())</f>
        <v/>
      </c>
      <c r="AW7" s="1970">
        <f>INDEX(MO_BSS_Cash,0,COLUMN())</f>
        <v/>
      </c>
      <c r="AX7" s="1970">
        <f>INDEX(MO_BSS_Cash,0,COLUMN())</f>
        <v/>
      </c>
      <c r="AY7" s="1970">
        <f>INDEX(MO_BSS_Cash,0,COLUMN())</f>
        <v/>
      </c>
      <c r="AZ7" s="1804">
        <f>INDEX(MO_BSS_Cash,0,COLUMN())</f>
        <v/>
      </c>
      <c r="BA7" s="1970">
        <f>INDEX(MO_BSS_Cash,0,COLUMN())</f>
        <v/>
      </c>
      <c r="BB7" s="1970">
        <f>INDEX(MO_BSS_Cash,0,COLUMN())</f>
        <v/>
      </c>
      <c r="BC7" s="1970">
        <f>INDEX(MO_BSS_Cash,0,COLUMN())</f>
        <v/>
      </c>
      <c r="BD7" s="1970">
        <f>INDEX(MO_BSS_Cash,0,COLUMN())</f>
        <v/>
      </c>
      <c r="BE7" s="1804">
        <f>INDEX(MO_BSS_Cash,0,COLUMN())</f>
        <v/>
      </c>
      <c r="BF7" s="1970">
        <f>INDEX(MO_BSS_Cash,0,COLUMN())</f>
        <v/>
      </c>
      <c r="BG7" s="1970">
        <f>INDEX(MO_BSS_Cash,0,COLUMN())</f>
        <v/>
      </c>
      <c r="BH7" s="1970">
        <f>INDEX(MO_BSS_Cash,0,COLUMN())</f>
        <v/>
      </c>
      <c r="BI7" s="1970">
        <f>INDEX(MO_BSS_Cash,0,COLUMN())</f>
        <v/>
      </c>
      <c r="BJ7" s="1804">
        <f>INDEX(MO_BSS_Cash,0,COLUMN())</f>
        <v/>
      </c>
      <c r="BK7" s="1970">
        <f>INDEX(MO_BSS_Cash,0,COLUMN())</f>
        <v/>
      </c>
      <c r="BL7" s="1970">
        <f>INDEX(MO_BSS_Cash,0,COLUMN())</f>
        <v/>
      </c>
      <c r="BM7" s="1970">
        <f>INDEX(MO_BSS_Cash,0,COLUMN())</f>
        <v/>
      </c>
      <c r="BN7" s="1970">
        <f>INDEX(MO_BSS_Cash,0,COLUMN())</f>
        <v/>
      </c>
      <c r="BO7" s="2138">
        <f>INDEX(MO_BSS_Cash,0,COLUMN())</f>
        <v/>
      </c>
      <c r="BP7" s="1970">
        <f>INDEX(MO_BSS_Cash,0,COLUMN())</f>
        <v/>
      </c>
      <c r="BQ7" s="1970">
        <f>INDEX(MO_BSS_Cash,0,COLUMN())</f>
        <v/>
      </c>
      <c r="BR7" s="1970">
        <f>INDEX(MO_BSS_Cash,0,COLUMN())</f>
        <v/>
      </c>
      <c r="BS7" s="1970">
        <f>INDEX(MO_BSS_Cash,0,COLUMN())</f>
        <v/>
      </c>
      <c r="BT7" s="1804">
        <f>INDEX(MO_BSS_Cash,0,COLUMN())</f>
        <v/>
      </c>
      <c r="BU7" s="1970">
        <f>INDEX(MO_BSS_Cash,0,COLUMN())</f>
        <v/>
      </c>
      <c r="BV7" s="1970">
        <f>INDEX(MO_BSS_Cash,0,COLUMN())</f>
        <v/>
      </c>
      <c r="BW7" s="1970">
        <f>INDEX(MO_BSS_Cash,0,COLUMN())</f>
        <v/>
      </c>
      <c r="BX7" s="1970">
        <f>INDEX(MO_BSS_Cash,0,COLUMN())</f>
        <v/>
      </c>
      <c r="BY7" s="1804">
        <f>INDEX(MO_BSS_Cash,0,COLUMN())</f>
        <v/>
      </c>
      <c r="BZ7" s="1804">
        <f>INDEX(MO_BSS_Cash,0,COLUMN())</f>
        <v/>
      </c>
      <c r="CA7" s="1804">
        <f>INDEX(MO_BSS_Cash,0,COLUMN())</f>
        <v/>
      </c>
      <c r="CB7" s="1804">
        <f>INDEX(MO_BSS_Cash,0,COLUMN())</f>
        <v/>
      </c>
      <c r="CC7" s="1970" t="n"/>
    </row>
    <row r="8" ht="15" customFormat="1" customHeight="1" s="2114">
      <c r="A8" s="1635">
        <f>INDEX(MO_BSS_Debt,0,COLUMN())</f>
        <v/>
      </c>
      <c r="B8" s="2137" t="n"/>
      <c r="C8" s="1804">
        <f>INDEX(MO_BSS_Debt,0,COLUMN())</f>
        <v/>
      </c>
      <c r="D8" s="1804">
        <f>INDEX(MO_BSS_Debt,0,COLUMN())</f>
        <v/>
      </c>
      <c r="E8" s="1804">
        <f>INDEX(MO_BSS_Debt,0,COLUMN())</f>
        <v/>
      </c>
      <c r="F8" s="1804">
        <f>INDEX(MO_BSS_Debt,0,COLUMN())</f>
        <v/>
      </c>
      <c r="G8" s="1804">
        <f>INDEX(MO_BSS_Debt,0,COLUMN())</f>
        <v/>
      </c>
      <c r="H8" s="1970">
        <f>INDEX(MO_BSS_Debt,0,COLUMN())</f>
        <v/>
      </c>
      <c r="I8" s="1970">
        <f>INDEX(MO_BSS_Debt,0,COLUMN())</f>
        <v/>
      </c>
      <c r="J8" s="1970">
        <f>INDEX(MO_BSS_Debt,0,COLUMN())</f>
        <v/>
      </c>
      <c r="K8" s="1970">
        <f>INDEX(MO_BSS_Debt,0,COLUMN())</f>
        <v/>
      </c>
      <c r="L8" s="1804">
        <f>INDEX(MO_BSS_Debt,0,COLUMN())</f>
        <v/>
      </c>
      <c r="M8" s="1970">
        <f>INDEX(MO_BSS_Debt,0,COLUMN())</f>
        <v/>
      </c>
      <c r="N8" s="1970">
        <f>INDEX(MO_BSS_Debt,0,COLUMN())</f>
        <v/>
      </c>
      <c r="O8" s="1970">
        <f>INDEX(MO_BSS_Debt,0,COLUMN())</f>
        <v/>
      </c>
      <c r="P8" s="1970">
        <f>INDEX(MO_BSS_Debt,0,COLUMN())</f>
        <v/>
      </c>
      <c r="Q8" s="1804">
        <f>INDEX(MO_BSS_Debt,0,COLUMN())</f>
        <v/>
      </c>
      <c r="R8" s="1970">
        <f>INDEX(MO_BSS_Debt,0,COLUMN())</f>
        <v/>
      </c>
      <c r="S8" s="1970">
        <f>INDEX(MO_BSS_Debt,0,COLUMN())</f>
        <v/>
      </c>
      <c r="T8" s="1970">
        <f>INDEX(MO_BSS_Debt,0,COLUMN())</f>
        <v/>
      </c>
      <c r="U8" s="1970">
        <f>INDEX(MO_BSS_Debt,0,COLUMN())</f>
        <v/>
      </c>
      <c r="V8" s="1804">
        <f>INDEX(MO_BSS_Debt,0,COLUMN())</f>
        <v/>
      </c>
      <c r="W8" s="1970">
        <f>INDEX(MO_BSS_Debt,0,COLUMN())</f>
        <v/>
      </c>
      <c r="X8" s="1970">
        <f>INDEX(MO_BSS_Debt,0,COLUMN())</f>
        <v/>
      </c>
      <c r="Y8" s="1970">
        <f>INDEX(MO_BSS_Debt,0,COLUMN())</f>
        <v/>
      </c>
      <c r="Z8" s="1970">
        <f>INDEX(MO_BSS_Debt,0,COLUMN())</f>
        <v/>
      </c>
      <c r="AA8" s="1804">
        <f>INDEX(MO_BSS_Debt,0,COLUMN())</f>
        <v/>
      </c>
      <c r="AB8" s="1970">
        <f>INDEX(MO_BSS_Debt,0,COLUMN())</f>
        <v/>
      </c>
      <c r="AC8" s="1970">
        <f>INDEX(MO_BSS_Debt,0,COLUMN())</f>
        <v/>
      </c>
      <c r="AD8" s="1970">
        <f>INDEX(MO_BSS_Debt,0,COLUMN())</f>
        <v/>
      </c>
      <c r="AE8" s="1970">
        <f>INDEX(MO_BSS_Debt,0,COLUMN())</f>
        <v/>
      </c>
      <c r="AF8" s="1804">
        <f>INDEX(MO_BSS_Debt,0,COLUMN())</f>
        <v/>
      </c>
      <c r="AG8" s="1970">
        <f>INDEX(MO_BSS_Debt,0,COLUMN())</f>
        <v/>
      </c>
      <c r="AH8" s="1970">
        <f>INDEX(MO_BSS_Debt,0,COLUMN())</f>
        <v/>
      </c>
      <c r="AI8" s="1970">
        <f>INDEX(MO_BSS_Debt,0,COLUMN())</f>
        <v/>
      </c>
      <c r="AJ8" s="1970">
        <f>INDEX(MO_BSS_Debt,0,COLUMN())</f>
        <v/>
      </c>
      <c r="AK8" s="1804">
        <f>INDEX(MO_BSS_Debt,0,COLUMN())</f>
        <v/>
      </c>
      <c r="AL8" s="1970">
        <f>INDEX(MO_BSS_Debt,0,COLUMN())</f>
        <v/>
      </c>
      <c r="AM8" s="1970">
        <f>INDEX(MO_BSS_Debt,0,COLUMN())</f>
        <v/>
      </c>
      <c r="AN8" s="1970">
        <f>INDEX(MO_BSS_Debt,0,COLUMN())</f>
        <v/>
      </c>
      <c r="AO8" s="1970">
        <f>INDEX(MO_BSS_Debt,0,COLUMN())</f>
        <v/>
      </c>
      <c r="AP8" s="1804">
        <f>INDEX(MO_BSS_Debt,0,COLUMN())</f>
        <v/>
      </c>
      <c r="AQ8" s="1970">
        <f>INDEX(MO_BSS_Debt,0,COLUMN())</f>
        <v/>
      </c>
      <c r="AR8" s="1970">
        <f>INDEX(MO_BSS_Debt,0,COLUMN())</f>
        <v/>
      </c>
      <c r="AS8" s="1970">
        <f>INDEX(MO_BSS_Debt,0,COLUMN())</f>
        <v/>
      </c>
      <c r="AT8" s="1970">
        <f>INDEX(MO_BSS_Debt,0,COLUMN())</f>
        <v/>
      </c>
      <c r="AU8" s="1804">
        <f>INDEX(MO_BSS_Debt,0,COLUMN())</f>
        <v/>
      </c>
      <c r="AV8" s="1970">
        <f>INDEX(MO_BSS_Debt,0,COLUMN())</f>
        <v/>
      </c>
      <c r="AW8" s="1970">
        <f>INDEX(MO_BSS_Debt,0,COLUMN())</f>
        <v/>
      </c>
      <c r="AX8" s="1970">
        <f>INDEX(MO_BSS_Debt,0,COLUMN())</f>
        <v/>
      </c>
      <c r="AY8" s="1970">
        <f>INDEX(MO_BSS_Debt,0,COLUMN())</f>
        <v/>
      </c>
      <c r="AZ8" s="1804">
        <f>INDEX(MO_BSS_Debt,0,COLUMN())</f>
        <v/>
      </c>
      <c r="BA8" s="1970">
        <f>INDEX(MO_BSS_Debt,0,COLUMN())</f>
        <v/>
      </c>
      <c r="BB8" s="1970">
        <f>INDEX(MO_BSS_Debt,0,COLUMN())</f>
        <v/>
      </c>
      <c r="BC8" s="1970">
        <f>INDEX(MO_BSS_Debt,0,COLUMN())</f>
        <v/>
      </c>
      <c r="BD8" s="1970">
        <f>INDEX(MO_BSS_Debt,0,COLUMN())</f>
        <v/>
      </c>
      <c r="BE8" s="1804">
        <f>INDEX(MO_BSS_Debt,0,COLUMN())</f>
        <v/>
      </c>
      <c r="BF8" s="1970">
        <f>INDEX(MO_BSS_Debt,0,COLUMN())</f>
        <v/>
      </c>
      <c r="BG8" s="1970">
        <f>INDEX(MO_BSS_Debt,0,COLUMN())</f>
        <v/>
      </c>
      <c r="BH8" s="1970">
        <f>INDEX(MO_BSS_Debt,0,COLUMN())</f>
        <v/>
      </c>
      <c r="BI8" s="1970">
        <f>INDEX(MO_BSS_Debt,0,COLUMN())</f>
        <v/>
      </c>
      <c r="BJ8" s="1804">
        <f>INDEX(MO_BSS_Debt,0,COLUMN())</f>
        <v/>
      </c>
      <c r="BK8" s="1970">
        <f>INDEX(MO_BSS_Debt,0,COLUMN())</f>
        <v/>
      </c>
      <c r="BL8" s="1970">
        <f>INDEX(MO_BSS_Debt,0,COLUMN())</f>
        <v/>
      </c>
      <c r="BM8" s="1970">
        <f>INDEX(MO_BSS_Debt,0,COLUMN())</f>
        <v/>
      </c>
      <c r="BN8" s="1970">
        <f>INDEX(MO_BSS_Debt,0,COLUMN())</f>
        <v/>
      </c>
      <c r="BO8" s="2138">
        <f>INDEX(MO_BSS_Debt,0,COLUMN())</f>
        <v/>
      </c>
      <c r="BP8" s="1970">
        <f>INDEX(MO_BSS_Debt,0,COLUMN())</f>
        <v/>
      </c>
      <c r="BQ8" s="1970">
        <f>INDEX(MO_BSS_Debt,0,COLUMN())</f>
        <v/>
      </c>
      <c r="BR8" s="1970">
        <f>INDEX(MO_BSS_Debt,0,COLUMN())</f>
        <v/>
      </c>
      <c r="BS8" s="1970">
        <f>INDEX(MO_BSS_Debt,0,COLUMN())</f>
        <v/>
      </c>
      <c r="BT8" s="1804">
        <f>INDEX(MO_BSS_Debt,0,COLUMN())</f>
        <v/>
      </c>
      <c r="BU8" s="1970">
        <f>INDEX(MO_BSS_Debt,0,COLUMN())</f>
        <v/>
      </c>
      <c r="BV8" s="1970">
        <f>INDEX(MO_BSS_Debt,0,COLUMN())</f>
        <v/>
      </c>
      <c r="BW8" s="1970">
        <f>INDEX(MO_BSS_Debt,0,COLUMN())</f>
        <v/>
      </c>
      <c r="BX8" s="1970">
        <f>INDEX(MO_BSS_Debt,0,COLUMN())</f>
        <v/>
      </c>
      <c r="BY8" s="1804">
        <f>INDEX(MO_BSS_Debt,0,COLUMN())</f>
        <v/>
      </c>
      <c r="BZ8" s="1804">
        <f>INDEX(MO_BSS_Debt,0,COLUMN())</f>
        <v/>
      </c>
      <c r="CA8" s="1804">
        <f>INDEX(MO_BSS_Debt,0,COLUMN())</f>
        <v/>
      </c>
      <c r="CB8" s="1804">
        <f>INDEX(MO_BSS_Debt,0,COLUMN())</f>
        <v/>
      </c>
      <c r="CC8" s="1970" t="n"/>
    </row>
    <row r="9" ht="15" customFormat="1" customHeight="1" s="2114">
      <c r="A9" s="2129" t="inlineStr">
        <is>
          <t>Other EV Components</t>
        </is>
      </c>
      <c r="B9" s="2139" t="n"/>
      <c r="C9" s="1810">
        <f>INDEX(MO_VA_EVCalc_NCI,0,COLUMN())+INDEX(MO_VA_EVCalc_Prefs,0,COLUMN())+INDEX(MO_VA_EVCalc_Other,0,COLUMN())</f>
        <v/>
      </c>
      <c r="D9" s="1810">
        <f>INDEX(MO_VA_EVCalc_NCI,0,COLUMN())+INDEX(MO_VA_EVCalc_Prefs,0,COLUMN())+INDEX(MO_VA_EVCalc_Other,0,COLUMN())</f>
        <v/>
      </c>
      <c r="E9" s="1810">
        <f>INDEX(MO_VA_EVCalc_NCI,0,COLUMN())+INDEX(MO_VA_EVCalc_Prefs,0,COLUMN())+INDEX(MO_VA_EVCalc_Other,0,COLUMN())</f>
        <v/>
      </c>
      <c r="F9" s="1810">
        <f>INDEX(MO_VA_EVCalc_NCI,0,COLUMN())+INDEX(MO_VA_EVCalc_Prefs,0,COLUMN())+INDEX(MO_VA_EVCalc_Other,0,COLUMN())</f>
        <v/>
      </c>
      <c r="G9" s="1810">
        <f>INDEX(MO_VA_EVCalc_NCI,0,COLUMN())+INDEX(MO_VA_EVCalc_Prefs,0,COLUMN())+INDEX(MO_VA_EVCalc_Other,0,COLUMN())</f>
        <v/>
      </c>
      <c r="H9" s="1971">
        <f>INDEX(MO_VA_EVCalc_NCI,0,COLUMN())+INDEX(MO_VA_EVCalc_Prefs,0,COLUMN())+INDEX(MO_VA_EVCalc_Other,0,COLUMN())</f>
        <v/>
      </c>
      <c r="I9" s="1971">
        <f>INDEX(MO_VA_EVCalc_NCI,0,COLUMN())+INDEX(MO_VA_EVCalc_Prefs,0,COLUMN())+INDEX(MO_VA_EVCalc_Other,0,COLUMN())</f>
        <v/>
      </c>
      <c r="J9" s="1971">
        <f>INDEX(MO_VA_EVCalc_NCI,0,COLUMN())+INDEX(MO_VA_EVCalc_Prefs,0,COLUMN())+INDEX(MO_VA_EVCalc_Other,0,COLUMN())</f>
        <v/>
      </c>
      <c r="K9" s="1971">
        <f>INDEX(MO_VA_EVCalc_NCI,0,COLUMN())+INDEX(MO_VA_EVCalc_Prefs,0,COLUMN())+INDEX(MO_VA_EVCalc_Other,0,COLUMN())</f>
        <v/>
      </c>
      <c r="L9" s="1810">
        <f>INDEX(MO_VA_EVCalc_NCI,0,COLUMN())+INDEX(MO_VA_EVCalc_Prefs,0,COLUMN())+INDEX(MO_VA_EVCalc_Other,0,COLUMN())</f>
        <v/>
      </c>
      <c r="M9" s="1971">
        <f>INDEX(MO_VA_EVCalc_NCI,0,COLUMN())+INDEX(MO_VA_EVCalc_Prefs,0,COLUMN())+INDEX(MO_VA_EVCalc_Other,0,COLUMN())</f>
        <v/>
      </c>
      <c r="N9" s="1971">
        <f>INDEX(MO_VA_EVCalc_NCI,0,COLUMN())+INDEX(MO_VA_EVCalc_Prefs,0,COLUMN())+INDEX(MO_VA_EVCalc_Other,0,COLUMN())</f>
        <v/>
      </c>
      <c r="O9" s="1971">
        <f>INDEX(MO_VA_EVCalc_NCI,0,COLUMN())+INDEX(MO_VA_EVCalc_Prefs,0,COLUMN())+INDEX(MO_VA_EVCalc_Other,0,COLUMN())</f>
        <v/>
      </c>
      <c r="P9" s="1971">
        <f>INDEX(MO_VA_EVCalc_NCI,0,COLUMN())+INDEX(MO_VA_EVCalc_Prefs,0,COLUMN())+INDEX(MO_VA_EVCalc_Other,0,COLUMN())</f>
        <v/>
      </c>
      <c r="Q9" s="1810">
        <f>INDEX(MO_VA_EVCalc_NCI,0,COLUMN())+INDEX(MO_VA_EVCalc_Prefs,0,COLUMN())+INDEX(MO_VA_EVCalc_Other,0,COLUMN())</f>
        <v/>
      </c>
      <c r="R9" s="1971">
        <f>INDEX(MO_VA_EVCalc_NCI,0,COLUMN())+INDEX(MO_VA_EVCalc_Prefs,0,COLUMN())+INDEX(MO_VA_EVCalc_Other,0,COLUMN())</f>
        <v/>
      </c>
      <c r="S9" s="1971">
        <f>INDEX(MO_VA_EVCalc_NCI,0,COLUMN())+INDEX(MO_VA_EVCalc_Prefs,0,COLUMN())+INDEX(MO_VA_EVCalc_Other,0,COLUMN())</f>
        <v/>
      </c>
      <c r="T9" s="1971">
        <f>INDEX(MO_VA_EVCalc_NCI,0,COLUMN())+INDEX(MO_VA_EVCalc_Prefs,0,COLUMN())+INDEX(MO_VA_EVCalc_Other,0,COLUMN())</f>
        <v/>
      </c>
      <c r="U9" s="1971">
        <f>INDEX(MO_VA_EVCalc_NCI,0,COLUMN())+INDEX(MO_VA_EVCalc_Prefs,0,COLUMN())+INDEX(MO_VA_EVCalc_Other,0,COLUMN())</f>
        <v/>
      </c>
      <c r="V9" s="1810">
        <f>INDEX(MO_VA_EVCalc_NCI,0,COLUMN())+INDEX(MO_VA_EVCalc_Prefs,0,COLUMN())+INDEX(MO_VA_EVCalc_Other,0,COLUMN())</f>
        <v/>
      </c>
      <c r="W9" s="1971">
        <f>INDEX(MO_VA_EVCalc_NCI,0,COLUMN())+INDEX(MO_VA_EVCalc_Prefs,0,COLUMN())+INDEX(MO_VA_EVCalc_Other,0,COLUMN())</f>
        <v/>
      </c>
      <c r="X9" s="1971">
        <f>INDEX(MO_VA_EVCalc_NCI,0,COLUMN())+INDEX(MO_VA_EVCalc_Prefs,0,COLUMN())+INDEX(MO_VA_EVCalc_Other,0,COLUMN())</f>
        <v/>
      </c>
      <c r="Y9" s="1971">
        <f>INDEX(MO_VA_EVCalc_NCI,0,COLUMN())+INDEX(MO_VA_EVCalc_Prefs,0,COLUMN())+INDEX(MO_VA_EVCalc_Other,0,COLUMN())</f>
        <v/>
      </c>
      <c r="Z9" s="1971">
        <f>INDEX(MO_VA_EVCalc_NCI,0,COLUMN())+INDEX(MO_VA_EVCalc_Prefs,0,COLUMN())+INDEX(MO_VA_EVCalc_Other,0,COLUMN())</f>
        <v/>
      </c>
      <c r="AA9" s="1810">
        <f>INDEX(MO_VA_EVCalc_NCI,0,COLUMN())+INDEX(MO_VA_EVCalc_Prefs,0,COLUMN())+INDEX(MO_VA_EVCalc_Other,0,COLUMN())</f>
        <v/>
      </c>
      <c r="AB9" s="1971">
        <f>INDEX(MO_VA_EVCalc_NCI,0,COLUMN())+INDEX(MO_VA_EVCalc_Prefs,0,COLUMN())+INDEX(MO_VA_EVCalc_Other,0,COLUMN())</f>
        <v/>
      </c>
      <c r="AC9" s="1971">
        <f>INDEX(MO_VA_EVCalc_NCI,0,COLUMN())+INDEX(MO_VA_EVCalc_Prefs,0,COLUMN())+INDEX(MO_VA_EVCalc_Other,0,COLUMN())</f>
        <v/>
      </c>
      <c r="AD9" s="1971">
        <f>INDEX(MO_VA_EVCalc_NCI,0,COLUMN())+INDEX(MO_VA_EVCalc_Prefs,0,COLUMN())+INDEX(MO_VA_EVCalc_Other,0,COLUMN())</f>
        <v/>
      </c>
      <c r="AE9" s="1971">
        <f>INDEX(MO_VA_EVCalc_NCI,0,COLUMN())+INDEX(MO_VA_EVCalc_Prefs,0,COLUMN())+INDEX(MO_VA_EVCalc_Other,0,COLUMN())</f>
        <v/>
      </c>
      <c r="AF9" s="1810">
        <f>INDEX(MO_VA_EVCalc_NCI,0,COLUMN())+INDEX(MO_VA_EVCalc_Prefs,0,COLUMN())+INDEX(MO_VA_EVCalc_Other,0,COLUMN())</f>
        <v/>
      </c>
      <c r="AG9" s="1971">
        <f>INDEX(MO_VA_EVCalc_NCI,0,COLUMN())+INDEX(MO_VA_EVCalc_Prefs,0,COLUMN())+INDEX(MO_VA_EVCalc_Other,0,COLUMN())</f>
        <v/>
      </c>
      <c r="AH9" s="1971">
        <f>INDEX(MO_VA_EVCalc_NCI,0,COLUMN())+INDEX(MO_VA_EVCalc_Prefs,0,COLUMN())+INDEX(MO_VA_EVCalc_Other,0,COLUMN())</f>
        <v/>
      </c>
      <c r="AI9" s="1971">
        <f>INDEX(MO_VA_EVCalc_NCI,0,COLUMN())+INDEX(MO_VA_EVCalc_Prefs,0,COLUMN())+INDEX(MO_VA_EVCalc_Other,0,COLUMN())</f>
        <v/>
      </c>
      <c r="AJ9" s="1971">
        <f>INDEX(MO_VA_EVCalc_NCI,0,COLUMN())+INDEX(MO_VA_EVCalc_Prefs,0,COLUMN())+INDEX(MO_VA_EVCalc_Other,0,COLUMN())</f>
        <v/>
      </c>
      <c r="AK9" s="1810">
        <f>INDEX(MO_VA_EVCalc_NCI,0,COLUMN())+INDEX(MO_VA_EVCalc_Prefs,0,COLUMN())+INDEX(MO_VA_EVCalc_Other,0,COLUMN())</f>
        <v/>
      </c>
      <c r="AL9" s="1971">
        <f>INDEX(MO_VA_EVCalc_NCI,0,COLUMN())+INDEX(MO_VA_EVCalc_Prefs,0,COLUMN())+INDEX(MO_VA_EVCalc_Other,0,COLUMN())</f>
        <v/>
      </c>
      <c r="AM9" s="1971">
        <f>INDEX(MO_VA_EVCalc_NCI,0,COLUMN())+INDEX(MO_VA_EVCalc_Prefs,0,COLUMN())+INDEX(MO_VA_EVCalc_Other,0,COLUMN())</f>
        <v/>
      </c>
      <c r="AN9" s="1971">
        <f>INDEX(MO_VA_EVCalc_NCI,0,COLUMN())+INDEX(MO_VA_EVCalc_Prefs,0,COLUMN())+INDEX(MO_VA_EVCalc_Other,0,COLUMN())</f>
        <v/>
      </c>
      <c r="AO9" s="1971">
        <f>INDEX(MO_VA_EVCalc_NCI,0,COLUMN())+INDEX(MO_VA_EVCalc_Prefs,0,COLUMN())+INDEX(MO_VA_EVCalc_Other,0,COLUMN())</f>
        <v/>
      </c>
      <c r="AP9" s="1810">
        <f>INDEX(MO_VA_EVCalc_NCI,0,COLUMN())+INDEX(MO_VA_EVCalc_Prefs,0,COLUMN())+INDEX(MO_VA_EVCalc_Other,0,COLUMN())</f>
        <v/>
      </c>
      <c r="AQ9" s="1971">
        <f>INDEX(MO_VA_EVCalc_NCI,0,COLUMN())+INDEX(MO_VA_EVCalc_Prefs,0,COLUMN())+INDEX(MO_VA_EVCalc_Other,0,COLUMN())</f>
        <v/>
      </c>
      <c r="AR9" s="1971">
        <f>INDEX(MO_VA_EVCalc_NCI,0,COLUMN())+INDEX(MO_VA_EVCalc_Prefs,0,COLUMN())+INDEX(MO_VA_EVCalc_Other,0,COLUMN())</f>
        <v/>
      </c>
      <c r="AS9" s="1971">
        <f>INDEX(MO_VA_EVCalc_NCI,0,COLUMN())+INDEX(MO_VA_EVCalc_Prefs,0,COLUMN())+INDEX(MO_VA_EVCalc_Other,0,COLUMN())</f>
        <v/>
      </c>
      <c r="AT9" s="1971">
        <f>INDEX(MO_VA_EVCalc_NCI,0,COLUMN())+INDEX(MO_VA_EVCalc_Prefs,0,COLUMN())+INDEX(MO_VA_EVCalc_Other,0,COLUMN())</f>
        <v/>
      </c>
      <c r="AU9" s="1810">
        <f>INDEX(MO_VA_EVCalc_NCI,0,COLUMN())+INDEX(MO_VA_EVCalc_Prefs,0,COLUMN())+INDEX(MO_VA_EVCalc_Other,0,COLUMN())</f>
        <v/>
      </c>
      <c r="AV9" s="1971">
        <f>INDEX(MO_VA_EVCalc_NCI,0,COLUMN())+INDEX(MO_VA_EVCalc_Prefs,0,COLUMN())+INDEX(MO_VA_EVCalc_Other,0,COLUMN())</f>
        <v/>
      </c>
      <c r="AW9" s="1971">
        <f>INDEX(MO_VA_EVCalc_NCI,0,COLUMN())+INDEX(MO_VA_EVCalc_Prefs,0,COLUMN())+INDEX(MO_VA_EVCalc_Other,0,COLUMN())</f>
        <v/>
      </c>
      <c r="AX9" s="1971">
        <f>INDEX(MO_VA_EVCalc_NCI,0,COLUMN())+INDEX(MO_VA_EVCalc_Prefs,0,COLUMN())+INDEX(MO_VA_EVCalc_Other,0,COLUMN())</f>
        <v/>
      </c>
      <c r="AY9" s="1971">
        <f>INDEX(MO_VA_EVCalc_NCI,0,COLUMN())+INDEX(MO_VA_EVCalc_Prefs,0,COLUMN())+INDEX(MO_VA_EVCalc_Other,0,COLUMN())</f>
        <v/>
      </c>
      <c r="AZ9" s="1810">
        <f>INDEX(MO_VA_EVCalc_NCI,0,COLUMN())+INDEX(MO_VA_EVCalc_Prefs,0,COLUMN())+INDEX(MO_VA_EVCalc_Other,0,COLUMN())</f>
        <v/>
      </c>
      <c r="BA9" s="1971">
        <f>INDEX(MO_VA_EVCalc_NCI,0,COLUMN())+INDEX(MO_VA_EVCalc_Prefs,0,COLUMN())+INDEX(MO_VA_EVCalc_Other,0,COLUMN())</f>
        <v/>
      </c>
      <c r="BB9" s="1971">
        <f>INDEX(MO_VA_EVCalc_NCI,0,COLUMN())+INDEX(MO_VA_EVCalc_Prefs,0,COLUMN())+INDEX(MO_VA_EVCalc_Other,0,COLUMN())</f>
        <v/>
      </c>
      <c r="BC9" s="1971">
        <f>INDEX(MO_VA_EVCalc_NCI,0,COLUMN())+INDEX(MO_VA_EVCalc_Prefs,0,COLUMN())+INDEX(MO_VA_EVCalc_Other,0,COLUMN())</f>
        <v/>
      </c>
      <c r="BD9" s="1971">
        <f>INDEX(MO_VA_EVCalc_NCI,0,COLUMN())+INDEX(MO_VA_EVCalc_Prefs,0,COLUMN())+INDEX(MO_VA_EVCalc_Other,0,COLUMN())</f>
        <v/>
      </c>
      <c r="BE9" s="1810">
        <f>INDEX(MO_VA_EVCalc_NCI,0,COLUMN())+INDEX(MO_VA_EVCalc_Prefs,0,COLUMN())+INDEX(MO_VA_EVCalc_Other,0,COLUMN())</f>
        <v/>
      </c>
      <c r="BF9" s="1971">
        <f>INDEX(MO_VA_EVCalc_NCI,0,COLUMN())+INDEX(MO_VA_EVCalc_Prefs,0,COLUMN())+INDEX(MO_VA_EVCalc_Other,0,COLUMN())</f>
        <v/>
      </c>
      <c r="BG9" s="1971">
        <f>INDEX(MO_VA_EVCalc_NCI,0,COLUMN())+INDEX(MO_VA_EVCalc_Prefs,0,COLUMN())+INDEX(MO_VA_EVCalc_Other,0,COLUMN())</f>
        <v/>
      </c>
      <c r="BH9" s="1971">
        <f>INDEX(MO_VA_EVCalc_NCI,0,COLUMN())+INDEX(MO_VA_EVCalc_Prefs,0,COLUMN())+INDEX(MO_VA_EVCalc_Other,0,COLUMN())</f>
        <v/>
      </c>
      <c r="BI9" s="1971">
        <f>INDEX(MO_VA_EVCalc_NCI,0,COLUMN())+INDEX(MO_VA_EVCalc_Prefs,0,COLUMN())+INDEX(MO_VA_EVCalc_Other,0,COLUMN())</f>
        <v/>
      </c>
      <c r="BJ9" s="1810">
        <f>INDEX(MO_VA_EVCalc_NCI,0,COLUMN())+INDEX(MO_VA_EVCalc_Prefs,0,COLUMN())+INDEX(MO_VA_EVCalc_Other,0,COLUMN())</f>
        <v/>
      </c>
      <c r="BK9" s="1971">
        <f>INDEX(MO_VA_EVCalc_NCI,0,COLUMN())+INDEX(MO_VA_EVCalc_Prefs,0,COLUMN())+INDEX(MO_VA_EVCalc_Other,0,COLUMN())</f>
        <v/>
      </c>
      <c r="BL9" s="1971">
        <f>INDEX(MO_VA_EVCalc_NCI,0,COLUMN())+INDEX(MO_VA_EVCalc_Prefs,0,COLUMN())+INDEX(MO_VA_EVCalc_Other,0,COLUMN())</f>
        <v/>
      </c>
      <c r="BM9" s="1971">
        <f>INDEX(MO_VA_EVCalc_NCI,0,COLUMN())+INDEX(MO_VA_EVCalc_Prefs,0,COLUMN())+INDEX(MO_VA_EVCalc_Other,0,COLUMN())</f>
        <v/>
      </c>
      <c r="BN9" s="1971">
        <f>INDEX(MO_VA_EVCalc_NCI,0,COLUMN())+INDEX(MO_VA_EVCalc_Prefs,0,COLUMN())+INDEX(MO_VA_EVCalc_Other,0,COLUMN())</f>
        <v/>
      </c>
      <c r="BO9" s="2140">
        <f>INDEX(MO_VA_EVCalc_NCI,0,COLUMN())+INDEX(MO_VA_EVCalc_Prefs,0,COLUMN())+INDEX(MO_VA_EVCalc_Other,0,COLUMN())</f>
        <v/>
      </c>
      <c r="BP9" s="1971">
        <f>INDEX(MO_VA_EVCalc_NCI,0,COLUMN())+INDEX(MO_VA_EVCalc_Prefs,0,COLUMN())+INDEX(MO_VA_EVCalc_Other,0,COLUMN())</f>
        <v/>
      </c>
      <c r="BQ9" s="1971">
        <f>INDEX(MO_VA_EVCalc_NCI,0,COLUMN())+INDEX(MO_VA_EVCalc_Prefs,0,COLUMN())+INDEX(MO_VA_EVCalc_Other,0,COLUMN())</f>
        <v/>
      </c>
      <c r="BR9" s="1971">
        <f>INDEX(MO_VA_EVCalc_NCI,0,COLUMN())+INDEX(MO_VA_EVCalc_Prefs,0,COLUMN())+INDEX(MO_VA_EVCalc_Other,0,COLUMN())</f>
        <v/>
      </c>
      <c r="BS9" s="1971">
        <f>INDEX(MO_VA_EVCalc_NCI,0,COLUMN())+INDEX(MO_VA_EVCalc_Prefs,0,COLUMN())+INDEX(MO_VA_EVCalc_Other,0,COLUMN())</f>
        <v/>
      </c>
      <c r="BT9" s="1810">
        <f>INDEX(MO_VA_EVCalc_NCI,0,COLUMN())+INDEX(MO_VA_EVCalc_Prefs,0,COLUMN())+INDEX(MO_VA_EVCalc_Other,0,COLUMN())</f>
        <v/>
      </c>
      <c r="BU9" s="1971">
        <f>INDEX(MO_VA_EVCalc_NCI,0,COLUMN())+INDEX(MO_VA_EVCalc_Prefs,0,COLUMN())+INDEX(MO_VA_EVCalc_Other,0,COLUMN())</f>
        <v/>
      </c>
      <c r="BV9" s="1971">
        <f>INDEX(MO_VA_EVCalc_NCI,0,COLUMN())+INDEX(MO_VA_EVCalc_Prefs,0,COLUMN())+INDEX(MO_VA_EVCalc_Other,0,COLUMN())</f>
        <v/>
      </c>
      <c r="BW9" s="1971">
        <f>INDEX(MO_VA_EVCalc_NCI,0,COLUMN())+INDEX(MO_VA_EVCalc_Prefs,0,COLUMN())+INDEX(MO_VA_EVCalc_Other,0,COLUMN())</f>
        <v/>
      </c>
      <c r="BX9" s="1971">
        <f>INDEX(MO_VA_EVCalc_NCI,0,COLUMN())+INDEX(MO_VA_EVCalc_Prefs,0,COLUMN())+INDEX(MO_VA_EVCalc_Other,0,COLUMN())</f>
        <v/>
      </c>
      <c r="BY9" s="1810">
        <f>INDEX(MO_VA_EVCalc_NCI,0,COLUMN())+INDEX(MO_VA_EVCalc_Prefs,0,COLUMN())+INDEX(MO_VA_EVCalc_Other,0,COLUMN())</f>
        <v/>
      </c>
      <c r="BZ9" s="1810">
        <f>INDEX(MO_VA_EVCalc_NCI,0,COLUMN())+INDEX(MO_VA_EVCalc_Prefs,0,COLUMN())+INDEX(MO_VA_EVCalc_Other,0,COLUMN())</f>
        <v/>
      </c>
      <c r="CA9" s="1810">
        <f>INDEX(MO_VA_EVCalc_NCI,0,COLUMN())+INDEX(MO_VA_EVCalc_Prefs,0,COLUMN())+INDEX(MO_VA_EVCalc_Other,0,COLUMN())</f>
        <v/>
      </c>
      <c r="CB9" s="1810">
        <f>INDEX(MO_VA_EVCalc_NCI,0,COLUMN())+INDEX(MO_VA_EVCalc_Prefs,0,COLUMN())+INDEX(MO_VA_EVCalc_Other,0,COLUMN())</f>
        <v/>
      </c>
      <c r="CC9" s="1970" t="n"/>
    </row>
    <row r="10" ht="15" customFormat="1" customHeight="1" s="2131">
      <c r="A10" s="1639">
        <f>"Enterprise Value - "&amp;SP.ValuationToggle</f>
        <v/>
      </c>
      <c r="B10" s="2132" t="n"/>
      <c r="C10" s="2133">
        <f>INDEX(SP_CS_MarketCap,0,COLUMN())-INDEX(SP_CS_Cash,0,COLUMN())+INDEX(SP_CS_Debt,0,COLUMN())+INDEX(SP_CS_EVCalc_Other,0,COLUMN())</f>
        <v/>
      </c>
      <c r="D10" s="2133">
        <f>INDEX(SP_CS_MarketCap,0,COLUMN())-INDEX(SP_CS_Cash,0,COLUMN())+INDEX(SP_CS_Debt,0,COLUMN())+INDEX(SP_CS_EVCalc_Other,0,COLUMN())</f>
        <v/>
      </c>
      <c r="E10" s="2133">
        <f>INDEX(SP_CS_MarketCap,0,COLUMN())-INDEX(SP_CS_Cash,0,COLUMN())+INDEX(SP_CS_Debt,0,COLUMN())+INDEX(SP_CS_EVCalc_Other,0,COLUMN())</f>
        <v/>
      </c>
      <c r="F10" s="2133">
        <f>INDEX(SP_CS_MarketCap,0,COLUMN())-INDEX(SP_CS_Cash,0,COLUMN())+INDEX(SP_CS_Debt,0,COLUMN())+INDEX(SP_CS_EVCalc_Other,0,COLUMN())</f>
        <v/>
      </c>
      <c r="G10" s="2133">
        <f>INDEX(SP_CS_MarketCap,0,COLUMN())-INDEX(SP_CS_Cash,0,COLUMN())+INDEX(SP_CS_Debt,0,COLUMN())+INDEX(SP_CS_EVCalc_Other,0,COLUMN())</f>
        <v/>
      </c>
      <c r="H10" s="2134">
        <f>INDEX(SP_CS_MarketCap,0,COLUMN())-INDEX(SP_CS_Cash,0,COLUMN())+INDEX(SP_CS_Debt,0,COLUMN())+INDEX(SP_CS_EVCalc_Other,0,COLUMN())</f>
        <v/>
      </c>
      <c r="I10" s="2134">
        <f>INDEX(SP_CS_MarketCap,0,COLUMN())-INDEX(SP_CS_Cash,0,COLUMN())+INDEX(SP_CS_Debt,0,COLUMN())+INDEX(SP_CS_EVCalc_Other,0,COLUMN())</f>
        <v/>
      </c>
      <c r="J10" s="2134">
        <f>INDEX(SP_CS_MarketCap,0,COLUMN())-INDEX(SP_CS_Cash,0,COLUMN())+INDEX(SP_CS_Debt,0,COLUMN())+INDEX(SP_CS_EVCalc_Other,0,COLUMN())</f>
        <v/>
      </c>
      <c r="K10" s="2134">
        <f>INDEX(SP_CS_MarketCap,0,COLUMN())-INDEX(SP_CS_Cash,0,COLUMN())+INDEX(SP_CS_Debt,0,COLUMN())+INDEX(SP_CS_EVCalc_Other,0,COLUMN())</f>
        <v/>
      </c>
      <c r="L10" s="2133">
        <f>INDEX(SP_CS_MarketCap,0,COLUMN())-INDEX(SP_CS_Cash,0,COLUMN())+INDEX(SP_CS_Debt,0,COLUMN())+INDEX(SP_CS_EVCalc_Other,0,COLUMN())</f>
        <v/>
      </c>
      <c r="M10" s="2134">
        <f>INDEX(SP_CS_MarketCap,0,COLUMN())-INDEX(SP_CS_Cash,0,COLUMN())+INDEX(SP_CS_Debt,0,COLUMN())+INDEX(SP_CS_EVCalc_Other,0,COLUMN())</f>
        <v/>
      </c>
      <c r="N10" s="2134">
        <f>INDEX(SP_CS_MarketCap,0,COLUMN())-INDEX(SP_CS_Cash,0,COLUMN())+INDEX(SP_CS_Debt,0,COLUMN())+INDEX(SP_CS_EVCalc_Other,0,COLUMN())</f>
        <v/>
      </c>
      <c r="O10" s="2134">
        <f>INDEX(SP_CS_MarketCap,0,COLUMN())-INDEX(SP_CS_Cash,0,COLUMN())+INDEX(SP_CS_Debt,0,COLUMN())+INDEX(SP_CS_EVCalc_Other,0,COLUMN())</f>
        <v/>
      </c>
      <c r="P10" s="2134">
        <f>INDEX(SP_CS_MarketCap,0,COLUMN())-INDEX(SP_CS_Cash,0,COLUMN())+INDEX(SP_CS_Debt,0,COLUMN())+INDEX(SP_CS_EVCalc_Other,0,COLUMN())</f>
        <v/>
      </c>
      <c r="Q10" s="2133">
        <f>INDEX(SP_CS_MarketCap,0,COLUMN())-INDEX(SP_CS_Cash,0,COLUMN())+INDEX(SP_CS_Debt,0,COLUMN())+INDEX(SP_CS_EVCalc_Other,0,COLUMN())</f>
        <v/>
      </c>
      <c r="R10" s="2134">
        <f>INDEX(SP_CS_MarketCap,0,COLUMN())-INDEX(SP_CS_Cash,0,COLUMN())+INDEX(SP_CS_Debt,0,COLUMN())+INDEX(SP_CS_EVCalc_Other,0,COLUMN())</f>
        <v/>
      </c>
      <c r="S10" s="2134">
        <f>INDEX(SP_CS_MarketCap,0,COLUMN())-INDEX(SP_CS_Cash,0,COLUMN())+INDEX(SP_CS_Debt,0,COLUMN())+INDEX(SP_CS_EVCalc_Other,0,COLUMN())</f>
        <v/>
      </c>
      <c r="T10" s="2134">
        <f>INDEX(SP_CS_MarketCap,0,COLUMN())-INDEX(SP_CS_Cash,0,COLUMN())+INDEX(SP_CS_Debt,0,COLUMN())+INDEX(SP_CS_EVCalc_Other,0,COLUMN())</f>
        <v/>
      </c>
      <c r="U10" s="2134">
        <f>INDEX(SP_CS_MarketCap,0,COLUMN())-INDEX(SP_CS_Cash,0,COLUMN())+INDEX(SP_CS_Debt,0,COLUMN())+INDEX(SP_CS_EVCalc_Other,0,COLUMN())</f>
        <v/>
      </c>
      <c r="V10" s="2133">
        <f>INDEX(SP_CS_MarketCap,0,COLUMN())-INDEX(SP_CS_Cash,0,COLUMN())+INDEX(SP_CS_Debt,0,COLUMN())+INDEX(SP_CS_EVCalc_Other,0,COLUMN())</f>
        <v/>
      </c>
      <c r="W10" s="2134">
        <f>INDEX(SP_CS_MarketCap,0,COLUMN())-INDEX(SP_CS_Cash,0,COLUMN())+INDEX(SP_CS_Debt,0,COLUMN())+INDEX(SP_CS_EVCalc_Other,0,COLUMN())</f>
        <v/>
      </c>
      <c r="X10" s="2134">
        <f>INDEX(SP_CS_MarketCap,0,COLUMN())-INDEX(SP_CS_Cash,0,COLUMN())+INDEX(SP_CS_Debt,0,COLUMN())+INDEX(SP_CS_EVCalc_Other,0,COLUMN())</f>
        <v/>
      </c>
      <c r="Y10" s="2134">
        <f>INDEX(SP_CS_MarketCap,0,COLUMN())-INDEX(SP_CS_Cash,0,COLUMN())+INDEX(SP_CS_Debt,0,COLUMN())+INDEX(SP_CS_EVCalc_Other,0,COLUMN())</f>
        <v/>
      </c>
      <c r="Z10" s="2134">
        <f>INDEX(SP_CS_MarketCap,0,COLUMN())-INDEX(SP_CS_Cash,0,COLUMN())+INDEX(SP_CS_Debt,0,COLUMN())+INDEX(SP_CS_EVCalc_Other,0,COLUMN())</f>
        <v/>
      </c>
      <c r="AA10" s="2133">
        <f>INDEX(SP_CS_MarketCap,0,COLUMN())-INDEX(SP_CS_Cash,0,COLUMN())+INDEX(SP_CS_Debt,0,COLUMN())+INDEX(SP_CS_EVCalc_Other,0,COLUMN())</f>
        <v/>
      </c>
      <c r="AB10" s="2134">
        <f>INDEX(SP_CS_MarketCap,0,COLUMN())-INDEX(SP_CS_Cash,0,COLUMN())+INDEX(SP_CS_Debt,0,COLUMN())+INDEX(SP_CS_EVCalc_Other,0,COLUMN())</f>
        <v/>
      </c>
      <c r="AC10" s="2134">
        <f>INDEX(SP_CS_MarketCap,0,COLUMN())-INDEX(SP_CS_Cash,0,COLUMN())+INDEX(SP_CS_Debt,0,COLUMN())+INDEX(SP_CS_EVCalc_Other,0,COLUMN())</f>
        <v/>
      </c>
      <c r="AD10" s="2134">
        <f>INDEX(SP_CS_MarketCap,0,COLUMN())-INDEX(SP_CS_Cash,0,COLUMN())+INDEX(SP_CS_Debt,0,COLUMN())+INDEX(SP_CS_EVCalc_Other,0,COLUMN())</f>
        <v/>
      </c>
      <c r="AE10" s="2134">
        <f>INDEX(SP_CS_MarketCap,0,COLUMN())-INDEX(SP_CS_Cash,0,COLUMN())+INDEX(SP_CS_Debt,0,COLUMN())+INDEX(SP_CS_EVCalc_Other,0,COLUMN())</f>
        <v/>
      </c>
      <c r="AF10" s="2133">
        <f>INDEX(SP_CS_MarketCap,0,COLUMN())-INDEX(SP_CS_Cash,0,COLUMN())+INDEX(SP_CS_Debt,0,COLUMN())+INDEX(SP_CS_EVCalc_Other,0,COLUMN())</f>
        <v/>
      </c>
      <c r="AG10" s="2134">
        <f>INDEX(SP_CS_MarketCap,0,COLUMN())-INDEX(SP_CS_Cash,0,COLUMN())+INDEX(SP_CS_Debt,0,COLUMN())+INDEX(SP_CS_EVCalc_Other,0,COLUMN())</f>
        <v/>
      </c>
      <c r="AH10" s="2134">
        <f>INDEX(SP_CS_MarketCap,0,COLUMN())-INDEX(SP_CS_Cash,0,COLUMN())+INDEX(SP_CS_Debt,0,COLUMN())+INDEX(SP_CS_EVCalc_Other,0,COLUMN())</f>
        <v/>
      </c>
      <c r="AI10" s="2134">
        <f>INDEX(SP_CS_MarketCap,0,COLUMN())-INDEX(SP_CS_Cash,0,COLUMN())+INDEX(SP_CS_Debt,0,COLUMN())+INDEX(SP_CS_EVCalc_Other,0,COLUMN())</f>
        <v/>
      </c>
      <c r="AJ10" s="2134">
        <f>INDEX(SP_CS_MarketCap,0,COLUMN())-INDEX(SP_CS_Cash,0,COLUMN())+INDEX(SP_CS_Debt,0,COLUMN())+INDEX(SP_CS_EVCalc_Other,0,COLUMN())</f>
        <v/>
      </c>
      <c r="AK10" s="2133">
        <f>INDEX(SP_CS_MarketCap,0,COLUMN())-INDEX(SP_CS_Cash,0,COLUMN())+INDEX(SP_CS_Debt,0,COLUMN())+INDEX(SP_CS_EVCalc_Other,0,COLUMN())</f>
        <v/>
      </c>
      <c r="AL10" s="2134">
        <f>INDEX(SP_CS_MarketCap,0,COLUMN())-INDEX(SP_CS_Cash,0,COLUMN())+INDEX(SP_CS_Debt,0,COLUMN())+INDEX(SP_CS_EVCalc_Other,0,COLUMN())</f>
        <v/>
      </c>
      <c r="AM10" s="2134">
        <f>INDEX(SP_CS_MarketCap,0,COLUMN())-INDEX(SP_CS_Cash,0,COLUMN())+INDEX(SP_CS_Debt,0,COLUMN())+INDEX(SP_CS_EVCalc_Other,0,COLUMN())</f>
        <v/>
      </c>
      <c r="AN10" s="2134">
        <f>INDEX(SP_CS_MarketCap,0,COLUMN())-INDEX(SP_CS_Cash,0,COLUMN())+INDEX(SP_CS_Debt,0,COLUMN())+INDEX(SP_CS_EVCalc_Other,0,COLUMN())</f>
        <v/>
      </c>
      <c r="AO10" s="2134">
        <f>INDEX(SP_CS_MarketCap,0,COLUMN())-INDEX(SP_CS_Cash,0,COLUMN())+INDEX(SP_CS_Debt,0,COLUMN())+INDEX(SP_CS_EVCalc_Other,0,COLUMN())</f>
        <v/>
      </c>
      <c r="AP10" s="2133">
        <f>INDEX(SP_CS_MarketCap,0,COLUMN())-INDEX(SP_CS_Cash,0,COLUMN())+INDEX(SP_CS_Debt,0,COLUMN())+INDEX(SP_CS_EVCalc_Other,0,COLUMN())</f>
        <v/>
      </c>
      <c r="AQ10" s="2134">
        <f>INDEX(SP_CS_MarketCap,0,COLUMN())-INDEX(SP_CS_Cash,0,COLUMN())+INDEX(SP_CS_Debt,0,COLUMN())+INDEX(SP_CS_EVCalc_Other,0,COLUMN())</f>
        <v/>
      </c>
      <c r="AR10" s="2134">
        <f>INDEX(SP_CS_MarketCap,0,COLUMN())-INDEX(SP_CS_Cash,0,COLUMN())+INDEX(SP_CS_Debt,0,COLUMN())+INDEX(SP_CS_EVCalc_Other,0,COLUMN())</f>
        <v/>
      </c>
      <c r="AS10" s="2134">
        <f>INDEX(SP_CS_MarketCap,0,COLUMN())-INDEX(SP_CS_Cash,0,COLUMN())+INDEX(SP_CS_Debt,0,COLUMN())+INDEX(SP_CS_EVCalc_Other,0,COLUMN())</f>
        <v/>
      </c>
      <c r="AT10" s="2134">
        <f>INDEX(SP_CS_MarketCap,0,COLUMN())-INDEX(SP_CS_Cash,0,COLUMN())+INDEX(SP_CS_Debt,0,COLUMN())+INDEX(SP_CS_EVCalc_Other,0,COLUMN())</f>
        <v/>
      </c>
      <c r="AU10" s="2133">
        <f>INDEX(SP_CS_MarketCap,0,COLUMN())-INDEX(SP_CS_Cash,0,COLUMN())+INDEX(SP_CS_Debt,0,COLUMN())+INDEX(SP_CS_EVCalc_Other,0,COLUMN())</f>
        <v/>
      </c>
      <c r="AV10" s="2134">
        <f>INDEX(SP_CS_MarketCap,0,COLUMN())-INDEX(SP_CS_Cash,0,COLUMN())+INDEX(SP_CS_Debt,0,COLUMN())+INDEX(SP_CS_EVCalc_Other,0,COLUMN())</f>
        <v/>
      </c>
      <c r="AW10" s="2134">
        <f>INDEX(SP_CS_MarketCap,0,COLUMN())-INDEX(SP_CS_Cash,0,COLUMN())+INDEX(SP_CS_Debt,0,COLUMN())+INDEX(SP_CS_EVCalc_Other,0,COLUMN())</f>
        <v/>
      </c>
      <c r="AX10" s="2134">
        <f>INDEX(SP_CS_MarketCap,0,COLUMN())-INDEX(SP_CS_Cash,0,COLUMN())+INDEX(SP_CS_Debt,0,COLUMN())+INDEX(SP_CS_EVCalc_Other,0,COLUMN())</f>
        <v/>
      </c>
      <c r="AY10" s="2134">
        <f>INDEX(SP_CS_MarketCap,0,COLUMN())-INDEX(SP_CS_Cash,0,COLUMN())+INDEX(SP_CS_Debt,0,COLUMN())+INDEX(SP_CS_EVCalc_Other,0,COLUMN())</f>
        <v/>
      </c>
      <c r="AZ10" s="2133">
        <f>INDEX(SP_CS_MarketCap,0,COLUMN())-INDEX(SP_CS_Cash,0,COLUMN())+INDEX(SP_CS_Debt,0,COLUMN())+INDEX(SP_CS_EVCalc_Other,0,COLUMN())</f>
        <v/>
      </c>
      <c r="BA10" s="2134">
        <f>INDEX(SP_CS_MarketCap,0,COLUMN())-INDEX(SP_CS_Cash,0,COLUMN())+INDEX(SP_CS_Debt,0,COLUMN())+INDEX(SP_CS_EVCalc_Other,0,COLUMN())</f>
        <v/>
      </c>
      <c r="BB10" s="2134">
        <f>INDEX(SP_CS_MarketCap,0,COLUMN())-INDEX(SP_CS_Cash,0,COLUMN())+INDEX(SP_CS_Debt,0,COLUMN())+INDEX(SP_CS_EVCalc_Other,0,COLUMN())</f>
        <v/>
      </c>
      <c r="BC10" s="2134">
        <f>INDEX(SP_CS_MarketCap,0,COLUMN())-INDEX(SP_CS_Cash,0,COLUMN())+INDEX(SP_CS_Debt,0,COLUMN())+INDEX(SP_CS_EVCalc_Other,0,COLUMN())</f>
        <v/>
      </c>
      <c r="BD10" s="2134">
        <f>INDEX(SP_CS_MarketCap,0,COLUMN())-INDEX(SP_CS_Cash,0,COLUMN())+INDEX(SP_CS_Debt,0,COLUMN())+INDEX(SP_CS_EVCalc_Other,0,COLUMN())</f>
        <v/>
      </c>
      <c r="BE10" s="2133">
        <f>INDEX(SP_CS_MarketCap,0,COLUMN())-INDEX(SP_CS_Cash,0,COLUMN())+INDEX(SP_CS_Debt,0,COLUMN())+INDEX(SP_CS_EVCalc_Other,0,COLUMN())</f>
        <v/>
      </c>
      <c r="BF10" s="2134">
        <f>INDEX(SP_CS_MarketCap,0,COLUMN())-INDEX(SP_CS_Cash,0,COLUMN())+INDEX(SP_CS_Debt,0,COLUMN())+INDEX(SP_CS_EVCalc_Other,0,COLUMN())</f>
        <v/>
      </c>
      <c r="BG10" s="2134">
        <f>INDEX(SP_CS_MarketCap,0,COLUMN())-INDEX(SP_CS_Cash,0,COLUMN())+INDEX(SP_CS_Debt,0,COLUMN())+INDEX(SP_CS_EVCalc_Other,0,COLUMN())</f>
        <v/>
      </c>
      <c r="BH10" s="2134">
        <f>INDEX(SP_CS_MarketCap,0,COLUMN())-INDEX(SP_CS_Cash,0,COLUMN())+INDEX(SP_CS_Debt,0,COLUMN())+INDEX(SP_CS_EVCalc_Other,0,COLUMN())</f>
        <v/>
      </c>
      <c r="BI10" s="2134">
        <f>INDEX(SP_CS_MarketCap,0,COLUMN())-INDEX(SP_CS_Cash,0,COLUMN())+INDEX(SP_CS_Debt,0,COLUMN())+INDEX(SP_CS_EVCalc_Other,0,COLUMN())</f>
        <v/>
      </c>
      <c r="BJ10" s="2133">
        <f>INDEX(SP_CS_MarketCap,0,COLUMN())-INDEX(SP_CS_Cash,0,COLUMN())+INDEX(SP_CS_Debt,0,COLUMN())+INDEX(SP_CS_EVCalc_Other,0,COLUMN())</f>
        <v/>
      </c>
      <c r="BK10" s="2134">
        <f>INDEX(SP_CS_MarketCap,0,COLUMN())-INDEX(SP_CS_Cash,0,COLUMN())+INDEX(SP_CS_Debt,0,COLUMN())+INDEX(SP_CS_EVCalc_Other,0,COLUMN())</f>
        <v/>
      </c>
      <c r="BL10" s="2134">
        <f>INDEX(SP_CS_MarketCap,0,COLUMN())-INDEX(SP_CS_Cash,0,COLUMN())+INDEX(SP_CS_Debt,0,COLUMN())+INDEX(SP_CS_EVCalc_Other,0,COLUMN())</f>
        <v/>
      </c>
      <c r="BM10" s="2134">
        <f>INDEX(SP_CS_MarketCap,0,COLUMN())-INDEX(SP_CS_Cash,0,COLUMN())+INDEX(SP_CS_Debt,0,COLUMN())+INDEX(SP_CS_EVCalc_Other,0,COLUMN())</f>
        <v/>
      </c>
      <c r="BN10" s="2134">
        <f>INDEX(SP_CS_MarketCap,0,COLUMN())-INDEX(SP_CS_Cash,0,COLUMN())+INDEX(SP_CS_Debt,0,COLUMN())+INDEX(SP_CS_EVCalc_Other,0,COLUMN())</f>
        <v/>
      </c>
      <c r="BO10" s="2135">
        <f>INDEX(SP_CS_MarketCap,0,COLUMN())-INDEX(SP_CS_Cash,0,COLUMN())+INDEX(SP_CS_Debt,0,COLUMN())+INDEX(SP_CS_EVCalc_Other,0,COLUMN())</f>
        <v/>
      </c>
      <c r="BP10" s="2134">
        <f>INDEX(SP_CS_MarketCap,0,COLUMN())-INDEX(SP_CS_Cash,0,COLUMN())+INDEX(SP_CS_Debt,0,COLUMN())+INDEX(SP_CS_EVCalc_Other,0,COLUMN())</f>
        <v/>
      </c>
      <c r="BQ10" s="2134">
        <f>INDEX(SP_CS_MarketCap,0,COLUMN())-INDEX(SP_CS_Cash,0,COLUMN())+INDEX(SP_CS_Debt,0,COLUMN())+INDEX(SP_CS_EVCalc_Other,0,COLUMN())</f>
        <v/>
      </c>
      <c r="BR10" s="2134">
        <f>INDEX(SP_CS_MarketCap,0,COLUMN())-INDEX(SP_CS_Cash,0,COLUMN())+INDEX(SP_CS_Debt,0,COLUMN())+INDEX(SP_CS_EVCalc_Other,0,COLUMN())</f>
        <v/>
      </c>
      <c r="BS10" s="2134">
        <f>INDEX(SP_CS_MarketCap,0,COLUMN())-INDEX(SP_CS_Cash,0,COLUMN())+INDEX(SP_CS_Debt,0,COLUMN())+INDEX(SP_CS_EVCalc_Other,0,COLUMN())</f>
        <v/>
      </c>
      <c r="BT10" s="2133">
        <f>INDEX(SP_CS_MarketCap,0,COLUMN())-INDEX(SP_CS_Cash,0,COLUMN())+INDEX(SP_CS_Debt,0,COLUMN())+INDEX(SP_CS_EVCalc_Other,0,COLUMN())</f>
        <v/>
      </c>
      <c r="BU10" s="2134">
        <f>INDEX(SP_CS_MarketCap,0,COLUMN())-INDEX(SP_CS_Cash,0,COLUMN())+INDEX(SP_CS_Debt,0,COLUMN())+INDEX(SP_CS_EVCalc_Other,0,COLUMN())</f>
        <v/>
      </c>
      <c r="BV10" s="2134">
        <f>INDEX(SP_CS_MarketCap,0,COLUMN())-INDEX(SP_CS_Cash,0,COLUMN())+INDEX(SP_CS_Debt,0,COLUMN())+INDEX(SP_CS_EVCalc_Other,0,COLUMN())</f>
        <v/>
      </c>
      <c r="BW10" s="2134">
        <f>INDEX(SP_CS_MarketCap,0,COLUMN())-INDEX(SP_CS_Cash,0,COLUMN())+INDEX(SP_CS_Debt,0,COLUMN())+INDEX(SP_CS_EVCalc_Other,0,COLUMN())</f>
        <v/>
      </c>
      <c r="BX10" s="2134">
        <f>INDEX(SP_CS_MarketCap,0,COLUMN())-INDEX(SP_CS_Cash,0,COLUMN())+INDEX(SP_CS_Debt,0,COLUMN())+INDEX(SP_CS_EVCalc_Other,0,COLUMN())</f>
        <v/>
      </c>
      <c r="BY10" s="2133">
        <f>INDEX(SP_CS_MarketCap,0,COLUMN())-INDEX(SP_CS_Cash,0,COLUMN())+INDEX(SP_CS_Debt,0,COLUMN())+INDEX(SP_CS_EVCalc_Other,0,COLUMN())</f>
        <v/>
      </c>
      <c r="BZ10" s="2133">
        <f>INDEX(SP_CS_MarketCap,0,COLUMN())-INDEX(SP_CS_Cash,0,COLUMN())+INDEX(SP_CS_Debt,0,COLUMN())+INDEX(SP_CS_EVCalc_Other,0,COLUMN())</f>
        <v/>
      </c>
      <c r="CA10" s="2133">
        <f>INDEX(SP_CS_MarketCap,0,COLUMN())-INDEX(SP_CS_Cash,0,COLUMN())+INDEX(SP_CS_Debt,0,COLUMN())+INDEX(SP_CS_EVCalc_Other,0,COLUMN())</f>
        <v/>
      </c>
      <c r="CB10" s="2133">
        <f>INDEX(SP_CS_MarketCap,0,COLUMN())-INDEX(SP_CS_Cash,0,COLUMN())+INDEX(SP_CS_Debt,0,COLUMN())+INDEX(SP_CS_EVCalc_Other,0,COLUMN())</f>
        <v/>
      </c>
      <c r="CC10" s="2136" t="n"/>
    </row>
    <row r="11" ht="15" customFormat="1" customHeight="1" s="2131">
      <c r="A11" s="1780" t="n"/>
      <c r="B11" s="2141" t="n"/>
      <c r="C11" s="2142" t="n"/>
      <c r="D11" s="2142" t="n"/>
      <c r="E11" s="2142" t="n"/>
      <c r="F11" s="2142" t="n"/>
      <c r="G11" s="2142" t="n"/>
      <c r="H11" s="2136" t="n"/>
      <c r="I11" s="2136" t="n"/>
      <c r="J11" s="2136" t="n"/>
      <c r="K11" s="2136" t="n"/>
      <c r="L11" s="2142" t="n"/>
      <c r="M11" s="2136" t="n"/>
      <c r="N11" s="2136" t="n"/>
      <c r="O11" s="2136" t="n"/>
      <c r="P11" s="2136" t="n"/>
      <c r="Q11" s="2142" t="n"/>
      <c r="R11" s="2136" t="n"/>
      <c r="S11" s="2136" t="n"/>
      <c r="T11" s="2136" t="n"/>
      <c r="U11" s="2136" t="n"/>
      <c r="V11" s="2142" t="n"/>
      <c r="W11" s="2136" t="n"/>
      <c r="X11" s="2136" t="n"/>
      <c r="Y11" s="2136" t="n"/>
      <c r="Z11" s="2136" t="n"/>
      <c r="AA11" s="2142" t="n"/>
      <c r="AB11" s="2136" t="n"/>
      <c r="AC11" s="2136" t="n"/>
      <c r="AD11" s="2136" t="n"/>
      <c r="AE11" s="2136" t="n"/>
      <c r="AF11" s="2142" t="n"/>
      <c r="AG11" s="2136" t="n"/>
      <c r="AH11" s="2136" t="n"/>
      <c r="AI11" s="2136" t="n"/>
      <c r="AJ11" s="2136" t="n"/>
      <c r="AK11" s="2142" t="n"/>
      <c r="AL11" s="2136" t="n"/>
      <c r="AM11" s="2136" t="n"/>
      <c r="AN11" s="2136" t="n"/>
      <c r="AO11" s="2136" t="n"/>
      <c r="AP11" s="2142" t="n"/>
      <c r="AQ11" s="2136" t="n"/>
      <c r="AR11" s="2136" t="n"/>
      <c r="AS11" s="2136" t="n"/>
      <c r="AT11" s="2136" t="n"/>
      <c r="AU11" s="2142" t="n"/>
      <c r="AV11" s="2136" t="n"/>
      <c r="AW11" s="2136" t="n"/>
      <c r="AX11" s="2136" t="n"/>
      <c r="AY11" s="2136" t="n"/>
      <c r="AZ11" s="2142" t="n"/>
      <c r="BA11" s="2136" t="n"/>
      <c r="BB11" s="2136" t="n"/>
      <c r="BC11" s="2136" t="n"/>
      <c r="BD11" s="2136" t="n"/>
      <c r="BE11" s="2142" t="n"/>
      <c r="BF11" s="2136" t="n"/>
      <c r="BG11" s="2136" t="n"/>
      <c r="BH11" s="2136" t="n"/>
      <c r="BI11" s="2136" t="n"/>
      <c r="BJ11" s="2142" t="n"/>
      <c r="BK11" s="2136" t="n"/>
      <c r="BL11" s="2136" t="n"/>
      <c r="BM11" s="2136" t="n"/>
      <c r="BN11" s="2136" t="n"/>
      <c r="BO11" s="2143" t="n"/>
      <c r="BP11" s="2136" t="n"/>
      <c r="BQ11" s="2136" t="n"/>
      <c r="BR11" s="2136" t="n"/>
      <c r="BS11" s="2136" t="n"/>
      <c r="BT11" s="2142" t="n"/>
      <c r="BU11" s="2136" t="n"/>
      <c r="BV11" s="2136" t="n"/>
      <c r="BW11" s="2136" t="n"/>
      <c r="BX11" s="2136" t="n"/>
      <c r="BY11" s="2142" t="n"/>
      <c r="BZ11" s="2142" t="n"/>
      <c r="CA11" s="2142" t="n"/>
      <c r="CB11" s="2142" t="n"/>
      <c r="CC11" s="2136" t="n"/>
    </row>
    <row r="12" ht="15" customHeight="1" s="595">
      <c r="A12" s="2121" t="inlineStr">
        <is>
          <t>Company-Specific Operational Data</t>
        </is>
      </c>
      <c r="B12" s="2144" t="n"/>
      <c r="C12" s="2144" t="n"/>
      <c r="D12" s="2144" t="n"/>
      <c r="E12" s="2144" t="n"/>
      <c r="F12" s="2144" t="n"/>
      <c r="G12" s="2144" t="n"/>
      <c r="H12" s="2144" t="n"/>
      <c r="I12" s="2144" t="n"/>
      <c r="J12" s="2144" t="n"/>
      <c r="K12" s="2144" t="n"/>
      <c r="L12" s="2144" t="n"/>
      <c r="M12" s="2144" t="n"/>
      <c r="N12" s="2144" t="n"/>
      <c r="O12" s="2144" t="n"/>
      <c r="P12" s="2144" t="n"/>
      <c r="Q12" s="2144" t="n"/>
      <c r="R12" s="2144" t="n"/>
      <c r="S12" s="2144" t="n"/>
      <c r="T12" s="2144" t="n"/>
      <c r="U12" s="2144" t="n"/>
      <c r="V12" s="2144" t="n"/>
      <c r="W12" s="2144" t="n"/>
      <c r="X12" s="2144" t="n"/>
      <c r="Y12" s="2144" t="n"/>
      <c r="Z12" s="2144" t="n"/>
      <c r="AA12" s="2144" t="n"/>
      <c r="AB12" s="2144" t="n"/>
      <c r="AC12" s="2144" t="n"/>
      <c r="AD12" s="2144" t="n"/>
      <c r="AE12" s="2144" t="n"/>
      <c r="AF12" s="2144" t="n"/>
      <c r="AG12" s="2144" t="n"/>
      <c r="AH12" s="2144" t="n"/>
      <c r="AI12" s="2144" t="n"/>
      <c r="AJ12" s="2144" t="n"/>
      <c r="AK12" s="2144" t="n"/>
      <c r="AL12" s="2144" t="n"/>
      <c r="AM12" s="2144" t="n"/>
      <c r="AN12" s="2144" t="n"/>
      <c r="AO12" s="2144" t="n"/>
      <c r="AP12" s="2144" t="n"/>
      <c r="AQ12" s="2144" t="n"/>
      <c r="AR12" s="2144" t="n"/>
      <c r="AS12" s="2144" t="n"/>
      <c r="AT12" s="2144" t="n"/>
      <c r="AU12" s="2144" t="n"/>
      <c r="AV12" s="2144" t="n"/>
      <c r="AW12" s="2144" t="n"/>
      <c r="AX12" s="2144" t="n"/>
      <c r="AY12" s="2144" t="n"/>
      <c r="AZ12" s="2144" t="n"/>
      <c r="BA12" s="2144" t="n"/>
      <c r="BB12" s="2144" t="n"/>
      <c r="BC12" s="2144" t="n"/>
      <c r="BD12" s="2144" t="n"/>
      <c r="BE12" s="2144" t="n"/>
      <c r="BF12" s="2144" t="n"/>
      <c r="BG12" s="2144" t="n"/>
      <c r="BH12" s="2144" t="n"/>
      <c r="BI12" s="2144" t="n"/>
      <c r="BJ12" s="2144" t="n"/>
      <c r="BK12" s="2144" t="n"/>
      <c r="BL12" s="2144" t="n"/>
      <c r="BM12" s="2144" t="n"/>
      <c r="BN12" s="2144" t="n"/>
      <c r="BO12" s="2145" t="n"/>
      <c r="BP12" s="2144" t="n"/>
      <c r="BQ12" s="2144" t="n"/>
      <c r="BR12" s="2144" t="n"/>
      <c r="BS12" s="2144" t="n"/>
      <c r="BT12" s="2144" t="n"/>
      <c r="BU12" s="2144" t="n"/>
      <c r="BV12" s="2144" t="n"/>
      <c r="BW12" s="2144" t="n"/>
      <c r="BX12" s="2144" t="n"/>
      <c r="BY12" s="2144" t="n"/>
      <c r="BZ12" s="2144" t="n"/>
      <c r="CA12" s="2144" t="n"/>
      <c r="CB12" s="2144" t="n"/>
      <c r="CC12" s="1970" t="n"/>
    </row>
    <row r="13" ht="15" customFormat="1" customHeight="1" s="636">
      <c r="A13" s="433">
        <f>Model!A43</f>
        <v/>
      </c>
      <c r="B13" s="162" t="n"/>
      <c r="C13" s="1515" t="n"/>
      <c r="D13" s="1515" t="n"/>
      <c r="E13" s="1515" t="n"/>
      <c r="F13" s="1515">
        <f>Model!F43</f>
        <v/>
      </c>
      <c r="G13" s="1515">
        <f>Model!G43</f>
        <v/>
      </c>
      <c r="H13" s="778" t="n"/>
      <c r="I13" s="778" t="n"/>
      <c r="J13" s="778" t="n"/>
      <c r="K13" s="778" t="n"/>
      <c r="L13" s="1515">
        <f>Model!L43</f>
        <v/>
      </c>
      <c r="M13" s="778">
        <f>Model!M43</f>
        <v/>
      </c>
      <c r="N13" s="778">
        <f>Model!N43</f>
        <v/>
      </c>
      <c r="O13" s="778">
        <f>Model!O43</f>
        <v/>
      </c>
      <c r="P13" s="778">
        <f>Model!P43</f>
        <v/>
      </c>
      <c r="Q13" s="1515">
        <f>Model!Q43</f>
        <v/>
      </c>
      <c r="R13" s="778">
        <f>Model!R43</f>
        <v/>
      </c>
      <c r="S13" s="778">
        <f>Model!S43</f>
        <v/>
      </c>
      <c r="T13" s="778">
        <f>Model!T43</f>
        <v/>
      </c>
      <c r="U13" s="778">
        <f>Model!U43</f>
        <v/>
      </c>
      <c r="V13" s="1515">
        <f>Model!V43</f>
        <v/>
      </c>
      <c r="W13" s="778">
        <f>Model!W43</f>
        <v/>
      </c>
      <c r="X13" s="778">
        <f>Model!X43</f>
        <v/>
      </c>
      <c r="Y13" s="778">
        <f>Model!Y43</f>
        <v/>
      </c>
      <c r="Z13" s="778">
        <f>Model!Z43</f>
        <v/>
      </c>
      <c r="AA13" s="1515">
        <f>Model!AA43</f>
        <v/>
      </c>
      <c r="AB13" s="778">
        <f>Model!AB43</f>
        <v/>
      </c>
      <c r="AC13" s="778">
        <f>Model!AC43</f>
        <v/>
      </c>
      <c r="AD13" s="778">
        <f>Model!AD43</f>
        <v/>
      </c>
      <c r="AE13" s="778">
        <f>Model!AE43</f>
        <v/>
      </c>
      <c r="AF13" s="1515">
        <f>Model!AF43</f>
        <v/>
      </c>
      <c r="AG13" s="778">
        <f>Model!AG43</f>
        <v/>
      </c>
      <c r="AH13" s="778">
        <f>Model!AH43</f>
        <v/>
      </c>
      <c r="AI13" s="778">
        <f>Model!AI43</f>
        <v/>
      </c>
      <c r="AJ13" s="778">
        <f>Model!AJ43</f>
        <v/>
      </c>
      <c r="AK13" s="1515">
        <f>Model!AK43</f>
        <v/>
      </c>
      <c r="AL13" s="778">
        <f>Model!AL43</f>
        <v/>
      </c>
      <c r="AM13" s="778">
        <f>Model!AM43</f>
        <v/>
      </c>
      <c r="AN13" s="778">
        <f>Model!AN43</f>
        <v/>
      </c>
      <c r="AO13" s="778">
        <f>Model!AO43</f>
        <v/>
      </c>
      <c r="AP13" s="1515">
        <f>Model!AP43</f>
        <v/>
      </c>
      <c r="AQ13" s="778">
        <f>Model!AQ43</f>
        <v/>
      </c>
      <c r="AR13" s="778">
        <f>Model!AR43</f>
        <v/>
      </c>
      <c r="AS13" s="778">
        <f>Model!AS43</f>
        <v/>
      </c>
      <c r="AT13" s="778">
        <f>Model!AT43</f>
        <v/>
      </c>
      <c r="AU13" s="1515">
        <f>Model!AU43</f>
        <v/>
      </c>
      <c r="AV13" s="778">
        <f>Model!AV43</f>
        <v/>
      </c>
      <c r="AW13" s="778">
        <f>Model!AW43</f>
        <v/>
      </c>
      <c r="AX13" s="778">
        <f>Model!AX43</f>
        <v/>
      </c>
      <c r="AY13" s="778">
        <f>Model!AY43</f>
        <v/>
      </c>
      <c r="AZ13" s="1515">
        <f>Model!AZ43</f>
        <v/>
      </c>
      <c r="BA13" s="778">
        <f>Model!BA43</f>
        <v/>
      </c>
      <c r="BB13" s="778">
        <f>Model!BB43</f>
        <v/>
      </c>
      <c r="BC13" s="778">
        <f>Model!BC43</f>
        <v/>
      </c>
      <c r="BD13" s="778">
        <f>Model!BD43</f>
        <v/>
      </c>
      <c r="BE13" s="1515">
        <f>Model!BE43</f>
        <v/>
      </c>
      <c r="BF13" s="778">
        <f>Model!BF43</f>
        <v/>
      </c>
      <c r="BG13" s="778">
        <f>Model!BG43</f>
        <v/>
      </c>
      <c r="BH13" s="778">
        <f>Model!BH43</f>
        <v/>
      </c>
      <c r="BI13" s="778">
        <f>Model!BI43</f>
        <v/>
      </c>
      <c r="BJ13" s="1515">
        <f>Model!BJ43</f>
        <v/>
      </c>
      <c r="BK13" s="778">
        <f>Model!BK43</f>
        <v/>
      </c>
      <c r="BL13" s="778">
        <f>Model!BL43</f>
        <v/>
      </c>
      <c r="BM13" s="778">
        <f>Model!BM43</f>
        <v/>
      </c>
      <c r="BN13" s="778">
        <f>Model!BN43</f>
        <v/>
      </c>
      <c r="BO13" s="1514">
        <f>Model!BO43</f>
        <v/>
      </c>
      <c r="BP13" s="778">
        <f>Model!BP43</f>
        <v/>
      </c>
      <c r="BQ13" s="778">
        <f>Model!BQ43</f>
        <v/>
      </c>
      <c r="BR13" s="778">
        <f>Model!BR43</f>
        <v/>
      </c>
      <c r="BS13" s="778">
        <f>Model!BS43</f>
        <v/>
      </c>
      <c r="BT13" s="1515">
        <f>Model!BT43</f>
        <v/>
      </c>
      <c r="BU13" s="778">
        <f>Model!BU43</f>
        <v/>
      </c>
      <c r="BV13" s="778">
        <f>Model!BV43</f>
        <v/>
      </c>
      <c r="BW13" s="778">
        <f>Model!BW43</f>
        <v/>
      </c>
      <c r="BX13" s="778">
        <f>Model!BX43</f>
        <v/>
      </c>
      <c r="BY13" s="1515">
        <f>Model!BY43</f>
        <v/>
      </c>
      <c r="BZ13" s="1515">
        <f>Model!BZ43</f>
        <v/>
      </c>
      <c r="CA13" s="1515">
        <f>Model!CA43</f>
        <v/>
      </c>
      <c r="CB13" s="1515">
        <f>Model!CB43</f>
        <v/>
      </c>
      <c r="CC13" s="800" t="n"/>
    </row>
    <row r="14" ht="15" customFormat="1" customHeight="1" s="636">
      <c r="A14" s="433">
        <f>Model!A44</f>
        <v/>
      </c>
      <c r="B14" s="162" t="n"/>
      <c r="C14" s="1515" t="n"/>
      <c r="D14" s="1515" t="n"/>
      <c r="E14" s="1515" t="n"/>
      <c r="F14" s="1515">
        <f>Model!F44</f>
        <v/>
      </c>
      <c r="G14" s="1515">
        <f>Model!G44</f>
        <v/>
      </c>
      <c r="H14" s="778" t="n"/>
      <c r="I14" s="778" t="n"/>
      <c r="J14" s="778" t="n"/>
      <c r="K14" s="778" t="n"/>
      <c r="L14" s="1515">
        <f>Model!L44</f>
        <v/>
      </c>
      <c r="M14" s="778">
        <f>Model!M44</f>
        <v/>
      </c>
      <c r="N14" s="778">
        <f>Model!N44</f>
        <v/>
      </c>
      <c r="O14" s="778">
        <f>Model!O44</f>
        <v/>
      </c>
      <c r="P14" s="778">
        <f>Model!P44</f>
        <v/>
      </c>
      <c r="Q14" s="1515">
        <f>Model!Q44</f>
        <v/>
      </c>
      <c r="R14" s="778">
        <f>Model!R44</f>
        <v/>
      </c>
      <c r="S14" s="778">
        <f>Model!S44</f>
        <v/>
      </c>
      <c r="T14" s="778">
        <f>Model!T44</f>
        <v/>
      </c>
      <c r="U14" s="778">
        <f>Model!U44</f>
        <v/>
      </c>
      <c r="V14" s="1515">
        <f>Model!V44</f>
        <v/>
      </c>
      <c r="W14" s="778">
        <f>Model!W44</f>
        <v/>
      </c>
      <c r="X14" s="778">
        <f>Model!X44</f>
        <v/>
      </c>
      <c r="Y14" s="778">
        <f>Model!Y44</f>
        <v/>
      </c>
      <c r="Z14" s="778">
        <f>Model!Z44</f>
        <v/>
      </c>
      <c r="AA14" s="1515">
        <f>Model!AA44</f>
        <v/>
      </c>
      <c r="AB14" s="778">
        <f>Model!AB44</f>
        <v/>
      </c>
      <c r="AC14" s="778">
        <f>Model!AC44</f>
        <v/>
      </c>
      <c r="AD14" s="778">
        <f>Model!AD44</f>
        <v/>
      </c>
      <c r="AE14" s="778">
        <f>Model!AE44</f>
        <v/>
      </c>
      <c r="AF14" s="1515">
        <f>Model!AF44</f>
        <v/>
      </c>
      <c r="AG14" s="778">
        <f>Model!AG44</f>
        <v/>
      </c>
      <c r="AH14" s="778">
        <f>Model!AH44</f>
        <v/>
      </c>
      <c r="AI14" s="778">
        <f>Model!AI44</f>
        <v/>
      </c>
      <c r="AJ14" s="778">
        <f>Model!AJ44</f>
        <v/>
      </c>
      <c r="AK14" s="1515">
        <f>Model!AK44</f>
        <v/>
      </c>
      <c r="AL14" s="778">
        <f>Model!AL44</f>
        <v/>
      </c>
      <c r="AM14" s="778">
        <f>Model!AM44</f>
        <v/>
      </c>
      <c r="AN14" s="778">
        <f>Model!AN44</f>
        <v/>
      </c>
      <c r="AO14" s="778">
        <f>Model!AO44</f>
        <v/>
      </c>
      <c r="AP14" s="1515">
        <f>Model!AP44</f>
        <v/>
      </c>
      <c r="AQ14" s="778">
        <f>Model!AQ44</f>
        <v/>
      </c>
      <c r="AR14" s="778">
        <f>Model!AR44</f>
        <v/>
      </c>
      <c r="AS14" s="778">
        <f>Model!AS44</f>
        <v/>
      </c>
      <c r="AT14" s="778">
        <f>Model!AT44</f>
        <v/>
      </c>
      <c r="AU14" s="1515">
        <f>Model!AU44</f>
        <v/>
      </c>
      <c r="AV14" s="778">
        <f>Model!AV44</f>
        <v/>
      </c>
      <c r="AW14" s="778">
        <f>Model!AW44</f>
        <v/>
      </c>
      <c r="AX14" s="778">
        <f>Model!AX44</f>
        <v/>
      </c>
      <c r="AY14" s="778">
        <f>Model!AY44</f>
        <v/>
      </c>
      <c r="AZ14" s="1515">
        <f>Model!AZ44</f>
        <v/>
      </c>
      <c r="BA14" s="778">
        <f>Model!BA44</f>
        <v/>
      </c>
      <c r="BB14" s="778">
        <f>Model!BB44</f>
        <v/>
      </c>
      <c r="BC14" s="778">
        <f>Model!BC44</f>
        <v/>
      </c>
      <c r="BD14" s="778">
        <f>Model!BD44</f>
        <v/>
      </c>
      <c r="BE14" s="1515">
        <f>Model!BE44</f>
        <v/>
      </c>
      <c r="BF14" s="778">
        <f>Model!BF44</f>
        <v/>
      </c>
      <c r="BG14" s="778">
        <f>Model!BG44</f>
        <v/>
      </c>
      <c r="BH14" s="778">
        <f>Model!BH44</f>
        <v/>
      </c>
      <c r="BI14" s="778">
        <f>Model!BI44</f>
        <v/>
      </c>
      <c r="BJ14" s="1515">
        <f>Model!BJ44</f>
        <v/>
      </c>
      <c r="BK14" s="778">
        <f>Model!BK44</f>
        <v/>
      </c>
      <c r="BL14" s="778">
        <f>Model!BL44</f>
        <v/>
      </c>
      <c r="BM14" s="778">
        <f>Model!BM44</f>
        <v/>
      </c>
      <c r="BN14" s="778">
        <f>Model!BN44</f>
        <v/>
      </c>
      <c r="BO14" s="1514">
        <f>Model!BO44</f>
        <v/>
      </c>
      <c r="BP14" s="778">
        <f>Model!BP44</f>
        <v/>
      </c>
      <c r="BQ14" s="778">
        <f>Model!BQ44</f>
        <v/>
      </c>
      <c r="BR14" s="778">
        <f>Model!BR44</f>
        <v/>
      </c>
      <c r="BS14" s="778">
        <f>Model!BS44</f>
        <v/>
      </c>
      <c r="BT14" s="1515">
        <f>Model!BT44</f>
        <v/>
      </c>
      <c r="BU14" s="778">
        <f>Model!BU44</f>
        <v/>
      </c>
      <c r="BV14" s="778">
        <f>Model!BV44</f>
        <v/>
      </c>
      <c r="BW14" s="778">
        <f>Model!BW44</f>
        <v/>
      </c>
      <c r="BX14" s="778">
        <f>Model!BX44</f>
        <v/>
      </c>
      <c r="BY14" s="1515">
        <f>Model!BY44</f>
        <v/>
      </c>
      <c r="BZ14" s="1515">
        <f>Model!BZ44</f>
        <v/>
      </c>
      <c r="CA14" s="1515">
        <f>Model!CA44</f>
        <v/>
      </c>
      <c r="CB14" s="1515">
        <f>Model!CB44</f>
        <v/>
      </c>
      <c r="CC14" s="800" t="n"/>
    </row>
    <row r="15" ht="15" customFormat="1" customHeight="1" s="636">
      <c r="A15" s="433">
        <f>Model!A45</f>
        <v/>
      </c>
      <c r="B15" s="162" t="n"/>
      <c r="C15" s="1515" t="n"/>
      <c r="D15" s="1515" t="n"/>
      <c r="E15" s="1515" t="n"/>
      <c r="F15" s="1515">
        <f>Model!F45</f>
        <v/>
      </c>
      <c r="G15" s="1515">
        <f>Model!G45</f>
        <v/>
      </c>
      <c r="H15" s="778" t="n"/>
      <c r="I15" s="778" t="n"/>
      <c r="J15" s="778" t="n"/>
      <c r="K15" s="778" t="n"/>
      <c r="L15" s="1515">
        <f>Model!L45</f>
        <v/>
      </c>
      <c r="M15" s="778">
        <f>Model!M45</f>
        <v/>
      </c>
      <c r="N15" s="778">
        <f>Model!N45</f>
        <v/>
      </c>
      <c r="O15" s="778">
        <f>Model!O45</f>
        <v/>
      </c>
      <c r="P15" s="778">
        <f>Model!P45</f>
        <v/>
      </c>
      <c r="Q15" s="1515">
        <f>Model!Q45</f>
        <v/>
      </c>
      <c r="R15" s="778">
        <f>Model!R45</f>
        <v/>
      </c>
      <c r="S15" s="778">
        <f>Model!S45</f>
        <v/>
      </c>
      <c r="T15" s="778">
        <f>Model!T45</f>
        <v/>
      </c>
      <c r="U15" s="778">
        <f>Model!U45</f>
        <v/>
      </c>
      <c r="V15" s="1515">
        <f>Model!V45</f>
        <v/>
      </c>
      <c r="W15" s="778">
        <f>Model!W45</f>
        <v/>
      </c>
      <c r="X15" s="778">
        <f>Model!X45</f>
        <v/>
      </c>
      <c r="Y15" s="778">
        <f>Model!Y45</f>
        <v/>
      </c>
      <c r="Z15" s="778">
        <f>Model!Z45</f>
        <v/>
      </c>
      <c r="AA15" s="1515">
        <f>Model!AA45</f>
        <v/>
      </c>
      <c r="AB15" s="778">
        <f>Model!AB45</f>
        <v/>
      </c>
      <c r="AC15" s="778">
        <f>Model!AC45</f>
        <v/>
      </c>
      <c r="AD15" s="778">
        <f>Model!AD45</f>
        <v/>
      </c>
      <c r="AE15" s="778">
        <f>Model!AE45</f>
        <v/>
      </c>
      <c r="AF15" s="1515">
        <f>Model!AF45</f>
        <v/>
      </c>
      <c r="AG15" s="778">
        <f>Model!AG45</f>
        <v/>
      </c>
      <c r="AH15" s="778">
        <f>Model!AH45</f>
        <v/>
      </c>
      <c r="AI15" s="778">
        <f>Model!AI45</f>
        <v/>
      </c>
      <c r="AJ15" s="778">
        <f>Model!AJ45</f>
        <v/>
      </c>
      <c r="AK15" s="1515">
        <f>Model!AK45</f>
        <v/>
      </c>
      <c r="AL15" s="778">
        <f>Model!AL45</f>
        <v/>
      </c>
      <c r="AM15" s="778">
        <f>Model!AM45</f>
        <v/>
      </c>
      <c r="AN15" s="778">
        <f>Model!AN45</f>
        <v/>
      </c>
      <c r="AO15" s="778">
        <f>Model!AO45</f>
        <v/>
      </c>
      <c r="AP15" s="1515">
        <f>Model!AP45</f>
        <v/>
      </c>
      <c r="AQ15" s="778">
        <f>Model!AQ45</f>
        <v/>
      </c>
      <c r="AR15" s="778">
        <f>Model!AR45</f>
        <v/>
      </c>
      <c r="AS15" s="778">
        <f>Model!AS45</f>
        <v/>
      </c>
      <c r="AT15" s="778">
        <f>Model!AT45</f>
        <v/>
      </c>
      <c r="AU15" s="1515">
        <f>Model!AU45</f>
        <v/>
      </c>
      <c r="AV15" s="778">
        <f>Model!AV45</f>
        <v/>
      </c>
      <c r="AW15" s="778">
        <f>Model!AW45</f>
        <v/>
      </c>
      <c r="AX15" s="778">
        <f>Model!AX45</f>
        <v/>
      </c>
      <c r="AY15" s="778">
        <f>Model!AY45</f>
        <v/>
      </c>
      <c r="AZ15" s="1515">
        <f>Model!AZ45</f>
        <v/>
      </c>
      <c r="BA15" s="778">
        <f>Model!BA45</f>
        <v/>
      </c>
      <c r="BB15" s="778">
        <f>Model!BB45</f>
        <v/>
      </c>
      <c r="BC15" s="778">
        <f>Model!BC45</f>
        <v/>
      </c>
      <c r="BD15" s="778">
        <f>Model!BD45</f>
        <v/>
      </c>
      <c r="BE15" s="1515">
        <f>Model!BE45</f>
        <v/>
      </c>
      <c r="BF15" s="778">
        <f>Model!BF45</f>
        <v/>
      </c>
      <c r="BG15" s="778">
        <f>Model!BG45</f>
        <v/>
      </c>
      <c r="BH15" s="778">
        <f>Model!BH45</f>
        <v/>
      </c>
      <c r="BI15" s="778">
        <f>Model!BI45</f>
        <v/>
      </c>
      <c r="BJ15" s="1515">
        <f>Model!BJ45</f>
        <v/>
      </c>
      <c r="BK15" s="778">
        <f>Model!BK45</f>
        <v/>
      </c>
      <c r="BL15" s="778">
        <f>Model!BL45</f>
        <v/>
      </c>
      <c r="BM15" s="778">
        <f>Model!BM45</f>
        <v/>
      </c>
      <c r="BN15" s="778">
        <f>Model!BN45</f>
        <v/>
      </c>
      <c r="BO15" s="1514">
        <f>Model!BO45</f>
        <v/>
      </c>
      <c r="BP15" s="778">
        <f>Model!BP45</f>
        <v/>
      </c>
      <c r="BQ15" s="778">
        <f>Model!BQ45</f>
        <v/>
      </c>
      <c r="BR15" s="778">
        <f>Model!BR45</f>
        <v/>
      </c>
      <c r="BS15" s="778">
        <f>Model!BS45</f>
        <v/>
      </c>
      <c r="BT15" s="1515">
        <f>Model!BT45</f>
        <v/>
      </c>
      <c r="BU15" s="778">
        <f>Model!BU45</f>
        <v/>
      </c>
      <c r="BV15" s="778">
        <f>Model!BV45</f>
        <v/>
      </c>
      <c r="BW15" s="778">
        <f>Model!BW45</f>
        <v/>
      </c>
      <c r="BX15" s="778">
        <f>Model!BX45</f>
        <v/>
      </c>
      <c r="BY15" s="1515">
        <f>Model!BY45</f>
        <v/>
      </c>
      <c r="BZ15" s="1515">
        <f>Model!BZ45</f>
        <v/>
      </c>
      <c r="CA15" s="1515">
        <f>Model!CA45</f>
        <v/>
      </c>
      <c r="CB15" s="1515">
        <f>Model!CB45</f>
        <v/>
      </c>
      <c r="CC15" s="800" t="n"/>
    </row>
    <row r="16" ht="15" customFormat="1" customHeight="1" s="636">
      <c r="A16" s="433">
        <f>Model!A46</f>
        <v/>
      </c>
      <c r="B16" s="162" t="n"/>
      <c r="C16" s="1515" t="n"/>
      <c r="D16" s="1515" t="n"/>
      <c r="E16" s="1515" t="n"/>
      <c r="F16" s="1515">
        <f>Model!F46</f>
        <v/>
      </c>
      <c r="G16" s="1515">
        <f>Model!G46</f>
        <v/>
      </c>
      <c r="H16" s="778" t="n"/>
      <c r="I16" s="778" t="n"/>
      <c r="J16" s="778" t="n"/>
      <c r="K16" s="778" t="n"/>
      <c r="L16" s="1515">
        <f>Model!L46</f>
        <v/>
      </c>
      <c r="M16" s="778">
        <f>Model!M46</f>
        <v/>
      </c>
      <c r="N16" s="778">
        <f>Model!N46</f>
        <v/>
      </c>
      <c r="O16" s="778">
        <f>Model!O46</f>
        <v/>
      </c>
      <c r="P16" s="778">
        <f>Model!P46</f>
        <v/>
      </c>
      <c r="Q16" s="1515">
        <f>Model!Q46</f>
        <v/>
      </c>
      <c r="R16" s="778">
        <f>Model!R46</f>
        <v/>
      </c>
      <c r="S16" s="778">
        <f>Model!S46</f>
        <v/>
      </c>
      <c r="T16" s="778">
        <f>Model!T46</f>
        <v/>
      </c>
      <c r="U16" s="778">
        <f>Model!U46</f>
        <v/>
      </c>
      <c r="V16" s="1515">
        <f>Model!V46</f>
        <v/>
      </c>
      <c r="W16" s="778">
        <f>Model!W46</f>
        <v/>
      </c>
      <c r="X16" s="778">
        <f>Model!X46</f>
        <v/>
      </c>
      <c r="Y16" s="778">
        <f>Model!Y46</f>
        <v/>
      </c>
      <c r="Z16" s="778">
        <f>Model!Z46</f>
        <v/>
      </c>
      <c r="AA16" s="1515">
        <f>Model!AA46</f>
        <v/>
      </c>
      <c r="AB16" s="778">
        <f>Model!AB46</f>
        <v/>
      </c>
      <c r="AC16" s="778">
        <f>Model!AC46</f>
        <v/>
      </c>
      <c r="AD16" s="778">
        <f>Model!AD46</f>
        <v/>
      </c>
      <c r="AE16" s="778">
        <f>Model!AE46</f>
        <v/>
      </c>
      <c r="AF16" s="1515">
        <f>Model!AF46</f>
        <v/>
      </c>
      <c r="AG16" s="778">
        <f>Model!AG46</f>
        <v/>
      </c>
      <c r="AH16" s="778">
        <f>Model!AH46</f>
        <v/>
      </c>
      <c r="AI16" s="778">
        <f>Model!AI46</f>
        <v/>
      </c>
      <c r="AJ16" s="778">
        <f>Model!AJ46</f>
        <v/>
      </c>
      <c r="AK16" s="1515">
        <f>Model!AK46</f>
        <v/>
      </c>
      <c r="AL16" s="778">
        <f>Model!AL46</f>
        <v/>
      </c>
      <c r="AM16" s="778">
        <f>Model!AM46</f>
        <v/>
      </c>
      <c r="AN16" s="778">
        <f>Model!AN46</f>
        <v/>
      </c>
      <c r="AO16" s="778">
        <f>Model!AO46</f>
        <v/>
      </c>
      <c r="AP16" s="1515">
        <f>Model!AP46</f>
        <v/>
      </c>
      <c r="AQ16" s="778">
        <f>Model!AQ46</f>
        <v/>
      </c>
      <c r="AR16" s="778">
        <f>Model!AR46</f>
        <v/>
      </c>
      <c r="AS16" s="778">
        <f>Model!AS46</f>
        <v/>
      </c>
      <c r="AT16" s="778">
        <f>Model!AT46</f>
        <v/>
      </c>
      <c r="AU16" s="1515">
        <f>Model!AU46</f>
        <v/>
      </c>
      <c r="AV16" s="778">
        <f>Model!AV46</f>
        <v/>
      </c>
      <c r="AW16" s="778">
        <f>Model!AW46</f>
        <v/>
      </c>
      <c r="AX16" s="778">
        <f>Model!AX46</f>
        <v/>
      </c>
      <c r="AY16" s="778">
        <f>Model!AY46</f>
        <v/>
      </c>
      <c r="AZ16" s="1515">
        <f>Model!AZ46</f>
        <v/>
      </c>
      <c r="BA16" s="778">
        <f>Model!BA46</f>
        <v/>
      </c>
      <c r="BB16" s="778">
        <f>Model!BB46</f>
        <v/>
      </c>
      <c r="BC16" s="778">
        <f>Model!BC46</f>
        <v/>
      </c>
      <c r="BD16" s="778">
        <f>Model!BD46</f>
        <v/>
      </c>
      <c r="BE16" s="1515">
        <f>Model!BE46</f>
        <v/>
      </c>
      <c r="BF16" s="778">
        <f>Model!BF46</f>
        <v/>
      </c>
      <c r="BG16" s="778">
        <f>Model!BG46</f>
        <v/>
      </c>
      <c r="BH16" s="778">
        <f>Model!BH46</f>
        <v/>
      </c>
      <c r="BI16" s="778">
        <f>Model!BI46</f>
        <v/>
      </c>
      <c r="BJ16" s="1515">
        <f>Model!BJ46</f>
        <v/>
      </c>
      <c r="BK16" s="778">
        <f>Model!BK46</f>
        <v/>
      </c>
      <c r="BL16" s="778">
        <f>Model!BL46</f>
        <v/>
      </c>
      <c r="BM16" s="778">
        <f>Model!BM46</f>
        <v/>
      </c>
      <c r="BN16" s="778">
        <f>Model!BN46</f>
        <v/>
      </c>
      <c r="BO16" s="1514">
        <f>Model!BO46</f>
        <v/>
      </c>
      <c r="BP16" s="778">
        <f>Model!BP46</f>
        <v/>
      </c>
      <c r="BQ16" s="778">
        <f>Model!BQ46</f>
        <v/>
      </c>
      <c r="BR16" s="778">
        <f>Model!BR46</f>
        <v/>
      </c>
      <c r="BS16" s="778">
        <f>Model!BS46</f>
        <v/>
      </c>
      <c r="BT16" s="1515">
        <f>Model!BT46</f>
        <v/>
      </c>
      <c r="BU16" s="778">
        <f>Model!BU46</f>
        <v/>
      </c>
      <c r="BV16" s="778">
        <f>Model!BV46</f>
        <v/>
      </c>
      <c r="BW16" s="778">
        <f>Model!BW46</f>
        <v/>
      </c>
      <c r="BX16" s="778">
        <f>Model!BX46</f>
        <v/>
      </c>
      <c r="BY16" s="1515">
        <f>Model!BY46</f>
        <v/>
      </c>
      <c r="BZ16" s="1515">
        <f>Model!BZ46</f>
        <v/>
      </c>
      <c r="CA16" s="1515">
        <f>Model!CA46</f>
        <v/>
      </c>
      <c r="CB16" s="1515">
        <f>Model!CB46</f>
        <v/>
      </c>
      <c r="CC16" s="800" t="n"/>
    </row>
    <row r="17" ht="15" customFormat="1" customHeight="1" s="636">
      <c r="A17" s="433">
        <f>Model!A47</f>
        <v/>
      </c>
      <c r="B17" s="162" t="n"/>
      <c r="C17" s="1515" t="n"/>
      <c r="D17" s="1515" t="n"/>
      <c r="E17" s="1515" t="n"/>
      <c r="F17" s="1515">
        <f>Model!F47</f>
        <v/>
      </c>
      <c r="G17" s="1515">
        <f>Model!G47</f>
        <v/>
      </c>
      <c r="H17" s="778" t="n"/>
      <c r="I17" s="778" t="n"/>
      <c r="J17" s="778" t="n"/>
      <c r="K17" s="778" t="n"/>
      <c r="L17" s="1515">
        <f>Model!L47</f>
        <v/>
      </c>
      <c r="M17" s="778">
        <f>Model!M47</f>
        <v/>
      </c>
      <c r="N17" s="778">
        <f>Model!N47</f>
        <v/>
      </c>
      <c r="O17" s="778">
        <f>Model!O47</f>
        <v/>
      </c>
      <c r="P17" s="778">
        <f>Model!P47</f>
        <v/>
      </c>
      <c r="Q17" s="1515">
        <f>Model!Q47</f>
        <v/>
      </c>
      <c r="R17" s="778">
        <f>Model!R47</f>
        <v/>
      </c>
      <c r="S17" s="778">
        <f>Model!S47</f>
        <v/>
      </c>
      <c r="T17" s="778">
        <f>Model!T47</f>
        <v/>
      </c>
      <c r="U17" s="778">
        <f>Model!U47</f>
        <v/>
      </c>
      <c r="V17" s="1515">
        <f>Model!V47</f>
        <v/>
      </c>
      <c r="W17" s="778">
        <f>Model!W47</f>
        <v/>
      </c>
      <c r="X17" s="778">
        <f>Model!X47</f>
        <v/>
      </c>
      <c r="Y17" s="778">
        <f>Model!Y47</f>
        <v/>
      </c>
      <c r="Z17" s="778">
        <f>Model!Z47</f>
        <v/>
      </c>
      <c r="AA17" s="1515">
        <f>Model!AA47</f>
        <v/>
      </c>
      <c r="AB17" s="778">
        <f>Model!AB47</f>
        <v/>
      </c>
      <c r="AC17" s="778">
        <f>Model!AC47</f>
        <v/>
      </c>
      <c r="AD17" s="778">
        <f>Model!AD47</f>
        <v/>
      </c>
      <c r="AE17" s="778">
        <f>Model!AE47</f>
        <v/>
      </c>
      <c r="AF17" s="1515">
        <f>Model!AF47</f>
        <v/>
      </c>
      <c r="AG17" s="778">
        <f>Model!AG47</f>
        <v/>
      </c>
      <c r="AH17" s="778">
        <f>Model!AH47</f>
        <v/>
      </c>
      <c r="AI17" s="778">
        <f>Model!AI47</f>
        <v/>
      </c>
      <c r="AJ17" s="778">
        <f>Model!AJ47</f>
        <v/>
      </c>
      <c r="AK17" s="1515">
        <f>Model!AK47</f>
        <v/>
      </c>
      <c r="AL17" s="778">
        <f>Model!AL47</f>
        <v/>
      </c>
      <c r="AM17" s="778">
        <f>Model!AM47</f>
        <v/>
      </c>
      <c r="AN17" s="778">
        <f>Model!AN47</f>
        <v/>
      </c>
      <c r="AO17" s="778">
        <f>Model!AO47</f>
        <v/>
      </c>
      <c r="AP17" s="1515">
        <f>Model!AP47</f>
        <v/>
      </c>
      <c r="AQ17" s="778">
        <f>Model!AQ47</f>
        <v/>
      </c>
      <c r="AR17" s="778">
        <f>Model!AR47</f>
        <v/>
      </c>
      <c r="AS17" s="778">
        <f>Model!AS47</f>
        <v/>
      </c>
      <c r="AT17" s="778">
        <f>Model!AT47</f>
        <v/>
      </c>
      <c r="AU17" s="1515">
        <f>Model!AU47</f>
        <v/>
      </c>
      <c r="AV17" s="778">
        <f>Model!AV47</f>
        <v/>
      </c>
      <c r="AW17" s="778">
        <f>Model!AW47</f>
        <v/>
      </c>
      <c r="AX17" s="778">
        <f>Model!AX47</f>
        <v/>
      </c>
      <c r="AY17" s="778">
        <f>Model!AY47</f>
        <v/>
      </c>
      <c r="AZ17" s="1515">
        <f>Model!AZ47</f>
        <v/>
      </c>
      <c r="BA17" s="778">
        <f>Model!BA47</f>
        <v/>
      </c>
      <c r="BB17" s="778">
        <f>Model!BB47</f>
        <v/>
      </c>
      <c r="BC17" s="778">
        <f>Model!BC47</f>
        <v/>
      </c>
      <c r="BD17" s="778">
        <f>Model!BD47</f>
        <v/>
      </c>
      <c r="BE17" s="1515">
        <f>Model!BE47</f>
        <v/>
      </c>
      <c r="BF17" s="778">
        <f>Model!BF47</f>
        <v/>
      </c>
      <c r="BG17" s="778">
        <f>Model!BG47</f>
        <v/>
      </c>
      <c r="BH17" s="778">
        <f>Model!BH47</f>
        <v/>
      </c>
      <c r="BI17" s="778">
        <f>Model!BI47</f>
        <v/>
      </c>
      <c r="BJ17" s="1515">
        <f>Model!BJ47</f>
        <v/>
      </c>
      <c r="BK17" s="778">
        <f>Model!BK47</f>
        <v/>
      </c>
      <c r="BL17" s="778">
        <f>Model!BL47</f>
        <v/>
      </c>
      <c r="BM17" s="778">
        <f>Model!BM47</f>
        <v/>
      </c>
      <c r="BN17" s="778">
        <f>Model!BN47</f>
        <v/>
      </c>
      <c r="BO17" s="1514">
        <f>Model!BO47</f>
        <v/>
      </c>
      <c r="BP17" s="778">
        <f>Model!BP47</f>
        <v/>
      </c>
      <c r="BQ17" s="778">
        <f>Model!BQ47</f>
        <v/>
      </c>
      <c r="BR17" s="778">
        <f>Model!BR47</f>
        <v/>
      </c>
      <c r="BS17" s="778">
        <f>Model!BS47</f>
        <v/>
      </c>
      <c r="BT17" s="1515">
        <f>Model!BT47</f>
        <v/>
      </c>
      <c r="BU17" s="778">
        <f>Model!BU47</f>
        <v/>
      </c>
      <c r="BV17" s="778">
        <f>Model!BV47</f>
        <v/>
      </c>
      <c r="BW17" s="778">
        <f>Model!BW47</f>
        <v/>
      </c>
      <c r="BX17" s="778">
        <f>Model!BX47</f>
        <v/>
      </c>
      <c r="BY17" s="1515">
        <f>Model!BY47</f>
        <v/>
      </c>
      <c r="BZ17" s="1515">
        <f>Model!BZ47</f>
        <v/>
      </c>
      <c r="CA17" s="1515">
        <f>Model!CA47</f>
        <v/>
      </c>
      <c r="CB17" s="1515">
        <f>Model!CB47</f>
        <v/>
      </c>
      <c r="CC17" s="800" t="n"/>
    </row>
    <row r="18" ht="15" customFormat="1" customHeight="1" s="636">
      <c r="A18" s="434">
        <f>Model!A48</f>
        <v/>
      </c>
      <c r="B18" s="251" t="n"/>
      <c r="C18" s="1516" t="n"/>
      <c r="D18" s="1516" t="n"/>
      <c r="E18" s="1516" t="n"/>
      <c r="F18" s="1516">
        <f>Model!F48</f>
        <v/>
      </c>
      <c r="G18" s="1516">
        <f>Model!G48</f>
        <v/>
      </c>
      <c r="H18" s="253" t="n"/>
      <c r="I18" s="253" t="n"/>
      <c r="J18" s="253" t="n"/>
      <c r="K18" s="253" t="n"/>
      <c r="L18" s="1516">
        <f>Model!L48</f>
        <v/>
      </c>
      <c r="M18" s="253">
        <f>Model!M48</f>
        <v/>
      </c>
      <c r="N18" s="253">
        <f>Model!N48</f>
        <v/>
      </c>
      <c r="O18" s="253">
        <f>Model!O48</f>
        <v/>
      </c>
      <c r="P18" s="253">
        <f>Model!P48</f>
        <v/>
      </c>
      <c r="Q18" s="1516">
        <f>Model!Q48</f>
        <v/>
      </c>
      <c r="R18" s="253">
        <f>Model!R48</f>
        <v/>
      </c>
      <c r="S18" s="253">
        <f>Model!S48</f>
        <v/>
      </c>
      <c r="T18" s="253">
        <f>Model!T48</f>
        <v/>
      </c>
      <c r="U18" s="253">
        <f>Model!U48</f>
        <v/>
      </c>
      <c r="V18" s="1516">
        <f>Model!V48</f>
        <v/>
      </c>
      <c r="W18" s="253">
        <f>Model!W48</f>
        <v/>
      </c>
      <c r="X18" s="253">
        <f>Model!X48</f>
        <v/>
      </c>
      <c r="Y18" s="253">
        <f>Model!Y48</f>
        <v/>
      </c>
      <c r="Z18" s="253">
        <f>Model!Z48</f>
        <v/>
      </c>
      <c r="AA18" s="1516">
        <f>Model!AA48</f>
        <v/>
      </c>
      <c r="AB18" s="253">
        <f>Model!AB48</f>
        <v/>
      </c>
      <c r="AC18" s="253">
        <f>Model!AC48</f>
        <v/>
      </c>
      <c r="AD18" s="253">
        <f>Model!AD48</f>
        <v/>
      </c>
      <c r="AE18" s="253">
        <f>Model!AE48</f>
        <v/>
      </c>
      <c r="AF18" s="1516">
        <f>Model!AF48</f>
        <v/>
      </c>
      <c r="AG18" s="253">
        <f>Model!AG48</f>
        <v/>
      </c>
      <c r="AH18" s="253">
        <f>Model!AH48</f>
        <v/>
      </c>
      <c r="AI18" s="253">
        <f>Model!AI48</f>
        <v/>
      </c>
      <c r="AJ18" s="253">
        <f>Model!AJ48</f>
        <v/>
      </c>
      <c r="AK18" s="1516">
        <f>Model!AK48</f>
        <v/>
      </c>
      <c r="AL18" s="253">
        <f>Model!AL48</f>
        <v/>
      </c>
      <c r="AM18" s="253">
        <f>Model!AM48</f>
        <v/>
      </c>
      <c r="AN18" s="253">
        <f>Model!AN48</f>
        <v/>
      </c>
      <c r="AO18" s="253">
        <f>Model!AO48</f>
        <v/>
      </c>
      <c r="AP18" s="1516">
        <f>Model!AP48</f>
        <v/>
      </c>
      <c r="AQ18" s="253">
        <f>Model!AQ48</f>
        <v/>
      </c>
      <c r="AR18" s="253">
        <f>Model!AR48</f>
        <v/>
      </c>
      <c r="AS18" s="253">
        <f>Model!AS48</f>
        <v/>
      </c>
      <c r="AT18" s="253">
        <f>Model!AT48</f>
        <v/>
      </c>
      <c r="AU18" s="1516">
        <f>Model!AU48</f>
        <v/>
      </c>
      <c r="AV18" s="253">
        <f>Model!AV48</f>
        <v/>
      </c>
      <c r="AW18" s="253">
        <f>Model!AW48</f>
        <v/>
      </c>
      <c r="AX18" s="253">
        <f>Model!AX48</f>
        <v/>
      </c>
      <c r="AY18" s="253">
        <f>Model!AY48</f>
        <v/>
      </c>
      <c r="AZ18" s="1516">
        <f>Model!AZ48</f>
        <v/>
      </c>
      <c r="BA18" s="253">
        <f>Model!BA48</f>
        <v/>
      </c>
      <c r="BB18" s="253">
        <f>Model!BB48</f>
        <v/>
      </c>
      <c r="BC18" s="253">
        <f>Model!BC48</f>
        <v/>
      </c>
      <c r="BD18" s="253">
        <f>Model!BD48</f>
        <v/>
      </c>
      <c r="BE18" s="1516">
        <f>Model!BE48</f>
        <v/>
      </c>
      <c r="BF18" s="253">
        <f>Model!BF48</f>
        <v/>
      </c>
      <c r="BG18" s="253">
        <f>Model!BG48</f>
        <v/>
      </c>
      <c r="BH18" s="253">
        <f>Model!BH48</f>
        <v/>
      </c>
      <c r="BI18" s="253">
        <f>Model!BI48</f>
        <v/>
      </c>
      <c r="BJ18" s="1516">
        <f>Model!BJ48</f>
        <v/>
      </c>
      <c r="BK18" s="253">
        <f>Model!BK48</f>
        <v/>
      </c>
      <c r="BL18" s="253">
        <f>Model!BL48</f>
        <v/>
      </c>
      <c r="BM18" s="253">
        <f>Model!BM48</f>
        <v/>
      </c>
      <c r="BN18" s="253">
        <f>Model!BN48</f>
        <v/>
      </c>
      <c r="BO18" s="1517">
        <f>Model!BO48</f>
        <v/>
      </c>
      <c r="BP18" s="253">
        <f>Model!BP48</f>
        <v/>
      </c>
      <c r="BQ18" s="253">
        <f>Model!BQ48</f>
        <v/>
      </c>
      <c r="BR18" s="253">
        <f>Model!BR48</f>
        <v/>
      </c>
      <c r="BS18" s="253">
        <f>Model!BS48</f>
        <v/>
      </c>
      <c r="BT18" s="1516">
        <f>Model!BT48</f>
        <v/>
      </c>
      <c r="BU18" s="253">
        <f>Model!BU48</f>
        <v/>
      </c>
      <c r="BV18" s="253">
        <f>Model!BV48</f>
        <v/>
      </c>
      <c r="BW18" s="253">
        <f>Model!BW48</f>
        <v/>
      </c>
      <c r="BX18" s="253">
        <f>Model!BX48</f>
        <v/>
      </c>
      <c r="BY18" s="1516">
        <f>Model!BY48</f>
        <v/>
      </c>
      <c r="BZ18" s="1516">
        <f>Model!BZ48</f>
        <v/>
      </c>
      <c r="CA18" s="1516">
        <f>Model!CA48</f>
        <v/>
      </c>
      <c r="CB18" s="1516">
        <f>Model!CB48</f>
        <v/>
      </c>
      <c r="CC18" s="800" t="n"/>
    </row>
    <row r="19" ht="15" customFormat="1" customHeight="1" s="636">
      <c r="A19" s="120">
        <f>Model!A49</f>
        <v/>
      </c>
      <c r="B19" s="162" t="n"/>
      <c r="C19" s="1515" t="n"/>
      <c r="D19" s="1515">
        <f>Model!D49</f>
        <v/>
      </c>
      <c r="E19" s="1515">
        <f>Model!E49</f>
        <v/>
      </c>
      <c r="F19" s="1515">
        <f>Model!F49</f>
        <v/>
      </c>
      <c r="G19" s="1515">
        <f>Model!G49</f>
        <v/>
      </c>
      <c r="H19" s="778" t="n"/>
      <c r="I19" s="778" t="n"/>
      <c r="J19" s="778" t="n"/>
      <c r="K19" s="778" t="n"/>
      <c r="L19" s="1515">
        <f>Model!L49</f>
        <v/>
      </c>
      <c r="M19" s="778">
        <f>Model!M49</f>
        <v/>
      </c>
      <c r="N19" s="778">
        <f>Model!N49</f>
        <v/>
      </c>
      <c r="O19" s="778">
        <f>Model!O49</f>
        <v/>
      </c>
      <c r="P19" s="778">
        <f>Model!P49</f>
        <v/>
      </c>
      <c r="Q19" s="1515">
        <f>Model!Q49</f>
        <v/>
      </c>
      <c r="R19" s="778">
        <f>Model!R49</f>
        <v/>
      </c>
      <c r="S19" s="778">
        <f>Model!S49</f>
        <v/>
      </c>
      <c r="T19" s="778">
        <f>Model!T49</f>
        <v/>
      </c>
      <c r="U19" s="778">
        <f>Model!U49</f>
        <v/>
      </c>
      <c r="V19" s="1515">
        <f>Model!V49</f>
        <v/>
      </c>
      <c r="W19" s="778">
        <f>Model!W49</f>
        <v/>
      </c>
      <c r="X19" s="778">
        <f>Model!X49</f>
        <v/>
      </c>
      <c r="Y19" s="778">
        <f>Model!Y49</f>
        <v/>
      </c>
      <c r="Z19" s="778">
        <f>Model!Z49</f>
        <v/>
      </c>
      <c r="AA19" s="1515">
        <f>Model!AA49</f>
        <v/>
      </c>
      <c r="AB19" s="778">
        <f>Model!AB49</f>
        <v/>
      </c>
      <c r="AC19" s="778">
        <f>Model!AC49</f>
        <v/>
      </c>
      <c r="AD19" s="778">
        <f>Model!AD49</f>
        <v/>
      </c>
      <c r="AE19" s="778">
        <f>Model!AE49</f>
        <v/>
      </c>
      <c r="AF19" s="1515">
        <f>Model!AF49</f>
        <v/>
      </c>
      <c r="AG19" s="778">
        <f>Model!AG49</f>
        <v/>
      </c>
      <c r="AH19" s="778">
        <f>Model!AH49</f>
        <v/>
      </c>
      <c r="AI19" s="778">
        <f>Model!AI49</f>
        <v/>
      </c>
      <c r="AJ19" s="778">
        <f>Model!AJ49</f>
        <v/>
      </c>
      <c r="AK19" s="1515">
        <f>Model!AK49</f>
        <v/>
      </c>
      <c r="AL19" s="778">
        <f>Model!AL49</f>
        <v/>
      </c>
      <c r="AM19" s="778">
        <f>Model!AM49</f>
        <v/>
      </c>
      <c r="AN19" s="778">
        <f>Model!AN49</f>
        <v/>
      </c>
      <c r="AO19" s="778">
        <f>Model!AO49</f>
        <v/>
      </c>
      <c r="AP19" s="1515">
        <f>Model!AP49</f>
        <v/>
      </c>
      <c r="AQ19" s="778">
        <f>Model!AQ49</f>
        <v/>
      </c>
      <c r="AR19" s="778">
        <f>Model!AR49</f>
        <v/>
      </c>
      <c r="AS19" s="778">
        <f>Model!AS49</f>
        <v/>
      </c>
      <c r="AT19" s="778">
        <f>Model!AT49</f>
        <v/>
      </c>
      <c r="AU19" s="1515">
        <f>Model!AU49</f>
        <v/>
      </c>
      <c r="AV19" s="778">
        <f>Model!AV49</f>
        <v/>
      </c>
      <c r="AW19" s="778">
        <f>Model!AW49</f>
        <v/>
      </c>
      <c r="AX19" s="778">
        <f>Model!AX49</f>
        <v/>
      </c>
      <c r="AY19" s="778">
        <f>Model!AY49</f>
        <v/>
      </c>
      <c r="AZ19" s="1515">
        <f>Model!AZ49</f>
        <v/>
      </c>
      <c r="BA19" s="778">
        <f>Model!BA49</f>
        <v/>
      </c>
      <c r="BB19" s="778">
        <f>Model!BB49</f>
        <v/>
      </c>
      <c r="BC19" s="778">
        <f>Model!BC49</f>
        <v/>
      </c>
      <c r="BD19" s="778">
        <f>Model!BD49</f>
        <v/>
      </c>
      <c r="BE19" s="1515">
        <f>Model!BE49</f>
        <v/>
      </c>
      <c r="BF19" s="778">
        <f>Model!BF49</f>
        <v/>
      </c>
      <c r="BG19" s="778">
        <f>Model!BG49</f>
        <v/>
      </c>
      <c r="BH19" s="778">
        <f>Model!BH49</f>
        <v/>
      </c>
      <c r="BI19" s="778">
        <f>Model!BI49</f>
        <v/>
      </c>
      <c r="BJ19" s="1515">
        <f>Model!BJ49</f>
        <v/>
      </c>
      <c r="BK19" s="778">
        <f>Model!BK49</f>
        <v/>
      </c>
      <c r="BL19" s="778">
        <f>Model!BL49</f>
        <v/>
      </c>
      <c r="BM19" s="778">
        <f>Model!BM49</f>
        <v/>
      </c>
      <c r="BN19" s="778">
        <f>Model!BN49</f>
        <v/>
      </c>
      <c r="BO19" s="1514">
        <f>Model!BO49</f>
        <v/>
      </c>
      <c r="BP19" s="778">
        <f>Model!BP49</f>
        <v/>
      </c>
      <c r="BQ19" s="778">
        <f>Model!BQ49</f>
        <v/>
      </c>
      <c r="BR19" s="778">
        <f>Model!BR49</f>
        <v/>
      </c>
      <c r="BS19" s="778">
        <f>Model!BS49</f>
        <v/>
      </c>
      <c r="BT19" s="1515">
        <f>Model!BT49</f>
        <v/>
      </c>
      <c r="BU19" s="778">
        <f>Model!BU49</f>
        <v/>
      </c>
      <c r="BV19" s="778">
        <f>Model!BV49</f>
        <v/>
      </c>
      <c r="BW19" s="778">
        <f>Model!BW49</f>
        <v/>
      </c>
      <c r="BX19" s="778">
        <f>Model!BX49</f>
        <v/>
      </c>
      <c r="BY19" s="1515">
        <f>Model!BY49</f>
        <v/>
      </c>
      <c r="BZ19" s="1515">
        <f>Model!BZ49</f>
        <v/>
      </c>
      <c r="CA19" s="1515">
        <f>Model!CA49</f>
        <v/>
      </c>
      <c r="CB19" s="1515">
        <f>Model!CB49</f>
        <v/>
      </c>
      <c r="CC19" s="800" t="n"/>
    </row>
    <row r="20" ht="15" customFormat="1" customHeight="1" s="636">
      <c r="A20" s="220">
        <f>Model!A50</f>
        <v/>
      </c>
      <c r="B20" s="251" t="n"/>
      <c r="C20" s="1516" t="n"/>
      <c r="D20" s="1516">
        <f>Model!D50</f>
        <v/>
      </c>
      <c r="E20" s="1516">
        <f>Model!E50</f>
        <v/>
      </c>
      <c r="F20" s="1516">
        <f>Model!F50</f>
        <v/>
      </c>
      <c r="G20" s="1516">
        <f>Model!G50</f>
        <v/>
      </c>
      <c r="H20" s="253" t="n"/>
      <c r="I20" s="253" t="n"/>
      <c r="J20" s="253" t="n"/>
      <c r="K20" s="253" t="n"/>
      <c r="L20" s="1516">
        <f>Model!L50</f>
        <v/>
      </c>
      <c r="M20" s="253">
        <f>Model!M50</f>
        <v/>
      </c>
      <c r="N20" s="253">
        <f>Model!N50</f>
        <v/>
      </c>
      <c r="O20" s="253">
        <f>Model!O50</f>
        <v/>
      </c>
      <c r="P20" s="253">
        <f>Model!P50</f>
        <v/>
      </c>
      <c r="Q20" s="1516">
        <f>Model!Q50</f>
        <v/>
      </c>
      <c r="R20" s="253">
        <f>Model!R50</f>
        <v/>
      </c>
      <c r="S20" s="253">
        <f>Model!S50</f>
        <v/>
      </c>
      <c r="T20" s="253">
        <f>Model!T50</f>
        <v/>
      </c>
      <c r="U20" s="253">
        <f>Model!U50</f>
        <v/>
      </c>
      <c r="V20" s="1516">
        <f>Model!V50</f>
        <v/>
      </c>
      <c r="W20" s="253">
        <f>Model!W50</f>
        <v/>
      </c>
      <c r="X20" s="253">
        <f>Model!X50</f>
        <v/>
      </c>
      <c r="Y20" s="253">
        <f>Model!Y50</f>
        <v/>
      </c>
      <c r="Z20" s="253">
        <f>Model!Z50</f>
        <v/>
      </c>
      <c r="AA20" s="1516">
        <f>Model!AA50</f>
        <v/>
      </c>
      <c r="AB20" s="253">
        <f>Model!AB50</f>
        <v/>
      </c>
      <c r="AC20" s="253">
        <f>Model!AC50</f>
        <v/>
      </c>
      <c r="AD20" s="253">
        <f>Model!AD50</f>
        <v/>
      </c>
      <c r="AE20" s="253">
        <f>Model!AE50</f>
        <v/>
      </c>
      <c r="AF20" s="1516">
        <f>Model!AF50</f>
        <v/>
      </c>
      <c r="AG20" s="253">
        <f>Model!AG50</f>
        <v/>
      </c>
      <c r="AH20" s="253">
        <f>Model!AH50</f>
        <v/>
      </c>
      <c r="AI20" s="253">
        <f>Model!AI50</f>
        <v/>
      </c>
      <c r="AJ20" s="253">
        <f>Model!AJ50</f>
        <v/>
      </c>
      <c r="AK20" s="1516">
        <f>Model!AK50</f>
        <v/>
      </c>
      <c r="AL20" s="253">
        <f>Model!AL50</f>
        <v/>
      </c>
      <c r="AM20" s="253">
        <f>Model!AM50</f>
        <v/>
      </c>
      <c r="AN20" s="253">
        <f>Model!AN50</f>
        <v/>
      </c>
      <c r="AO20" s="253">
        <f>Model!AO50</f>
        <v/>
      </c>
      <c r="AP20" s="1516">
        <f>Model!AP50</f>
        <v/>
      </c>
      <c r="AQ20" s="253">
        <f>Model!AQ50</f>
        <v/>
      </c>
      <c r="AR20" s="253">
        <f>Model!AR50</f>
        <v/>
      </c>
      <c r="AS20" s="253">
        <f>Model!AS50</f>
        <v/>
      </c>
      <c r="AT20" s="253">
        <f>Model!AT50</f>
        <v/>
      </c>
      <c r="AU20" s="1516">
        <f>Model!AU50</f>
        <v/>
      </c>
      <c r="AV20" s="253">
        <f>Model!AV50</f>
        <v/>
      </c>
      <c r="AW20" s="253">
        <f>Model!AW50</f>
        <v/>
      </c>
      <c r="AX20" s="253">
        <f>Model!AX50</f>
        <v/>
      </c>
      <c r="AY20" s="253">
        <f>Model!AY50</f>
        <v/>
      </c>
      <c r="AZ20" s="1516">
        <f>Model!AZ50</f>
        <v/>
      </c>
      <c r="BA20" s="253">
        <f>Model!BA50</f>
        <v/>
      </c>
      <c r="BB20" s="253">
        <f>Model!BB50</f>
        <v/>
      </c>
      <c r="BC20" s="253">
        <f>Model!BC50</f>
        <v/>
      </c>
      <c r="BD20" s="253">
        <f>Model!BD50</f>
        <v/>
      </c>
      <c r="BE20" s="1516">
        <f>Model!BE50</f>
        <v/>
      </c>
      <c r="BF20" s="253">
        <f>Model!BF50</f>
        <v/>
      </c>
      <c r="BG20" s="253">
        <f>Model!BG50</f>
        <v/>
      </c>
      <c r="BH20" s="253">
        <f>Model!BH50</f>
        <v/>
      </c>
      <c r="BI20" s="253">
        <f>Model!BI50</f>
        <v/>
      </c>
      <c r="BJ20" s="1516">
        <f>Model!BJ50</f>
        <v/>
      </c>
      <c r="BK20" s="253">
        <f>Model!BK50</f>
        <v/>
      </c>
      <c r="BL20" s="253">
        <f>Model!BL50</f>
        <v/>
      </c>
      <c r="BM20" s="253">
        <f>Model!BM50</f>
        <v/>
      </c>
      <c r="BN20" s="253">
        <f>Model!BN50</f>
        <v/>
      </c>
      <c r="BO20" s="1517">
        <f>Model!BO50</f>
        <v/>
      </c>
      <c r="BP20" s="253">
        <f>Model!BP50</f>
        <v/>
      </c>
      <c r="BQ20" s="253">
        <f>Model!BQ50</f>
        <v/>
      </c>
      <c r="BR20" s="253">
        <f>Model!BR50</f>
        <v/>
      </c>
      <c r="BS20" s="253">
        <f>Model!BS50</f>
        <v/>
      </c>
      <c r="BT20" s="1516">
        <f>Model!BT50</f>
        <v/>
      </c>
      <c r="BU20" s="253">
        <f>Model!BU50</f>
        <v/>
      </c>
      <c r="BV20" s="253">
        <f>Model!BV50</f>
        <v/>
      </c>
      <c r="BW20" s="253">
        <f>Model!BW50</f>
        <v/>
      </c>
      <c r="BX20" s="253">
        <f>Model!BX50</f>
        <v/>
      </c>
      <c r="BY20" s="1516">
        <f>Model!BY50</f>
        <v/>
      </c>
      <c r="BZ20" s="1516">
        <f>Model!BZ50</f>
        <v/>
      </c>
      <c r="CA20" s="1516">
        <f>Model!CA50</f>
        <v/>
      </c>
      <c r="CB20" s="1516">
        <f>Model!CB50</f>
        <v/>
      </c>
      <c r="CC20" s="800" t="n"/>
    </row>
    <row r="21" ht="15" customFormat="1" customHeight="1" s="637">
      <c r="A21" s="167">
        <f>Model!A51</f>
        <v/>
      </c>
      <c r="B21" s="168" t="n"/>
      <c r="C21" s="1520" t="n"/>
      <c r="D21" s="1520">
        <f>Model!D51</f>
        <v/>
      </c>
      <c r="E21" s="1520">
        <f>Model!E51</f>
        <v/>
      </c>
      <c r="F21" s="1520">
        <f>Model!F51</f>
        <v/>
      </c>
      <c r="G21" s="1520">
        <f>Model!G51</f>
        <v/>
      </c>
      <c r="H21" s="780" t="n"/>
      <c r="I21" s="780" t="n"/>
      <c r="J21" s="780" t="n"/>
      <c r="K21" s="780" t="n"/>
      <c r="L21" s="1520">
        <f>Model!L51</f>
        <v/>
      </c>
      <c r="M21" s="780">
        <f>Model!M51</f>
        <v/>
      </c>
      <c r="N21" s="780">
        <f>Model!N51</f>
        <v/>
      </c>
      <c r="O21" s="780">
        <f>Model!O51</f>
        <v/>
      </c>
      <c r="P21" s="780">
        <f>Model!P51</f>
        <v/>
      </c>
      <c r="Q21" s="1520">
        <f>Model!Q51</f>
        <v/>
      </c>
      <c r="R21" s="780">
        <f>Model!R51</f>
        <v/>
      </c>
      <c r="S21" s="780">
        <f>Model!S51</f>
        <v/>
      </c>
      <c r="T21" s="780">
        <f>Model!T51</f>
        <v/>
      </c>
      <c r="U21" s="780">
        <f>Model!U51</f>
        <v/>
      </c>
      <c r="V21" s="1520">
        <f>Model!V51</f>
        <v/>
      </c>
      <c r="W21" s="780">
        <f>Model!W51</f>
        <v/>
      </c>
      <c r="X21" s="780">
        <f>Model!X51</f>
        <v/>
      </c>
      <c r="Y21" s="780">
        <f>Model!Y51</f>
        <v/>
      </c>
      <c r="Z21" s="780">
        <f>Model!Z51</f>
        <v/>
      </c>
      <c r="AA21" s="1520">
        <f>Model!AA51</f>
        <v/>
      </c>
      <c r="AB21" s="780">
        <f>Model!AB51</f>
        <v/>
      </c>
      <c r="AC21" s="780">
        <f>Model!AC51</f>
        <v/>
      </c>
      <c r="AD21" s="780">
        <f>Model!AD51</f>
        <v/>
      </c>
      <c r="AE21" s="780">
        <f>Model!AE51</f>
        <v/>
      </c>
      <c r="AF21" s="1520">
        <f>Model!AF51</f>
        <v/>
      </c>
      <c r="AG21" s="780">
        <f>Model!AG51</f>
        <v/>
      </c>
      <c r="AH21" s="780">
        <f>Model!AH51</f>
        <v/>
      </c>
      <c r="AI21" s="780">
        <f>Model!AI51</f>
        <v/>
      </c>
      <c r="AJ21" s="780">
        <f>Model!AJ51</f>
        <v/>
      </c>
      <c r="AK21" s="1520">
        <f>Model!AK51</f>
        <v/>
      </c>
      <c r="AL21" s="780">
        <f>Model!AL51</f>
        <v/>
      </c>
      <c r="AM21" s="780">
        <f>Model!AM51</f>
        <v/>
      </c>
      <c r="AN21" s="780">
        <f>Model!AN51</f>
        <v/>
      </c>
      <c r="AO21" s="780">
        <f>Model!AO51</f>
        <v/>
      </c>
      <c r="AP21" s="1520">
        <f>Model!AP51</f>
        <v/>
      </c>
      <c r="AQ21" s="780">
        <f>Model!AQ51</f>
        <v/>
      </c>
      <c r="AR21" s="780">
        <f>Model!AR51</f>
        <v/>
      </c>
      <c r="AS21" s="780">
        <f>Model!AS51</f>
        <v/>
      </c>
      <c r="AT21" s="780">
        <f>Model!AT51</f>
        <v/>
      </c>
      <c r="AU21" s="1520">
        <f>Model!AU51</f>
        <v/>
      </c>
      <c r="AV21" s="780">
        <f>Model!AV51</f>
        <v/>
      </c>
      <c r="AW21" s="780">
        <f>Model!AW51</f>
        <v/>
      </c>
      <c r="AX21" s="780">
        <f>Model!AX51</f>
        <v/>
      </c>
      <c r="AY21" s="780">
        <f>Model!AY51</f>
        <v/>
      </c>
      <c r="AZ21" s="1520">
        <f>Model!AZ51</f>
        <v/>
      </c>
      <c r="BA21" s="780">
        <f>Model!BA51</f>
        <v/>
      </c>
      <c r="BB21" s="780">
        <f>Model!BB51</f>
        <v/>
      </c>
      <c r="BC21" s="780">
        <f>Model!BC51</f>
        <v/>
      </c>
      <c r="BD21" s="780">
        <f>Model!BD51</f>
        <v/>
      </c>
      <c r="BE21" s="1520">
        <f>Model!BE51</f>
        <v/>
      </c>
      <c r="BF21" s="780">
        <f>Model!BF51</f>
        <v/>
      </c>
      <c r="BG21" s="780">
        <f>Model!BG51</f>
        <v/>
      </c>
      <c r="BH21" s="780">
        <f>Model!BH51</f>
        <v/>
      </c>
      <c r="BI21" s="780">
        <f>Model!BI51</f>
        <v/>
      </c>
      <c r="BJ21" s="1520">
        <f>Model!BJ51</f>
        <v/>
      </c>
      <c r="BK21" s="780">
        <f>Model!BK51</f>
        <v/>
      </c>
      <c r="BL21" s="780">
        <f>Model!BL51</f>
        <v/>
      </c>
      <c r="BM21" s="780">
        <f>Model!BM51</f>
        <v/>
      </c>
      <c r="BN21" s="780">
        <f>Model!BN51</f>
        <v/>
      </c>
      <c r="BO21" s="1519">
        <f>Model!BO51</f>
        <v/>
      </c>
      <c r="BP21" s="780">
        <f>Model!BP51</f>
        <v/>
      </c>
      <c r="BQ21" s="780">
        <f>Model!BQ51</f>
        <v/>
      </c>
      <c r="BR21" s="780">
        <f>Model!BR51</f>
        <v/>
      </c>
      <c r="BS21" s="780">
        <f>Model!BS51</f>
        <v/>
      </c>
      <c r="BT21" s="1520">
        <f>Model!BT51</f>
        <v/>
      </c>
      <c r="BU21" s="780">
        <f>Model!BU51</f>
        <v/>
      </c>
      <c r="BV21" s="780">
        <f>Model!BV51</f>
        <v/>
      </c>
      <c r="BW21" s="780">
        <f>Model!BW51</f>
        <v/>
      </c>
      <c r="BX21" s="780">
        <f>Model!BX51</f>
        <v/>
      </c>
      <c r="BY21" s="1520">
        <f>Model!BY51</f>
        <v/>
      </c>
      <c r="BZ21" s="1520">
        <f>Model!BZ51</f>
        <v/>
      </c>
      <c r="CA21" s="1520">
        <f>Model!CA51</f>
        <v/>
      </c>
      <c r="CB21" s="1520">
        <f>Model!CB51</f>
        <v/>
      </c>
      <c r="CC21" s="188" t="n"/>
    </row>
    <row r="22" ht="15" customFormat="1" customHeight="1" s="636">
      <c r="A22" s="163" t="n"/>
      <c r="B22" s="162" t="n"/>
      <c r="C22" s="1515" t="n"/>
      <c r="D22" s="1515" t="n"/>
      <c r="E22" s="1515" t="n"/>
      <c r="F22" s="1515" t="n"/>
      <c r="G22" s="1515" t="n"/>
      <c r="H22" s="778" t="n"/>
      <c r="I22" s="778" t="n"/>
      <c r="J22" s="778" t="n"/>
      <c r="K22" s="778" t="n"/>
      <c r="L22" s="1515" t="n"/>
      <c r="M22" s="778" t="n"/>
      <c r="N22" s="778" t="n"/>
      <c r="O22" s="778" t="n"/>
      <c r="P22" s="778" t="n"/>
      <c r="Q22" s="1515" t="n"/>
      <c r="R22" s="778" t="n"/>
      <c r="S22" s="778" t="n"/>
      <c r="T22" s="778" t="n"/>
      <c r="U22" s="778" t="n"/>
      <c r="V22" s="1515" t="n"/>
      <c r="W22" s="778" t="n"/>
      <c r="X22" s="778" t="n"/>
      <c r="Y22" s="778" t="n"/>
      <c r="Z22" s="778" t="n"/>
      <c r="AA22" s="1515" t="n"/>
      <c r="AB22" s="778" t="n"/>
      <c r="AC22" s="778" t="n"/>
      <c r="AD22" s="778" t="n"/>
      <c r="AE22" s="778" t="n"/>
      <c r="AF22" s="1515" t="n"/>
      <c r="AG22" s="778" t="n"/>
      <c r="AH22" s="778" t="n"/>
      <c r="AI22" s="778" t="n"/>
      <c r="AJ22" s="778" t="n"/>
      <c r="AK22" s="1515" t="n"/>
      <c r="AL22" s="778" t="n"/>
      <c r="AM22" s="778" t="n"/>
      <c r="AN22" s="778" t="n"/>
      <c r="AO22" s="778" t="n"/>
      <c r="AP22" s="1515" t="n"/>
      <c r="AQ22" s="778" t="n"/>
      <c r="AR22" s="778" t="n"/>
      <c r="AS22" s="778" t="n"/>
      <c r="AT22" s="778" t="n"/>
      <c r="AU22" s="1515" t="n"/>
      <c r="AV22" s="778" t="n"/>
      <c r="AW22" s="778" t="n"/>
      <c r="AX22" s="778" t="n"/>
      <c r="AY22" s="778" t="n"/>
      <c r="AZ22" s="1515" t="n"/>
      <c r="BA22" s="778" t="n"/>
      <c r="BB22" s="778" t="n"/>
      <c r="BC22" s="778" t="n"/>
      <c r="BD22" s="778" t="n"/>
      <c r="BE22" s="1515" t="n"/>
      <c r="BF22" s="778" t="n"/>
      <c r="BG22" s="778" t="n"/>
      <c r="BH22" s="778" t="n"/>
      <c r="BI22" s="778" t="n"/>
      <c r="BJ22" s="1515" t="n"/>
      <c r="BK22" s="778" t="n"/>
      <c r="BL22" s="778" t="n"/>
      <c r="BM22" s="778" t="n"/>
      <c r="BN22" s="778" t="n"/>
      <c r="BO22" s="1514" t="n"/>
      <c r="BP22" s="778" t="n"/>
      <c r="BQ22" s="778" t="n"/>
      <c r="BR22" s="778" t="n"/>
      <c r="BS22" s="778" t="n"/>
      <c r="BT22" s="1515" t="n"/>
      <c r="BU22" s="778" t="n"/>
      <c r="BV22" s="778" t="n"/>
      <c r="BW22" s="778" t="n"/>
      <c r="BX22" s="778" t="n"/>
      <c r="BY22" s="1515" t="n"/>
      <c r="BZ22" s="1515" t="n"/>
      <c r="CA22" s="1515" t="n"/>
      <c r="CB22" s="1515" t="n"/>
      <c r="CC22" s="800" t="n"/>
    </row>
    <row r="23" ht="15" customHeight="1" s="595">
      <c r="A23" s="2121" t="inlineStr">
        <is>
          <t>GAAP Financials</t>
        </is>
      </c>
      <c r="B23" s="2144" t="n"/>
      <c r="C23" s="2144" t="n"/>
      <c r="D23" s="2144" t="n"/>
      <c r="E23" s="2144" t="n"/>
      <c r="F23" s="2144" t="n"/>
      <c r="G23" s="2144" t="n"/>
      <c r="H23" s="2144" t="n"/>
      <c r="I23" s="2144" t="n"/>
      <c r="J23" s="2144" t="n"/>
      <c r="K23" s="2144" t="n"/>
      <c r="L23" s="2144" t="n"/>
      <c r="M23" s="2144" t="n"/>
      <c r="N23" s="2144" t="n"/>
      <c r="O23" s="2144" t="n"/>
      <c r="P23" s="2144" t="n"/>
      <c r="Q23" s="2144" t="n"/>
      <c r="R23" s="2144" t="n"/>
      <c r="S23" s="2144" t="n"/>
      <c r="T23" s="2144" t="n"/>
      <c r="U23" s="2144" t="n"/>
      <c r="V23" s="2144" t="n"/>
      <c r="W23" s="2144" t="n"/>
      <c r="X23" s="2144" t="n"/>
      <c r="Y23" s="2144" t="n"/>
      <c r="Z23" s="2144" t="n"/>
      <c r="AA23" s="2144" t="n"/>
      <c r="AB23" s="2144" t="n"/>
      <c r="AC23" s="2144" t="n"/>
      <c r="AD23" s="2144" t="n"/>
      <c r="AE23" s="2144" t="n"/>
      <c r="AF23" s="2144" t="n"/>
      <c r="AG23" s="2144" t="n"/>
      <c r="AH23" s="2144" t="n"/>
      <c r="AI23" s="2144" t="n"/>
      <c r="AJ23" s="2144" t="n"/>
      <c r="AK23" s="2144" t="n"/>
      <c r="AL23" s="2144" t="n"/>
      <c r="AM23" s="2144" t="n"/>
      <c r="AN23" s="2144" t="n"/>
      <c r="AO23" s="2144" t="n"/>
      <c r="AP23" s="2144" t="n"/>
      <c r="AQ23" s="2144" t="n"/>
      <c r="AR23" s="2144" t="n"/>
      <c r="AS23" s="2144" t="n"/>
      <c r="AT23" s="2144" t="n"/>
      <c r="AU23" s="2144" t="n"/>
      <c r="AV23" s="2144" t="n"/>
      <c r="AW23" s="2144" t="n"/>
      <c r="AX23" s="2144" t="n"/>
      <c r="AY23" s="2144" t="n"/>
      <c r="AZ23" s="2144" t="n"/>
      <c r="BA23" s="2144" t="n"/>
      <c r="BB23" s="2144" t="n"/>
      <c r="BC23" s="2144" t="n"/>
      <c r="BD23" s="2144" t="n"/>
      <c r="BE23" s="2144" t="n"/>
      <c r="BF23" s="2144" t="n"/>
      <c r="BG23" s="2144" t="n"/>
      <c r="BH23" s="2144" t="n"/>
      <c r="BI23" s="2144" t="n"/>
      <c r="BJ23" s="2144" t="n"/>
      <c r="BK23" s="2144" t="n"/>
      <c r="BL23" s="2144" t="n"/>
      <c r="BM23" s="2144" t="n"/>
      <c r="BN23" s="2144" t="n"/>
      <c r="BO23" s="2145" t="n"/>
      <c r="BP23" s="2144" t="n"/>
      <c r="BQ23" s="2144" t="n"/>
      <c r="BR23" s="2144" t="n"/>
      <c r="BS23" s="2144" t="n"/>
      <c r="BT23" s="2144" t="n"/>
      <c r="BU23" s="2144" t="n"/>
      <c r="BV23" s="2144" t="n"/>
      <c r="BW23" s="2144" t="n"/>
      <c r="BX23" s="2144" t="n"/>
      <c r="BY23" s="2144" t="n"/>
      <c r="BZ23" s="2144" t="n"/>
      <c r="CA23" s="2144" t="n"/>
      <c r="CB23" s="2144" t="n"/>
      <c r="CC23" s="2136" t="n"/>
    </row>
    <row r="24" ht="15" customFormat="1" customHeight="1" s="2131">
      <c r="A24" s="1780">
        <f>INDEX(MO_RIS_REV,0,COLUMN())</f>
        <v/>
      </c>
      <c r="B24" s="2141" t="n"/>
      <c r="C24" s="2142">
        <f>INDEX(MO_RIS_REV,0,COLUMN())</f>
        <v/>
      </c>
      <c r="D24" s="2142">
        <f>INDEX(MO_RIS_REV,0,COLUMN())</f>
        <v/>
      </c>
      <c r="E24" s="2142">
        <f>INDEX(MO_RIS_REV,0,COLUMN())</f>
        <v/>
      </c>
      <c r="F24" s="2142">
        <f>INDEX(MO_RIS_REV,0,COLUMN())</f>
        <v/>
      </c>
      <c r="G24" s="2142">
        <f>INDEX(MO_RIS_REV,0,COLUMN())</f>
        <v/>
      </c>
      <c r="H24" s="2136">
        <f>INDEX(MO_RIS_REV,0,COLUMN())</f>
        <v/>
      </c>
      <c r="I24" s="2136">
        <f>INDEX(MO_RIS_REV,0,COLUMN())</f>
        <v/>
      </c>
      <c r="J24" s="2136">
        <f>INDEX(MO_RIS_REV,0,COLUMN())</f>
        <v/>
      </c>
      <c r="K24" s="2136">
        <f>INDEX(MO_RIS_REV,0,COLUMN())</f>
        <v/>
      </c>
      <c r="L24" s="2142">
        <f>INDEX(MO_RIS_REV,0,COLUMN())</f>
        <v/>
      </c>
      <c r="M24" s="2136">
        <f>INDEX(MO_RIS_REV,0,COLUMN())</f>
        <v/>
      </c>
      <c r="N24" s="2136">
        <f>INDEX(MO_RIS_REV,0,COLUMN())</f>
        <v/>
      </c>
      <c r="O24" s="2136">
        <f>INDEX(MO_RIS_REV,0,COLUMN())</f>
        <v/>
      </c>
      <c r="P24" s="2136">
        <f>INDEX(MO_RIS_REV,0,COLUMN())</f>
        <v/>
      </c>
      <c r="Q24" s="2142">
        <f>INDEX(MO_RIS_REV,0,COLUMN())</f>
        <v/>
      </c>
      <c r="R24" s="2136">
        <f>INDEX(MO_RIS_REV,0,COLUMN())</f>
        <v/>
      </c>
      <c r="S24" s="2136">
        <f>INDEX(MO_RIS_REV,0,COLUMN())</f>
        <v/>
      </c>
      <c r="T24" s="2136">
        <f>INDEX(MO_RIS_REV,0,COLUMN())</f>
        <v/>
      </c>
      <c r="U24" s="2136">
        <f>INDEX(MO_RIS_REV,0,COLUMN())</f>
        <v/>
      </c>
      <c r="V24" s="2142">
        <f>INDEX(MO_RIS_REV,0,COLUMN())</f>
        <v/>
      </c>
      <c r="W24" s="2136">
        <f>INDEX(MO_RIS_REV,0,COLUMN())</f>
        <v/>
      </c>
      <c r="X24" s="2136">
        <f>INDEX(MO_RIS_REV,0,COLUMN())</f>
        <v/>
      </c>
      <c r="Y24" s="2136">
        <f>INDEX(MO_RIS_REV,0,COLUMN())</f>
        <v/>
      </c>
      <c r="Z24" s="2136">
        <f>INDEX(MO_RIS_REV,0,COLUMN())</f>
        <v/>
      </c>
      <c r="AA24" s="2142">
        <f>INDEX(MO_RIS_REV,0,COLUMN())</f>
        <v/>
      </c>
      <c r="AB24" s="2136">
        <f>INDEX(MO_RIS_REV,0,COLUMN())</f>
        <v/>
      </c>
      <c r="AC24" s="2136">
        <f>INDEX(MO_RIS_REV,0,COLUMN())</f>
        <v/>
      </c>
      <c r="AD24" s="2136">
        <f>INDEX(MO_RIS_REV,0,COLUMN())</f>
        <v/>
      </c>
      <c r="AE24" s="2136">
        <f>INDEX(MO_RIS_REV,0,COLUMN())</f>
        <v/>
      </c>
      <c r="AF24" s="2142">
        <f>INDEX(MO_RIS_REV,0,COLUMN())</f>
        <v/>
      </c>
      <c r="AG24" s="2136">
        <f>INDEX(MO_RIS_REV,0,COLUMN())</f>
        <v/>
      </c>
      <c r="AH24" s="2136">
        <f>INDEX(MO_RIS_REV,0,COLUMN())</f>
        <v/>
      </c>
      <c r="AI24" s="2136">
        <f>INDEX(MO_RIS_REV,0,COLUMN())</f>
        <v/>
      </c>
      <c r="AJ24" s="2136">
        <f>INDEX(MO_RIS_REV,0,COLUMN())</f>
        <v/>
      </c>
      <c r="AK24" s="2142">
        <f>INDEX(MO_RIS_REV,0,COLUMN())</f>
        <v/>
      </c>
      <c r="AL24" s="2136">
        <f>INDEX(MO_RIS_REV,0,COLUMN())</f>
        <v/>
      </c>
      <c r="AM24" s="2136">
        <f>INDEX(MO_RIS_REV,0,COLUMN())</f>
        <v/>
      </c>
      <c r="AN24" s="2136">
        <f>INDEX(MO_RIS_REV,0,COLUMN())</f>
        <v/>
      </c>
      <c r="AO24" s="2136">
        <f>INDEX(MO_RIS_REV,0,COLUMN())</f>
        <v/>
      </c>
      <c r="AP24" s="2142">
        <f>INDEX(MO_RIS_REV,0,COLUMN())</f>
        <v/>
      </c>
      <c r="AQ24" s="2136">
        <f>INDEX(MO_RIS_REV,0,COLUMN())</f>
        <v/>
      </c>
      <c r="AR24" s="2136">
        <f>INDEX(MO_RIS_REV,0,COLUMN())</f>
        <v/>
      </c>
      <c r="AS24" s="2136">
        <f>INDEX(MO_RIS_REV,0,COLUMN())</f>
        <v/>
      </c>
      <c r="AT24" s="2136">
        <f>INDEX(MO_RIS_REV,0,COLUMN())</f>
        <v/>
      </c>
      <c r="AU24" s="2142">
        <f>INDEX(MO_RIS_REV,0,COLUMN())</f>
        <v/>
      </c>
      <c r="AV24" s="2136">
        <f>INDEX(MO_RIS_REV,0,COLUMN())</f>
        <v/>
      </c>
      <c r="AW24" s="2136">
        <f>INDEX(MO_RIS_REV,0,COLUMN())</f>
        <v/>
      </c>
      <c r="AX24" s="2136">
        <f>INDEX(MO_RIS_REV,0,COLUMN())</f>
        <v/>
      </c>
      <c r="AY24" s="2136">
        <f>INDEX(MO_RIS_REV,0,COLUMN())</f>
        <v/>
      </c>
      <c r="AZ24" s="2142">
        <f>INDEX(MO_RIS_REV,0,COLUMN())</f>
        <v/>
      </c>
      <c r="BA24" s="2136">
        <f>INDEX(MO_RIS_REV,0,COLUMN())</f>
        <v/>
      </c>
      <c r="BB24" s="2136">
        <f>INDEX(MO_RIS_REV,0,COLUMN())</f>
        <v/>
      </c>
      <c r="BC24" s="2136">
        <f>INDEX(MO_RIS_REV,0,COLUMN())</f>
        <v/>
      </c>
      <c r="BD24" s="2136">
        <f>INDEX(MO_RIS_REV,0,COLUMN())</f>
        <v/>
      </c>
      <c r="BE24" s="2142">
        <f>INDEX(MO_RIS_REV,0,COLUMN())</f>
        <v/>
      </c>
      <c r="BF24" s="2136">
        <f>INDEX(MO_RIS_REV,0,COLUMN())</f>
        <v/>
      </c>
      <c r="BG24" s="2136">
        <f>INDEX(MO_RIS_REV,0,COLUMN())</f>
        <v/>
      </c>
      <c r="BH24" s="2136">
        <f>INDEX(MO_RIS_REV,0,COLUMN())</f>
        <v/>
      </c>
      <c r="BI24" s="2136">
        <f>INDEX(MO_RIS_REV,0,COLUMN())</f>
        <v/>
      </c>
      <c r="BJ24" s="2142">
        <f>INDEX(MO_RIS_REV,0,COLUMN())</f>
        <v/>
      </c>
      <c r="BK24" s="2136">
        <f>INDEX(MO_RIS_REV,0,COLUMN())</f>
        <v/>
      </c>
      <c r="BL24" s="2136">
        <f>INDEX(MO_RIS_REV,0,COLUMN())</f>
        <v/>
      </c>
      <c r="BM24" s="2136">
        <f>INDEX(MO_RIS_REV,0,COLUMN())</f>
        <v/>
      </c>
      <c r="BN24" s="2136">
        <f>INDEX(MO_RIS_REV,0,COLUMN())</f>
        <v/>
      </c>
      <c r="BO24" s="2143">
        <f>INDEX(MO_RIS_REV,0,COLUMN())</f>
        <v/>
      </c>
      <c r="BP24" s="2136">
        <f>INDEX(MO_RIS_REV,0,COLUMN())</f>
        <v/>
      </c>
      <c r="BQ24" s="2136">
        <f>INDEX(MO_RIS_REV,0,COLUMN())</f>
        <v/>
      </c>
      <c r="BR24" s="2136">
        <f>INDEX(MO_RIS_REV,0,COLUMN())</f>
        <v/>
      </c>
      <c r="BS24" s="2136">
        <f>INDEX(MO_RIS_REV,0,COLUMN())</f>
        <v/>
      </c>
      <c r="BT24" s="2142">
        <f>INDEX(MO_RIS_REV,0,COLUMN())</f>
        <v/>
      </c>
      <c r="BU24" s="2136">
        <f>INDEX(MO_RIS_REV,0,COLUMN())</f>
        <v/>
      </c>
      <c r="BV24" s="2136">
        <f>INDEX(MO_RIS_REV,0,COLUMN())</f>
        <v/>
      </c>
      <c r="BW24" s="2136">
        <f>INDEX(MO_RIS_REV,0,COLUMN())</f>
        <v/>
      </c>
      <c r="BX24" s="2136">
        <f>INDEX(MO_RIS_REV,0,COLUMN())</f>
        <v/>
      </c>
      <c r="BY24" s="2142">
        <f>INDEX(MO_RIS_REV,0,COLUMN())</f>
        <v/>
      </c>
      <c r="BZ24" s="2142">
        <f>INDEX(MO_RIS_REV,0,COLUMN())</f>
        <v/>
      </c>
      <c r="CA24" s="2142">
        <f>INDEX(MO_RIS_REV,0,COLUMN())</f>
        <v/>
      </c>
      <c r="CB24" s="2142">
        <f>INDEX(MO_RIS_REV,0,COLUMN())</f>
        <v/>
      </c>
      <c r="CC24" s="2136" t="n"/>
    </row>
    <row r="25" ht="15" customFormat="1" customHeight="1" s="2114">
      <c r="A25" s="1635">
        <f>INDEX(MO_RIS_COGS,0,COLUMN())</f>
        <v/>
      </c>
      <c r="B25" s="2137" t="n"/>
      <c r="C25" s="1804">
        <f>INDEX(MO_RIS_COGS,0,COLUMN())</f>
        <v/>
      </c>
      <c r="D25" s="1804">
        <f>INDEX(MO_RIS_COGS,0,COLUMN())</f>
        <v/>
      </c>
      <c r="E25" s="1804">
        <f>INDEX(MO_RIS_COGS,0,COLUMN())</f>
        <v/>
      </c>
      <c r="F25" s="1804">
        <f>INDEX(MO_RIS_COGS,0,COLUMN())</f>
        <v/>
      </c>
      <c r="G25" s="1804">
        <f>INDEX(MO_RIS_COGS,0,COLUMN())</f>
        <v/>
      </c>
      <c r="H25" s="1970">
        <f>INDEX(MO_RIS_COGS,0,COLUMN())</f>
        <v/>
      </c>
      <c r="I25" s="1970">
        <f>INDEX(MO_RIS_COGS,0,COLUMN())</f>
        <v/>
      </c>
      <c r="J25" s="1970">
        <f>INDEX(MO_RIS_COGS,0,COLUMN())</f>
        <v/>
      </c>
      <c r="K25" s="1970">
        <f>INDEX(MO_RIS_COGS,0,COLUMN())</f>
        <v/>
      </c>
      <c r="L25" s="1804">
        <f>INDEX(MO_RIS_COGS,0,COLUMN())</f>
        <v/>
      </c>
      <c r="M25" s="1970">
        <f>INDEX(MO_RIS_COGS,0,COLUMN())</f>
        <v/>
      </c>
      <c r="N25" s="1970">
        <f>INDEX(MO_RIS_COGS,0,COLUMN())</f>
        <v/>
      </c>
      <c r="O25" s="1970">
        <f>INDEX(MO_RIS_COGS,0,COLUMN())</f>
        <v/>
      </c>
      <c r="P25" s="1970">
        <f>INDEX(MO_RIS_COGS,0,COLUMN())</f>
        <v/>
      </c>
      <c r="Q25" s="1804">
        <f>INDEX(MO_RIS_COGS,0,COLUMN())</f>
        <v/>
      </c>
      <c r="R25" s="1970">
        <f>INDEX(MO_RIS_COGS,0,COLUMN())</f>
        <v/>
      </c>
      <c r="S25" s="1970">
        <f>INDEX(MO_RIS_COGS,0,COLUMN())</f>
        <v/>
      </c>
      <c r="T25" s="1970">
        <f>INDEX(MO_RIS_COGS,0,COLUMN())</f>
        <v/>
      </c>
      <c r="U25" s="1970">
        <f>INDEX(MO_RIS_COGS,0,COLUMN())</f>
        <v/>
      </c>
      <c r="V25" s="1804">
        <f>INDEX(MO_RIS_COGS,0,COLUMN())</f>
        <v/>
      </c>
      <c r="W25" s="1970">
        <f>INDEX(MO_RIS_COGS,0,COLUMN())</f>
        <v/>
      </c>
      <c r="X25" s="1970">
        <f>INDEX(MO_RIS_COGS,0,COLUMN())</f>
        <v/>
      </c>
      <c r="Y25" s="1970">
        <f>INDEX(MO_RIS_COGS,0,COLUMN())</f>
        <v/>
      </c>
      <c r="Z25" s="1970">
        <f>INDEX(MO_RIS_COGS,0,COLUMN())</f>
        <v/>
      </c>
      <c r="AA25" s="1804">
        <f>INDEX(MO_RIS_COGS,0,COLUMN())</f>
        <v/>
      </c>
      <c r="AB25" s="1970">
        <f>INDEX(MO_RIS_COGS,0,COLUMN())</f>
        <v/>
      </c>
      <c r="AC25" s="1970">
        <f>INDEX(MO_RIS_COGS,0,COLUMN())</f>
        <v/>
      </c>
      <c r="AD25" s="1970">
        <f>INDEX(MO_RIS_COGS,0,COLUMN())</f>
        <v/>
      </c>
      <c r="AE25" s="1970">
        <f>INDEX(MO_RIS_COGS,0,COLUMN())</f>
        <v/>
      </c>
      <c r="AF25" s="1804">
        <f>INDEX(MO_RIS_COGS,0,COLUMN())</f>
        <v/>
      </c>
      <c r="AG25" s="1970">
        <f>INDEX(MO_RIS_COGS,0,COLUMN())</f>
        <v/>
      </c>
      <c r="AH25" s="1970">
        <f>INDEX(MO_RIS_COGS,0,COLUMN())</f>
        <v/>
      </c>
      <c r="AI25" s="1970">
        <f>INDEX(MO_RIS_COGS,0,COLUMN())</f>
        <v/>
      </c>
      <c r="AJ25" s="1970">
        <f>INDEX(MO_RIS_COGS,0,COLUMN())</f>
        <v/>
      </c>
      <c r="AK25" s="1804">
        <f>INDEX(MO_RIS_COGS,0,COLUMN())</f>
        <v/>
      </c>
      <c r="AL25" s="1970">
        <f>INDEX(MO_RIS_COGS,0,COLUMN())</f>
        <v/>
      </c>
      <c r="AM25" s="1970">
        <f>INDEX(MO_RIS_COGS,0,COLUMN())</f>
        <v/>
      </c>
      <c r="AN25" s="1970">
        <f>INDEX(MO_RIS_COGS,0,COLUMN())</f>
        <v/>
      </c>
      <c r="AO25" s="1970">
        <f>INDEX(MO_RIS_COGS,0,COLUMN())</f>
        <v/>
      </c>
      <c r="AP25" s="1804">
        <f>INDEX(MO_RIS_COGS,0,COLUMN())</f>
        <v/>
      </c>
      <c r="AQ25" s="1970">
        <f>INDEX(MO_RIS_COGS,0,COLUMN())</f>
        <v/>
      </c>
      <c r="AR25" s="1970">
        <f>INDEX(MO_RIS_COGS,0,COLUMN())</f>
        <v/>
      </c>
      <c r="AS25" s="1970">
        <f>INDEX(MO_RIS_COGS,0,COLUMN())</f>
        <v/>
      </c>
      <c r="AT25" s="1970">
        <f>INDEX(MO_RIS_COGS,0,COLUMN())</f>
        <v/>
      </c>
      <c r="AU25" s="1804">
        <f>INDEX(MO_RIS_COGS,0,COLUMN())</f>
        <v/>
      </c>
      <c r="AV25" s="1970">
        <f>INDEX(MO_RIS_COGS,0,COLUMN())</f>
        <v/>
      </c>
      <c r="AW25" s="1970">
        <f>INDEX(MO_RIS_COGS,0,COLUMN())</f>
        <v/>
      </c>
      <c r="AX25" s="1970">
        <f>INDEX(MO_RIS_COGS,0,COLUMN())</f>
        <v/>
      </c>
      <c r="AY25" s="1970">
        <f>INDEX(MO_RIS_COGS,0,COLUMN())</f>
        <v/>
      </c>
      <c r="AZ25" s="1804">
        <f>INDEX(MO_RIS_COGS,0,COLUMN())</f>
        <v/>
      </c>
      <c r="BA25" s="1970">
        <f>INDEX(MO_RIS_COGS,0,COLUMN())</f>
        <v/>
      </c>
      <c r="BB25" s="1970">
        <f>INDEX(MO_RIS_COGS,0,COLUMN())</f>
        <v/>
      </c>
      <c r="BC25" s="1970">
        <f>INDEX(MO_RIS_COGS,0,COLUMN())</f>
        <v/>
      </c>
      <c r="BD25" s="1970">
        <f>INDEX(MO_RIS_COGS,0,COLUMN())</f>
        <v/>
      </c>
      <c r="BE25" s="1804">
        <f>INDEX(MO_RIS_COGS,0,COLUMN())</f>
        <v/>
      </c>
      <c r="BF25" s="1970">
        <f>INDEX(MO_RIS_COGS,0,COLUMN())</f>
        <v/>
      </c>
      <c r="BG25" s="1970">
        <f>INDEX(MO_RIS_COGS,0,COLUMN())</f>
        <v/>
      </c>
      <c r="BH25" s="1970">
        <f>INDEX(MO_RIS_COGS,0,COLUMN())</f>
        <v/>
      </c>
      <c r="BI25" s="1970">
        <f>INDEX(MO_RIS_COGS,0,COLUMN())</f>
        <v/>
      </c>
      <c r="BJ25" s="1804">
        <f>INDEX(MO_RIS_COGS,0,COLUMN())</f>
        <v/>
      </c>
      <c r="BK25" s="1970">
        <f>INDEX(MO_RIS_COGS,0,COLUMN())</f>
        <v/>
      </c>
      <c r="BL25" s="1970">
        <f>INDEX(MO_RIS_COGS,0,COLUMN())</f>
        <v/>
      </c>
      <c r="BM25" s="1970">
        <f>INDEX(MO_RIS_COGS,0,COLUMN())</f>
        <v/>
      </c>
      <c r="BN25" s="1970">
        <f>INDEX(MO_RIS_COGS,0,COLUMN())</f>
        <v/>
      </c>
      <c r="BO25" s="2138">
        <f>INDEX(MO_RIS_COGS,0,COLUMN())</f>
        <v/>
      </c>
      <c r="BP25" s="1970">
        <f>INDEX(MO_RIS_COGS,0,COLUMN())</f>
        <v/>
      </c>
      <c r="BQ25" s="1970">
        <f>INDEX(MO_RIS_COGS,0,COLUMN())</f>
        <v/>
      </c>
      <c r="BR25" s="1970">
        <f>INDEX(MO_RIS_COGS,0,COLUMN())</f>
        <v/>
      </c>
      <c r="BS25" s="1970">
        <f>INDEX(MO_RIS_COGS,0,COLUMN())</f>
        <v/>
      </c>
      <c r="BT25" s="1804">
        <f>INDEX(MO_RIS_COGS,0,COLUMN())</f>
        <v/>
      </c>
      <c r="BU25" s="1970">
        <f>INDEX(MO_RIS_COGS,0,COLUMN())</f>
        <v/>
      </c>
      <c r="BV25" s="1970">
        <f>INDEX(MO_RIS_COGS,0,COLUMN())</f>
        <v/>
      </c>
      <c r="BW25" s="1970">
        <f>INDEX(MO_RIS_COGS,0,COLUMN())</f>
        <v/>
      </c>
      <c r="BX25" s="1970">
        <f>INDEX(MO_RIS_COGS,0,COLUMN())</f>
        <v/>
      </c>
      <c r="BY25" s="1804">
        <f>INDEX(MO_RIS_COGS,0,COLUMN())</f>
        <v/>
      </c>
      <c r="BZ25" s="1804">
        <f>INDEX(MO_RIS_COGS,0,COLUMN())</f>
        <v/>
      </c>
      <c r="CA25" s="1804">
        <f>INDEX(MO_RIS_COGS,0,COLUMN())</f>
        <v/>
      </c>
      <c r="CB25" s="1804">
        <f>INDEX(MO_RIS_COGS,0,COLUMN())</f>
        <v/>
      </c>
      <c r="CC25" s="1970" t="n"/>
    </row>
    <row r="26" ht="15" customFormat="1" customHeight="1" s="2114">
      <c r="A26" s="1635">
        <f>INDEX(MO_RIS_SGA,0,COLUMN())</f>
        <v/>
      </c>
      <c r="B26" s="2137" t="n"/>
      <c r="C26" s="1804">
        <f>INDEX(MO_RIS_SGA,0,COLUMN())</f>
        <v/>
      </c>
      <c r="D26" s="1804">
        <f>INDEX(MO_RIS_SGA,0,COLUMN())</f>
        <v/>
      </c>
      <c r="E26" s="1804">
        <f>INDEX(MO_RIS_SGA,0,COLUMN())</f>
        <v/>
      </c>
      <c r="F26" s="1804">
        <f>INDEX(MO_RIS_SGA,0,COLUMN())</f>
        <v/>
      </c>
      <c r="G26" s="1804">
        <f>INDEX(MO_RIS_SGA,0,COLUMN())</f>
        <v/>
      </c>
      <c r="H26" s="1970">
        <f>INDEX(MO_RIS_SGA,0,COLUMN())</f>
        <v/>
      </c>
      <c r="I26" s="1970">
        <f>INDEX(MO_RIS_SGA,0,COLUMN())</f>
        <v/>
      </c>
      <c r="J26" s="1970">
        <f>INDEX(MO_RIS_SGA,0,COLUMN())</f>
        <v/>
      </c>
      <c r="K26" s="1970">
        <f>INDEX(MO_RIS_SGA,0,COLUMN())</f>
        <v/>
      </c>
      <c r="L26" s="1804">
        <f>INDEX(MO_RIS_SGA,0,COLUMN())</f>
        <v/>
      </c>
      <c r="M26" s="1970">
        <f>INDEX(MO_RIS_SGA,0,COLUMN())</f>
        <v/>
      </c>
      <c r="N26" s="1970">
        <f>INDEX(MO_RIS_SGA,0,COLUMN())</f>
        <v/>
      </c>
      <c r="O26" s="1970">
        <f>INDEX(MO_RIS_SGA,0,COLUMN())</f>
        <v/>
      </c>
      <c r="P26" s="1970">
        <f>INDEX(MO_RIS_SGA,0,COLUMN())</f>
        <v/>
      </c>
      <c r="Q26" s="1804">
        <f>INDEX(MO_RIS_SGA,0,COLUMN())</f>
        <v/>
      </c>
      <c r="R26" s="1970">
        <f>INDEX(MO_RIS_SGA,0,COLUMN())</f>
        <v/>
      </c>
      <c r="S26" s="1970">
        <f>INDEX(MO_RIS_SGA,0,COLUMN())</f>
        <v/>
      </c>
      <c r="T26" s="1970">
        <f>INDEX(MO_RIS_SGA,0,COLUMN())</f>
        <v/>
      </c>
      <c r="U26" s="1970">
        <f>INDEX(MO_RIS_SGA,0,COLUMN())</f>
        <v/>
      </c>
      <c r="V26" s="1804">
        <f>INDEX(MO_RIS_SGA,0,COLUMN())</f>
        <v/>
      </c>
      <c r="W26" s="1970">
        <f>INDEX(MO_RIS_SGA,0,COLUMN())</f>
        <v/>
      </c>
      <c r="X26" s="1970">
        <f>INDEX(MO_RIS_SGA,0,COLUMN())</f>
        <v/>
      </c>
      <c r="Y26" s="1970">
        <f>INDEX(MO_RIS_SGA,0,COLUMN())</f>
        <v/>
      </c>
      <c r="Z26" s="1970">
        <f>INDEX(MO_RIS_SGA,0,COLUMN())</f>
        <v/>
      </c>
      <c r="AA26" s="1804">
        <f>INDEX(MO_RIS_SGA,0,COLUMN())</f>
        <v/>
      </c>
      <c r="AB26" s="1970">
        <f>INDEX(MO_RIS_SGA,0,COLUMN())</f>
        <v/>
      </c>
      <c r="AC26" s="1970">
        <f>INDEX(MO_RIS_SGA,0,COLUMN())</f>
        <v/>
      </c>
      <c r="AD26" s="1970">
        <f>INDEX(MO_RIS_SGA,0,COLUMN())</f>
        <v/>
      </c>
      <c r="AE26" s="1970">
        <f>INDEX(MO_RIS_SGA,0,COLUMN())</f>
        <v/>
      </c>
      <c r="AF26" s="1804">
        <f>INDEX(MO_RIS_SGA,0,COLUMN())</f>
        <v/>
      </c>
      <c r="AG26" s="1970">
        <f>INDEX(MO_RIS_SGA,0,COLUMN())</f>
        <v/>
      </c>
      <c r="AH26" s="1970">
        <f>INDEX(MO_RIS_SGA,0,COLUMN())</f>
        <v/>
      </c>
      <c r="AI26" s="1970">
        <f>INDEX(MO_RIS_SGA,0,COLUMN())</f>
        <v/>
      </c>
      <c r="AJ26" s="1970">
        <f>INDEX(MO_RIS_SGA,0,COLUMN())</f>
        <v/>
      </c>
      <c r="AK26" s="1804">
        <f>INDEX(MO_RIS_SGA,0,COLUMN())</f>
        <v/>
      </c>
      <c r="AL26" s="1970">
        <f>INDEX(MO_RIS_SGA,0,COLUMN())</f>
        <v/>
      </c>
      <c r="AM26" s="1970">
        <f>INDEX(MO_RIS_SGA,0,COLUMN())</f>
        <v/>
      </c>
      <c r="AN26" s="1970">
        <f>INDEX(MO_RIS_SGA,0,COLUMN())</f>
        <v/>
      </c>
      <c r="AO26" s="1970">
        <f>INDEX(MO_RIS_SGA,0,COLUMN())</f>
        <v/>
      </c>
      <c r="AP26" s="1804">
        <f>INDEX(MO_RIS_SGA,0,COLUMN())</f>
        <v/>
      </c>
      <c r="AQ26" s="1970">
        <f>INDEX(MO_RIS_SGA,0,COLUMN())</f>
        <v/>
      </c>
      <c r="AR26" s="1970">
        <f>INDEX(MO_RIS_SGA,0,COLUMN())</f>
        <v/>
      </c>
      <c r="AS26" s="1970">
        <f>INDEX(MO_RIS_SGA,0,COLUMN())</f>
        <v/>
      </c>
      <c r="AT26" s="1970">
        <f>INDEX(MO_RIS_SGA,0,COLUMN())</f>
        <v/>
      </c>
      <c r="AU26" s="1804">
        <f>INDEX(MO_RIS_SGA,0,COLUMN())</f>
        <v/>
      </c>
      <c r="AV26" s="1970">
        <f>INDEX(MO_RIS_SGA,0,COLUMN())</f>
        <v/>
      </c>
      <c r="AW26" s="1970">
        <f>INDEX(MO_RIS_SGA,0,COLUMN())</f>
        <v/>
      </c>
      <c r="AX26" s="1970">
        <f>INDEX(MO_RIS_SGA,0,COLUMN())</f>
        <v/>
      </c>
      <c r="AY26" s="1970">
        <f>INDEX(MO_RIS_SGA,0,COLUMN())</f>
        <v/>
      </c>
      <c r="AZ26" s="1804">
        <f>INDEX(MO_RIS_SGA,0,COLUMN())</f>
        <v/>
      </c>
      <c r="BA26" s="1970">
        <f>INDEX(MO_RIS_SGA,0,COLUMN())</f>
        <v/>
      </c>
      <c r="BB26" s="1970">
        <f>INDEX(MO_RIS_SGA,0,COLUMN())</f>
        <v/>
      </c>
      <c r="BC26" s="1970">
        <f>INDEX(MO_RIS_SGA,0,COLUMN())</f>
        <v/>
      </c>
      <c r="BD26" s="1970">
        <f>INDEX(MO_RIS_SGA,0,COLUMN())</f>
        <v/>
      </c>
      <c r="BE26" s="1804">
        <f>INDEX(MO_RIS_SGA,0,COLUMN())</f>
        <v/>
      </c>
      <c r="BF26" s="1970">
        <f>INDEX(MO_RIS_SGA,0,COLUMN())</f>
        <v/>
      </c>
      <c r="BG26" s="1970">
        <f>INDEX(MO_RIS_SGA,0,COLUMN())</f>
        <v/>
      </c>
      <c r="BH26" s="1970">
        <f>INDEX(MO_RIS_SGA,0,COLUMN())</f>
        <v/>
      </c>
      <c r="BI26" s="1970">
        <f>INDEX(MO_RIS_SGA,0,COLUMN())</f>
        <v/>
      </c>
      <c r="BJ26" s="1804">
        <f>INDEX(MO_RIS_SGA,0,COLUMN())</f>
        <v/>
      </c>
      <c r="BK26" s="1970">
        <f>INDEX(MO_RIS_SGA,0,COLUMN())</f>
        <v/>
      </c>
      <c r="BL26" s="1970">
        <f>INDEX(MO_RIS_SGA,0,COLUMN())</f>
        <v/>
      </c>
      <c r="BM26" s="1970">
        <f>INDEX(MO_RIS_SGA,0,COLUMN())</f>
        <v/>
      </c>
      <c r="BN26" s="1970">
        <f>INDEX(MO_RIS_SGA,0,COLUMN())</f>
        <v/>
      </c>
      <c r="BO26" s="2138">
        <f>INDEX(MO_RIS_SGA,0,COLUMN())</f>
        <v/>
      </c>
      <c r="BP26" s="1970">
        <f>INDEX(MO_RIS_SGA,0,COLUMN())</f>
        <v/>
      </c>
      <c r="BQ26" s="1970">
        <f>INDEX(MO_RIS_SGA,0,COLUMN())</f>
        <v/>
      </c>
      <c r="BR26" s="1970">
        <f>INDEX(MO_RIS_SGA,0,COLUMN())</f>
        <v/>
      </c>
      <c r="BS26" s="1970">
        <f>INDEX(MO_RIS_SGA,0,COLUMN())</f>
        <v/>
      </c>
      <c r="BT26" s="1804">
        <f>INDEX(MO_RIS_SGA,0,COLUMN())</f>
        <v/>
      </c>
      <c r="BU26" s="1970">
        <f>INDEX(MO_RIS_SGA,0,COLUMN())</f>
        <v/>
      </c>
      <c r="BV26" s="1970">
        <f>INDEX(MO_RIS_SGA,0,COLUMN())</f>
        <v/>
      </c>
      <c r="BW26" s="1970">
        <f>INDEX(MO_RIS_SGA,0,COLUMN())</f>
        <v/>
      </c>
      <c r="BX26" s="1970">
        <f>INDEX(MO_RIS_SGA,0,COLUMN())</f>
        <v/>
      </c>
      <c r="BY26" s="1804">
        <f>INDEX(MO_RIS_SGA,0,COLUMN())</f>
        <v/>
      </c>
      <c r="BZ26" s="1804">
        <f>INDEX(MO_RIS_SGA,0,COLUMN())</f>
        <v/>
      </c>
      <c r="CA26" s="1804">
        <f>INDEX(MO_RIS_SGA,0,COLUMN())</f>
        <v/>
      </c>
      <c r="CB26" s="1804">
        <f>INDEX(MO_RIS_SGA,0,COLUMN())</f>
        <v/>
      </c>
      <c r="CC26" s="1970" t="n"/>
    </row>
    <row r="27" ht="15" customFormat="1" customHeight="1" s="2114">
      <c r="A27" s="1635">
        <f>INDEX(MO_RIS_RD,0,COLUMN())</f>
        <v/>
      </c>
      <c r="B27" s="2137" t="n"/>
      <c r="C27" s="1804">
        <f>INDEX(MO_RIS_RD,0,COLUMN())</f>
        <v/>
      </c>
      <c r="D27" s="1804">
        <f>INDEX(MO_RIS_RD,0,COLUMN())</f>
        <v/>
      </c>
      <c r="E27" s="1804">
        <f>INDEX(MO_RIS_RD,0,COLUMN())</f>
        <v/>
      </c>
      <c r="F27" s="1804">
        <f>INDEX(MO_RIS_RD,0,COLUMN())</f>
        <v/>
      </c>
      <c r="G27" s="1804">
        <f>INDEX(MO_RIS_RD,0,COLUMN())</f>
        <v/>
      </c>
      <c r="H27" s="1970">
        <f>INDEX(MO_RIS_RD,0,COLUMN())</f>
        <v/>
      </c>
      <c r="I27" s="1970">
        <f>INDEX(MO_RIS_RD,0,COLUMN())</f>
        <v/>
      </c>
      <c r="J27" s="1970">
        <f>INDEX(MO_RIS_RD,0,COLUMN())</f>
        <v/>
      </c>
      <c r="K27" s="1970">
        <f>INDEX(MO_RIS_RD,0,COLUMN())</f>
        <v/>
      </c>
      <c r="L27" s="1804">
        <f>INDEX(MO_RIS_RD,0,COLUMN())</f>
        <v/>
      </c>
      <c r="M27" s="1970">
        <f>INDEX(MO_RIS_RD,0,COLUMN())</f>
        <v/>
      </c>
      <c r="N27" s="1970">
        <f>INDEX(MO_RIS_RD,0,COLUMN())</f>
        <v/>
      </c>
      <c r="O27" s="1970">
        <f>INDEX(MO_RIS_RD,0,COLUMN())</f>
        <v/>
      </c>
      <c r="P27" s="1970">
        <f>INDEX(MO_RIS_RD,0,COLUMN())</f>
        <v/>
      </c>
      <c r="Q27" s="1804">
        <f>INDEX(MO_RIS_RD,0,COLUMN())</f>
        <v/>
      </c>
      <c r="R27" s="1970">
        <f>INDEX(MO_RIS_RD,0,COLUMN())</f>
        <v/>
      </c>
      <c r="S27" s="1970">
        <f>INDEX(MO_RIS_RD,0,COLUMN())</f>
        <v/>
      </c>
      <c r="T27" s="1970">
        <f>INDEX(MO_RIS_RD,0,COLUMN())</f>
        <v/>
      </c>
      <c r="U27" s="1970">
        <f>INDEX(MO_RIS_RD,0,COLUMN())</f>
        <v/>
      </c>
      <c r="V27" s="1804">
        <f>INDEX(MO_RIS_RD,0,COLUMN())</f>
        <v/>
      </c>
      <c r="W27" s="1970">
        <f>INDEX(MO_RIS_RD,0,COLUMN())</f>
        <v/>
      </c>
      <c r="X27" s="1970">
        <f>INDEX(MO_RIS_RD,0,COLUMN())</f>
        <v/>
      </c>
      <c r="Y27" s="1970">
        <f>INDEX(MO_RIS_RD,0,COLUMN())</f>
        <v/>
      </c>
      <c r="Z27" s="1970">
        <f>INDEX(MO_RIS_RD,0,COLUMN())</f>
        <v/>
      </c>
      <c r="AA27" s="1804">
        <f>INDEX(MO_RIS_RD,0,COLUMN())</f>
        <v/>
      </c>
      <c r="AB27" s="1970">
        <f>INDEX(MO_RIS_RD,0,COLUMN())</f>
        <v/>
      </c>
      <c r="AC27" s="1970">
        <f>INDEX(MO_RIS_RD,0,COLUMN())</f>
        <v/>
      </c>
      <c r="AD27" s="1970">
        <f>INDEX(MO_RIS_RD,0,COLUMN())</f>
        <v/>
      </c>
      <c r="AE27" s="1970">
        <f>INDEX(MO_RIS_RD,0,COLUMN())</f>
        <v/>
      </c>
      <c r="AF27" s="1804">
        <f>INDEX(MO_RIS_RD,0,COLUMN())</f>
        <v/>
      </c>
      <c r="AG27" s="1970">
        <f>INDEX(MO_RIS_RD,0,COLUMN())</f>
        <v/>
      </c>
      <c r="AH27" s="1970">
        <f>INDEX(MO_RIS_RD,0,COLUMN())</f>
        <v/>
      </c>
      <c r="AI27" s="1970">
        <f>INDEX(MO_RIS_RD,0,COLUMN())</f>
        <v/>
      </c>
      <c r="AJ27" s="1970">
        <f>INDEX(MO_RIS_RD,0,COLUMN())</f>
        <v/>
      </c>
      <c r="AK27" s="1804">
        <f>INDEX(MO_RIS_RD,0,COLUMN())</f>
        <v/>
      </c>
      <c r="AL27" s="1970">
        <f>INDEX(MO_RIS_RD,0,COLUMN())</f>
        <v/>
      </c>
      <c r="AM27" s="1970">
        <f>INDEX(MO_RIS_RD,0,COLUMN())</f>
        <v/>
      </c>
      <c r="AN27" s="1970">
        <f>INDEX(MO_RIS_RD,0,COLUMN())</f>
        <v/>
      </c>
      <c r="AO27" s="1970">
        <f>INDEX(MO_RIS_RD,0,COLUMN())</f>
        <v/>
      </c>
      <c r="AP27" s="1804">
        <f>INDEX(MO_RIS_RD,0,COLUMN())</f>
        <v/>
      </c>
      <c r="AQ27" s="1970">
        <f>INDEX(MO_RIS_RD,0,COLUMN())</f>
        <v/>
      </c>
      <c r="AR27" s="1970">
        <f>INDEX(MO_RIS_RD,0,COLUMN())</f>
        <v/>
      </c>
      <c r="AS27" s="1970">
        <f>INDEX(MO_RIS_RD,0,COLUMN())</f>
        <v/>
      </c>
      <c r="AT27" s="1970">
        <f>INDEX(MO_RIS_RD,0,COLUMN())</f>
        <v/>
      </c>
      <c r="AU27" s="1804">
        <f>INDEX(MO_RIS_RD,0,COLUMN())</f>
        <v/>
      </c>
      <c r="AV27" s="1970">
        <f>INDEX(MO_RIS_RD,0,COLUMN())</f>
        <v/>
      </c>
      <c r="AW27" s="1970">
        <f>INDEX(MO_RIS_RD,0,COLUMN())</f>
        <v/>
      </c>
      <c r="AX27" s="1970">
        <f>INDEX(MO_RIS_RD,0,COLUMN())</f>
        <v/>
      </c>
      <c r="AY27" s="1970">
        <f>INDEX(MO_RIS_RD,0,COLUMN())</f>
        <v/>
      </c>
      <c r="AZ27" s="1804">
        <f>INDEX(MO_RIS_RD,0,COLUMN())</f>
        <v/>
      </c>
      <c r="BA27" s="1970">
        <f>INDEX(MO_RIS_RD,0,COLUMN())</f>
        <v/>
      </c>
      <c r="BB27" s="1970">
        <f>INDEX(MO_RIS_RD,0,COLUMN())</f>
        <v/>
      </c>
      <c r="BC27" s="1970">
        <f>INDEX(MO_RIS_RD,0,COLUMN())</f>
        <v/>
      </c>
      <c r="BD27" s="1970">
        <f>INDEX(MO_RIS_RD,0,COLUMN())</f>
        <v/>
      </c>
      <c r="BE27" s="1804">
        <f>INDEX(MO_RIS_RD,0,COLUMN())</f>
        <v/>
      </c>
      <c r="BF27" s="1970">
        <f>INDEX(MO_RIS_RD,0,COLUMN())</f>
        <v/>
      </c>
      <c r="BG27" s="1970">
        <f>INDEX(MO_RIS_RD,0,COLUMN())</f>
        <v/>
      </c>
      <c r="BH27" s="1970">
        <f>INDEX(MO_RIS_RD,0,COLUMN())</f>
        <v/>
      </c>
      <c r="BI27" s="1970">
        <f>INDEX(MO_RIS_RD,0,COLUMN())</f>
        <v/>
      </c>
      <c r="BJ27" s="1804">
        <f>INDEX(MO_RIS_RD,0,COLUMN())</f>
        <v/>
      </c>
      <c r="BK27" s="1970">
        <f>INDEX(MO_RIS_RD,0,COLUMN())</f>
        <v/>
      </c>
      <c r="BL27" s="1970">
        <f>INDEX(MO_RIS_RD,0,COLUMN())</f>
        <v/>
      </c>
      <c r="BM27" s="1970">
        <f>INDEX(MO_RIS_RD,0,COLUMN())</f>
        <v/>
      </c>
      <c r="BN27" s="1970">
        <f>INDEX(MO_RIS_RD,0,COLUMN())</f>
        <v/>
      </c>
      <c r="BO27" s="2138">
        <f>INDEX(MO_RIS_RD,0,COLUMN())</f>
        <v/>
      </c>
      <c r="BP27" s="1970">
        <f>INDEX(MO_RIS_RD,0,COLUMN())</f>
        <v/>
      </c>
      <c r="BQ27" s="1970">
        <f>INDEX(MO_RIS_RD,0,COLUMN())</f>
        <v/>
      </c>
      <c r="BR27" s="1970">
        <f>INDEX(MO_RIS_RD,0,COLUMN())</f>
        <v/>
      </c>
      <c r="BS27" s="1970">
        <f>INDEX(MO_RIS_RD,0,COLUMN())</f>
        <v/>
      </c>
      <c r="BT27" s="1804">
        <f>INDEX(MO_RIS_RD,0,COLUMN())</f>
        <v/>
      </c>
      <c r="BU27" s="1970">
        <f>INDEX(MO_RIS_RD,0,COLUMN())</f>
        <v/>
      </c>
      <c r="BV27" s="1970">
        <f>INDEX(MO_RIS_RD,0,COLUMN())</f>
        <v/>
      </c>
      <c r="BW27" s="1970">
        <f>INDEX(MO_RIS_RD,0,COLUMN())</f>
        <v/>
      </c>
      <c r="BX27" s="1970">
        <f>INDEX(MO_RIS_RD,0,COLUMN())</f>
        <v/>
      </c>
      <c r="BY27" s="1804">
        <f>INDEX(MO_RIS_RD,0,COLUMN())</f>
        <v/>
      </c>
      <c r="BZ27" s="1804">
        <f>INDEX(MO_RIS_RD,0,COLUMN())</f>
        <v/>
      </c>
      <c r="CA27" s="1804">
        <f>INDEX(MO_RIS_RD,0,COLUMN())</f>
        <v/>
      </c>
      <c r="CB27" s="1804">
        <f>INDEX(MO_RIS_RD,0,COLUMN())</f>
        <v/>
      </c>
      <c r="CC27" s="1970" t="n"/>
    </row>
    <row r="28" ht="15" customFormat="1" customHeight="1" s="2114">
      <c r="A28" s="1635">
        <f>INDEX(MO_RIS_OI_Operating,0,COLUMN())</f>
        <v/>
      </c>
      <c r="B28" s="2137" t="n"/>
      <c r="C28" s="1804">
        <f>INDEX(MO_RIS_OI_Operating,0,COLUMN())</f>
        <v/>
      </c>
      <c r="D28" s="1804">
        <f>INDEX(MO_RIS_OI_Operating,0,COLUMN())</f>
        <v/>
      </c>
      <c r="E28" s="1804">
        <f>INDEX(MO_RIS_OI_Operating,0,COLUMN())</f>
        <v/>
      </c>
      <c r="F28" s="1804">
        <f>INDEX(MO_RIS_OI_Operating,0,COLUMN())</f>
        <v/>
      </c>
      <c r="G28" s="1804">
        <f>INDEX(MO_RIS_OI_Operating,0,COLUMN())</f>
        <v/>
      </c>
      <c r="H28" s="1970">
        <f>INDEX(MO_RIS_OI_Operating,0,COLUMN())</f>
        <v/>
      </c>
      <c r="I28" s="1970">
        <f>INDEX(MO_RIS_OI_Operating,0,COLUMN())</f>
        <v/>
      </c>
      <c r="J28" s="1970">
        <f>INDEX(MO_RIS_OI_Operating,0,COLUMN())</f>
        <v/>
      </c>
      <c r="K28" s="1970">
        <f>INDEX(MO_RIS_OI_Operating,0,COLUMN())</f>
        <v/>
      </c>
      <c r="L28" s="1804">
        <f>INDEX(MO_RIS_OI_Operating,0,COLUMN())</f>
        <v/>
      </c>
      <c r="M28" s="1970">
        <f>INDEX(MO_RIS_OI_Operating,0,COLUMN())</f>
        <v/>
      </c>
      <c r="N28" s="1970">
        <f>INDEX(MO_RIS_OI_Operating,0,COLUMN())</f>
        <v/>
      </c>
      <c r="O28" s="1970">
        <f>INDEX(MO_RIS_OI_Operating,0,COLUMN())</f>
        <v/>
      </c>
      <c r="P28" s="1970">
        <f>INDEX(MO_RIS_OI_Operating,0,COLUMN())</f>
        <v/>
      </c>
      <c r="Q28" s="1804">
        <f>INDEX(MO_RIS_OI_Operating,0,COLUMN())</f>
        <v/>
      </c>
      <c r="R28" s="1970">
        <f>INDEX(MO_RIS_OI_Operating,0,COLUMN())</f>
        <v/>
      </c>
      <c r="S28" s="1970">
        <f>INDEX(MO_RIS_OI_Operating,0,COLUMN())</f>
        <v/>
      </c>
      <c r="T28" s="1970">
        <f>INDEX(MO_RIS_OI_Operating,0,COLUMN())</f>
        <v/>
      </c>
      <c r="U28" s="1970">
        <f>INDEX(MO_RIS_OI_Operating,0,COLUMN())</f>
        <v/>
      </c>
      <c r="V28" s="1804">
        <f>INDEX(MO_RIS_OI_Operating,0,COLUMN())</f>
        <v/>
      </c>
      <c r="W28" s="1970">
        <f>INDEX(MO_RIS_OI_Operating,0,COLUMN())</f>
        <v/>
      </c>
      <c r="X28" s="1970">
        <f>INDEX(MO_RIS_OI_Operating,0,COLUMN())</f>
        <v/>
      </c>
      <c r="Y28" s="1970">
        <f>INDEX(MO_RIS_OI_Operating,0,COLUMN())</f>
        <v/>
      </c>
      <c r="Z28" s="1970">
        <f>INDEX(MO_RIS_OI_Operating,0,COLUMN())</f>
        <v/>
      </c>
      <c r="AA28" s="1804">
        <f>INDEX(MO_RIS_OI_Operating,0,COLUMN())</f>
        <v/>
      </c>
      <c r="AB28" s="1970">
        <f>INDEX(MO_RIS_OI_Operating,0,COLUMN())</f>
        <v/>
      </c>
      <c r="AC28" s="1970">
        <f>INDEX(MO_RIS_OI_Operating,0,COLUMN())</f>
        <v/>
      </c>
      <c r="AD28" s="1970">
        <f>INDEX(MO_RIS_OI_Operating,0,COLUMN())</f>
        <v/>
      </c>
      <c r="AE28" s="1970">
        <f>INDEX(MO_RIS_OI_Operating,0,COLUMN())</f>
        <v/>
      </c>
      <c r="AF28" s="1804">
        <f>INDEX(MO_RIS_OI_Operating,0,COLUMN())</f>
        <v/>
      </c>
      <c r="AG28" s="1970">
        <f>INDEX(MO_RIS_OI_Operating,0,COLUMN())</f>
        <v/>
      </c>
      <c r="AH28" s="1970">
        <f>INDEX(MO_RIS_OI_Operating,0,COLUMN())</f>
        <v/>
      </c>
      <c r="AI28" s="1970">
        <f>INDEX(MO_RIS_OI_Operating,0,COLUMN())</f>
        <v/>
      </c>
      <c r="AJ28" s="1970">
        <f>INDEX(MO_RIS_OI_Operating,0,COLUMN())</f>
        <v/>
      </c>
      <c r="AK28" s="1804">
        <f>INDEX(MO_RIS_OI_Operating,0,COLUMN())</f>
        <v/>
      </c>
      <c r="AL28" s="1970">
        <f>INDEX(MO_RIS_OI_Operating,0,COLUMN())</f>
        <v/>
      </c>
      <c r="AM28" s="1970">
        <f>INDEX(MO_RIS_OI_Operating,0,COLUMN())</f>
        <v/>
      </c>
      <c r="AN28" s="1970">
        <f>INDEX(MO_RIS_OI_Operating,0,COLUMN())</f>
        <v/>
      </c>
      <c r="AO28" s="1970">
        <f>INDEX(MO_RIS_OI_Operating,0,COLUMN())</f>
        <v/>
      </c>
      <c r="AP28" s="1804">
        <f>INDEX(MO_RIS_OI_Operating,0,COLUMN())</f>
        <v/>
      </c>
      <c r="AQ28" s="1970">
        <f>INDEX(MO_RIS_OI_Operating,0,COLUMN())</f>
        <v/>
      </c>
      <c r="AR28" s="1970">
        <f>INDEX(MO_RIS_OI_Operating,0,COLUMN())</f>
        <v/>
      </c>
      <c r="AS28" s="1970">
        <f>INDEX(MO_RIS_OI_Operating,0,COLUMN())</f>
        <v/>
      </c>
      <c r="AT28" s="1970">
        <f>INDEX(MO_RIS_OI_Operating,0,COLUMN())</f>
        <v/>
      </c>
      <c r="AU28" s="1804">
        <f>INDEX(MO_RIS_OI_Operating,0,COLUMN())</f>
        <v/>
      </c>
      <c r="AV28" s="1970">
        <f>INDEX(MO_RIS_OI_Operating,0,COLUMN())</f>
        <v/>
      </c>
      <c r="AW28" s="1970">
        <f>INDEX(MO_RIS_OI_Operating,0,COLUMN())</f>
        <v/>
      </c>
      <c r="AX28" s="1970">
        <f>INDEX(MO_RIS_OI_Operating,0,COLUMN())</f>
        <v/>
      </c>
      <c r="AY28" s="1970">
        <f>INDEX(MO_RIS_OI_Operating,0,COLUMN())</f>
        <v/>
      </c>
      <c r="AZ28" s="1804">
        <f>INDEX(MO_RIS_OI_Operating,0,COLUMN())</f>
        <v/>
      </c>
      <c r="BA28" s="1970">
        <f>INDEX(MO_RIS_OI_Operating,0,COLUMN())</f>
        <v/>
      </c>
      <c r="BB28" s="1970">
        <f>INDEX(MO_RIS_OI_Operating,0,COLUMN())</f>
        <v/>
      </c>
      <c r="BC28" s="1970">
        <f>INDEX(MO_RIS_OI_Operating,0,COLUMN())</f>
        <v/>
      </c>
      <c r="BD28" s="1970">
        <f>INDEX(MO_RIS_OI_Operating,0,COLUMN())</f>
        <v/>
      </c>
      <c r="BE28" s="1804">
        <f>INDEX(MO_RIS_OI_Operating,0,COLUMN())</f>
        <v/>
      </c>
      <c r="BF28" s="1970">
        <f>INDEX(MO_RIS_OI_Operating,0,COLUMN())</f>
        <v/>
      </c>
      <c r="BG28" s="1970">
        <f>INDEX(MO_RIS_OI_Operating,0,COLUMN())</f>
        <v/>
      </c>
      <c r="BH28" s="1970">
        <f>INDEX(MO_RIS_OI_Operating,0,COLUMN())</f>
        <v/>
      </c>
      <c r="BI28" s="1970">
        <f>INDEX(MO_RIS_OI_Operating,0,COLUMN())</f>
        <v/>
      </c>
      <c r="BJ28" s="1804">
        <f>INDEX(MO_RIS_OI_Operating,0,COLUMN())</f>
        <v/>
      </c>
      <c r="BK28" s="1970">
        <f>INDEX(MO_RIS_OI_Operating,0,COLUMN())</f>
        <v/>
      </c>
      <c r="BL28" s="1970">
        <f>INDEX(MO_RIS_OI_Operating,0,COLUMN())</f>
        <v/>
      </c>
      <c r="BM28" s="1970">
        <f>INDEX(MO_RIS_OI_Operating,0,COLUMN())</f>
        <v/>
      </c>
      <c r="BN28" s="1970">
        <f>INDEX(MO_RIS_OI_Operating,0,COLUMN())</f>
        <v/>
      </c>
      <c r="BO28" s="2138">
        <f>INDEX(MO_RIS_OI_Operating,0,COLUMN())</f>
        <v/>
      </c>
      <c r="BP28" s="1970">
        <f>INDEX(MO_RIS_OI_Operating,0,COLUMN())</f>
        <v/>
      </c>
      <c r="BQ28" s="1970">
        <f>INDEX(MO_RIS_OI_Operating,0,COLUMN())</f>
        <v/>
      </c>
      <c r="BR28" s="1970">
        <f>INDEX(MO_RIS_OI_Operating,0,COLUMN())</f>
        <v/>
      </c>
      <c r="BS28" s="1970">
        <f>INDEX(MO_RIS_OI_Operating,0,COLUMN())</f>
        <v/>
      </c>
      <c r="BT28" s="1804">
        <f>INDEX(MO_RIS_OI_Operating,0,COLUMN())</f>
        <v/>
      </c>
      <c r="BU28" s="1970">
        <f>INDEX(MO_RIS_OI_Operating,0,COLUMN())</f>
        <v/>
      </c>
      <c r="BV28" s="1970">
        <f>INDEX(MO_RIS_OI_Operating,0,COLUMN())</f>
        <v/>
      </c>
      <c r="BW28" s="1970">
        <f>INDEX(MO_RIS_OI_Operating,0,COLUMN())</f>
        <v/>
      </c>
      <c r="BX28" s="1970">
        <f>INDEX(MO_RIS_OI_Operating,0,COLUMN())</f>
        <v/>
      </c>
      <c r="BY28" s="1804">
        <f>INDEX(MO_RIS_OI_Operating,0,COLUMN())</f>
        <v/>
      </c>
      <c r="BZ28" s="1804">
        <f>INDEX(MO_RIS_OI_Operating,0,COLUMN())</f>
        <v/>
      </c>
      <c r="CA28" s="1804">
        <f>INDEX(MO_RIS_OI_Operating,0,COLUMN())</f>
        <v/>
      </c>
      <c r="CB28" s="1804">
        <f>INDEX(MO_RIS_OI_Operating,0,COLUMN())</f>
        <v/>
      </c>
      <c r="CC28" s="1970" t="n"/>
    </row>
    <row r="29" ht="15" customFormat="1" customHeight="1" s="2131">
      <c r="A29" s="1639">
        <f>INDEX(MO_RIS_EBIT,0,COLUMN())</f>
        <v/>
      </c>
      <c r="B29" s="2132" t="n"/>
      <c r="C29" s="2133">
        <f>IFERROR(INDEX(SP_GF_Rev,0,COLUMN()),0)-IFERROR(INDEX(SP_GF_COGS,0,COLUMN()),0)-IFERROR(INDEX(SP_GF_SGA,0,COLUMN()),0)-IFERROR(INDEX(SP_GF_OI_Operating,0,COLUMN()),0)-IFERROR(INDEX(SP_GF_DA_Operating,0,COLUMN()),0)-IFERROR(INDEX(SP_GF_OPEX,0,COLUMN()),0)-IFERROR(INDEX(SP_GF_RD,0,COLUMN()),0)</f>
        <v/>
      </c>
      <c r="D29" s="2133">
        <f>IFERROR(INDEX(SP_GF_Rev,0,COLUMN()),0)-IFERROR(INDEX(SP_GF_COGS,0,COLUMN()),0)-IFERROR(INDEX(SP_GF_SGA,0,COLUMN()),0)-IFERROR(INDEX(SP_GF_OI_Operating,0,COLUMN()),0)-IFERROR(INDEX(SP_GF_DA_Operating,0,COLUMN()),0)-IFERROR(INDEX(SP_GF_OPEX,0,COLUMN()),0)-IFERROR(INDEX(SP_GF_RD,0,COLUMN()),0)</f>
        <v/>
      </c>
      <c r="E29" s="2133">
        <f>IFERROR(INDEX(SP_GF_Rev,0,COLUMN()),0)-IFERROR(INDEX(SP_GF_COGS,0,COLUMN()),0)-IFERROR(INDEX(SP_GF_SGA,0,COLUMN()),0)-IFERROR(INDEX(SP_GF_OI_Operating,0,COLUMN()),0)-IFERROR(INDEX(SP_GF_DA_Operating,0,COLUMN()),0)-IFERROR(INDEX(SP_GF_OPEX,0,COLUMN()),0)-IFERROR(INDEX(SP_GF_RD,0,COLUMN()),0)</f>
        <v/>
      </c>
      <c r="F29" s="2133">
        <f>IFERROR(INDEX(SP_GF_Rev,0,COLUMN()),0)-IFERROR(INDEX(SP_GF_COGS,0,COLUMN()),0)-IFERROR(INDEX(SP_GF_SGA,0,COLUMN()),0)-IFERROR(INDEX(SP_GF_OI_Operating,0,COLUMN()),0)-IFERROR(INDEX(SP_GF_DA_Operating,0,COLUMN()),0)-IFERROR(INDEX(SP_GF_OPEX,0,COLUMN()),0)-IFERROR(INDEX(SP_GF_RD,0,COLUMN()),0)</f>
        <v/>
      </c>
      <c r="G29" s="2133">
        <f>IFERROR(INDEX(SP_GF_Rev,0,COLUMN()),0)-IFERROR(INDEX(SP_GF_COGS,0,COLUMN()),0)-IFERROR(INDEX(SP_GF_SGA,0,COLUMN()),0)-IFERROR(INDEX(SP_GF_OI_Operating,0,COLUMN()),0)-IFERROR(INDEX(SP_GF_DA_Operating,0,COLUMN()),0)-IFERROR(INDEX(SP_GF_OPEX,0,COLUMN()),0)-IFERROR(INDEX(SP_GF_RD,0,COLUMN()),0)</f>
        <v/>
      </c>
      <c r="H29" s="2134">
        <f>IFERROR(INDEX(SP_GF_Rev,0,COLUMN()),0)-IFERROR(INDEX(SP_GF_COGS,0,COLUMN()),0)-IFERROR(INDEX(SP_GF_SGA,0,COLUMN()),0)-IFERROR(INDEX(SP_GF_OI_Operating,0,COLUMN()),0)-IFERROR(INDEX(SP_GF_DA_Operating,0,COLUMN()),0)-IFERROR(INDEX(SP_GF_OPEX,0,COLUMN()),0)-IFERROR(INDEX(SP_GF_RD,0,COLUMN()),0)</f>
        <v/>
      </c>
      <c r="I29" s="2134">
        <f>IFERROR(INDEX(SP_GF_Rev,0,COLUMN()),0)-IFERROR(INDEX(SP_GF_COGS,0,COLUMN()),0)-IFERROR(INDEX(SP_GF_SGA,0,COLUMN()),0)-IFERROR(INDEX(SP_GF_OI_Operating,0,COLUMN()),0)-IFERROR(INDEX(SP_GF_DA_Operating,0,COLUMN()),0)-IFERROR(INDEX(SP_GF_OPEX,0,COLUMN()),0)-IFERROR(INDEX(SP_GF_RD,0,COLUMN()),0)</f>
        <v/>
      </c>
      <c r="J29" s="2134">
        <f>IFERROR(INDEX(SP_GF_Rev,0,COLUMN()),0)-IFERROR(INDEX(SP_GF_COGS,0,COLUMN()),0)-IFERROR(INDEX(SP_GF_SGA,0,COLUMN()),0)-IFERROR(INDEX(SP_GF_OI_Operating,0,COLUMN()),0)-IFERROR(INDEX(SP_GF_DA_Operating,0,COLUMN()),0)-IFERROR(INDEX(SP_GF_OPEX,0,COLUMN()),0)-IFERROR(INDEX(SP_GF_RD,0,COLUMN()),0)</f>
        <v/>
      </c>
      <c r="K29" s="2134">
        <f>IFERROR(INDEX(SP_GF_Rev,0,COLUMN()),0)-IFERROR(INDEX(SP_GF_COGS,0,COLUMN()),0)-IFERROR(INDEX(SP_GF_SGA,0,COLUMN()),0)-IFERROR(INDEX(SP_GF_OI_Operating,0,COLUMN()),0)-IFERROR(INDEX(SP_GF_DA_Operating,0,COLUMN()),0)-IFERROR(INDEX(SP_GF_OPEX,0,COLUMN()),0)-IFERROR(INDEX(SP_GF_RD,0,COLUMN()),0)</f>
        <v/>
      </c>
      <c r="L29" s="2133">
        <f>IFERROR(INDEX(SP_GF_Rev,0,COLUMN()),0)-IFERROR(INDEX(SP_GF_COGS,0,COLUMN()),0)-IFERROR(INDEX(SP_GF_SGA,0,COLUMN()),0)-IFERROR(INDEX(SP_GF_OI_Operating,0,COLUMN()),0)-IFERROR(INDEX(SP_GF_DA_Operating,0,COLUMN()),0)-IFERROR(INDEX(SP_GF_OPEX,0,COLUMN()),0)-IFERROR(INDEX(SP_GF_RD,0,COLUMN()),0)</f>
        <v/>
      </c>
      <c r="M29" s="2134">
        <f>IFERROR(INDEX(SP_GF_Rev,0,COLUMN()),0)-IFERROR(INDEX(SP_GF_COGS,0,COLUMN()),0)-IFERROR(INDEX(SP_GF_SGA,0,COLUMN()),0)-IFERROR(INDEX(SP_GF_OI_Operating,0,COLUMN()),0)-IFERROR(INDEX(SP_GF_DA_Operating,0,COLUMN()),0)-IFERROR(INDEX(SP_GF_OPEX,0,COLUMN()),0)-IFERROR(INDEX(SP_GF_RD,0,COLUMN()),0)</f>
        <v/>
      </c>
      <c r="N29" s="2134">
        <f>IFERROR(INDEX(SP_GF_Rev,0,COLUMN()),0)-IFERROR(INDEX(SP_GF_COGS,0,COLUMN()),0)-IFERROR(INDEX(SP_GF_SGA,0,COLUMN()),0)-IFERROR(INDEX(SP_GF_OI_Operating,0,COLUMN()),0)-IFERROR(INDEX(SP_GF_DA_Operating,0,COLUMN()),0)-IFERROR(INDEX(SP_GF_OPEX,0,COLUMN()),0)-IFERROR(INDEX(SP_GF_RD,0,COLUMN()),0)</f>
        <v/>
      </c>
      <c r="O29" s="2134">
        <f>IFERROR(INDEX(SP_GF_Rev,0,COLUMN()),0)-IFERROR(INDEX(SP_GF_COGS,0,COLUMN()),0)-IFERROR(INDEX(SP_GF_SGA,0,COLUMN()),0)-IFERROR(INDEX(SP_GF_OI_Operating,0,COLUMN()),0)-IFERROR(INDEX(SP_GF_DA_Operating,0,COLUMN()),0)-IFERROR(INDEX(SP_GF_OPEX,0,COLUMN()),0)-IFERROR(INDEX(SP_GF_RD,0,COLUMN()),0)</f>
        <v/>
      </c>
      <c r="P29" s="2134">
        <f>IFERROR(INDEX(SP_GF_Rev,0,COLUMN()),0)-IFERROR(INDEX(SP_GF_COGS,0,COLUMN()),0)-IFERROR(INDEX(SP_GF_SGA,0,COLUMN()),0)-IFERROR(INDEX(SP_GF_OI_Operating,0,COLUMN()),0)-IFERROR(INDEX(SP_GF_DA_Operating,0,COLUMN()),0)-IFERROR(INDEX(SP_GF_OPEX,0,COLUMN()),0)-IFERROR(INDEX(SP_GF_RD,0,COLUMN()),0)</f>
        <v/>
      </c>
      <c r="Q29" s="2133">
        <f>IFERROR(INDEX(SP_GF_Rev,0,COLUMN()),0)-IFERROR(INDEX(SP_GF_COGS,0,COLUMN()),0)-IFERROR(INDEX(SP_GF_SGA,0,COLUMN()),0)-IFERROR(INDEX(SP_GF_OI_Operating,0,COLUMN()),0)-IFERROR(INDEX(SP_GF_DA_Operating,0,COLUMN()),0)-IFERROR(INDEX(SP_GF_OPEX,0,COLUMN()),0)-IFERROR(INDEX(SP_GF_RD,0,COLUMN()),0)</f>
        <v/>
      </c>
      <c r="R29" s="2134">
        <f>IFERROR(INDEX(SP_GF_Rev,0,COLUMN()),0)-IFERROR(INDEX(SP_GF_COGS,0,COLUMN()),0)-IFERROR(INDEX(SP_GF_SGA,0,COLUMN()),0)-IFERROR(INDEX(SP_GF_OI_Operating,0,COLUMN()),0)-IFERROR(INDEX(SP_GF_DA_Operating,0,COLUMN()),0)-IFERROR(INDEX(SP_GF_OPEX,0,COLUMN()),0)-IFERROR(INDEX(SP_GF_RD,0,COLUMN()),0)</f>
        <v/>
      </c>
      <c r="S29" s="2134">
        <f>IFERROR(INDEX(SP_GF_Rev,0,COLUMN()),0)-IFERROR(INDEX(SP_GF_COGS,0,COLUMN()),0)-IFERROR(INDEX(SP_GF_SGA,0,COLUMN()),0)-IFERROR(INDEX(SP_GF_OI_Operating,0,COLUMN()),0)-IFERROR(INDEX(SP_GF_DA_Operating,0,COLUMN()),0)-IFERROR(INDEX(SP_GF_OPEX,0,COLUMN()),0)-IFERROR(INDEX(SP_GF_RD,0,COLUMN()),0)</f>
        <v/>
      </c>
      <c r="T29" s="2134">
        <f>IFERROR(INDEX(SP_GF_Rev,0,COLUMN()),0)-IFERROR(INDEX(SP_GF_COGS,0,COLUMN()),0)-IFERROR(INDEX(SP_GF_SGA,0,COLUMN()),0)-IFERROR(INDEX(SP_GF_OI_Operating,0,COLUMN()),0)-IFERROR(INDEX(SP_GF_DA_Operating,0,COLUMN()),0)-IFERROR(INDEX(SP_GF_OPEX,0,COLUMN()),0)-IFERROR(INDEX(SP_GF_RD,0,COLUMN()),0)</f>
        <v/>
      </c>
      <c r="U29" s="2134">
        <f>IFERROR(INDEX(SP_GF_Rev,0,COLUMN()),0)-IFERROR(INDEX(SP_GF_COGS,0,COLUMN()),0)-IFERROR(INDEX(SP_GF_SGA,0,COLUMN()),0)-IFERROR(INDEX(SP_GF_OI_Operating,0,COLUMN()),0)-IFERROR(INDEX(SP_GF_DA_Operating,0,COLUMN()),0)-IFERROR(INDEX(SP_GF_OPEX,0,COLUMN()),0)-IFERROR(INDEX(SP_GF_RD,0,COLUMN()),0)</f>
        <v/>
      </c>
      <c r="V29" s="2133">
        <f>IFERROR(INDEX(SP_GF_Rev,0,COLUMN()),0)-IFERROR(INDEX(SP_GF_COGS,0,COLUMN()),0)-IFERROR(INDEX(SP_GF_SGA,0,COLUMN()),0)-IFERROR(INDEX(SP_GF_OI_Operating,0,COLUMN()),0)-IFERROR(INDEX(SP_GF_DA_Operating,0,COLUMN()),0)-IFERROR(INDEX(SP_GF_OPEX,0,COLUMN()),0)-IFERROR(INDEX(SP_GF_RD,0,COLUMN()),0)</f>
        <v/>
      </c>
      <c r="W29" s="2134">
        <f>IFERROR(INDEX(SP_GF_Rev,0,COLUMN()),0)-IFERROR(INDEX(SP_GF_COGS,0,COLUMN()),0)-IFERROR(INDEX(SP_GF_SGA,0,COLUMN()),0)-IFERROR(INDEX(SP_GF_OI_Operating,0,COLUMN()),0)-IFERROR(INDEX(SP_GF_DA_Operating,0,COLUMN()),0)-IFERROR(INDEX(SP_GF_OPEX,0,COLUMN()),0)-IFERROR(INDEX(SP_GF_RD,0,COLUMN()),0)</f>
        <v/>
      </c>
      <c r="X29" s="2134">
        <f>IFERROR(INDEX(SP_GF_Rev,0,COLUMN()),0)-IFERROR(INDEX(SP_GF_COGS,0,COLUMN()),0)-IFERROR(INDEX(SP_GF_SGA,0,COLUMN()),0)-IFERROR(INDEX(SP_GF_OI_Operating,0,COLUMN()),0)-IFERROR(INDEX(SP_GF_DA_Operating,0,COLUMN()),0)-IFERROR(INDEX(SP_GF_OPEX,0,COLUMN()),0)-IFERROR(INDEX(SP_GF_RD,0,COLUMN()),0)</f>
        <v/>
      </c>
      <c r="Y29" s="2134">
        <f>IFERROR(INDEX(SP_GF_Rev,0,COLUMN()),0)-IFERROR(INDEX(SP_GF_COGS,0,COLUMN()),0)-IFERROR(INDEX(SP_GF_SGA,0,COLUMN()),0)-IFERROR(INDEX(SP_GF_OI_Operating,0,COLUMN()),0)-IFERROR(INDEX(SP_GF_DA_Operating,0,COLUMN()),0)-IFERROR(INDEX(SP_GF_OPEX,0,COLUMN()),0)-IFERROR(INDEX(SP_GF_RD,0,COLUMN()),0)</f>
        <v/>
      </c>
      <c r="Z29" s="2134">
        <f>IFERROR(INDEX(SP_GF_Rev,0,COLUMN()),0)-IFERROR(INDEX(SP_GF_COGS,0,COLUMN()),0)-IFERROR(INDEX(SP_GF_SGA,0,COLUMN()),0)-IFERROR(INDEX(SP_GF_OI_Operating,0,COLUMN()),0)-IFERROR(INDEX(SP_GF_DA_Operating,0,COLUMN()),0)-IFERROR(INDEX(SP_GF_OPEX,0,COLUMN()),0)-IFERROR(INDEX(SP_GF_RD,0,COLUMN()),0)</f>
        <v/>
      </c>
      <c r="AA29" s="2133">
        <f>IFERROR(INDEX(SP_GF_Rev,0,COLUMN()),0)-IFERROR(INDEX(SP_GF_COGS,0,COLUMN()),0)-IFERROR(INDEX(SP_GF_SGA,0,COLUMN()),0)-IFERROR(INDEX(SP_GF_OI_Operating,0,COLUMN()),0)-IFERROR(INDEX(SP_GF_DA_Operating,0,COLUMN()),0)-IFERROR(INDEX(SP_GF_OPEX,0,COLUMN()),0)-IFERROR(INDEX(SP_GF_RD,0,COLUMN()),0)</f>
        <v/>
      </c>
      <c r="AB29" s="2134">
        <f>IFERROR(INDEX(SP_GF_Rev,0,COLUMN()),0)-IFERROR(INDEX(SP_GF_COGS,0,COLUMN()),0)-IFERROR(INDEX(SP_GF_SGA,0,COLUMN()),0)-IFERROR(INDEX(SP_GF_OI_Operating,0,COLUMN()),0)-IFERROR(INDEX(SP_GF_DA_Operating,0,COLUMN()),0)-IFERROR(INDEX(SP_GF_OPEX,0,COLUMN()),0)-IFERROR(INDEX(SP_GF_RD,0,COLUMN()),0)</f>
        <v/>
      </c>
      <c r="AC29" s="2134">
        <f>IFERROR(INDEX(SP_GF_Rev,0,COLUMN()),0)-IFERROR(INDEX(SP_GF_COGS,0,COLUMN()),0)-IFERROR(INDEX(SP_GF_SGA,0,COLUMN()),0)-IFERROR(INDEX(SP_GF_OI_Operating,0,COLUMN()),0)-IFERROR(INDEX(SP_GF_DA_Operating,0,COLUMN()),0)-IFERROR(INDEX(SP_GF_OPEX,0,COLUMN()),0)-IFERROR(INDEX(SP_GF_RD,0,COLUMN()),0)</f>
        <v/>
      </c>
      <c r="AD29" s="2134">
        <f>IFERROR(INDEX(SP_GF_Rev,0,COLUMN()),0)-IFERROR(INDEX(SP_GF_COGS,0,COLUMN()),0)-IFERROR(INDEX(SP_GF_SGA,0,COLUMN()),0)-IFERROR(INDEX(SP_GF_OI_Operating,0,COLUMN()),0)-IFERROR(INDEX(SP_GF_DA_Operating,0,COLUMN()),0)-IFERROR(INDEX(SP_GF_OPEX,0,COLUMN()),0)-IFERROR(INDEX(SP_GF_RD,0,COLUMN()),0)</f>
        <v/>
      </c>
      <c r="AE29" s="2134">
        <f>IFERROR(INDEX(SP_GF_Rev,0,COLUMN()),0)-IFERROR(INDEX(SP_GF_COGS,0,COLUMN()),0)-IFERROR(INDEX(SP_GF_SGA,0,COLUMN()),0)-IFERROR(INDEX(SP_GF_OI_Operating,0,COLUMN()),0)-IFERROR(INDEX(SP_GF_DA_Operating,0,COLUMN()),0)-IFERROR(INDEX(SP_GF_OPEX,0,COLUMN()),0)-IFERROR(INDEX(SP_GF_RD,0,COLUMN()),0)</f>
        <v/>
      </c>
      <c r="AF29" s="2133">
        <f>IFERROR(INDEX(SP_GF_Rev,0,COLUMN()),0)-IFERROR(INDEX(SP_GF_COGS,0,COLUMN()),0)-IFERROR(INDEX(SP_GF_SGA,0,COLUMN()),0)-IFERROR(INDEX(SP_GF_OI_Operating,0,COLUMN()),0)-IFERROR(INDEX(SP_GF_DA_Operating,0,COLUMN()),0)-IFERROR(INDEX(SP_GF_OPEX,0,COLUMN()),0)-IFERROR(INDEX(SP_GF_RD,0,COLUMN()),0)</f>
        <v/>
      </c>
      <c r="AG29" s="2134">
        <f>IFERROR(INDEX(SP_GF_Rev,0,COLUMN()),0)-IFERROR(INDEX(SP_GF_COGS,0,COLUMN()),0)-IFERROR(INDEX(SP_GF_SGA,0,COLUMN()),0)-IFERROR(INDEX(SP_GF_OI_Operating,0,COLUMN()),0)-IFERROR(INDEX(SP_GF_DA_Operating,0,COLUMN()),0)-IFERROR(INDEX(SP_GF_OPEX,0,COLUMN()),0)-IFERROR(INDEX(SP_GF_RD,0,COLUMN()),0)</f>
        <v/>
      </c>
      <c r="AH29" s="2134">
        <f>IFERROR(INDEX(SP_GF_Rev,0,COLUMN()),0)-IFERROR(INDEX(SP_GF_COGS,0,COLUMN()),0)-IFERROR(INDEX(SP_GF_SGA,0,COLUMN()),0)-IFERROR(INDEX(SP_GF_OI_Operating,0,COLUMN()),0)-IFERROR(INDEX(SP_GF_DA_Operating,0,COLUMN()),0)-IFERROR(INDEX(SP_GF_OPEX,0,COLUMN()),0)-IFERROR(INDEX(SP_GF_RD,0,COLUMN()),0)</f>
        <v/>
      </c>
      <c r="AI29" s="2134">
        <f>IFERROR(INDEX(SP_GF_Rev,0,COLUMN()),0)-IFERROR(INDEX(SP_GF_COGS,0,COLUMN()),0)-IFERROR(INDEX(SP_GF_SGA,0,COLUMN()),0)-IFERROR(INDEX(SP_GF_OI_Operating,0,COLUMN()),0)-IFERROR(INDEX(SP_GF_DA_Operating,0,COLUMN()),0)-IFERROR(INDEX(SP_GF_OPEX,0,COLUMN()),0)-IFERROR(INDEX(SP_GF_RD,0,COLUMN()),0)</f>
        <v/>
      </c>
      <c r="AJ29" s="2134">
        <f>IFERROR(INDEX(SP_GF_Rev,0,COLUMN()),0)-IFERROR(INDEX(SP_GF_COGS,0,COLUMN()),0)-IFERROR(INDEX(SP_GF_SGA,0,COLUMN()),0)-IFERROR(INDEX(SP_GF_OI_Operating,0,COLUMN()),0)-IFERROR(INDEX(SP_GF_DA_Operating,0,COLUMN()),0)-IFERROR(INDEX(SP_GF_OPEX,0,COLUMN()),0)-IFERROR(INDEX(SP_GF_RD,0,COLUMN()),0)</f>
        <v/>
      </c>
      <c r="AK29" s="2133">
        <f>IFERROR(INDEX(SP_GF_Rev,0,COLUMN()),0)-IFERROR(INDEX(SP_GF_COGS,0,COLUMN()),0)-IFERROR(INDEX(SP_GF_SGA,0,COLUMN()),0)-IFERROR(INDEX(SP_GF_OI_Operating,0,COLUMN()),0)-IFERROR(INDEX(SP_GF_DA_Operating,0,COLUMN()),0)-IFERROR(INDEX(SP_GF_OPEX,0,COLUMN()),0)-IFERROR(INDEX(SP_GF_RD,0,COLUMN()),0)</f>
        <v/>
      </c>
      <c r="AL29" s="2134">
        <f>IFERROR(INDEX(SP_GF_Rev,0,COLUMN()),0)-IFERROR(INDEX(SP_GF_COGS,0,COLUMN()),0)-IFERROR(INDEX(SP_GF_SGA,0,COLUMN()),0)-IFERROR(INDEX(SP_GF_OI_Operating,0,COLUMN()),0)-IFERROR(INDEX(SP_GF_DA_Operating,0,COLUMN()),0)-IFERROR(INDEX(SP_GF_OPEX,0,COLUMN()),0)-IFERROR(INDEX(SP_GF_RD,0,COLUMN()),0)</f>
        <v/>
      </c>
      <c r="AM29" s="2134">
        <f>IFERROR(INDEX(SP_GF_Rev,0,COLUMN()),0)-IFERROR(INDEX(SP_GF_COGS,0,COLUMN()),0)-IFERROR(INDEX(SP_GF_SGA,0,COLUMN()),0)-IFERROR(INDEX(SP_GF_OI_Operating,0,COLUMN()),0)-IFERROR(INDEX(SP_GF_DA_Operating,0,COLUMN()),0)-IFERROR(INDEX(SP_GF_OPEX,0,COLUMN()),0)-IFERROR(INDEX(SP_GF_RD,0,COLUMN()),0)</f>
        <v/>
      </c>
      <c r="AN29" s="2134">
        <f>IFERROR(INDEX(SP_GF_Rev,0,COLUMN()),0)-IFERROR(INDEX(SP_GF_COGS,0,COLUMN()),0)-IFERROR(INDEX(SP_GF_SGA,0,COLUMN()),0)-IFERROR(INDEX(SP_GF_OI_Operating,0,COLUMN()),0)-IFERROR(INDEX(SP_GF_DA_Operating,0,COLUMN()),0)-IFERROR(INDEX(SP_GF_OPEX,0,COLUMN()),0)-IFERROR(INDEX(SP_GF_RD,0,COLUMN()),0)</f>
        <v/>
      </c>
      <c r="AO29" s="2134">
        <f>IFERROR(INDEX(SP_GF_Rev,0,COLUMN()),0)-IFERROR(INDEX(SP_GF_COGS,0,COLUMN()),0)-IFERROR(INDEX(SP_GF_SGA,0,COLUMN()),0)-IFERROR(INDEX(SP_GF_OI_Operating,0,COLUMN()),0)-IFERROR(INDEX(SP_GF_DA_Operating,0,COLUMN()),0)-IFERROR(INDEX(SP_GF_OPEX,0,COLUMN()),0)-IFERROR(INDEX(SP_GF_RD,0,COLUMN()),0)</f>
        <v/>
      </c>
      <c r="AP29" s="2133">
        <f>IFERROR(INDEX(SP_GF_Rev,0,COLUMN()),0)-IFERROR(INDEX(SP_GF_COGS,0,COLUMN()),0)-IFERROR(INDEX(SP_GF_SGA,0,COLUMN()),0)-IFERROR(INDEX(SP_GF_OI_Operating,0,COLUMN()),0)-IFERROR(INDEX(SP_GF_DA_Operating,0,COLUMN()),0)-IFERROR(INDEX(SP_GF_OPEX,0,COLUMN()),0)-IFERROR(INDEX(SP_GF_RD,0,COLUMN()),0)</f>
        <v/>
      </c>
      <c r="AQ29" s="2134">
        <f>IFERROR(INDEX(SP_GF_Rev,0,COLUMN()),0)-IFERROR(INDEX(SP_GF_COGS,0,COLUMN()),0)-IFERROR(INDEX(SP_GF_SGA,0,COLUMN()),0)-IFERROR(INDEX(SP_GF_OI_Operating,0,COLUMN()),0)-IFERROR(INDEX(SP_GF_DA_Operating,0,COLUMN()),0)-IFERROR(INDEX(SP_GF_OPEX,0,COLUMN()),0)-IFERROR(INDEX(SP_GF_RD,0,COLUMN()),0)</f>
        <v/>
      </c>
      <c r="AR29" s="2134">
        <f>IFERROR(INDEX(SP_GF_Rev,0,COLUMN()),0)-IFERROR(INDEX(SP_GF_COGS,0,COLUMN()),0)-IFERROR(INDEX(SP_GF_SGA,0,COLUMN()),0)-IFERROR(INDEX(SP_GF_OI_Operating,0,COLUMN()),0)-IFERROR(INDEX(SP_GF_DA_Operating,0,COLUMN()),0)-IFERROR(INDEX(SP_GF_OPEX,0,COLUMN()),0)-IFERROR(INDEX(SP_GF_RD,0,COLUMN()),0)</f>
        <v/>
      </c>
      <c r="AS29" s="2134">
        <f>IFERROR(INDEX(SP_GF_Rev,0,COLUMN()),0)-IFERROR(INDEX(SP_GF_COGS,0,COLUMN()),0)-IFERROR(INDEX(SP_GF_SGA,0,COLUMN()),0)-IFERROR(INDEX(SP_GF_OI_Operating,0,COLUMN()),0)-IFERROR(INDEX(SP_GF_DA_Operating,0,COLUMN()),0)-IFERROR(INDEX(SP_GF_OPEX,0,COLUMN()),0)-IFERROR(INDEX(SP_GF_RD,0,COLUMN()),0)</f>
        <v/>
      </c>
      <c r="AT29" s="2134">
        <f>IFERROR(INDEX(SP_GF_Rev,0,COLUMN()),0)-IFERROR(INDEX(SP_GF_COGS,0,COLUMN()),0)-IFERROR(INDEX(SP_GF_SGA,0,COLUMN()),0)-IFERROR(INDEX(SP_GF_OI_Operating,0,COLUMN()),0)-IFERROR(INDEX(SP_GF_DA_Operating,0,COLUMN()),0)-IFERROR(INDEX(SP_GF_OPEX,0,COLUMN()),0)-IFERROR(INDEX(SP_GF_RD,0,COLUMN()),0)</f>
        <v/>
      </c>
      <c r="AU29" s="2133">
        <f>IFERROR(INDEX(SP_GF_Rev,0,COLUMN()),0)-IFERROR(INDEX(SP_GF_COGS,0,COLUMN()),0)-IFERROR(INDEX(SP_GF_SGA,0,COLUMN()),0)-IFERROR(INDEX(SP_GF_OI_Operating,0,COLUMN()),0)-IFERROR(INDEX(SP_GF_DA_Operating,0,COLUMN()),0)-IFERROR(INDEX(SP_GF_OPEX,0,COLUMN()),0)-IFERROR(INDEX(SP_GF_RD,0,COLUMN()),0)</f>
        <v/>
      </c>
      <c r="AV29" s="2134">
        <f>IFERROR(INDEX(SP_GF_Rev,0,COLUMN()),0)-IFERROR(INDEX(SP_GF_COGS,0,COLUMN()),0)-IFERROR(INDEX(SP_GF_SGA,0,COLUMN()),0)-IFERROR(INDEX(SP_GF_OI_Operating,0,COLUMN()),0)-IFERROR(INDEX(SP_GF_DA_Operating,0,COLUMN()),0)-IFERROR(INDEX(SP_GF_OPEX,0,COLUMN()),0)-IFERROR(INDEX(SP_GF_RD,0,COLUMN()),0)</f>
        <v/>
      </c>
      <c r="AW29" s="2134">
        <f>IFERROR(INDEX(SP_GF_Rev,0,COLUMN()),0)-IFERROR(INDEX(SP_GF_COGS,0,COLUMN()),0)-IFERROR(INDEX(SP_GF_SGA,0,COLUMN()),0)-IFERROR(INDEX(SP_GF_OI_Operating,0,COLUMN()),0)-IFERROR(INDEX(SP_GF_DA_Operating,0,COLUMN()),0)-IFERROR(INDEX(SP_GF_OPEX,0,COLUMN()),0)-IFERROR(INDEX(SP_GF_RD,0,COLUMN()),0)</f>
        <v/>
      </c>
      <c r="AX29" s="2134">
        <f>IFERROR(INDEX(SP_GF_Rev,0,COLUMN()),0)-IFERROR(INDEX(SP_GF_COGS,0,COLUMN()),0)-IFERROR(INDEX(SP_GF_SGA,0,COLUMN()),0)-IFERROR(INDEX(SP_GF_OI_Operating,0,COLUMN()),0)-IFERROR(INDEX(SP_GF_DA_Operating,0,COLUMN()),0)-IFERROR(INDEX(SP_GF_OPEX,0,COLUMN()),0)-IFERROR(INDEX(SP_GF_RD,0,COLUMN()),0)</f>
        <v/>
      </c>
      <c r="AY29" s="2134">
        <f>IFERROR(INDEX(SP_GF_Rev,0,COLUMN()),0)-IFERROR(INDEX(SP_GF_COGS,0,COLUMN()),0)-IFERROR(INDEX(SP_GF_SGA,0,COLUMN()),0)-IFERROR(INDEX(SP_GF_OI_Operating,0,COLUMN()),0)-IFERROR(INDEX(SP_GF_DA_Operating,0,COLUMN()),0)-IFERROR(INDEX(SP_GF_OPEX,0,COLUMN()),0)-IFERROR(INDEX(SP_GF_RD,0,COLUMN()),0)</f>
        <v/>
      </c>
      <c r="AZ29" s="2133">
        <f>IFERROR(INDEX(SP_GF_Rev,0,COLUMN()),0)-IFERROR(INDEX(SP_GF_COGS,0,COLUMN()),0)-IFERROR(INDEX(SP_GF_SGA,0,COLUMN()),0)-IFERROR(INDEX(SP_GF_OI_Operating,0,COLUMN()),0)-IFERROR(INDEX(SP_GF_DA_Operating,0,COLUMN()),0)-IFERROR(INDEX(SP_GF_OPEX,0,COLUMN()),0)-IFERROR(INDEX(SP_GF_RD,0,COLUMN()),0)</f>
        <v/>
      </c>
      <c r="BA29" s="2134">
        <f>IFERROR(INDEX(SP_GF_Rev,0,COLUMN()),0)-IFERROR(INDEX(SP_GF_COGS,0,COLUMN()),0)-IFERROR(INDEX(SP_GF_SGA,0,COLUMN()),0)-IFERROR(INDEX(SP_GF_OI_Operating,0,COLUMN()),0)-IFERROR(INDEX(SP_GF_DA_Operating,0,COLUMN()),0)-IFERROR(INDEX(SP_GF_OPEX,0,COLUMN()),0)-IFERROR(INDEX(SP_GF_RD,0,COLUMN()),0)</f>
        <v/>
      </c>
      <c r="BB29" s="2134">
        <f>IFERROR(INDEX(SP_GF_Rev,0,COLUMN()),0)-IFERROR(INDEX(SP_GF_COGS,0,COLUMN()),0)-IFERROR(INDEX(SP_GF_SGA,0,COLUMN()),0)-IFERROR(INDEX(SP_GF_OI_Operating,0,COLUMN()),0)-IFERROR(INDEX(SP_GF_DA_Operating,0,COLUMN()),0)-IFERROR(INDEX(SP_GF_OPEX,0,COLUMN()),0)-IFERROR(INDEX(SP_GF_RD,0,COLUMN()),0)</f>
        <v/>
      </c>
      <c r="BC29" s="2134">
        <f>IFERROR(INDEX(SP_GF_Rev,0,COLUMN()),0)-IFERROR(INDEX(SP_GF_COGS,0,COLUMN()),0)-IFERROR(INDEX(SP_GF_SGA,0,COLUMN()),0)-IFERROR(INDEX(SP_GF_OI_Operating,0,COLUMN()),0)-IFERROR(INDEX(SP_GF_DA_Operating,0,COLUMN()),0)-IFERROR(INDEX(SP_GF_OPEX,0,COLUMN()),0)-IFERROR(INDEX(SP_GF_RD,0,COLUMN()),0)</f>
        <v/>
      </c>
      <c r="BD29" s="2134">
        <f>IFERROR(INDEX(SP_GF_Rev,0,COLUMN()),0)-IFERROR(INDEX(SP_GF_COGS,0,COLUMN()),0)-IFERROR(INDEX(SP_GF_SGA,0,COLUMN()),0)-IFERROR(INDEX(SP_GF_OI_Operating,0,COLUMN()),0)-IFERROR(INDEX(SP_GF_DA_Operating,0,COLUMN()),0)-IFERROR(INDEX(SP_GF_OPEX,0,COLUMN()),0)-IFERROR(INDEX(SP_GF_RD,0,COLUMN()),0)</f>
        <v/>
      </c>
      <c r="BE29" s="2133">
        <f>IFERROR(INDEX(SP_GF_Rev,0,COLUMN()),0)-IFERROR(INDEX(SP_GF_COGS,0,COLUMN()),0)-IFERROR(INDEX(SP_GF_SGA,0,COLUMN()),0)-IFERROR(INDEX(SP_GF_OI_Operating,0,COLUMN()),0)-IFERROR(INDEX(SP_GF_DA_Operating,0,COLUMN()),0)-IFERROR(INDEX(SP_GF_OPEX,0,COLUMN()),0)-IFERROR(INDEX(SP_GF_RD,0,COLUMN()),0)</f>
        <v/>
      </c>
      <c r="BF29" s="2134">
        <f>IFERROR(INDEX(SP_GF_Rev,0,COLUMN()),0)-IFERROR(INDEX(SP_GF_COGS,0,COLUMN()),0)-IFERROR(INDEX(SP_GF_SGA,0,COLUMN()),0)-IFERROR(INDEX(SP_GF_OI_Operating,0,COLUMN()),0)-IFERROR(INDEX(SP_GF_DA_Operating,0,COLUMN()),0)-IFERROR(INDEX(SP_GF_OPEX,0,COLUMN()),0)-IFERROR(INDEX(SP_GF_RD,0,COLUMN()),0)</f>
        <v/>
      </c>
      <c r="BG29" s="2134">
        <f>IFERROR(INDEX(SP_GF_Rev,0,COLUMN()),0)-IFERROR(INDEX(SP_GF_COGS,0,COLUMN()),0)-IFERROR(INDEX(SP_GF_SGA,0,COLUMN()),0)-IFERROR(INDEX(SP_GF_OI_Operating,0,COLUMN()),0)-IFERROR(INDEX(SP_GF_DA_Operating,0,COLUMN()),0)-IFERROR(INDEX(SP_GF_OPEX,0,COLUMN()),0)-IFERROR(INDEX(SP_GF_RD,0,COLUMN()),0)</f>
        <v/>
      </c>
      <c r="BH29" s="2134">
        <f>IFERROR(INDEX(SP_GF_Rev,0,COLUMN()),0)-IFERROR(INDEX(SP_GF_COGS,0,COLUMN()),0)-IFERROR(INDEX(SP_GF_SGA,0,COLUMN()),0)-IFERROR(INDEX(SP_GF_OI_Operating,0,COLUMN()),0)-IFERROR(INDEX(SP_GF_DA_Operating,0,COLUMN()),0)-IFERROR(INDEX(SP_GF_OPEX,0,COLUMN()),0)-IFERROR(INDEX(SP_GF_RD,0,COLUMN()),0)</f>
        <v/>
      </c>
      <c r="BI29" s="2134">
        <f>IFERROR(INDEX(SP_GF_Rev,0,COLUMN()),0)-IFERROR(INDEX(SP_GF_COGS,0,COLUMN()),0)-IFERROR(INDEX(SP_GF_SGA,0,COLUMN()),0)-IFERROR(INDEX(SP_GF_OI_Operating,0,COLUMN()),0)-IFERROR(INDEX(SP_GF_DA_Operating,0,COLUMN()),0)-IFERROR(INDEX(SP_GF_OPEX,0,COLUMN()),0)-IFERROR(INDEX(SP_GF_RD,0,COLUMN()),0)</f>
        <v/>
      </c>
      <c r="BJ29" s="2133">
        <f>IFERROR(INDEX(SP_GF_Rev,0,COLUMN()),0)-IFERROR(INDEX(SP_GF_COGS,0,COLUMN()),0)-IFERROR(INDEX(SP_GF_SGA,0,COLUMN()),0)-IFERROR(INDEX(SP_GF_OI_Operating,0,COLUMN()),0)-IFERROR(INDEX(SP_GF_DA_Operating,0,COLUMN()),0)-IFERROR(INDEX(SP_GF_OPEX,0,COLUMN()),0)-IFERROR(INDEX(SP_GF_RD,0,COLUMN()),0)</f>
        <v/>
      </c>
      <c r="BK29" s="2134">
        <f>IFERROR(INDEX(SP_GF_Rev,0,COLUMN()),0)-IFERROR(INDEX(SP_GF_COGS,0,COLUMN()),0)-IFERROR(INDEX(SP_GF_SGA,0,COLUMN()),0)-IFERROR(INDEX(SP_GF_OI_Operating,0,COLUMN()),0)-IFERROR(INDEX(SP_GF_DA_Operating,0,COLUMN()),0)-IFERROR(INDEX(SP_GF_OPEX,0,COLUMN()),0)-IFERROR(INDEX(SP_GF_RD,0,COLUMN()),0)</f>
        <v/>
      </c>
      <c r="BL29" s="2134">
        <f>IFERROR(INDEX(SP_GF_Rev,0,COLUMN()),0)-IFERROR(INDEX(SP_GF_COGS,0,COLUMN()),0)-IFERROR(INDEX(SP_GF_SGA,0,COLUMN()),0)-IFERROR(INDEX(SP_GF_OI_Operating,0,COLUMN()),0)-IFERROR(INDEX(SP_GF_DA_Operating,0,COLUMN()),0)-IFERROR(INDEX(SP_GF_OPEX,0,COLUMN()),0)-IFERROR(INDEX(SP_GF_RD,0,COLUMN()),0)</f>
        <v/>
      </c>
      <c r="BM29" s="2134">
        <f>IFERROR(INDEX(SP_GF_Rev,0,COLUMN()),0)-IFERROR(INDEX(SP_GF_COGS,0,COLUMN()),0)-IFERROR(INDEX(SP_GF_SGA,0,COLUMN()),0)-IFERROR(INDEX(SP_GF_OI_Operating,0,COLUMN()),0)-IFERROR(INDEX(SP_GF_DA_Operating,0,COLUMN()),0)-IFERROR(INDEX(SP_GF_OPEX,0,COLUMN()),0)-IFERROR(INDEX(SP_GF_RD,0,COLUMN()),0)</f>
        <v/>
      </c>
      <c r="BN29" s="2134">
        <f>IFERROR(INDEX(SP_GF_Rev,0,COLUMN()),0)-IFERROR(INDEX(SP_GF_COGS,0,COLUMN()),0)-IFERROR(INDEX(SP_GF_SGA,0,COLUMN()),0)-IFERROR(INDEX(SP_GF_OI_Operating,0,COLUMN()),0)-IFERROR(INDEX(SP_GF_DA_Operating,0,COLUMN()),0)-IFERROR(INDEX(SP_GF_OPEX,0,COLUMN()),0)-IFERROR(INDEX(SP_GF_RD,0,COLUMN()),0)</f>
        <v/>
      </c>
      <c r="BO29" s="2135">
        <f>IFERROR(INDEX(SP_GF_Rev,0,COLUMN()),0)-IFERROR(INDEX(SP_GF_COGS,0,COLUMN()),0)-IFERROR(INDEX(SP_GF_SGA,0,COLUMN()),0)-IFERROR(INDEX(SP_GF_OI_Operating,0,COLUMN()),0)-IFERROR(INDEX(SP_GF_DA_Operating,0,COLUMN()),0)-IFERROR(INDEX(SP_GF_OPEX,0,COLUMN()),0)-IFERROR(INDEX(SP_GF_RD,0,COLUMN()),0)</f>
        <v/>
      </c>
      <c r="BP29" s="2134">
        <f>IFERROR(INDEX(SP_GF_Rev,0,COLUMN()),0)-IFERROR(INDEX(SP_GF_COGS,0,COLUMN()),0)-IFERROR(INDEX(SP_GF_SGA,0,COLUMN()),0)-IFERROR(INDEX(SP_GF_OI_Operating,0,COLUMN()),0)-IFERROR(INDEX(SP_GF_DA_Operating,0,COLUMN()),0)-IFERROR(INDEX(SP_GF_OPEX,0,COLUMN()),0)-IFERROR(INDEX(SP_GF_RD,0,COLUMN()),0)</f>
        <v/>
      </c>
      <c r="BQ29" s="2134">
        <f>IFERROR(INDEX(SP_GF_Rev,0,COLUMN()),0)-IFERROR(INDEX(SP_GF_COGS,0,COLUMN()),0)-IFERROR(INDEX(SP_GF_SGA,0,COLUMN()),0)-IFERROR(INDEX(SP_GF_OI_Operating,0,COLUMN()),0)-IFERROR(INDEX(SP_GF_DA_Operating,0,COLUMN()),0)-IFERROR(INDEX(SP_GF_OPEX,0,COLUMN()),0)-IFERROR(INDEX(SP_GF_RD,0,COLUMN()),0)</f>
        <v/>
      </c>
      <c r="BR29" s="2134">
        <f>IFERROR(INDEX(SP_GF_Rev,0,COLUMN()),0)-IFERROR(INDEX(SP_GF_COGS,0,COLUMN()),0)-IFERROR(INDEX(SP_GF_SGA,0,COLUMN()),0)-IFERROR(INDEX(SP_GF_OI_Operating,0,COLUMN()),0)-IFERROR(INDEX(SP_GF_DA_Operating,0,COLUMN()),0)-IFERROR(INDEX(SP_GF_OPEX,0,COLUMN()),0)-IFERROR(INDEX(SP_GF_RD,0,COLUMN()),0)</f>
        <v/>
      </c>
      <c r="BS29" s="2134">
        <f>IFERROR(INDEX(SP_GF_Rev,0,COLUMN()),0)-IFERROR(INDEX(SP_GF_COGS,0,COLUMN()),0)-IFERROR(INDEX(SP_GF_SGA,0,COLUMN()),0)-IFERROR(INDEX(SP_GF_OI_Operating,0,COLUMN()),0)-IFERROR(INDEX(SP_GF_DA_Operating,0,COLUMN()),0)-IFERROR(INDEX(SP_GF_OPEX,0,COLUMN()),0)-IFERROR(INDEX(SP_GF_RD,0,COLUMN()),0)</f>
        <v/>
      </c>
      <c r="BT29" s="2133">
        <f>IFERROR(INDEX(SP_GF_Rev,0,COLUMN()),0)-IFERROR(INDEX(SP_GF_COGS,0,COLUMN()),0)-IFERROR(INDEX(SP_GF_SGA,0,COLUMN()),0)-IFERROR(INDEX(SP_GF_OI_Operating,0,COLUMN()),0)-IFERROR(INDEX(SP_GF_DA_Operating,0,COLUMN()),0)-IFERROR(INDEX(SP_GF_OPEX,0,COLUMN()),0)-IFERROR(INDEX(SP_GF_RD,0,COLUMN()),0)</f>
        <v/>
      </c>
      <c r="BU29" s="2134">
        <f>IFERROR(INDEX(SP_GF_Rev,0,COLUMN()),0)-IFERROR(INDEX(SP_GF_COGS,0,COLUMN()),0)-IFERROR(INDEX(SP_GF_SGA,0,COLUMN()),0)-IFERROR(INDEX(SP_GF_OI_Operating,0,COLUMN()),0)-IFERROR(INDEX(SP_GF_DA_Operating,0,COLUMN()),0)-IFERROR(INDEX(SP_GF_OPEX,0,COLUMN()),0)-IFERROR(INDEX(SP_GF_RD,0,COLUMN()),0)</f>
        <v/>
      </c>
      <c r="BV29" s="2134">
        <f>IFERROR(INDEX(SP_GF_Rev,0,COLUMN()),0)-IFERROR(INDEX(SP_GF_COGS,0,COLUMN()),0)-IFERROR(INDEX(SP_GF_SGA,0,COLUMN()),0)-IFERROR(INDEX(SP_GF_OI_Operating,0,COLUMN()),0)-IFERROR(INDEX(SP_GF_DA_Operating,0,COLUMN()),0)-IFERROR(INDEX(SP_GF_OPEX,0,COLUMN()),0)-IFERROR(INDEX(SP_GF_RD,0,COLUMN()),0)</f>
        <v/>
      </c>
      <c r="BW29" s="2134">
        <f>IFERROR(INDEX(SP_GF_Rev,0,COLUMN()),0)-IFERROR(INDEX(SP_GF_COGS,0,COLUMN()),0)-IFERROR(INDEX(SP_GF_SGA,0,COLUMN()),0)-IFERROR(INDEX(SP_GF_OI_Operating,0,COLUMN()),0)-IFERROR(INDEX(SP_GF_DA_Operating,0,COLUMN()),0)-IFERROR(INDEX(SP_GF_OPEX,0,COLUMN()),0)-IFERROR(INDEX(SP_GF_RD,0,COLUMN()),0)</f>
        <v/>
      </c>
      <c r="BX29" s="2134">
        <f>IFERROR(INDEX(SP_GF_Rev,0,COLUMN()),0)-IFERROR(INDEX(SP_GF_COGS,0,COLUMN()),0)-IFERROR(INDEX(SP_GF_SGA,0,COLUMN()),0)-IFERROR(INDEX(SP_GF_OI_Operating,0,COLUMN()),0)-IFERROR(INDEX(SP_GF_DA_Operating,0,COLUMN()),0)-IFERROR(INDEX(SP_GF_OPEX,0,COLUMN()),0)-IFERROR(INDEX(SP_GF_RD,0,COLUMN()),0)</f>
        <v/>
      </c>
      <c r="BY29" s="2133">
        <f>IFERROR(INDEX(SP_GF_Rev,0,COLUMN()),0)-IFERROR(INDEX(SP_GF_COGS,0,COLUMN()),0)-IFERROR(INDEX(SP_GF_SGA,0,COLUMN()),0)-IFERROR(INDEX(SP_GF_OI_Operating,0,COLUMN()),0)-IFERROR(INDEX(SP_GF_DA_Operating,0,COLUMN()),0)-IFERROR(INDEX(SP_GF_OPEX,0,COLUMN()),0)-IFERROR(INDEX(SP_GF_RD,0,COLUMN()),0)</f>
        <v/>
      </c>
      <c r="BZ29" s="2133">
        <f>IFERROR(INDEX(SP_GF_Rev,0,COLUMN()),0)-IFERROR(INDEX(SP_GF_COGS,0,COLUMN()),0)-IFERROR(INDEX(SP_GF_SGA,0,COLUMN()),0)-IFERROR(INDEX(SP_GF_OI_Operating,0,COLUMN()),0)-IFERROR(INDEX(SP_GF_DA_Operating,0,COLUMN()),0)-IFERROR(INDEX(SP_GF_OPEX,0,COLUMN()),0)-IFERROR(INDEX(SP_GF_RD,0,COLUMN()),0)</f>
        <v/>
      </c>
      <c r="CA29" s="2133">
        <f>IFERROR(INDEX(SP_GF_Rev,0,COLUMN()),0)-IFERROR(INDEX(SP_GF_COGS,0,COLUMN()),0)-IFERROR(INDEX(SP_GF_SGA,0,COLUMN()),0)-IFERROR(INDEX(SP_GF_OI_Operating,0,COLUMN()),0)-IFERROR(INDEX(SP_GF_DA_Operating,0,COLUMN()),0)-IFERROR(INDEX(SP_GF_OPEX,0,COLUMN()),0)-IFERROR(INDEX(SP_GF_RD,0,COLUMN()),0)</f>
        <v/>
      </c>
      <c r="CB29" s="2133">
        <f>IFERROR(INDEX(SP_GF_Rev,0,COLUMN()),0)-IFERROR(INDEX(SP_GF_COGS,0,COLUMN()),0)-IFERROR(INDEX(SP_GF_SGA,0,COLUMN()),0)-IFERROR(INDEX(SP_GF_OI_Operating,0,COLUMN()),0)-IFERROR(INDEX(SP_GF_DA_Operating,0,COLUMN()),0)-IFERROR(INDEX(SP_GF_OPEX,0,COLUMN()),0)-IFERROR(INDEX(SP_GF_RD,0,COLUMN()),0)</f>
        <v/>
      </c>
      <c r="CC29" s="2136" t="n"/>
    </row>
    <row r="30" ht="15" customFormat="1" customHeight="1" s="2114">
      <c r="A30" s="1635">
        <f>INDEX(MO_RIS_IE_Net,0,COLUMN())</f>
        <v/>
      </c>
      <c r="B30" s="2137" t="n"/>
      <c r="C30" s="1804">
        <f>IFERROR(INDEX(MO_RIS_IE_Net,0,COLUMN()),INDEX(MO_RIS_IE,0,COLUMN())+INDEX(MO_RIS_II,0,COLUMN()))</f>
        <v/>
      </c>
      <c r="D30" s="1804">
        <f>IFERROR(INDEX(MO_RIS_IE_Net,0,COLUMN()),INDEX(MO_RIS_IE,0,COLUMN())+INDEX(MO_RIS_II,0,COLUMN()))</f>
        <v/>
      </c>
      <c r="E30" s="1804">
        <f>IFERROR(INDEX(MO_RIS_IE_Net,0,COLUMN()),INDEX(MO_RIS_IE,0,COLUMN())+INDEX(MO_RIS_II,0,COLUMN()))</f>
        <v/>
      </c>
      <c r="F30" s="1804">
        <f>IFERROR(INDEX(MO_RIS_IE_Net,0,COLUMN()),INDEX(MO_RIS_IE,0,COLUMN())+INDEX(MO_RIS_II,0,COLUMN()))</f>
        <v/>
      </c>
      <c r="G30" s="1804">
        <f>IFERROR(INDEX(MO_RIS_IE_Net,0,COLUMN()),INDEX(MO_RIS_IE,0,COLUMN())+INDEX(MO_RIS_II,0,COLUMN()))</f>
        <v/>
      </c>
      <c r="H30" s="1970">
        <f>IFERROR(INDEX(MO_RIS_IE_Net,0,COLUMN()),INDEX(MO_RIS_IE,0,COLUMN())+INDEX(MO_RIS_II,0,COLUMN()))</f>
        <v/>
      </c>
      <c r="I30" s="1970">
        <f>IFERROR(INDEX(MO_RIS_IE_Net,0,COLUMN()),INDEX(MO_RIS_IE,0,COLUMN())+INDEX(MO_RIS_II,0,COLUMN()))</f>
        <v/>
      </c>
      <c r="J30" s="1970">
        <f>IFERROR(INDEX(MO_RIS_IE_Net,0,COLUMN()),INDEX(MO_RIS_IE,0,COLUMN())+INDEX(MO_RIS_II,0,COLUMN()))</f>
        <v/>
      </c>
      <c r="K30" s="1970">
        <f>IFERROR(INDEX(MO_RIS_IE_Net,0,COLUMN()),INDEX(MO_RIS_IE,0,COLUMN())+INDEX(MO_RIS_II,0,COLUMN()))</f>
        <v/>
      </c>
      <c r="L30" s="1804">
        <f>IFERROR(INDEX(MO_RIS_IE_Net,0,COLUMN()),INDEX(MO_RIS_IE,0,COLUMN())+INDEX(MO_RIS_II,0,COLUMN()))</f>
        <v/>
      </c>
      <c r="M30" s="1970">
        <f>IFERROR(INDEX(MO_RIS_IE_Net,0,COLUMN()),INDEX(MO_RIS_IE,0,COLUMN())+INDEX(MO_RIS_II,0,COLUMN()))</f>
        <v/>
      </c>
      <c r="N30" s="1970">
        <f>IFERROR(INDEX(MO_RIS_IE_Net,0,COLUMN()),INDEX(MO_RIS_IE,0,COLUMN())+INDEX(MO_RIS_II,0,COLUMN()))</f>
        <v/>
      </c>
      <c r="O30" s="1970">
        <f>IFERROR(INDEX(MO_RIS_IE_Net,0,COLUMN()),INDEX(MO_RIS_IE,0,COLUMN())+INDEX(MO_RIS_II,0,COLUMN()))</f>
        <v/>
      </c>
      <c r="P30" s="1970">
        <f>IFERROR(INDEX(MO_RIS_IE_Net,0,COLUMN()),INDEX(MO_RIS_IE,0,COLUMN())+INDEX(MO_RIS_II,0,COLUMN()))</f>
        <v/>
      </c>
      <c r="Q30" s="1804">
        <f>IFERROR(INDEX(MO_RIS_IE_Net,0,COLUMN()),INDEX(MO_RIS_IE,0,COLUMN())+INDEX(MO_RIS_II,0,COLUMN()))</f>
        <v/>
      </c>
      <c r="R30" s="1970">
        <f>IFERROR(INDEX(MO_RIS_IE_Net,0,COLUMN()),INDEX(MO_RIS_IE,0,COLUMN())+INDEX(MO_RIS_II,0,COLUMN()))</f>
        <v/>
      </c>
      <c r="S30" s="1970">
        <f>IFERROR(INDEX(MO_RIS_IE_Net,0,COLUMN()),INDEX(MO_RIS_IE,0,COLUMN())+INDEX(MO_RIS_II,0,COLUMN()))</f>
        <v/>
      </c>
      <c r="T30" s="1970">
        <f>IFERROR(INDEX(MO_RIS_IE_Net,0,COLUMN()),INDEX(MO_RIS_IE,0,COLUMN())+INDEX(MO_RIS_II,0,COLUMN()))</f>
        <v/>
      </c>
      <c r="U30" s="1970">
        <f>IFERROR(INDEX(MO_RIS_IE_Net,0,COLUMN()),INDEX(MO_RIS_IE,0,COLUMN())+INDEX(MO_RIS_II,0,COLUMN()))</f>
        <v/>
      </c>
      <c r="V30" s="1804">
        <f>IFERROR(INDEX(MO_RIS_IE_Net,0,COLUMN()),INDEX(MO_RIS_IE,0,COLUMN())+INDEX(MO_RIS_II,0,COLUMN()))</f>
        <v/>
      </c>
      <c r="W30" s="1970">
        <f>IFERROR(INDEX(MO_RIS_IE_Net,0,COLUMN()),INDEX(MO_RIS_IE,0,COLUMN())+INDEX(MO_RIS_II,0,COLUMN()))</f>
        <v/>
      </c>
      <c r="X30" s="1970">
        <f>IFERROR(INDEX(MO_RIS_IE_Net,0,COLUMN()),INDEX(MO_RIS_IE,0,COLUMN())+INDEX(MO_RIS_II,0,COLUMN()))</f>
        <v/>
      </c>
      <c r="Y30" s="1970">
        <f>IFERROR(INDEX(MO_RIS_IE_Net,0,COLUMN()),INDEX(MO_RIS_IE,0,COLUMN())+INDEX(MO_RIS_II,0,COLUMN()))</f>
        <v/>
      </c>
      <c r="Z30" s="1970">
        <f>IFERROR(INDEX(MO_RIS_IE_Net,0,COLUMN()),INDEX(MO_RIS_IE,0,COLUMN())+INDEX(MO_RIS_II,0,COLUMN()))</f>
        <v/>
      </c>
      <c r="AA30" s="1804">
        <f>IFERROR(INDEX(MO_RIS_IE_Net,0,COLUMN()),INDEX(MO_RIS_IE,0,COLUMN())+INDEX(MO_RIS_II,0,COLUMN()))</f>
        <v/>
      </c>
      <c r="AB30" s="1970">
        <f>IFERROR(INDEX(MO_RIS_IE_Net,0,COLUMN()),INDEX(MO_RIS_IE,0,COLUMN())+INDEX(MO_RIS_II,0,COLUMN()))</f>
        <v/>
      </c>
      <c r="AC30" s="1970">
        <f>IFERROR(INDEX(MO_RIS_IE_Net,0,COLUMN()),INDEX(MO_RIS_IE,0,COLUMN())+INDEX(MO_RIS_II,0,COLUMN()))</f>
        <v/>
      </c>
      <c r="AD30" s="1970">
        <f>IFERROR(INDEX(MO_RIS_IE_Net,0,COLUMN()),INDEX(MO_RIS_IE,0,COLUMN())+INDEX(MO_RIS_II,0,COLUMN()))</f>
        <v/>
      </c>
      <c r="AE30" s="1970">
        <f>IFERROR(INDEX(MO_RIS_IE_Net,0,COLUMN()),INDEX(MO_RIS_IE,0,COLUMN())+INDEX(MO_RIS_II,0,COLUMN()))</f>
        <v/>
      </c>
      <c r="AF30" s="1804">
        <f>IFERROR(INDEX(MO_RIS_IE_Net,0,COLUMN()),INDEX(MO_RIS_IE,0,COLUMN())+INDEX(MO_RIS_II,0,COLUMN()))</f>
        <v/>
      </c>
      <c r="AG30" s="1970">
        <f>IFERROR(INDEX(MO_RIS_IE_Net,0,COLUMN()),INDEX(MO_RIS_IE,0,COLUMN())+INDEX(MO_RIS_II,0,COLUMN()))</f>
        <v/>
      </c>
      <c r="AH30" s="1970">
        <f>IFERROR(INDEX(MO_RIS_IE_Net,0,COLUMN()),INDEX(MO_RIS_IE,0,COLUMN())+INDEX(MO_RIS_II,0,COLUMN()))</f>
        <v/>
      </c>
      <c r="AI30" s="1970">
        <f>IFERROR(INDEX(MO_RIS_IE_Net,0,COLUMN()),INDEX(MO_RIS_IE,0,COLUMN())+INDEX(MO_RIS_II,0,COLUMN()))</f>
        <v/>
      </c>
      <c r="AJ30" s="1970">
        <f>IFERROR(INDEX(MO_RIS_IE_Net,0,COLUMN()),INDEX(MO_RIS_IE,0,COLUMN())+INDEX(MO_RIS_II,0,COLUMN()))</f>
        <v/>
      </c>
      <c r="AK30" s="1804">
        <f>IFERROR(INDEX(MO_RIS_IE_Net,0,COLUMN()),INDEX(MO_RIS_IE,0,COLUMN())+INDEX(MO_RIS_II,0,COLUMN()))</f>
        <v/>
      </c>
      <c r="AL30" s="1970">
        <f>IFERROR(INDEX(MO_RIS_IE_Net,0,COLUMN()),INDEX(MO_RIS_IE,0,COLUMN())+INDEX(MO_RIS_II,0,COLUMN()))</f>
        <v/>
      </c>
      <c r="AM30" s="1970">
        <f>IFERROR(INDEX(MO_RIS_IE_Net,0,COLUMN()),INDEX(MO_RIS_IE,0,COLUMN())+INDEX(MO_RIS_II,0,COLUMN()))</f>
        <v/>
      </c>
      <c r="AN30" s="1970">
        <f>IFERROR(INDEX(MO_RIS_IE_Net,0,COLUMN()),INDEX(MO_RIS_IE,0,COLUMN())+INDEX(MO_RIS_II,0,COLUMN()))</f>
        <v/>
      </c>
      <c r="AO30" s="1970">
        <f>IFERROR(INDEX(MO_RIS_IE_Net,0,COLUMN()),INDEX(MO_RIS_IE,0,COLUMN())+INDEX(MO_RIS_II,0,COLUMN()))</f>
        <v/>
      </c>
      <c r="AP30" s="1804">
        <f>IFERROR(INDEX(MO_RIS_IE_Net,0,COLUMN()),INDEX(MO_RIS_IE,0,COLUMN())+INDEX(MO_RIS_II,0,COLUMN()))</f>
        <v/>
      </c>
      <c r="AQ30" s="1970">
        <f>IFERROR(INDEX(MO_RIS_IE_Net,0,COLUMN()),INDEX(MO_RIS_IE,0,COLUMN())+INDEX(MO_RIS_II,0,COLUMN()))</f>
        <v/>
      </c>
      <c r="AR30" s="1970">
        <f>IFERROR(INDEX(MO_RIS_IE_Net,0,COLUMN()),INDEX(MO_RIS_IE,0,COLUMN())+INDEX(MO_RIS_II,0,COLUMN()))</f>
        <v/>
      </c>
      <c r="AS30" s="1970">
        <f>IFERROR(INDEX(MO_RIS_IE_Net,0,COLUMN()),INDEX(MO_RIS_IE,0,COLUMN())+INDEX(MO_RIS_II,0,COLUMN()))</f>
        <v/>
      </c>
      <c r="AT30" s="1970">
        <f>IFERROR(INDEX(MO_RIS_IE_Net,0,COLUMN()),INDEX(MO_RIS_IE,0,COLUMN())+INDEX(MO_RIS_II,0,COLUMN()))</f>
        <v/>
      </c>
      <c r="AU30" s="1804">
        <f>IFERROR(INDEX(MO_RIS_IE_Net,0,COLUMN()),INDEX(MO_RIS_IE,0,COLUMN())+INDEX(MO_RIS_II,0,COLUMN()))</f>
        <v/>
      </c>
      <c r="AV30" s="1970">
        <f>IFERROR(INDEX(MO_RIS_IE_Net,0,COLUMN()),INDEX(MO_RIS_IE,0,COLUMN())+INDEX(MO_RIS_II,0,COLUMN()))</f>
        <v/>
      </c>
      <c r="AW30" s="1970">
        <f>IFERROR(INDEX(MO_RIS_IE_Net,0,COLUMN()),INDEX(MO_RIS_IE,0,COLUMN())+INDEX(MO_RIS_II,0,COLUMN()))</f>
        <v/>
      </c>
      <c r="AX30" s="1970">
        <f>IFERROR(INDEX(MO_RIS_IE_Net,0,COLUMN()),INDEX(MO_RIS_IE,0,COLUMN())+INDEX(MO_RIS_II,0,COLUMN()))</f>
        <v/>
      </c>
      <c r="AY30" s="1970">
        <f>IFERROR(INDEX(MO_RIS_IE_Net,0,COLUMN()),INDEX(MO_RIS_IE,0,COLUMN())+INDEX(MO_RIS_II,0,COLUMN()))</f>
        <v/>
      </c>
      <c r="AZ30" s="1804">
        <f>IFERROR(INDEX(MO_RIS_IE_Net,0,COLUMN()),INDEX(MO_RIS_IE,0,COLUMN())+INDEX(MO_RIS_II,0,COLUMN()))</f>
        <v/>
      </c>
      <c r="BA30" s="1970">
        <f>IFERROR(INDEX(MO_RIS_IE_Net,0,COLUMN()),INDEX(MO_RIS_IE,0,COLUMN())+INDEX(MO_RIS_II,0,COLUMN()))</f>
        <v/>
      </c>
      <c r="BB30" s="1970">
        <f>IFERROR(INDEX(MO_RIS_IE_Net,0,COLUMN()),INDEX(MO_RIS_IE,0,COLUMN())+INDEX(MO_RIS_II,0,COLUMN()))</f>
        <v/>
      </c>
      <c r="BC30" s="1970">
        <f>IFERROR(INDEX(MO_RIS_IE_Net,0,COLUMN()),INDEX(MO_RIS_IE,0,COLUMN())+INDEX(MO_RIS_II,0,COLUMN()))</f>
        <v/>
      </c>
      <c r="BD30" s="1970">
        <f>IFERROR(INDEX(MO_RIS_IE_Net,0,COLUMN()),INDEX(MO_RIS_IE,0,COLUMN())+INDEX(MO_RIS_II,0,COLUMN()))</f>
        <v/>
      </c>
      <c r="BE30" s="1804">
        <f>IFERROR(INDEX(MO_RIS_IE_Net,0,COLUMN()),INDEX(MO_RIS_IE,0,COLUMN())+INDEX(MO_RIS_II,0,COLUMN()))</f>
        <v/>
      </c>
      <c r="BF30" s="1970">
        <f>IFERROR(INDEX(MO_RIS_IE_Net,0,COLUMN()),INDEX(MO_RIS_IE,0,COLUMN())+INDEX(MO_RIS_II,0,COLUMN()))</f>
        <v/>
      </c>
      <c r="BG30" s="1970">
        <f>IFERROR(INDEX(MO_RIS_IE_Net,0,COLUMN()),INDEX(MO_RIS_IE,0,COLUMN())+INDEX(MO_RIS_II,0,COLUMN()))</f>
        <v/>
      </c>
      <c r="BH30" s="1970">
        <f>IFERROR(INDEX(MO_RIS_IE_Net,0,COLUMN()),INDEX(MO_RIS_IE,0,COLUMN())+INDEX(MO_RIS_II,0,COLUMN()))</f>
        <v/>
      </c>
      <c r="BI30" s="1970">
        <f>IFERROR(INDEX(MO_RIS_IE_Net,0,COLUMN()),INDEX(MO_RIS_IE,0,COLUMN())+INDEX(MO_RIS_II,0,COLUMN()))</f>
        <v/>
      </c>
      <c r="BJ30" s="1804">
        <f>IFERROR(INDEX(MO_RIS_IE_Net,0,COLUMN()),INDEX(MO_RIS_IE,0,COLUMN())+INDEX(MO_RIS_II,0,COLUMN()))</f>
        <v/>
      </c>
      <c r="BK30" s="1970">
        <f>IFERROR(INDEX(MO_RIS_IE_Net,0,COLUMN()),INDEX(MO_RIS_IE,0,COLUMN())+INDEX(MO_RIS_II,0,COLUMN()))</f>
        <v/>
      </c>
      <c r="BL30" s="1970">
        <f>IFERROR(INDEX(MO_RIS_IE_Net,0,COLUMN()),INDEX(MO_RIS_IE,0,COLUMN())+INDEX(MO_RIS_II,0,COLUMN()))</f>
        <v/>
      </c>
      <c r="BM30" s="1970">
        <f>IFERROR(INDEX(MO_RIS_IE_Net,0,COLUMN()),INDEX(MO_RIS_IE,0,COLUMN())+INDEX(MO_RIS_II,0,COLUMN()))</f>
        <v/>
      </c>
      <c r="BN30" s="1970">
        <f>IFERROR(INDEX(MO_RIS_IE_Net,0,COLUMN()),INDEX(MO_RIS_IE,0,COLUMN())+INDEX(MO_RIS_II,0,COLUMN()))</f>
        <v/>
      </c>
      <c r="BO30" s="2138">
        <f>IFERROR(INDEX(MO_RIS_IE_Net,0,COLUMN()),INDEX(MO_RIS_IE,0,COLUMN())+INDEX(MO_RIS_II,0,COLUMN()))</f>
        <v/>
      </c>
      <c r="BP30" s="1970">
        <f>IFERROR(INDEX(MO_RIS_IE_Net,0,COLUMN()),INDEX(MO_RIS_IE,0,COLUMN())+INDEX(MO_RIS_II,0,COLUMN()))</f>
        <v/>
      </c>
      <c r="BQ30" s="1970">
        <f>IFERROR(INDEX(MO_RIS_IE_Net,0,COLUMN()),INDEX(MO_RIS_IE,0,COLUMN())+INDEX(MO_RIS_II,0,COLUMN()))</f>
        <v/>
      </c>
      <c r="BR30" s="1970">
        <f>IFERROR(INDEX(MO_RIS_IE_Net,0,COLUMN()),INDEX(MO_RIS_IE,0,COLUMN())+INDEX(MO_RIS_II,0,COLUMN()))</f>
        <v/>
      </c>
      <c r="BS30" s="1970">
        <f>IFERROR(INDEX(MO_RIS_IE_Net,0,COLUMN()),INDEX(MO_RIS_IE,0,COLUMN())+INDEX(MO_RIS_II,0,COLUMN()))</f>
        <v/>
      </c>
      <c r="BT30" s="1804">
        <f>IFERROR(INDEX(MO_RIS_IE_Net,0,COLUMN()),INDEX(MO_RIS_IE,0,COLUMN())+INDEX(MO_RIS_II,0,COLUMN()))</f>
        <v/>
      </c>
      <c r="BU30" s="1970">
        <f>IFERROR(INDEX(MO_RIS_IE_Net,0,COLUMN()),INDEX(MO_RIS_IE,0,COLUMN())+INDEX(MO_RIS_II,0,COLUMN()))</f>
        <v/>
      </c>
      <c r="BV30" s="1970">
        <f>IFERROR(INDEX(MO_RIS_IE_Net,0,COLUMN()),INDEX(MO_RIS_IE,0,COLUMN())+INDEX(MO_RIS_II,0,COLUMN()))</f>
        <v/>
      </c>
      <c r="BW30" s="1970">
        <f>IFERROR(INDEX(MO_RIS_IE_Net,0,COLUMN()),INDEX(MO_RIS_IE,0,COLUMN())+INDEX(MO_RIS_II,0,COLUMN()))</f>
        <v/>
      </c>
      <c r="BX30" s="1970">
        <f>IFERROR(INDEX(MO_RIS_IE_Net,0,COLUMN()),INDEX(MO_RIS_IE,0,COLUMN())+INDEX(MO_RIS_II,0,COLUMN()))</f>
        <v/>
      </c>
      <c r="BY30" s="1804">
        <f>IFERROR(INDEX(MO_RIS_IE_Net,0,COLUMN()),INDEX(MO_RIS_IE,0,COLUMN())+INDEX(MO_RIS_II,0,COLUMN()))</f>
        <v/>
      </c>
      <c r="BZ30" s="1804">
        <f>IFERROR(INDEX(MO_RIS_IE_Net,0,COLUMN()),INDEX(MO_RIS_IE,0,COLUMN())+INDEX(MO_RIS_II,0,COLUMN()))</f>
        <v/>
      </c>
      <c r="CA30" s="1804">
        <f>IFERROR(INDEX(MO_RIS_IE_Net,0,COLUMN()),INDEX(MO_RIS_IE,0,COLUMN())+INDEX(MO_RIS_II,0,COLUMN()))</f>
        <v/>
      </c>
      <c r="CB30" s="1804">
        <f>IFERROR(INDEX(MO_RIS_IE_Net,0,COLUMN()),INDEX(MO_RIS_IE,0,COLUMN())+INDEX(MO_RIS_II,0,COLUMN()))</f>
        <v/>
      </c>
      <c r="CC30" s="1970" t="n"/>
    </row>
    <row r="31" ht="15" customFormat="1" customHeight="1" s="2114">
      <c r="A31" s="1635">
        <f>INDEX(MO_RIS_EI,0,COLUMN())</f>
        <v/>
      </c>
      <c r="B31" s="2137" t="n"/>
      <c r="C31" s="1804">
        <f>INDEX(MO_RIS_EI,0,COLUMN())</f>
        <v/>
      </c>
      <c r="D31" s="1804">
        <f>INDEX(MO_RIS_EI,0,COLUMN())</f>
        <v/>
      </c>
      <c r="E31" s="1804">
        <f>INDEX(MO_RIS_EI,0,COLUMN())</f>
        <v/>
      </c>
      <c r="F31" s="1804">
        <f>INDEX(MO_RIS_EI,0,COLUMN())</f>
        <v/>
      </c>
      <c r="G31" s="1804">
        <f>INDEX(MO_RIS_EI,0,COLUMN())</f>
        <v/>
      </c>
      <c r="H31" s="1970">
        <f>INDEX(MO_RIS_EI,0,COLUMN())</f>
        <v/>
      </c>
      <c r="I31" s="1970">
        <f>INDEX(MO_RIS_EI,0,COLUMN())</f>
        <v/>
      </c>
      <c r="J31" s="1970">
        <f>INDEX(MO_RIS_EI,0,COLUMN())</f>
        <v/>
      </c>
      <c r="K31" s="1970">
        <f>INDEX(MO_RIS_EI,0,COLUMN())</f>
        <v/>
      </c>
      <c r="L31" s="1804">
        <f>INDEX(MO_RIS_EI,0,COLUMN())</f>
        <v/>
      </c>
      <c r="M31" s="1970">
        <f>INDEX(MO_RIS_EI,0,COLUMN())</f>
        <v/>
      </c>
      <c r="N31" s="1970">
        <f>INDEX(MO_RIS_EI,0,COLUMN())</f>
        <v/>
      </c>
      <c r="O31" s="1970">
        <f>INDEX(MO_RIS_EI,0,COLUMN())</f>
        <v/>
      </c>
      <c r="P31" s="1970">
        <f>INDEX(MO_RIS_EI,0,COLUMN())</f>
        <v/>
      </c>
      <c r="Q31" s="1804">
        <f>INDEX(MO_RIS_EI,0,COLUMN())</f>
        <v/>
      </c>
      <c r="R31" s="1970">
        <f>INDEX(MO_RIS_EI,0,COLUMN())</f>
        <v/>
      </c>
      <c r="S31" s="1970">
        <f>INDEX(MO_RIS_EI,0,COLUMN())</f>
        <v/>
      </c>
      <c r="T31" s="1970">
        <f>INDEX(MO_RIS_EI,0,COLUMN())</f>
        <v/>
      </c>
      <c r="U31" s="1970">
        <f>INDEX(MO_RIS_EI,0,COLUMN())</f>
        <v/>
      </c>
      <c r="V31" s="1804">
        <f>INDEX(MO_RIS_EI,0,COLUMN())</f>
        <v/>
      </c>
      <c r="W31" s="1970">
        <f>INDEX(MO_RIS_EI,0,COLUMN())</f>
        <v/>
      </c>
      <c r="X31" s="1970">
        <f>INDEX(MO_RIS_EI,0,COLUMN())</f>
        <v/>
      </c>
      <c r="Y31" s="1970">
        <f>INDEX(MO_RIS_EI,0,COLUMN())</f>
        <v/>
      </c>
      <c r="Z31" s="1970">
        <f>INDEX(MO_RIS_EI,0,COLUMN())</f>
        <v/>
      </c>
      <c r="AA31" s="1804">
        <f>INDEX(MO_RIS_EI,0,COLUMN())</f>
        <v/>
      </c>
      <c r="AB31" s="1970">
        <f>INDEX(MO_RIS_EI,0,COLUMN())</f>
        <v/>
      </c>
      <c r="AC31" s="1970">
        <f>INDEX(MO_RIS_EI,0,COLUMN())</f>
        <v/>
      </c>
      <c r="AD31" s="1970">
        <f>INDEX(MO_RIS_EI,0,COLUMN())</f>
        <v/>
      </c>
      <c r="AE31" s="1970">
        <f>INDEX(MO_RIS_EI,0,COLUMN())</f>
        <v/>
      </c>
      <c r="AF31" s="1804">
        <f>INDEX(MO_RIS_EI,0,COLUMN())</f>
        <v/>
      </c>
      <c r="AG31" s="1970">
        <f>INDEX(MO_RIS_EI,0,COLUMN())</f>
        <v/>
      </c>
      <c r="AH31" s="1970">
        <f>INDEX(MO_RIS_EI,0,COLUMN())</f>
        <v/>
      </c>
      <c r="AI31" s="1970">
        <f>INDEX(MO_RIS_EI,0,COLUMN())</f>
        <v/>
      </c>
      <c r="AJ31" s="1970">
        <f>INDEX(MO_RIS_EI,0,COLUMN())</f>
        <v/>
      </c>
      <c r="AK31" s="1804">
        <f>INDEX(MO_RIS_EI,0,COLUMN())</f>
        <v/>
      </c>
      <c r="AL31" s="1970">
        <f>INDEX(MO_RIS_EI,0,COLUMN())</f>
        <v/>
      </c>
      <c r="AM31" s="1970">
        <f>INDEX(MO_RIS_EI,0,COLUMN())</f>
        <v/>
      </c>
      <c r="AN31" s="1970">
        <f>INDEX(MO_RIS_EI,0,COLUMN())</f>
        <v/>
      </c>
      <c r="AO31" s="1970">
        <f>INDEX(MO_RIS_EI,0,COLUMN())</f>
        <v/>
      </c>
      <c r="AP31" s="1804">
        <f>INDEX(MO_RIS_EI,0,COLUMN())</f>
        <v/>
      </c>
      <c r="AQ31" s="1970">
        <f>INDEX(MO_RIS_EI,0,COLUMN())</f>
        <v/>
      </c>
      <c r="AR31" s="1970">
        <f>INDEX(MO_RIS_EI,0,COLUMN())</f>
        <v/>
      </c>
      <c r="AS31" s="1970">
        <f>INDEX(MO_RIS_EI,0,COLUMN())</f>
        <v/>
      </c>
      <c r="AT31" s="1970">
        <f>INDEX(MO_RIS_EI,0,COLUMN())</f>
        <v/>
      </c>
      <c r="AU31" s="1804">
        <f>INDEX(MO_RIS_EI,0,COLUMN())</f>
        <v/>
      </c>
      <c r="AV31" s="1970">
        <f>INDEX(MO_RIS_EI,0,COLUMN())</f>
        <v/>
      </c>
      <c r="AW31" s="1970">
        <f>INDEX(MO_RIS_EI,0,COLUMN())</f>
        <v/>
      </c>
      <c r="AX31" s="1970">
        <f>INDEX(MO_RIS_EI,0,COLUMN())</f>
        <v/>
      </c>
      <c r="AY31" s="1970">
        <f>INDEX(MO_RIS_EI,0,COLUMN())</f>
        <v/>
      </c>
      <c r="AZ31" s="1804">
        <f>INDEX(MO_RIS_EI,0,COLUMN())</f>
        <v/>
      </c>
      <c r="BA31" s="1970">
        <f>INDEX(MO_RIS_EI,0,COLUMN())</f>
        <v/>
      </c>
      <c r="BB31" s="1970">
        <f>INDEX(MO_RIS_EI,0,COLUMN())</f>
        <v/>
      </c>
      <c r="BC31" s="1970">
        <f>INDEX(MO_RIS_EI,0,COLUMN())</f>
        <v/>
      </c>
      <c r="BD31" s="1970">
        <f>INDEX(MO_RIS_EI,0,COLUMN())</f>
        <v/>
      </c>
      <c r="BE31" s="1804">
        <f>INDEX(MO_RIS_EI,0,COLUMN())</f>
        <v/>
      </c>
      <c r="BF31" s="1970">
        <f>INDEX(MO_RIS_EI,0,COLUMN())</f>
        <v/>
      </c>
      <c r="BG31" s="1970">
        <f>INDEX(MO_RIS_EI,0,COLUMN())</f>
        <v/>
      </c>
      <c r="BH31" s="1970">
        <f>INDEX(MO_RIS_EI,0,COLUMN())</f>
        <v/>
      </c>
      <c r="BI31" s="1970">
        <f>INDEX(MO_RIS_EI,0,COLUMN())</f>
        <v/>
      </c>
      <c r="BJ31" s="1804">
        <f>INDEX(MO_RIS_EI,0,COLUMN())</f>
        <v/>
      </c>
      <c r="BK31" s="1970">
        <f>INDEX(MO_RIS_EI,0,COLUMN())</f>
        <v/>
      </c>
      <c r="BL31" s="1970">
        <f>INDEX(MO_RIS_EI,0,COLUMN())</f>
        <v/>
      </c>
      <c r="BM31" s="1970">
        <f>INDEX(MO_RIS_EI,0,COLUMN())</f>
        <v/>
      </c>
      <c r="BN31" s="1970">
        <f>INDEX(MO_RIS_EI,0,COLUMN())</f>
        <v/>
      </c>
      <c r="BO31" s="2138">
        <f>INDEX(MO_RIS_EI,0,COLUMN())</f>
        <v/>
      </c>
      <c r="BP31" s="1970">
        <f>INDEX(MO_RIS_EI,0,COLUMN())</f>
        <v/>
      </c>
      <c r="BQ31" s="1970">
        <f>INDEX(MO_RIS_EI,0,COLUMN())</f>
        <v/>
      </c>
      <c r="BR31" s="1970">
        <f>INDEX(MO_RIS_EI,0,COLUMN())</f>
        <v/>
      </c>
      <c r="BS31" s="1970">
        <f>INDEX(MO_RIS_EI,0,COLUMN())</f>
        <v/>
      </c>
      <c r="BT31" s="1804">
        <f>INDEX(MO_RIS_EI,0,COLUMN())</f>
        <v/>
      </c>
      <c r="BU31" s="1970">
        <f>INDEX(MO_RIS_EI,0,COLUMN())</f>
        <v/>
      </c>
      <c r="BV31" s="1970">
        <f>INDEX(MO_RIS_EI,0,COLUMN())</f>
        <v/>
      </c>
      <c r="BW31" s="1970">
        <f>INDEX(MO_RIS_EI,0,COLUMN())</f>
        <v/>
      </c>
      <c r="BX31" s="1970">
        <f>INDEX(MO_RIS_EI,0,COLUMN())</f>
        <v/>
      </c>
      <c r="BY31" s="1804">
        <f>INDEX(MO_RIS_EI,0,COLUMN())</f>
        <v/>
      </c>
      <c r="BZ31" s="1804">
        <f>INDEX(MO_RIS_EI,0,COLUMN())</f>
        <v/>
      </c>
      <c r="CA31" s="1804">
        <f>INDEX(MO_RIS_EI,0,COLUMN())</f>
        <v/>
      </c>
      <c r="CB31" s="1804">
        <f>INDEX(MO_RIS_EI,0,COLUMN())</f>
        <v/>
      </c>
      <c r="CC31" s="1970" t="n"/>
    </row>
    <row r="32" ht="15" customFormat="1" customHeight="1" s="2114">
      <c r="A32" s="1635">
        <f>INDEX(MO_RIS_OTI,0,COLUMN())</f>
        <v/>
      </c>
      <c r="B32" s="2137" t="n"/>
      <c r="C32" s="1804">
        <f>INDEX(MO_RIS_OTI,0,COLUMN())</f>
        <v/>
      </c>
      <c r="D32" s="1804">
        <f>INDEX(MO_RIS_OTI,0,COLUMN())</f>
        <v/>
      </c>
      <c r="E32" s="1804">
        <f>INDEX(MO_RIS_OTI,0,COLUMN())</f>
        <v/>
      </c>
      <c r="F32" s="1804">
        <f>INDEX(MO_RIS_OTI,0,COLUMN())</f>
        <v/>
      </c>
      <c r="G32" s="1804">
        <f>INDEX(MO_RIS_OTI,0,COLUMN())</f>
        <v/>
      </c>
      <c r="H32" s="1970">
        <f>INDEX(MO_RIS_OTI,0,COLUMN())</f>
        <v/>
      </c>
      <c r="I32" s="1970">
        <f>INDEX(MO_RIS_OTI,0,COLUMN())</f>
        <v/>
      </c>
      <c r="J32" s="1970">
        <f>INDEX(MO_RIS_OTI,0,COLUMN())</f>
        <v/>
      </c>
      <c r="K32" s="1970">
        <f>INDEX(MO_RIS_OTI,0,COLUMN())</f>
        <v/>
      </c>
      <c r="L32" s="1804">
        <f>INDEX(MO_RIS_OTI,0,COLUMN())</f>
        <v/>
      </c>
      <c r="M32" s="1970">
        <f>INDEX(MO_RIS_OTI,0,COLUMN())</f>
        <v/>
      </c>
      <c r="N32" s="1970">
        <f>INDEX(MO_RIS_OTI,0,COLUMN())</f>
        <v/>
      </c>
      <c r="O32" s="1970">
        <f>INDEX(MO_RIS_OTI,0,COLUMN())</f>
        <v/>
      </c>
      <c r="P32" s="1970">
        <f>INDEX(MO_RIS_OTI,0,COLUMN())</f>
        <v/>
      </c>
      <c r="Q32" s="1804">
        <f>INDEX(MO_RIS_OTI,0,COLUMN())</f>
        <v/>
      </c>
      <c r="R32" s="1970">
        <f>INDEX(MO_RIS_OTI,0,COLUMN())</f>
        <v/>
      </c>
      <c r="S32" s="1970">
        <f>INDEX(MO_RIS_OTI,0,COLUMN())</f>
        <v/>
      </c>
      <c r="T32" s="1970">
        <f>INDEX(MO_RIS_OTI,0,COLUMN())</f>
        <v/>
      </c>
      <c r="U32" s="1970">
        <f>INDEX(MO_RIS_OTI,0,COLUMN())</f>
        <v/>
      </c>
      <c r="V32" s="1804">
        <f>INDEX(MO_RIS_OTI,0,COLUMN())</f>
        <v/>
      </c>
      <c r="W32" s="1970">
        <f>INDEX(MO_RIS_OTI,0,COLUMN())</f>
        <v/>
      </c>
      <c r="X32" s="1970">
        <f>INDEX(MO_RIS_OTI,0,COLUMN())</f>
        <v/>
      </c>
      <c r="Y32" s="1970">
        <f>INDEX(MO_RIS_OTI,0,COLUMN())</f>
        <v/>
      </c>
      <c r="Z32" s="1970">
        <f>INDEX(MO_RIS_OTI,0,COLUMN())</f>
        <v/>
      </c>
      <c r="AA32" s="1804">
        <f>INDEX(MO_RIS_OTI,0,COLUMN())</f>
        <v/>
      </c>
      <c r="AB32" s="1970">
        <f>INDEX(MO_RIS_OTI,0,COLUMN())</f>
        <v/>
      </c>
      <c r="AC32" s="1970">
        <f>INDEX(MO_RIS_OTI,0,COLUMN())</f>
        <v/>
      </c>
      <c r="AD32" s="1970">
        <f>INDEX(MO_RIS_OTI,0,COLUMN())</f>
        <v/>
      </c>
      <c r="AE32" s="1970">
        <f>INDEX(MO_RIS_OTI,0,COLUMN())</f>
        <v/>
      </c>
      <c r="AF32" s="1804">
        <f>INDEX(MO_RIS_OTI,0,COLUMN())</f>
        <v/>
      </c>
      <c r="AG32" s="1970">
        <f>INDEX(MO_RIS_OTI,0,COLUMN())</f>
        <v/>
      </c>
      <c r="AH32" s="1970">
        <f>INDEX(MO_RIS_OTI,0,COLUMN())</f>
        <v/>
      </c>
      <c r="AI32" s="1970">
        <f>INDEX(MO_RIS_OTI,0,COLUMN())</f>
        <v/>
      </c>
      <c r="AJ32" s="1970">
        <f>INDEX(MO_RIS_OTI,0,COLUMN())</f>
        <v/>
      </c>
      <c r="AK32" s="1804">
        <f>INDEX(MO_RIS_OTI,0,COLUMN())</f>
        <v/>
      </c>
      <c r="AL32" s="1970">
        <f>INDEX(MO_RIS_OTI,0,COLUMN())</f>
        <v/>
      </c>
      <c r="AM32" s="1970">
        <f>INDEX(MO_RIS_OTI,0,COLUMN())</f>
        <v/>
      </c>
      <c r="AN32" s="1970">
        <f>INDEX(MO_RIS_OTI,0,COLUMN())</f>
        <v/>
      </c>
      <c r="AO32" s="1970">
        <f>INDEX(MO_RIS_OTI,0,COLUMN())</f>
        <v/>
      </c>
      <c r="AP32" s="1804">
        <f>INDEX(MO_RIS_OTI,0,COLUMN())</f>
        <v/>
      </c>
      <c r="AQ32" s="1970">
        <f>INDEX(MO_RIS_OTI,0,COLUMN())</f>
        <v/>
      </c>
      <c r="AR32" s="1970">
        <f>INDEX(MO_RIS_OTI,0,COLUMN())</f>
        <v/>
      </c>
      <c r="AS32" s="1970">
        <f>INDEX(MO_RIS_OTI,0,COLUMN())</f>
        <v/>
      </c>
      <c r="AT32" s="1970">
        <f>INDEX(MO_RIS_OTI,0,COLUMN())</f>
        <v/>
      </c>
      <c r="AU32" s="1804">
        <f>INDEX(MO_RIS_OTI,0,COLUMN())</f>
        <v/>
      </c>
      <c r="AV32" s="1970">
        <f>INDEX(MO_RIS_OTI,0,COLUMN())</f>
        <v/>
      </c>
      <c r="AW32" s="1970">
        <f>INDEX(MO_RIS_OTI,0,COLUMN())</f>
        <v/>
      </c>
      <c r="AX32" s="1970">
        <f>INDEX(MO_RIS_OTI,0,COLUMN())</f>
        <v/>
      </c>
      <c r="AY32" s="1970">
        <f>INDEX(MO_RIS_OTI,0,COLUMN())</f>
        <v/>
      </c>
      <c r="AZ32" s="1804">
        <f>INDEX(MO_RIS_OTI,0,COLUMN())</f>
        <v/>
      </c>
      <c r="BA32" s="1970">
        <f>INDEX(MO_RIS_OTI,0,COLUMN())</f>
        <v/>
      </c>
      <c r="BB32" s="1970">
        <f>INDEX(MO_RIS_OTI,0,COLUMN())</f>
        <v/>
      </c>
      <c r="BC32" s="1970">
        <f>INDEX(MO_RIS_OTI,0,COLUMN())</f>
        <v/>
      </c>
      <c r="BD32" s="1970">
        <f>INDEX(MO_RIS_OTI,0,COLUMN())</f>
        <v/>
      </c>
      <c r="BE32" s="1804">
        <f>INDEX(MO_RIS_OTI,0,COLUMN())</f>
        <v/>
      </c>
      <c r="BF32" s="1970">
        <f>INDEX(MO_RIS_OTI,0,COLUMN())</f>
        <v/>
      </c>
      <c r="BG32" s="1970">
        <f>INDEX(MO_RIS_OTI,0,COLUMN())</f>
        <v/>
      </c>
      <c r="BH32" s="1970">
        <f>INDEX(MO_RIS_OTI,0,COLUMN())</f>
        <v/>
      </c>
      <c r="BI32" s="1970">
        <f>INDEX(MO_RIS_OTI,0,COLUMN())</f>
        <v/>
      </c>
      <c r="BJ32" s="1804">
        <f>INDEX(MO_RIS_OTI,0,COLUMN())</f>
        <v/>
      </c>
      <c r="BK32" s="1970">
        <f>INDEX(MO_RIS_OTI,0,COLUMN())</f>
        <v/>
      </c>
      <c r="BL32" s="1970">
        <f>INDEX(MO_RIS_OTI,0,COLUMN())</f>
        <v/>
      </c>
      <c r="BM32" s="1970">
        <f>INDEX(MO_RIS_OTI,0,COLUMN())</f>
        <v/>
      </c>
      <c r="BN32" s="1970">
        <f>INDEX(MO_RIS_OTI,0,COLUMN())</f>
        <v/>
      </c>
      <c r="BO32" s="2138">
        <f>INDEX(MO_RIS_OTI,0,COLUMN())</f>
        <v/>
      </c>
      <c r="BP32" s="1970">
        <f>INDEX(MO_RIS_OTI,0,COLUMN())</f>
        <v/>
      </c>
      <c r="BQ32" s="1970">
        <f>INDEX(MO_RIS_OTI,0,COLUMN())</f>
        <v/>
      </c>
      <c r="BR32" s="1970">
        <f>INDEX(MO_RIS_OTI,0,COLUMN())</f>
        <v/>
      </c>
      <c r="BS32" s="1970">
        <f>INDEX(MO_RIS_OTI,0,COLUMN())</f>
        <v/>
      </c>
      <c r="BT32" s="1804">
        <f>INDEX(MO_RIS_OTI,0,COLUMN())</f>
        <v/>
      </c>
      <c r="BU32" s="1970">
        <f>INDEX(MO_RIS_OTI,0,COLUMN())</f>
        <v/>
      </c>
      <c r="BV32" s="1970">
        <f>INDEX(MO_RIS_OTI,0,COLUMN())</f>
        <v/>
      </c>
      <c r="BW32" s="1970">
        <f>INDEX(MO_RIS_OTI,0,COLUMN())</f>
        <v/>
      </c>
      <c r="BX32" s="1970">
        <f>INDEX(MO_RIS_OTI,0,COLUMN())</f>
        <v/>
      </c>
      <c r="BY32" s="1804">
        <f>INDEX(MO_RIS_OTI,0,COLUMN())</f>
        <v/>
      </c>
      <c r="BZ32" s="1804">
        <f>INDEX(MO_RIS_OTI,0,COLUMN())</f>
        <v/>
      </c>
      <c r="CA32" s="1804">
        <f>INDEX(MO_RIS_OTI,0,COLUMN())</f>
        <v/>
      </c>
      <c r="CB32" s="1804">
        <f>INDEX(MO_RIS_OTI,0,COLUMN())</f>
        <v/>
      </c>
      <c r="CC32" s="1970" t="n"/>
    </row>
    <row r="33" ht="15" customFormat="1" customHeight="1" s="2114">
      <c r="A33" s="2129">
        <f>INDEX(MO_RIS_OI,0,COLUMN())</f>
        <v/>
      </c>
      <c r="B33" s="2139" t="n"/>
      <c r="C33" s="1810">
        <f>INDEX(MO_RIS_OI,0,COLUMN())</f>
        <v/>
      </c>
      <c r="D33" s="1810">
        <f>INDEX(MO_RIS_OI,0,COLUMN())</f>
        <v/>
      </c>
      <c r="E33" s="1810">
        <f>INDEX(MO_RIS_OI,0,COLUMN())</f>
        <v/>
      </c>
      <c r="F33" s="1810">
        <f>INDEX(MO_RIS_OI,0,COLUMN())</f>
        <v/>
      </c>
      <c r="G33" s="1810">
        <f>INDEX(MO_RIS_OI,0,COLUMN())</f>
        <v/>
      </c>
      <c r="H33" s="1971">
        <f>INDEX(MO_RIS_OI,0,COLUMN())</f>
        <v/>
      </c>
      <c r="I33" s="1971">
        <f>INDEX(MO_RIS_OI,0,COLUMN())</f>
        <v/>
      </c>
      <c r="J33" s="1971">
        <f>INDEX(MO_RIS_OI,0,COLUMN())</f>
        <v/>
      </c>
      <c r="K33" s="1971">
        <f>INDEX(MO_RIS_OI,0,COLUMN())</f>
        <v/>
      </c>
      <c r="L33" s="1810">
        <f>INDEX(MO_RIS_OI,0,COLUMN())</f>
        <v/>
      </c>
      <c r="M33" s="1971">
        <f>INDEX(MO_RIS_OI,0,COLUMN())</f>
        <v/>
      </c>
      <c r="N33" s="1971">
        <f>INDEX(MO_RIS_OI,0,COLUMN())</f>
        <v/>
      </c>
      <c r="O33" s="1971">
        <f>INDEX(MO_RIS_OI,0,COLUMN())</f>
        <v/>
      </c>
      <c r="P33" s="1971">
        <f>INDEX(MO_RIS_OI,0,COLUMN())</f>
        <v/>
      </c>
      <c r="Q33" s="1810">
        <f>INDEX(MO_RIS_OI,0,COLUMN())</f>
        <v/>
      </c>
      <c r="R33" s="1971">
        <f>INDEX(MO_RIS_OI,0,COLUMN())</f>
        <v/>
      </c>
      <c r="S33" s="1971">
        <f>INDEX(MO_RIS_OI,0,COLUMN())</f>
        <v/>
      </c>
      <c r="T33" s="1971">
        <f>INDEX(MO_RIS_OI,0,COLUMN())</f>
        <v/>
      </c>
      <c r="U33" s="1971">
        <f>INDEX(MO_RIS_OI,0,COLUMN())</f>
        <v/>
      </c>
      <c r="V33" s="1810">
        <f>INDEX(MO_RIS_OI,0,COLUMN())</f>
        <v/>
      </c>
      <c r="W33" s="1971">
        <f>INDEX(MO_RIS_OI,0,COLUMN())</f>
        <v/>
      </c>
      <c r="X33" s="1971">
        <f>INDEX(MO_RIS_OI,0,COLUMN())</f>
        <v/>
      </c>
      <c r="Y33" s="1971">
        <f>INDEX(MO_RIS_OI,0,COLUMN())</f>
        <v/>
      </c>
      <c r="Z33" s="1971">
        <f>INDEX(MO_RIS_OI,0,COLUMN())</f>
        <v/>
      </c>
      <c r="AA33" s="1810">
        <f>INDEX(MO_RIS_OI,0,COLUMN())</f>
        <v/>
      </c>
      <c r="AB33" s="1971">
        <f>INDEX(MO_RIS_OI,0,COLUMN())</f>
        <v/>
      </c>
      <c r="AC33" s="1971">
        <f>INDEX(MO_RIS_OI,0,COLUMN())</f>
        <v/>
      </c>
      <c r="AD33" s="1971">
        <f>INDEX(MO_RIS_OI,0,COLUMN())</f>
        <v/>
      </c>
      <c r="AE33" s="1971">
        <f>INDEX(MO_RIS_OI,0,COLUMN())</f>
        <v/>
      </c>
      <c r="AF33" s="1810">
        <f>INDEX(MO_RIS_OI,0,COLUMN())</f>
        <v/>
      </c>
      <c r="AG33" s="1971">
        <f>INDEX(MO_RIS_OI,0,COLUMN())</f>
        <v/>
      </c>
      <c r="AH33" s="1971">
        <f>INDEX(MO_RIS_OI,0,COLUMN())</f>
        <v/>
      </c>
      <c r="AI33" s="1971">
        <f>INDEX(MO_RIS_OI,0,COLUMN())</f>
        <v/>
      </c>
      <c r="AJ33" s="1971">
        <f>INDEX(MO_RIS_OI,0,COLUMN())</f>
        <v/>
      </c>
      <c r="AK33" s="1810">
        <f>INDEX(MO_RIS_OI,0,COLUMN())</f>
        <v/>
      </c>
      <c r="AL33" s="1971">
        <f>INDEX(MO_RIS_OI,0,COLUMN())</f>
        <v/>
      </c>
      <c r="AM33" s="1971">
        <f>INDEX(MO_RIS_OI,0,COLUMN())</f>
        <v/>
      </c>
      <c r="AN33" s="1971">
        <f>INDEX(MO_RIS_OI,0,COLUMN())</f>
        <v/>
      </c>
      <c r="AO33" s="1971">
        <f>INDEX(MO_RIS_OI,0,COLUMN())</f>
        <v/>
      </c>
      <c r="AP33" s="1810">
        <f>INDEX(MO_RIS_OI,0,COLUMN())</f>
        <v/>
      </c>
      <c r="AQ33" s="1971">
        <f>INDEX(MO_RIS_OI,0,COLUMN())</f>
        <v/>
      </c>
      <c r="AR33" s="1971">
        <f>INDEX(MO_RIS_OI,0,COLUMN())</f>
        <v/>
      </c>
      <c r="AS33" s="1971">
        <f>INDEX(MO_RIS_OI,0,COLUMN())</f>
        <v/>
      </c>
      <c r="AT33" s="1971">
        <f>INDEX(MO_RIS_OI,0,COLUMN())</f>
        <v/>
      </c>
      <c r="AU33" s="1810">
        <f>INDEX(MO_RIS_OI,0,COLUMN())</f>
        <v/>
      </c>
      <c r="AV33" s="1971">
        <f>INDEX(MO_RIS_OI,0,COLUMN())</f>
        <v/>
      </c>
      <c r="AW33" s="1971">
        <f>INDEX(MO_RIS_OI,0,COLUMN())</f>
        <v/>
      </c>
      <c r="AX33" s="1971">
        <f>INDEX(MO_RIS_OI,0,COLUMN())</f>
        <v/>
      </c>
      <c r="AY33" s="1971">
        <f>INDEX(MO_RIS_OI,0,COLUMN())</f>
        <v/>
      </c>
      <c r="AZ33" s="1810">
        <f>INDEX(MO_RIS_OI,0,COLUMN())</f>
        <v/>
      </c>
      <c r="BA33" s="1971">
        <f>INDEX(MO_RIS_OI,0,COLUMN())</f>
        <v/>
      </c>
      <c r="BB33" s="1971">
        <f>INDEX(MO_RIS_OI,0,COLUMN())</f>
        <v/>
      </c>
      <c r="BC33" s="1971">
        <f>INDEX(MO_RIS_OI,0,COLUMN())</f>
        <v/>
      </c>
      <c r="BD33" s="1971">
        <f>INDEX(MO_RIS_OI,0,COLUMN())</f>
        <v/>
      </c>
      <c r="BE33" s="1810">
        <f>INDEX(MO_RIS_OI,0,COLUMN())</f>
        <v/>
      </c>
      <c r="BF33" s="1971">
        <f>INDEX(MO_RIS_OI,0,COLUMN())</f>
        <v/>
      </c>
      <c r="BG33" s="1971">
        <f>INDEX(MO_RIS_OI,0,COLUMN())</f>
        <v/>
      </c>
      <c r="BH33" s="1971">
        <f>INDEX(MO_RIS_OI,0,COLUMN())</f>
        <v/>
      </c>
      <c r="BI33" s="1971">
        <f>INDEX(MO_RIS_OI,0,COLUMN())</f>
        <v/>
      </c>
      <c r="BJ33" s="1810">
        <f>INDEX(MO_RIS_OI,0,COLUMN())</f>
        <v/>
      </c>
      <c r="BK33" s="1971">
        <f>INDEX(MO_RIS_OI,0,COLUMN())</f>
        <v/>
      </c>
      <c r="BL33" s="1971">
        <f>INDEX(MO_RIS_OI,0,COLUMN())</f>
        <v/>
      </c>
      <c r="BM33" s="1971">
        <f>INDEX(MO_RIS_OI,0,COLUMN())</f>
        <v/>
      </c>
      <c r="BN33" s="1971">
        <f>INDEX(MO_RIS_OI,0,COLUMN())</f>
        <v/>
      </c>
      <c r="BO33" s="2140">
        <f>INDEX(MO_RIS_OI,0,COLUMN())</f>
        <v/>
      </c>
      <c r="BP33" s="1971">
        <f>INDEX(MO_RIS_OI,0,COLUMN())</f>
        <v/>
      </c>
      <c r="BQ33" s="1971">
        <f>INDEX(MO_RIS_OI,0,COLUMN())</f>
        <v/>
      </c>
      <c r="BR33" s="1971">
        <f>INDEX(MO_RIS_OI,0,COLUMN())</f>
        <v/>
      </c>
      <c r="BS33" s="1971">
        <f>INDEX(MO_RIS_OI,0,COLUMN())</f>
        <v/>
      </c>
      <c r="BT33" s="1810">
        <f>INDEX(MO_RIS_OI,0,COLUMN())</f>
        <v/>
      </c>
      <c r="BU33" s="1971">
        <f>INDEX(MO_RIS_OI,0,COLUMN())</f>
        <v/>
      </c>
      <c r="BV33" s="1971">
        <f>INDEX(MO_RIS_OI,0,COLUMN())</f>
        <v/>
      </c>
      <c r="BW33" s="1971">
        <f>INDEX(MO_RIS_OI,0,COLUMN())</f>
        <v/>
      </c>
      <c r="BX33" s="1971">
        <f>INDEX(MO_RIS_OI,0,COLUMN())</f>
        <v/>
      </c>
      <c r="BY33" s="1810">
        <f>INDEX(MO_RIS_OI,0,COLUMN())</f>
        <v/>
      </c>
      <c r="BZ33" s="1810">
        <f>INDEX(MO_RIS_OI,0,COLUMN())</f>
        <v/>
      </c>
      <c r="CA33" s="1810">
        <f>INDEX(MO_RIS_OI,0,COLUMN())</f>
        <v/>
      </c>
      <c r="CB33" s="1810">
        <f>INDEX(MO_RIS_OI,0,COLUMN())</f>
        <v/>
      </c>
      <c r="CC33" s="1970" t="n"/>
    </row>
    <row r="34" ht="15" customFormat="1" customHeight="1" s="2131">
      <c r="A34" s="1639">
        <f>INDEX(MO_RIS_EBT,0,COLUMN())</f>
        <v/>
      </c>
      <c r="B34" s="2132" t="n"/>
      <c r="C34" s="2133">
        <f>INDEX(SP_GF_EBIT,0,COLUMN())-INDEX(SP_GF_IE,0,COLUMN())-INDEX(SP_GF_OI,0,COLUMN())-INDEX(SP_GF_EI,0,COLUMN())-INDEX(SP_GF_OTI,0,COLUMN())</f>
        <v/>
      </c>
      <c r="D34" s="2133">
        <f>INDEX(SP_GF_EBIT,0,COLUMN())-INDEX(SP_GF_IE,0,COLUMN())-INDEX(SP_GF_OI,0,COLUMN())-INDEX(SP_GF_EI,0,COLUMN())-INDEX(SP_GF_OTI,0,COLUMN())</f>
        <v/>
      </c>
      <c r="E34" s="2133">
        <f>INDEX(SP_GF_EBIT,0,COLUMN())-INDEX(SP_GF_IE,0,COLUMN())-INDEX(SP_GF_OI,0,COLUMN())-INDEX(SP_GF_EI,0,COLUMN())-INDEX(SP_GF_OTI,0,COLUMN())</f>
        <v/>
      </c>
      <c r="F34" s="2133">
        <f>INDEX(SP_GF_EBIT,0,COLUMN())-INDEX(SP_GF_IE,0,COLUMN())-INDEX(SP_GF_OI,0,COLUMN())-INDEX(SP_GF_EI,0,COLUMN())-INDEX(SP_GF_OTI,0,COLUMN())</f>
        <v/>
      </c>
      <c r="G34" s="2133">
        <f>INDEX(SP_GF_EBIT,0,COLUMN())-INDEX(SP_GF_IE,0,COLUMN())-INDEX(SP_GF_OI,0,COLUMN())-INDEX(SP_GF_EI,0,COLUMN())-INDEX(SP_GF_OTI,0,COLUMN())</f>
        <v/>
      </c>
      <c r="H34" s="2134">
        <f>INDEX(SP_GF_EBIT,0,COLUMN())-INDEX(SP_GF_IE,0,COLUMN())-INDEX(SP_GF_OI,0,COLUMN())-INDEX(SP_GF_EI,0,COLUMN())-INDEX(SP_GF_OTI,0,COLUMN())</f>
        <v/>
      </c>
      <c r="I34" s="2134">
        <f>INDEX(SP_GF_EBIT,0,COLUMN())-INDEX(SP_GF_IE,0,COLUMN())-INDEX(SP_GF_OI,0,COLUMN())-INDEX(SP_GF_EI,0,COLUMN())-INDEX(SP_GF_OTI,0,COLUMN())</f>
        <v/>
      </c>
      <c r="J34" s="2134">
        <f>INDEX(SP_GF_EBIT,0,COLUMN())-INDEX(SP_GF_IE,0,COLUMN())-INDEX(SP_GF_OI,0,COLUMN())-INDEX(SP_GF_EI,0,COLUMN())-INDEX(SP_GF_OTI,0,COLUMN())</f>
        <v/>
      </c>
      <c r="K34" s="2134">
        <f>INDEX(SP_GF_EBIT,0,COLUMN())-INDEX(SP_GF_IE,0,COLUMN())-INDEX(SP_GF_OI,0,COLUMN())-INDEX(SP_GF_EI,0,COLUMN())-INDEX(SP_GF_OTI,0,COLUMN())</f>
        <v/>
      </c>
      <c r="L34" s="2133">
        <f>INDEX(SP_GF_EBIT,0,COLUMN())-INDEX(SP_GF_IE,0,COLUMN())-INDEX(SP_GF_OI,0,COLUMN())-INDEX(SP_GF_EI,0,COLUMN())-INDEX(SP_GF_OTI,0,COLUMN())</f>
        <v/>
      </c>
      <c r="M34" s="2134">
        <f>INDEX(SP_GF_EBIT,0,COLUMN())-INDEX(SP_GF_IE,0,COLUMN())-INDEX(SP_GF_OI,0,COLUMN())-INDEX(SP_GF_EI,0,COLUMN())-INDEX(SP_GF_OTI,0,COLUMN())</f>
        <v/>
      </c>
      <c r="N34" s="2134">
        <f>INDEX(SP_GF_EBIT,0,COLUMN())-INDEX(SP_GF_IE,0,COLUMN())-INDEX(SP_GF_OI,0,COLUMN())-INDEX(SP_GF_EI,0,COLUMN())-INDEX(SP_GF_OTI,0,COLUMN())</f>
        <v/>
      </c>
      <c r="O34" s="2134">
        <f>INDEX(SP_GF_EBIT,0,COLUMN())-INDEX(SP_GF_IE,0,COLUMN())-INDEX(SP_GF_OI,0,COLUMN())-INDEX(SP_GF_EI,0,COLUMN())-INDEX(SP_GF_OTI,0,COLUMN())</f>
        <v/>
      </c>
      <c r="P34" s="2134">
        <f>INDEX(SP_GF_EBIT,0,COLUMN())-INDEX(SP_GF_IE,0,COLUMN())-INDEX(SP_GF_OI,0,COLUMN())-INDEX(SP_GF_EI,0,COLUMN())-INDEX(SP_GF_OTI,0,COLUMN())</f>
        <v/>
      </c>
      <c r="Q34" s="2133">
        <f>INDEX(SP_GF_EBIT,0,COLUMN())-INDEX(SP_GF_IE,0,COLUMN())-INDEX(SP_GF_OI,0,COLUMN())-INDEX(SP_GF_EI,0,COLUMN())-INDEX(SP_GF_OTI,0,COLUMN())</f>
        <v/>
      </c>
      <c r="R34" s="2134">
        <f>INDEX(SP_GF_EBIT,0,COLUMN())-INDEX(SP_GF_IE,0,COLUMN())-INDEX(SP_GF_OI,0,COLUMN())-INDEX(SP_GF_EI,0,COLUMN())-INDEX(SP_GF_OTI,0,COLUMN())</f>
        <v/>
      </c>
      <c r="S34" s="2134">
        <f>INDEX(SP_GF_EBIT,0,COLUMN())-INDEX(SP_GF_IE,0,COLUMN())-INDEX(SP_GF_OI,0,COLUMN())-INDEX(SP_GF_EI,0,COLUMN())-INDEX(SP_GF_OTI,0,COLUMN())</f>
        <v/>
      </c>
      <c r="T34" s="2134">
        <f>INDEX(SP_GF_EBIT,0,COLUMN())-INDEX(SP_GF_IE,0,COLUMN())-INDEX(SP_GF_OI,0,COLUMN())-INDEX(SP_GF_EI,0,COLUMN())-INDEX(SP_GF_OTI,0,COLUMN())</f>
        <v/>
      </c>
      <c r="U34" s="2134">
        <f>INDEX(SP_GF_EBIT,0,COLUMN())-INDEX(SP_GF_IE,0,COLUMN())-INDEX(SP_GF_OI,0,COLUMN())-INDEX(SP_GF_EI,0,COLUMN())-INDEX(SP_GF_OTI,0,COLUMN())</f>
        <v/>
      </c>
      <c r="V34" s="2133">
        <f>INDEX(SP_GF_EBIT,0,COLUMN())-INDEX(SP_GF_IE,0,COLUMN())-INDEX(SP_GF_OI,0,COLUMN())-INDEX(SP_GF_EI,0,COLUMN())-INDEX(SP_GF_OTI,0,COLUMN())</f>
        <v/>
      </c>
      <c r="W34" s="2134">
        <f>INDEX(SP_GF_EBIT,0,COLUMN())-INDEX(SP_GF_IE,0,COLUMN())-INDEX(SP_GF_OI,0,COLUMN())-INDEX(SP_GF_EI,0,COLUMN())-INDEX(SP_GF_OTI,0,COLUMN())</f>
        <v/>
      </c>
      <c r="X34" s="2134">
        <f>INDEX(SP_GF_EBIT,0,COLUMN())-INDEX(SP_GF_IE,0,COLUMN())-INDEX(SP_GF_OI,0,COLUMN())-INDEX(SP_GF_EI,0,COLUMN())-INDEX(SP_GF_OTI,0,COLUMN())</f>
        <v/>
      </c>
      <c r="Y34" s="2134">
        <f>INDEX(SP_GF_EBIT,0,COLUMN())-INDEX(SP_GF_IE,0,COLUMN())-INDEX(SP_GF_OI,0,COLUMN())-INDEX(SP_GF_EI,0,COLUMN())-INDEX(SP_GF_OTI,0,COLUMN())</f>
        <v/>
      </c>
      <c r="Z34" s="2134">
        <f>INDEX(SP_GF_EBIT,0,COLUMN())-INDEX(SP_GF_IE,0,COLUMN())-INDEX(SP_GF_OI,0,COLUMN())-INDEX(SP_GF_EI,0,COLUMN())-INDEX(SP_GF_OTI,0,COLUMN())</f>
        <v/>
      </c>
      <c r="AA34" s="2133">
        <f>INDEX(SP_GF_EBIT,0,COLUMN())-INDEX(SP_GF_IE,0,COLUMN())-INDEX(SP_GF_OI,0,COLUMN())-INDEX(SP_GF_EI,0,COLUMN())-INDEX(SP_GF_OTI,0,COLUMN())</f>
        <v/>
      </c>
      <c r="AB34" s="2134">
        <f>INDEX(SP_GF_EBIT,0,COLUMN())-INDEX(SP_GF_IE,0,COLUMN())-INDEX(SP_GF_OI,0,COLUMN())-INDEX(SP_GF_EI,0,COLUMN())-INDEX(SP_GF_OTI,0,COLUMN())</f>
        <v/>
      </c>
      <c r="AC34" s="2134">
        <f>INDEX(SP_GF_EBIT,0,COLUMN())-INDEX(SP_GF_IE,0,COLUMN())-INDEX(SP_GF_OI,0,COLUMN())-INDEX(SP_GF_EI,0,COLUMN())-INDEX(SP_GF_OTI,0,COLUMN())</f>
        <v/>
      </c>
      <c r="AD34" s="2134">
        <f>INDEX(SP_GF_EBIT,0,COLUMN())-INDEX(SP_GF_IE,0,COLUMN())-INDEX(SP_GF_OI,0,COLUMN())-INDEX(SP_GF_EI,0,COLUMN())-INDEX(SP_GF_OTI,0,COLUMN())</f>
        <v/>
      </c>
      <c r="AE34" s="2134">
        <f>INDEX(SP_GF_EBIT,0,COLUMN())-INDEX(SP_GF_IE,0,COLUMN())-INDEX(SP_GF_OI,0,COLUMN())-INDEX(SP_GF_EI,0,COLUMN())-INDEX(SP_GF_OTI,0,COLUMN())</f>
        <v/>
      </c>
      <c r="AF34" s="2133">
        <f>INDEX(SP_GF_EBIT,0,COLUMN())-INDEX(SP_GF_IE,0,COLUMN())-INDEX(SP_GF_OI,0,COLUMN())-INDEX(SP_GF_EI,0,COLUMN())-INDEX(SP_GF_OTI,0,COLUMN())</f>
        <v/>
      </c>
      <c r="AG34" s="2134">
        <f>INDEX(SP_GF_EBIT,0,COLUMN())-INDEX(SP_GF_IE,0,COLUMN())-INDEX(SP_GF_OI,0,COLUMN())-INDEX(SP_GF_EI,0,COLUMN())-INDEX(SP_GF_OTI,0,COLUMN())</f>
        <v/>
      </c>
      <c r="AH34" s="2134">
        <f>INDEX(SP_GF_EBIT,0,COLUMN())-INDEX(SP_GF_IE,0,COLUMN())-INDEX(SP_GF_OI,0,COLUMN())-INDEX(SP_GF_EI,0,COLUMN())-INDEX(SP_GF_OTI,0,COLUMN())</f>
        <v/>
      </c>
      <c r="AI34" s="2134">
        <f>INDEX(SP_GF_EBIT,0,COLUMN())-INDEX(SP_GF_IE,0,COLUMN())-INDEX(SP_GF_OI,0,COLUMN())-INDEX(SP_GF_EI,0,COLUMN())-INDEX(SP_GF_OTI,0,COLUMN())</f>
        <v/>
      </c>
      <c r="AJ34" s="2134">
        <f>INDEX(SP_GF_EBIT,0,COLUMN())-INDEX(SP_GF_IE,0,COLUMN())-INDEX(SP_GF_OI,0,COLUMN())-INDEX(SP_GF_EI,0,COLUMN())-INDEX(SP_GF_OTI,0,COLUMN())</f>
        <v/>
      </c>
      <c r="AK34" s="2133">
        <f>INDEX(SP_GF_EBIT,0,COLUMN())-INDEX(SP_GF_IE,0,COLUMN())-INDEX(SP_GF_OI,0,COLUMN())-INDEX(SP_GF_EI,0,COLUMN())-INDEX(SP_GF_OTI,0,COLUMN())</f>
        <v/>
      </c>
      <c r="AL34" s="2134">
        <f>INDEX(SP_GF_EBIT,0,COLUMN())-INDEX(SP_GF_IE,0,COLUMN())-INDEX(SP_GF_OI,0,COLUMN())-INDEX(SP_GF_EI,0,COLUMN())-INDEX(SP_GF_OTI,0,COLUMN())</f>
        <v/>
      </c>
      <c r="AM34" s="2134">
        <f>INDEX(SP_GF_EBIT,0,COLUMN())-INDEX(SP_GF_IE,0,COLUMN())-INDEX(SP_GF_OI,0,COLUMN())-INDEX(SP_GF_EI,0,COLUMN())-INDEX(SP_GF_OTI,0,COLUMN())</f>
        <v/>
      </c>
      <c r="AN34" s="2134">
        <f>INDEX(SP_GF_EBIT,0,COLUMN())-INDEX(SP_GF_IE,0,COLUMN())-INDEX(SP_GF_OI,0,COLUMN())-INDEX(SP_GF_EI,0,COLUMN())-INDEX(SP_GF_OTI,0,COLUMN())</f>
        <v/>
      </c>
      <c r="AO34" s="2134">
        <f>INDEX(SP_GF_EBIT,0,COLUMN())-INDEX(SP_GF_IE,0,COLUMN())-INDEX(SP_GF_OI,0,COLUMN())-INDEX(SP_GF_EI,0,COLUMN())-INDEX(SP_GF_OTI,0,COLUMN())</f>
        <v/>
      </c>
      <c r="AP34" s="2133">
        <f>INDEX(SP_GF_EBIT,0,COLUMN())-INDEX(SP_GF_IE,0,COLUMN())-INDEX(SP_GF_OI,0,COLUMN())-INDEX(SP_GF_EI,0,COLUMN())-INDEX(SP_GF_OTI,0,COLUMN())</f>
        <v/>
      </c>
      <c r="AQ34" s="2134">
        <f>INDEX(SP_GF_EBIT,0,COLUMN())-INDEX(SP_GF_IE,0,COLUMN())-INDEX(SP_GF_OI,0,COLUMN())-INDEX(SP_GF_EI,0,COLUMN())-INDEX(SP_GF_OTI,0,COLUMN())</f>
        <v/>
      </c>
      <c r="AR34" s="2134">
        <f>INDEX(SP_GF_EBIT,0,COLUMN())-INDEX(SP_GF_IE,0,COLUMN())-INDEX(SP_GF_OI,0,COLUMN())-INDEX(SP_GF_EI,0,COLUMN())-INDEX(SP_GF_OTI,0,COLUMN())</f>
        <v/>
      </c>
      <c r="AS34" s="2134">
        <f>INDEX(SP_GF_EBIT,0,COLUMN())-INDEX(SP_GF_IE,0,COLUMN())-INDEX(SP_GF_OI,0,COLUMN())-INDEX(SP_GF_EI,0,COLUMN())-INDEX(SP_GF_OTI,0,COLUMN())</f>
        <v/>
      </c>
      <c r="AT34" s="2134">
        <f>INDEX(SP_GF_EBIT,0,COLUMN())-INDEX(SP_GF_IE,0,COLUMN())-INDEX(SP_GF_OI,0,COLUMN())-INDEX(SP_GF_EI,0,COLUMN())-INDEX(SP_GF_OTI,0,COLUMN())</f>
        <v/>
      </c>
      <c r="AU34" s="2133">
        <f>INDEX(SP_GF_EBIT,0,COLUMN())-INDEX(SP_GF_IE,0,COLUMN())-INDEX(SP_GF_OI,0,COLUMN())-INDEX(SP_GF_EI,0,COLUMN())-INDEX(SP_GF_OTI,0,COLUMN())</f>
        <v/>
      </c>
      <c r="AV34" s="2134">
        <f>INDEX(SP_GF_EBIT,0,COLUMN())-INDEX(SP_GF_IE,0,COLUMN())-INDEX(SP_GF_OI,0,COLUMN())-INDEX(SP_GF_EI,0,COLUMN())-INDEX(SP_GF_OTI,0,COLUMN())</f>
        <v/>
      </c>
      <c r="AW34" s="2134">
        <f>INDEX(SP_GF_EBIT,0,COLUMN())-INDEX(SP_GF_IE,0,COLUMN())-INDEX(SP_GF_OI,0,COLUMN())-INDEX(SP_GF_EI,0,COLUMN())-INDEX(SP_GF_OTI,0,COLUMN())</f>
        <v/>
      </c>
      <c r="AX34" s="2134">
        <f>INDEX(SP_GF_EBIT,0,COLUMN())-INDEX(SP_GF_IE,0,COLUMN())-INDEX(SP_GF_OI,0,COLUMN())-INDEX(SP_GF_EI,0,COLUMN())-INDEX(SP_GF_OTI,0,COLUMN())</f>
        <v/>
      </c>
      <c r="AY34" s="2134">
        <f>INDEX(SP_GF_EBIT,0,COLUMN())-INDEX(SP_GF_IE,0,COLUMN())-INDEX(SP_GF_OI,0,COLUMN())-INDEX(SP_GF_EI,0,COLUMN())-INDEX(SP_GF_OTI,0,COLUMN())</f>
        <v/>
      </c>
      <c r="AZ34" s="2133">
        <f>INDEX(SP_GF_EBIT,0,COLUMN())-INDEX(SP_GF_IE,0,COLUMN())-INDEX(SP_GF_OI,0,COLUMN())-INDEX(SP_GF_EI,0,COLUMN())-INDEX(SP_GF_OTI,0,COLUMN())</f>
        <v/>
      </c>
      <c r="BA34" s="2134">
        <f>INDEX(SP_GF_EBIT,0,COLUMN())-INDEX(SP_GF_IE,0,COLUMN())-INDEX(SP_GF_OI,0,COLUMN())-INDEX(SP_GF_EI,0,COLUMN())-INDEX(SP_GF_OTI,0,COLUMN())</f>
        <v/>
      </c>
      <c r="BB34" s="2134">
        <f>INDEX(SP_GF_EBIT,0,COLUMN())-INDEX(SP_GF_IE,0,COLUMN())-INDEX(SP_GF_OI,0,COLUMN())-INDEX(SP_GF_EI,0,COLUMN())-INDEX(SP_GF_OTI,0,COLUMN())</f>
        <v/>
      </c>
      <c r="BC34" s="2134">
        <f>INDEX(SP_GF_EBIT,0,COLUMN())-INDEX(SP_GF_IE,0,COLUMN())-INDEX(SP_GF_OI,0,COLUMN())-INDEX(SP_GF_EI,0,COLUMN())-INDEX(SP_GF_OTI,0,COLUMN())</f>
        <v/>
      </c>
      <c r="BD34" s="2134">
        <f>INDEX(SP_GF_EBIT,0,COLUMN())-INDEX(SP_GF_IE,0,COLUMN())-INDEX(SP_GF_OI,0,COLUMN())-INDEX(SP_GF_EI,0,COLUMN())-INDEX(SP_GF_OTI,0,COLUMN())</f>
        <v/>
      </c>
      <c r="BE34" s="2133">
        <f>INDEX(SP_GF_EBIT,0,COLUMN())-INDEX(SP_GF_IE,0,COLUMN())-INDEX(SP_GF_OI,0,COLUMN())-INDEX(SP_GF_EI,0,COLUMN())-INDEX(SP_GF_OTI,0,COLUMN())</f>
        <v/>
      </c>
      <c r="BF34" s="2134">
        <f>INDEX(SP_GF_EBIT,0,COLUMN())-INDEX(SP_GF_IE,0,COLUMN())-INDEX(SP_GF_OI,0,COLUMN())-INDEX(SP_GF_EI,0,COLUMN())-INDEX(SP_GF_OTI,0,COLUMN())</f>
        <v/>
      </c>
      <c r="BG34" s="2134">
        <f>INDEX(SP_GF_EBIT,0,COLUMN())-INDEX(SP_GF_IE,0,COLUMN())-INDEX(SP_GF_OI,0,COLUMN())-INDEX(SP_GF_EI,0,COLUMN())-INDEX(SP_GF_OTI,0,COLUMN())</f>
        <v/>
      </c>
      <c r="BH34" s="2134">
        <f>INDEX(SP_GF_EBIT,0,COLUMN())-INDEX(SP_GF_IE,0,COLUMN())-INDEX(SP_GF_OI,0,COLUMN())-INDEX(SP_GF_EI,0,COLUMN())-INDEX(SP_GF_OTI,0,COLUMN())</f>
        <v/>
      </c>
      <c r="BI34" s="2134">
        <f>INDEX(SP_GF_EBIT,0,COLUMN())-INDEX(SP_GF_IE,0,COLUMN())-INDEX(SP_GF_OI,0,COLUMN())-INDEX(SP_GF_EI,0,COLUMN())-INDEX(SP_GF_OTI,0,COLUMN())</f>
        <v/>
      </c>
      <c r="BJ34" s="2133">
        <f>INDEX(SP_GF_EBIT,0,COLUMN())-INDEX(SP_GF_IE,0,COLUMN())-INDEX(SP_GF_OI,0,COLUMN())-INDEX(SP_GF_EI,0,COLUMN())-INDEX(SP_GF_OTI,0,COLUMN())</f>
        <v/>
      </c>
      <c r="BK34" s="2134">
        <f>INDEX(SP_GF_EBIT,0,COLUMN())-INDEX(SP_GF_IE,0,COLUMN())-INDEX(SP_GF_OI,0,COLUMN())-INDEX(SP_GF_EI,0,COLUMN())-INDEX(SP_GF_OTI,0,COLUMN())</f>
        <v/>
      </c>
      <c r="BL34" s="2134">
        <f>INDEX(SP_GF_EBIT,0,COLUMN())-INDEX(SP_GF_IE,0,COLUMN())-INDEX(SP_GF_OI,0,COLUMN())-INDEX(SP_GF_EI,0,COLUMN())-INDEX(SP_GF_OTI,0,COLUMN())</f>
        <v/>
      </c>
      <c r="BM34" s="2134">
        <f>INDEX(SP_GF_EBIT,0,COLUMN())-INDEX(SP_GF_IE,0,COLUMN())-INDEX(SP_GF_OI,0,COLUMN())-INDEX(SP_GF_EI,0,COLUMN())-INDEX(SP_GF_OTI,0,COLUMN())</f>
        <v/>
      </c>
      <c r="BN34" s="2134">
        <f>INDEX(SP_GF_EBIT,0,COLUMN())-INDEX(SP_GF_IE,0,COLUMN())-INDEX(SP_GF_OI,0,COLUMN())-INDEX(SP_GF_EI,0,COLUMN())-INDEX(SP_GF_OTI,0,COLUMN())</f>
        <v/>
      </c>
      <c r="BO34" s="2135">
        <f>INDEX(SP_GF_EBIT,0,COLUMN())-INDEX(SP_GF_IE,0,COLUMN())-INDEX(SP_GF_OI,0,COLUMN())-INDEX(SP_GF_EI,0,COLUMN())-INDEX(SP_GF_OTI,0,COLUMN())</f>
        <v/>
      </c>
      <c r="BP34" s="2134">
        <f>INDEX(SP_GF_EBIT,0,COLUMN())-INDEX(SP_GF_IE,0,COLUMN())-INDEX(SP_GF_OI,0,COLUMN())-INDEX(SP_GF_EI,0,COLUMN())-INDEX(SP_GF_OTI,0,COLUMN())</f>
        <v/>
      </c>
      <c r="BQ34" s="2134">
        <f>INDEX(SP_GF_EBIT,0,COLUMN())-INDEX(SP_GF_IE,0,COLUMN())-INDEX(SP_GF_OI,0,COLUMN())-INDEX(SP_GF_EI,0,COLUMN())-INDEX(SP_GF_OTI,0,COLUMN())</f>
        <v/>
      </c>
      <c r="BR34" s="2134">
        <f>INDEX(SP_GF_EBIT,0,COLUMN())-INDEX(SP_GF_IE,0,COLUMN())-INDEX(SP_GF_OI,0,COLUMN())-INDEX(SP_GF_EI,0,COLUMN())-INDEX(SP_GF_OTI,0,COLUMN())</f>
        <v/>
      </c>
      <c r="BS34" s="2134">
        <f>INDEX(SP_GF_EBIT,0,COLUMN())-INDEX(SP_GF_IE,0,COLUMN())-INDEX(SP_GF_OI,0,COLUMN())-INDEX(SP_GF_EI,0,COLUMN())-INDEX(SP_GF_OTI,0,COLUMN())</f>
        <v/>
      </c>
      <c r="BT34" s="2133">
        <f>INDEX(SP_GF_EBIT,0,COLUMN())-INDEX(SP_GF_IE,0,COLUMN())-INDEX(SP_GF_OI,0,COLUMN())-INDEX(SP_GF_EI,0,COLUMN())-INDEX(SP_GF_OTI,0,COLUMN())</f>
        <v/>
      </c>
      <c r="BU34" s="2134">
        <f>INDEX(SP_GF_EBIT,0,COLUMN())-INDEX(SP_GF_IE,0,COLUMN())-INDEX(SP_GF_OI,0,COLUMN())-INDEX(SP_GF_EI,0,COLUMN())-INDEX(SP_GF_OTI,0,COLUMN())</f>
        <v/>
      </c>
      <c r="BV34" s="2134">
        <f>INDEX(SP_GF_EBIT,0,COLUMN())-INDEX(SP_GF_IE,0,COLUMN())-INDEX(SP_GF_OI,0,COLUMN())-INDEX(SP_GF_EI,0,COLUMN())-INDEX(SP_GF_OTI,0,COLUMN())</f>
        <v/>
      </c>
      <c r="BW34" s="2134">
        <f>INDEX(SP_GF_EBIT,0,COLUMN())-INDEX(SP_GF_IE,0,COLUMN())-INDEX(SP_GF_OI,0,COLUMN())-INDEX(SP_GF_EI,0,COLUMN())-INDEX(SP_GF_OTI,0,COLUMN())</f>
        <v/>
      </c>
      <c r="BX34" s="2134">
        <f>INDEX(SP_GF_EBIT,0,COLUMN())-INDEX(SP_GF_IE,0,COLUMN())-INDEX(SP_GF_OI,0,COLUMN())-INDEX(SP_GF_EI,0,COLUMN())-INDEX(SP_GF_OTI,0,COLUMN())</f>
        <v/>
      </c>
      <c r="BY34" s="2133">
        <f>INDEX(SP_GF_EBIT,0,COLUMN())-INDEX(SP_GF_IE,0,COLUMN())-INDEX(SP_GF_OI,0,COLUMN())-INDEX(SP_GF_EI,0,COLUMN())-INDEX(SP_GF_OTI,0,COLUMN())</f>
        <v/>
      </c>
      <c r="BZ34" s="2133">
        <f>INDEX(SP_GF_EBIT,0,COLUMN())-INDEX(SP_GF_IE,0,COLUMN())-INDEX(SP_GF_OI,0,COLUMN())-INDEX(SP_GF_EI,0,COLUMN())-INDEX(SP_GF_OTI,0,COLUMN())</f>
        <v/>
      </c>
      <c r="CA34" s="2133">
        <f>INDEX(SP_GF_EBIT,0,COLUMN())-INDEX(SP_GF_IE,0,COLUMN())-INDEX(SP_GF_OI,0,COLUMN())-INDEX(SP_GF_EI,0,COLUMN())-INDEX(SP_GF_OTI,0,COLUMN())</f>
        <v/>
      </c>
      <c r="CB34" s="2133">
        <f>INDEX(SP_GF_EBIT,0,COLUMN())-INDEX(SP_GF_IE,0,COLUMN())-INDEX(SP_GF_OI,0,COLUMN())-INDEX(SP_GF_EI,0,COLUMN())-INDEX(SP_GF_OTI,0,COLUMN())</f>
        <v/>
      </c>
      <c r="CC34" s="2136" t="n"/>
    </row>
    <row r="35" ht="15" customFormat="1" customHeight="1" s="2114">
      <c r="A35" s="1635" t="inlineStr">
        <is>
          <t>Tax</t>
        </is>
      </c>
      <c r="B35" s="2137" t="n"/>
      <c r="C35" s="1804">
        <f>INDEX(MO_RIS_Tax_Current,0,COLUMN())+INDEX(MO_RIS_Tax_Deferred,0,COLUMN())</f>
        <v/>
      </c>
      <c r="D35" s="1804">
        <f>INDEX(MO_RIS_Tax_Current,0,COLUMN())+INDEX(MO_RIS_Tax_Deferred,0,COLUMN())</f>
        <v/>
      </c>
      <c r="E35" s="1804">
        <f>INDEX(MO_RIS_Tax_Current,0,COLUMN())+INDEX(MO_RIS_Tax_Deferred,0,COLUMN())</f>
        <v/>
      </c>
      <c r="F35" s="1804">
        <f>INDEX(MO_RIS_Tax_Current,0,COLUMN())+INDEX(MO_RIS_Tax_Deferred,0,COLUMN())</f>
        <v/>
      </c>
      <c r="G35" s="1804">
        <f>INDEX(MO_RIS_Tax_Current,0,COLUMN())+INDEX(MO_RIS_Tax_Deferred,0,COLUMN())</f>
        <v/>
      </c>
      <c r="H35" s="1970">
        <f>INDEX(MO_RIS_Tax_Current,0,COLUMN())+INDEX(MO_RIS_Tax_Deferred,0,COLUMN())</f>
        <v/>
      </c>
      <c r="I35" s="1970">
        <f>INDEX(MO_RIS_Tax_Current,0,COLUMN())+INDEX(MO_RIS_Tax_Deferred,0,COLUMN())</f>
        <v/>
      </c>
      <c r="J35" s="1970">
        <f>INDEX(MO_RIS_Tax_Current,0,COLUMN())+INDEX(MO_RIS_Tax_Deferred,0,COLUMN())</f>
        <v/>
      </c>
      <c r="K35" s="1970">
        <f>INDEX(MO_RIS_Tax_Current,0,COLUMN())+INDEX(MO_RIS_Tax_Deferred,0,COLUMN())</f>
        <v/>
      </c>
      <c r="L35" s="1804">
        <f>INDEX(MO_RIS_Tax_Current,0,COLUMN())+INDEX(MO_RIS_Tax_Deferred,0,COLUMN())</f>
        <v/>
      </c>
      <c r="M35" s="1970">
        <f>INDEX(MO_RIS_Tax_Current,0,COLUMN())+INDEX(MO_RIS_Tax_Deferred,0,COLUMN())</f>
        <v/>
      </c>
      <c r="N35" s="1970">
        <f>INDEX(MO_RIS_Tax_Current,0,COLUMN())+INDEX(MO_RIS_Tax_Deferred,0,COLUMN())</f>
        <v/>
      </c>
      <c r="O35" s="1970">
        <f>INDEX(MO_RIS_Tax_Current,0,COLUMN())+INDEX(MO_RIS_Tax_Deferred,0,COLUMN())</f>
        <v/>
      </c>
      <c r="P35" s="1970">
        <f>INDEX(MO_RIS_Tax_Current,0,COLUMN())+INDEX(MO_RIS_Tax_Deferred,0,COLUMN())</f>
        <v/>
      </c>
      <c r="Q35" s="1804">
        <f>INDEX(MO_RIS_Tax_Current,0,COLUMN())+INDEX(MO_RIS_Tax_Deferred,0,COLUMN())</f>
        <v/>
      </c>
      <c r="R35" s="1970">
        <f>INDEX(MO_RIS_Tax_Current,0,COLUMN())+INDEX(MO_RIS_Tax_Deferred,0,COLUMN())</f>
        <v/>
      </c>
      <c r="S35" s="1970">
        <f>INDEX(MO_RIS_Tax_Current,0,COLUMN())+INDEX(MO_RIS_Tax_Deferred,0,COLUMN())</f>
        <v/>
      </c>
      <c r="T35" s="1970">
        <f>INDEX(MO_RIS_Tax_Current,0,COLUMN())+INDEX(MO_RIS_Tax_Deferred,0,COLUMN())</f>
        <v/>
      </c>
      <c r="U35" s="1970">
        <f>INDEX(MO_RIS_Tax_Current,0,COLUMN())+INDEX(MO_RIS_Tax_Deferred,0,COLUMN())</f>
        <v/>
      </c>
      <c r="V35" s="1804">
        <f>INDEX(MO_RIS_Tax_Current,0,COLUMN())+INDEX(MO_RIS_Tax_Deferred,0,COLUMN())</f>
        <v/>
      </c>
      <c r="W35" s="1970">
        <f>INDEX(MO_RIS_Tax_Current,0,COLUMN())+INDEX(MO_RIS_Tax_Deferred,0,COLUMN())</f>
        <v/>
      </c>
      <c r="X35" s="1970">
        <f>INDEX(MO_RIS_Tax_Current,0,COLUMN())+INDEX(MO_RIS_Tax_Deferred,0,COLUMN())</f>
        <v/>
      </c>
      <c r="Y35" s="1970">
        <f>INDEX(MO_RIS_Tax_Current,0,COLUMN())+INDEX(MO_RIS_Tax_Deferred,0,COLUMN())</f>
        <v/>
      </c>
      <c r="Z35" s="1970">
        <f>INDEX(MO_RIS_Tax_Current,0,COLUMN())+INDEX(MO_RIS_Tax_Deferred,0,COLUMN())</f>
        <v/>
      </c>
      <c r="AA35" s="1804">
        <f>INDEX(MO_RIS_Tax_Current,0,COLUMN())+INDEX(MO_RIS_Tax_Deferred,0,COLUMN())</f>
        <v/>
      </c>
      <c r="AB35" s="1970">
        <f>INDEX(MO_RIS_Tax_Current,0,COLUMN())+INDEX(MO_RIS_Tax_Deferred,0,COLUMN())</f>
        <v/>
      </c>
      <c r="AC35" s="1970">
        <f>INDEX(MO_RIS_Tax_Current,0,COLUMN())+INDEX(MO_RIS_Tax_Deferred,0,COLUMN())</f>
        <v/>
      </c>
      <c r="AD35" s="1970">
        <f>INDEX(MO_RIS_Tax_Current,0,COLUMN())+INDEX(MO_RIS_Tax_Deferred,0,COLUMN())</f>
        <v/>
      </c>
      <c r="AE35" s="1970">
        <f>INDEX(MO_RIS_Tax_Current,0,COLUMN())+INDEX(MO_RIS_Tax_Deferred,0,COLUMN())</f>
        <v/>
      </c>
      <c r="AF35" s="1804">
        <f>INDEX(MO_RIS_Tax_Current,0,COLUMN())+INDEX(MO_RIS_Tax_Deferred,0,COLUMN())</f>
        <v/>
      </c>
      <c r="AG35" s="1970">
        <f>INDEX(MO_RIS_Tax_Current,0,COLUMN())+INDEX(MO_RIS_Tax_Deferred,0,COLUMN())</f>
        <v/>
      </c>
      <c r="AH35" s="1970">
        <f>INDEX(MO_RIS_Tax_Current,0,COLUMN())+INDEX(MO_RIS_Tax_Deferred,0,COLUMN())</f>
        <v/>
      </c>
      <c r="AI35" s="1970">
        <f>INDEX(MO_RIS_Tax_Current,0,COLUMN())+INDEX(MO_RIS_Tax_Deferred,0,COLUMN())</f>
        <v/>
      </c>
      <c r="AJ35" s="1970">
        <f>INDEX(MO_RIS_Tax_Current,0,COLUMN())+INDEX(MO_RIS_Tax_Deferred,0,COLUMN())</f>
        <v/>
      </c>
      <c r="AK35" s="1804">
        <f>INDEX(MO_RIS_Tax_Current,0,COLUMN())+INDEX(MO_RIS_Tax_Deferred,0,COLUMN())</f>
        <v/>
      </c>
      <c r="AL35" s="1970">
        <f>INDEX(MO_RIS_Tax_Current,0,COLUMN())+INDEX(MO_RIS_Tax_Deferred,0,COLUMN())</f>
        <v/>
      </c>
      <c r="AM35" s="1970">
        <f>INDEX(MO_RIS_Tax_Current,0,COLUMN())+INDEX(MO_RIS_Tax_Deferred,0,COLUMN())</f>
        <v/>
      </c>
      <c r="AN35" s="1970">
        <f>INDEX(MO_RIS_Tax_Current,0,COLUMN())+INDEX(MO_RIS_Tax_Deferred,0,COLUMN())</f>
        <v/>
      </c>
      <c r="AO35" s="1970">
        <f>INDEX(MO_RIS_Tax_Current,0,COLUMN())+INDEX(MO_RIS_Tax_Deferred,0,COLUMN())</f>
        <v/>
      </c>
      <c r="AP35" s="1804">
        <f>INDEX(MO_RIS_Tax_Current,0,COLUMN())+INDEX(MO_RIS_Tax_Deferred,0,COLUMN())</f>
        <v/>
      </c>
      <c r="AQ35" s="1970">
        <f>INDEX(MO_RIS_Tax_Current,0,COLUMN())+INDEX(MO_RIS_Tax_Deferred,0,COLUMN())</f>
        <v/>
      </c>
      <c r="AR35" s="1970">
        <f>INDEX(MO_RIS_Tax_Current,0,COLUMN())+INDEX(MO_RIS_Tax_Deferred,0,COLUMN())</f>
        <v/>
      </c>
      <c r="AS35" s="1970">
        <f>INDEX(MO_RIS_Tax_Current,0,COLUMN())+INDEX(MO_RIS_Tax_Deferred,0,COLUMN())</f>
        <v/>
      </c>
      <c r="AT35" s="1970">
        <f>INDEX(MO_RIS_Tax_Current,0,COLUMN())+INDEX(MO_RIS_Tax_Deferred,0,COLUMN())</f>
        <v/>
      </c>
      <c r="AU35" s="1804">
        <f>INDEX(MO_RIS_Tax_Current,0,COLUMN())+INDEX(MO_RIS_Tax_Deferred,0,COLUMN())</f>
        <v/>
      </c>
      <c r="AV35" s="1970">
        <f>INDEX(MO_RIS_Tax_Current,0,COLUMN())+INDEX(MO_RIS_Tax_Deferred,0,COLUMN())</f>
        <v/>
      </c>
      <c r="AW35" s="1970">
        <f>INDEX(MO_RIS_Tax_Current,0,COLUMN())+INDEX(MO_RIS_Tax_Deferred,0,COLUMN())</f>
        <v/>
      </c>
      <c r="AX35" s="1970">
        <f>INDEX(MO_RIS_Tax_Current,0,COLUMN())+INDEX(MO_RIS_Tax_Deferred,0,COLUMN())</f>
        <v/>
      </c>
      <c r="AY35" s="1970">
        <f>INDEX(MO_RIS_Tax_Current,0,COLUMN())+INDEX(MO_RIS_Tax_Deferred,0,COLUMN())</f>
        <v/>
      </c>
      <c r="AZ35" s="1804">
        <f>INDEX(MO_RIS_Tax_Current,0,COLUMN())+INDEX(MO_RIS_Tax_Deferred,0,COLUMN())</f>
        <v/>
      </c>
      <c r="BA35" s="1970">
        <f>INDEX(MO_RIS_Tax_Current,0,COLUMN())+INDEX(MO_RIS_Tax_Deferred,0,COLUMN())</f>
        <v/>
      </c>
      <c r="BB35" s="1970">
        <f>INDEX(MO_RIS_Tax_Current,0,COLUMN())+INDEX(MO_RIS_Tax_Deferred,0,COLUMN())</f>
        <v/>
      </c>
      <c r="BC35" s="1970">
        <f>INDEX(MO_RIS_Tax_Current,0,COLUMN())+INDEX(MO_RIS_Tax_Deferred,0,COLUMN())</f>
        <v/>
      </c>
      <c r="BD35" s="1970">
        <f>INDEX(MO_RIS_Tax_Current,0,COLUMN())+INDEX(MO_RIS_Tax_Deferred,0,COLUMN())</f>
        <v/>
      </c>
      <c r="BE35" s="1804">
        <f>INDEX(MO_RIS_Tax_Current,0,COLUMN())+INDEX(MO_RIS_Tax_Deferred,0,COLUMN())</f>
        <v/>
      </c>
      <c r="BF35" s="1970">
        <f>INDEX(MO_RIS_Tax_Current,0,COLUMN())+INDEX(MO_RIS_Tax_Deferred,0,COLUMN())</f>
        <v/>
      </c>
      <c r="BG35" s="1970">
        <f>INDEX(MO_RIS_Tax_Current,0,COLUMN())+INDEX(MO_RIS_Tax_Deferred,0,COLUMN())</f>
        <v/>
      </c>
      <c r="BH35" s="1970">
        <f>INDEX(MO_RIS_Tax_Current,0,COLUMN())+INDEX(MO_RIS_Tax_Deferred,0,COLUMN())</f>
        <v/>
      </c>
      <c r="BI35" s="1970">
        <f>INDEX(MO_RIS_Tax_Current,0,COLUMN())+INDEX(MO_RIS_Tax_Deferred,0,COLUMN())</f>
        <v/>
      </c>
      <c r="BJ35" s="1804">
        <f>INDEX(MO_RIS_Tax_Current,0,COLUMN())+INDEX(MO_RIS_Tax_Deferred,0,COLUMN())</f>
        <v/>
      </c>
      <c r="BK35" s="1970">
        <f>INDEX(MO_RIS_Tax_Current,0,COLUMN())+INDEX(MO_RIS_Tax_Deferred,0,COLUMN())</f>
        <v/>
      </c>
      <c r="BL35" s="1970">
        <f>INDEX(MO_RIS_Tax_Current,0,COLUMN())+INDEX(MO_RIS_Tax_Deferred,0,COLUMN())</f>
        <v/>
      </c>
      <c r="BM35" s="1970">
        <f>INDEX(MO_RIS_Tax_Current,0,COLUMN())+INDEX(MO_RIS_Tax_Deferred,0,COLUMN())</f>
        <v/>
      </c>
      <c r="BN35" s="1970">
        <f>INDEX(MO_RIS_Tax_Current,0,COLUMN())+INDEX(MO_RIS_Tax_Deferred,0,COLUMN())</f>
        <v/>
      </c>
      <c r="BO35" s="2138">
        <f>INDEX(MO_RIS_Tax_Current,0,COLUMN())+INDEX(MO_RIS_Tax_Deferred,0,COLUMN())</f>
        <v/>
      </c>
      <c r="BP35" s="1970">
        <f>INDEX(MO_RIS_Tax_Current,0,COLUMN())+INDEX(MO_RIS_Tax_Deferred,0,COLUMN())</f>
        <v/>
      </c>
      <c r="BQ35" s="1970">
        <f>INDEX(MO_RIS_Tax_Current,0,COLUMN())+INDEX(MO_RIS_Tax_Deferred,0,COLUMN())</f>
        <v/>
      </c>
      <c r="BR35" s="1970">
        <f>INDEX(MO_RIS_Tax_Current,0,COLUMN())+INDEX(MO_RIS_Tax_Deferred,0,COLUMN())</f>
        <v/>
      </c>
      <c r="BS35" s="1970">
        <f>INDEX(MO_RIS_Tax_Current,0,COLUMN())+INDEX(MO_RIS_Tax_Deferred,0,COLUMN())</f>
        <v/>
      </c>
      <c r="BT35" s="1804">
        <f>INDEX(MO_RIS_Tax_Current,0,COLUMN())+INDEX(MO_RIS_Tax_Deferred,0,COLUMN())</f>
        <v/>
      </c>
      <c r="BU35" s="1970">
        <f>INDEX(MO_RIS_Tax_Current,0,COLUMN())+INDEX(MO_RIS_Tax_Deferred,0,COLUMN())</f>
        <v/>
      </c>
      <c r="BV35" s="1970">
        <f>INDEX(MO_RIS_Tax_Current,0,COLUMN())+INDEX(MO_RIS_Tax_Deferred,0,COLUMN())</f>
        <v/>
      </c>
      <c r="BW35" s="1970">
        <f>INDEX(MO_RIS_Tax_Current,0,COLUMN())+INDEX(MO_RIS_Tax_Deferred,0,COLUMN())</f>
        <v/>
      </c>
      <c r="BX35" s="1970">
        <f>INDEX(MO_RIS_Tax_Current,0,COLUMN())+INDEX(MO_RIS_Tax_Deferred,0,COLUMN())</f>
        <v/>
      </c>
      <c r="BY35" s="1804">
        <f>INDEX(MO_RIS_Tax_Current,0,COLUMN())+INDEX(MO_RIS_Tax_Deferred,0,COLUMN())</f>
        <v/>
      </c>
      <c r="BZ35" s="1804">
        <f>INDEX(MO_RIS_Tax_Current,0,COLUMN())+INDEX(MO_RIS_Tax_Deferred,0,COLUMN())</f>
        <v/>
      </c>
      <c r="CA35" s="1804">
        <f>INDEX(MO_RIS_Tax_Current,0,COLUMN())+INDEX(MO_RIS_Tax_Deferred,0,COLUMN())</f>
        <v/>
      </c>
      <c r="CB35" s="1804">
        <f>INDEX(MO_RIS_Tax_Current,0,COLUMN())+INDEX(MO_RIS_Tax_Deferred,0,COLUMN())</f>
        <v/>
      </c>
      <c r="CC35" s="1970" t="n"/>
    </row>
    <row r="36" ht="15" customFormat="1" customHeight="1" s="2114">
      <c r="A36" s="1635">
        <f>INDEX(MO_RIS_DisCont,0,COLUMN())</f>
        <v/>
      </c>
      <c r="B36" s="2137" t="n"/>
      <c r="C36" s="1804">
        <f>INDEX(MO_RIS_DisCont,0,COLUMN())</f>
        <v/>
      </c>
      <c r="D36" s="1804">
        <f>INDEX(MO_RIS_DisCont,0,COLUMN())</f>
        <v/>
      </c>
      <c r="E36" s="1804">
        <f>INDEX(MO_RIS_DisCont,0,COLUMN())</f>
        <v/>
      </c>
      <c r="F36" s="1804">
        <f>INDEX(MO_RIS_DisCont,0,COLUMN())</f>
        <v/>
      </c>
      <c r="G36" s="1804">
        <f>INDEX(MO_RIS_DisCont,0,COLUMN())</f>
        <v/>
      </c>
      <c r="H36" s="1970">
        <f>INDEX(MO_RIS_DisCont,0,COLUMN())</f>
        <v/>
      </c>
      <c r="I36" s="1970">
        <f>INDEX(MO_RIS_DisCont,0,COLUMN())</f>
        <v/>
      </c>
      <c r="J36" s="1970">
        <f>INDEX(MO_RIS_DisCont,0,COLUMN())</f>
        <v/>
      </c>
      <c r="K36" s="1970">
        <f>INDEX(MO_RIS_DisCont,0,COLUMN())</f>
        <v/>
      </c>
      <c r="L36" s="1804">
        <f>INDEX(MO_RIS_DisCont,0,COLUMN())</f>
        <v/>
      </c>
      <c r="M36" s="1970">
        <f>INDEX(MO_RIS_DisCont,0,COLUMN())</f>
        <v/>
      </c>
      <c r="N36" s="1970">
        <f>INDEX(MO_RIS_DisCont,0,COLUMN())</f>
        <v/>
      </c>
      <c r="O36" s="1970">
        <f>INDEX(MO_RIS_DisCont,0,COLUMN())</f>
        <v/>
      </c>
      <c r="P36" s="1970">
        <f>INDEX(MO_RIS_DisCont,0,COLUMN())</f>
        <v/>
      </c>
      <c r="Q36" s="1804">
        <f>INDEX(MO_RIS_DisCont,0,COLUMN())</f>
        <v/>
      </c>
      <c r="R36" s="1970">
        <f>INDEX(MO_RIS_DisCont,0,COLUMN())</f>
        <v/>
      </c>
      <c r="S36" s="1970">
        <f>INDEX(MO_RIS_DisCont,0,COLUMN())</f>
        <v/>
      </c>
      <c r="T36" s="1970">
        <f>INDEX(MO_RIS_DisCont,0,COLUMN())</f>
        <v/>
      </c>
      <c r="U36" s="1970">
        <f>INDEX(MO_RIS_DisCont,0,COLUMN())</f>
        <v/>
      </c>
      <c r="V36" s="1804">
        <f>INDEX(MO_RIS_DisCont,0,COLUMN())</f>
        <v/>
      </c>
      <c r="W36" s="1970">
        <f>INDEX(MO_RIS_DisCont,0,COLUMN())</f>
        <v/>
      </c>
      <c r="X36" s="1970">
        <f>INDEX(MO_RIS_DisCont,0,COLUMN())</f>
        <v/>
      </c>
      <c r="Y36" s="1970">
        <f>INDEX(MO_RIS_DisCont,0,COLUMN())</f>
        <v/>
      </c>
      <c r="Z36" s="1970">
        <f>INDEX(MO_RIS_DisCont,0,COLUMN())</f>
        <v/>
      </c>
      <c r="AA36" s="1804">
        <f>INDEX(MO_RIS_DisCont,0,COLUMN())</f>
        <v/>
      </c>
      <c r="AB36" s="1970">
        <f>INDEX(MO_RIS_DisCont,0,COLUMN())</f>
        <v/>
      </c>
      <c r="AC36" s="1970">
        <f>INDEX(MO_RIS_DisCont,0,COLUMN())</f>
        <v/>
      </c>
      <c r="AD36" s="1970">
        <f>INDEX(MO_RIS_DisCont,0,COLUMN())</f>
        <v/>
      </c>
      <c r="AE36" s="1970">
        <f>INDEX(MO_RIS_DisCont,0,COLUMN())</f>
        <v/>
      </c>
      <c r="AF36" s="1804">
        <f>INDEX(MO_RIS_DisCont,0,COLUMN())</f>
        <v/>
      </c>
      <c r="AG36" s="1970">
        <f>INDEX(MO_RIS_DisCont,0,COLUMN())</f>
        <v/>
      </c>
      <c r="AH36" s="1970">
        <f>INDEX(MO_RIS_DisCont,0,COLUMN())</f>
        <v/>
      </c>
      <c r="AI36" s="1970">
        <f>INDEX(MO_RIS_DisCont,0,COLUMN())</f>
        <v/>
      </c>
      <c r="AJ36" s="1970">
        <f>INDEX(MO_RIS_DisCont,0,COLUMN())</f>
        <v/>
      </c>
      <c r="AK36" s="1804">
        <f>INDEX(MO_RIS_DisCont,0,COLUMN())</f>
        <v/>
      </c>
      <c r="AL36" s="1970">
        <f>INDEX(MO_RIS_DisCont,0,COLUMN())</f>
        <v/>
      </c>
      <c r="AM36" s="1970">
        <f>INDEX(MO_RIS_DisCont,0,COLUMN())</f>
        <v/>
      </c>
      <c r="AN36" s="1970">
        <f>INDEX(MO_RIS_DisCont,0,COLUMN())</f>
        <v/>
      </c>
      <c r="AO36" s="1970">
        <f>INDEX(MO_RIS_DisCont,0,COLUMN())</f>
        <v/>
      </c>
      <c r="AP36" s="1804">
        <f>INDEX(MO_RIS_DisCont,0,COLUMN())</f>
        <v/>
      </c>
      <c r="AQ36" s="1970">
        <f>INDEX(MO_RIS_DisCont,0,COLUMN())</f>
        <v/>
      </c>
      <c r="AR36" s="1970">
        <f>INDEX(MO_RIS_DisCont,0,COLUMN())</f>
        <v/>
      </c>
      <c r="AS36" s="1970">
        <f>INDEX(MO_RIS_DisCont,0,COLUMN())</f>
        <v/>
      </c>
      <c r="AT36" s="1970">
        <f>INDEX(MO_RIS_DisCont,0,COLUMN())</f>
        <v/>
      </c>
      <c r="AU36" s="1804">
        <f>INDEX(MO_RIS_DisCont,0,COLUMN())</f>
        <v/>
      </c>
      <c r="AV36" s="1970">
        <f>INDEX(MO_RIS_DisCont,0,COLUMN())</f>
        <v/>
      </c>
      <c r="AW36" s="1970">
        <f>INDEX(MO_RIS_DisCont,0,COLUMN())</f>
        <v/>
      </c>
      <c r="AX36" s="1970">
        <f>INDEX(MO_RIS_DisCont,0,COLUMN())</f>
        <v/>
      </c>
      <c r="AY36" s="1970">
        <f>INDEX(MO_RIS_DisCont,0,COLUMN())</f>
        <v/>
      </c>
      <c r="AZ36" s="1804">
        <f>INDEX(MO_RIS_DisCont,0,COLUMN())</f>
        <v/>
      </c>
      <c r="BA36" s="1970">
        <f>INDEX(MO_RIS_DisCont,0,COLUMN())</f>
        <v/>
      </c>
      <c r="BB36" s="1970">
        <f>INDEX(MO_RIS_DisCont,0,COLUMN())</f>
        <v/>
      </c>
      <c r="BC36" s="1970">
        <f>INDEX(MO_RIS_DisCont,0,COLUMN())</f>
        <v/>
      </c>
      <c r="BD36" s="1970">
        <f>INDEX(MO_RIS_DisCont,0,COLUMN())</f>
        <v/>
      </c>
      <c r="BE36" s="1804">
        <f>INDEX(MO_RIS_DisCont,0,COLUMN())</f>
        <v/>
      </c>
      <c r="BF36" s="1970">
        <f>INDEX(MO_RIS_DisCont,0,COLUMN())</f>
        <v/>
      </c>
      <c r="BG36" s="1970">
        <f>INDEX(MO_RIS_DisCont,0,COLUMN())</f>
        <v/>
      </c>
      <c r="BH36" s="1970">
        <f>INDEX(MO_RIS_DisCont,0,COLUMN())</f>
        <v/>
      </c>
      <c r="BI36" s="1970">
        <f>INDEX(MO_RIS_DisCont,0,COLUMN())</f>
        <v/>
      </c>
      <c r="BJ36" s="1804">
        <f>INDEX(MO_RIS_DisCont,0,COLUMN())</f>
        <v/>
      </c>
      <c r="BK36" s="1970">
        <f>INDEX(MO_RIS_DisCont,0,COLUMN())</f>
        <v/>
      </c>
      <c r="BL36" s="1970">
        <f>INDEX(MO_RIS_DisCont,0,COLUMN())</f>
        <v/>
      </c>
      <c r="BM36" s="1970">
        <f>INDEX(MO_RIS_DisCont,0,COLUMN())</f>
        <v/>
      </c>
      <c r="BN36" s="1970">
        <f>INDEX(MO_RIS_DisCont,0,COLUMN())</f>
        <v/>
      </c>
      <c r="BO36" s="2138">
        <f>INDEX(MO_RIS_DisCont,0,COLUMN())</f>
        <v/>
      </c>
      <c r="BP36" s="1970">
        <f>INDEX(MO_RIS_DisCont,0,COLUMN())</f>
        <v/>
      </c>
      <c r="BQ36" s="1970">
        <f>INDEX(MO_RIS_DisCont,0,COLUMN())</f>
        <v/>
      </c>
      <c r="BR36" s="1970">
        <f>INDEX(MO_RIS_DisCont,0,COLUMN())</f>
        <v/>
      </c>
      <c r="BS36" s="1970">
        <f>INDEX(MO_RIS_DisCont,0,COLUMN())</f>
        <v/>
      </c>
      <c r="BT36" s="1804">
        <f>INDEX(MO_RIS_DisCont,0,COLUMN())</f>
        <v/>
      </c>
      <c r="BU36" s="1970">
        <f>INDEX(MO_RIS_DisCont,0,COLUMN())</f>
        <v/>
      </c>
      <c r="BV36" s="1970">
        <f>INDEX(MO_RIS_DisCont,0,COLUMN())</f>
        <v/>
      </c>
      <c r="BW36" s="1970">
        <f>INDEX(MO_RIS_DisCont,0,COLUMN())</f>
        <v/>
      </c>
      <c r="BX36" s="1970">
        <f>INDEX(MO_RIS_DisCont,0,COLUMN())</f>
        <v/>
      </c>
      <c r="BY36" s="1804">
        <f>INDEX(MO_RIS_DisCont,0,COLUMN())</f>
        <v/>
      </c>
      <c r="BZ36" s="1804">
        <f>INDEX(MO_RIS_DisCont,0,COLUMN())</f>
        <v/>
      </c>
      <c r="CA36" s="1804">
        <f>INDEX(MO_RIS_DisCont,0,COLUMN())</f>
        <v/>
      </c>
      <c r="CB36" s="1804">
        <f>INDEX(MO_RIS_DisCont,0,COLUMN())</f>
        <v/>
      </c>
      <c r="CC36" s="1970" t="n"/>
    </row>
    <row r="37" ht="15" customFormat="1" customHeight="1" s="2114">
      <c r="A37" s="1635">
        <f>INDEX(MO_RIS_NCI,0,COLUMN())</f>
        <v/>
      </c>
      <c r="B37" s="2137" t="n"/>
      <c r="C37" s="1804">
        <f>INDEX(MO_RIS_NCI,0,COLUMN())</f>
        <v/>
      </c>
      <c r="D37" s="1804">
        <f>INDEX(MO_RIS_NCI,0,COLUMN())</f>
        <v/>
      </c>
      <c r="E37" s="1804">
        <f>INDEX(MO_RIS_NCI,0,COLUMN())</f>
        <v/>
      </c>
      <c r="F37" s="1804">
        <f>INDEX(MO_RIS_NCI,0,COLUMN())</f>
        <v/>
      </c>
      <c r="G37" s="1804">
        <f>INDEX(MO_RIS_NCI,0,COLUMN())</f>
        <v/>
      </c>
      <c r="H37" s="1970">
        <f>INDEX(MO_RIS_NCI,0,COLUMN())</f>
        <v/>
      </c>
      <c r="I37" s="1970">
        <f>INDEX(MO_RIS_NCI,0,COLUMN())</f>
        <v/>
      </c>
      <c r="J37" s="1970">
        <f>INDEX(MO_RIS_NCI,0,COLUMN())</f>
        <v/>
      </c>
      <c r="K37" s="1970">
        <f>INDEX(MO_RIS_NCI,0,COLUMN())</f>
        <v/>
      </c>
      <c r="L37" s="1804">
        <f>INDEX(MO_RIS_NCI,0,COLUMN())</f>
        <v/>
      </c>
      <c r="M37" s="1970">
        <f>INDEX(MO_RIS_NCI,0,COLUMN())</f>
        <v/>
      </c>
      <c r="N37" s="1970">
        <f>INDEX(MO_RIS_NCI,0,COLUMN())</f>
        <v/>
      </c>
      <c r="O37" s="1970">
        <f>INDEX(MO_RIS_NCI,0,COLUMN())</f>
        <v/>
      </c>
      <c r="P37" s="1970">
        <f>INDEX(MO_RIS_NCI,0,COLUMN())</f>
        <v/>
      </c>
      <c r="Q37" s="1804">
        <f>INDEX(MO_RIS_NCI,0,COLUMN())</f>
        <v/>
      </c>
      <c r="R37" s="1970">
        <f>INDEX(MO_RIS_NCI,0,COLUMN())</f>
        <v/>
      </c>
      <c r="S37" s="1970">
        <f>INDEX(MO_RIS_NCI,0,COLUMN())</f>
        <v/>
      </c>
      <c r="T37" s="1970">
        <f>INDEX(MO_RIS_NCI,0,COLUMN())</f>
        <v/>
      </c>
      <c r="U37" s="1970">
        <f>INDEX(MO_RIS_NCI,0,COLUMN())</f>
        <v/>
      </c>
      <c r="V37" s="1804">
        <f>INDEX(MO_RIS_NCI,0,COLUMN())</f>
        <v/>
      </c>
      <c r="W37" s="1970">
        <f>INDEX(MO_RIS_NCI,0,COLUMN())</f>
        <v/>
      </c>
      <c r="X37" s="1970">
        <f>INDEX(MO_RIS_NCI,0,COLUMN())</f>
        <v/>
      </c>
      <c r="Y37" s="1970">
        <f>INDEX(MO_RIS_NCI,0,COLUMN())</f>
        <v/>
      </c>
      <c r="Z37" s="1970">
        <f>INDEX(MO_RIS_NCI,0,COLUMN())</f>
        <v/>
      </c>
      <c r="AA37" s="1804">
        <f>INDEX(MO_RIS_NCI,0,COLUMN())</f>
        <v/>
      </c>
      <c r="AB37" s="1970">
        <f>INDEX(MO_RIS_NCI,0,COLUMN())</f>
        <v/>
      </c>
      <c r="AC37" s="1970">
        <f>INDEX(MO_RIS_NCI,0,COLUMN())</f>
        <v/>
      </c>
      <c r="AD37" s="1970">
        <f>INDEX(MO_RIS_NCI,0,COLUMN())</f>
        <v/>
      </c>
      <c r="AE37" s="1970">
        <f>INDEX(MO_RIS_NCI,0,COLUMN())</f>
        <v/>
      </c>
      <c r="AF37" s="1804">
        <f>INDEX(MO_RIS_NCI,0,COLUMN())</f>
        <v/>
      </c>
      <c r="AG37" s="1970">
        <f>INDEX(MO_RIS_NCI,0,COLUMN())</f>
        <v/>
      </c>
      <c r="AH37" s="1970">
        <f>INDEX(MO_RIS_NCI,0,COLUMN())</f>
        <v/>
      </c>
      <c r="AI37" s="1970">
        <f>INDEX(MO_RIS_NCI,0,COLUMN())</f>
        <v/>
      </c>
      <c r="AJ37" s="1970">
        <f>INDEX(MO_RIS_NCI,0,COLUMN())</f>
        <v/>
      </c>
      <c r="AK37" s="1804">
        <f>INDEX(MO_RIS_NCI,0,COLUMN())</f>
        <v/>
      </c>
      <c r="AL37" s="1970">
        <f>INDEX(MO_RIS_NCI,0,COLUMN())</f>
        <v/>
      </c>
      <c r="AM37" s="1970">
        <f>INDEX(MO_RIS_NCI,0,COLUMN())</f>
        <v/>
      </c>
      <c r="AN37" s="1970">
        <f>INDEX(MO_RIS_NCI,0,COLUMN())</f>
        <v/>
      </c>
      <c r="AO37" s="1970">
        <f>INDEX(MO_RIS_NCI,0,COLUMN())</f>
        <v/>
      </c>
      <c r="AP37" s="1804">
        <f>INDEX(MO_RIS_NCI,0,COLUMN())</f>
        <v/>
      </c>
      <c r="AQ37" s="1970">
        <f>INDEX(MO_RIS_NCI,0,COLUMN())</f>
        <v/>
      </c>
      <c r="AR37" s="1970">
        <f>INDEX(MO_RIS_NCI,0,COLUMN())</f>
        <v/>
      </c>
      <c r="AS37" s="1970">
        <f>INDEX(MO_RIS_NCI,0,COLUMN())</f>
        <v/>
      </c>
      <c r="AT37" s="1970">
        <f>INDEX(MO_RIS_NCI,0,COLUMN())</f>
        <v/>
      </c>
      <c r="AU37" s="1804">
        <f>INDEX(MO_RIS_NCI,0,COLUMN())</f>
        <v/>
      </c>
      <c r="AV37" s="1970">
        <f>INDEX(MO_RIS_NCI,0,COLUMN())</f>
        <v/>
      </c>
      <c r="AW37" s="1970">
        <f>INDEX(MO_RIS_NCI,0,COLUMN())</f>
        <v/>
      </c>
      <c r="AX37" s="1970">
        <f>INDEX(MO_RIS_NCI,0,COLUMN())</f>
        <v/>
      </c>
      <c r="AY37" s="1970">
        <f>INDEX(MO_RIS_NCI,0,COLUMN())</f>
        <v/>
      </c>
      <c r="AZ37" s="1804">
        <f>INDEX(MO_RIS_NCI,0,COLUMN())</f>
        <v/>
      </c>
      <c r="BA37" s="1970">
        <f>INDEX(MO_RIS_NCI,0,COLUMN())</f>
        <v/>
      </c>
      <c r="BB37" s="1970">
        <f>INDEX(MO_RIS_NCI,0,COLUMN())</f>
        <v/>
      </c>
      <c r="BC37" s="1970">
        <f>INDEX(MO_RIS_NCI,0,COLUMN())</f>
        <v/>
      </c>
      <c r="BD37" s="1970">
        <f>INDEX(MO_RIS_NCI,0,COLUMN())</f>
        <v/>
      </c>
      <c r="BE37" s="1804">
        <f>INDEX(MO_RIS_NCI,0,COLUMN())</f>
        <v/>
      </c>
      <c r="BF37" s="1970">
        <f>INDEX(MO_RIS_NCI,0,COLUMN())</f>
        <v/>
      </c>
      <c r="BG37" s="1970">
        <f>INDEX(MO_RIS_NCI,0,COLUMN())</f>
        <v/>
      </c>
      <c r="BH37" s="1970">
        <f>INDEX(MO_RIS_NCI,0,COLUMN())</f>
        <v/>
      </c>
      <c r="BI37" s="1970">
        <f>INDEX(MO_RIS_NCI,0,COLUMN())</f>
        <v/>
      </c>
      <c r="BJ37" s="1804">
        <f>INDEX(MO_RIS_NCI,0,COLUMN())</f>
        <v/>
      </c>
      <c r="BK37" s="1970">
        <f>INDEX(MO_RIS_NCI,0,COLUMN())</f>
        <v/>
      </c>
      <c r="BL37" s="1970">
        <f>INDEX(MO_RIS_NCI,0,COLUMN())</f>
        <v/>
      </c>
      <c r="BM37" s="1970">
        <f>INDEX(MO_RIS_NCI,0,COLUMN())</f>
        <v/>
      </c>
      <c r="BN37" s="1970">
        <f>INDEX(MO_RIS_NCI,0,COLUMN())</f>
        <v/>
      </c>
      <c r="BO37" s="2138">
        <f>INDEX(MO_RIS_NCI,0,COLUMN())</f>
        <v/>
      </c>
      <c r="BP37" s="1970">
        <f>INDEX(MO_RIS_NCI,0,COLUMN())</f>
        <v/>
      </c>
      <c r="BQ37" s="1970">
        <f>INDEX(MO_RIS_NCI,0,COLUMN())</f>
        <v/>
      </c>
      <c r="BR37" s="1970">
        <f>INDEX(MO_RIS_NCI,0,COLUMN())</f>
        <v/>
      </c>
      <c r="BS37" s="1970">
        <f>INDEX(MO_RIS_NCI,0,COLUMN())</f>
        <v/>
      </c>
      <c r="BT37" s="1804">
        <f>INDEX(MO_RIS_NCI,0,COLUMN())</f>
        <v/>
      </c>
      <c r="BU37" s="1970">
        <f>INDEX(MO_RIS_NCI,0,COLUMN())</f>
        <v/>
      </c>
      <c r="BV37" s="1970">
        <f>INDEX(MO_RIS_NCI,0,COLUMN())</f>
        <v/>
      </c>
      <c r="BW37" s="1970">
        <f>INDEX(MO_RIS_NCI,0,COLUMN())</f>
        <v/>
      </c>
      <c r="BX37" s="1970">
        <f>INDEX(MO_RIS_NCI,0,COLUMN())</f>
        <v/>
      </c>
      <c r="BY37" s="1804">
        <f>INDEX(MO_RIS_NCI,0,COLUMN())</f>
        <v/>
      </c>
      <c r="BZ37" s="1804">
        <f>INDEX(MO_RIS_NCI,0,COLUMN())</f>
        <v/>
      </c>
      <c r="CA37" s="1804">
        <f>INDEX(MO_RIS_NCI,0,COLUMN())</f>
        <v/>
      </c>
      <c r="CB37" s="1804">
        <f>INDEX(MO_RIS_NCI,0,COLUMN())</f>
        <v/>
      </c>
      <c r="CC37" s="1970" t="n"/>
    </row>
    <row r="38" ht="15" customFormat="1" customHeight="1" s="2114">
      <c r="A38" s="2129">
        <f>INDEX(MO_RIS_Dividend_Prefs,0,COLUMN())</f>
        <v/>
      </c>
      <c r="B38" s="2139" t="n"/>
      <c r="C38" s="1810">
        <f>INDEX(MO_RIS_Dividend_Prefs,0,COLUMN())</f>
        <v/>
      </c>
      <c r="D38" s="1810">
        <f>INDEX(MO_RIS_Dividend_Prefs,0,COLUMN())</f>
        <v/>
      </c>
      <c r="E38" s="1810">
        <f>INDEX(MO_RIS_Dividend_Prefs,0,COLUMN())</f>
        <v/>
      </c>
      <c r="F38" s="1810">
        <f>INDEX(MO_RIS_Dividend_Prefs,0,COLUMN())</f>
        <v/>
      </c>
      <c r="G38" s="1810">
        <f>INDEX(MO_RIS_Dividend_Prefs,0,COLUMN())</f>
        <v/>
      </c>
      <c r="H38" s="1971">
        <f>INDEX(MO_RIS_Dividend_Prefs,0,COLUMN())</f>
        <v/>
      </c>
      <c r="I38" s="1971">
        <f>INDEX(MO_RIS_Dividend_Prefs,0,COLUMN())</f>
        <v/>
      </c>
      <c r="J38" s="1971">
        <f>INDEX(MO_RIS_Dividend_Prefs,0,COLUMN())</f>
        <v/>
      </c>
      <c r="K38" s="1971">
        <f>INDEX(MO_RIS_Dividend_Prefs,0,COLUMN())</f>
        <v/>
      </c>
      <c r="L38" s="1810">
        <f>INDEX(MO_RIS_Dividend_Prefs,0,COLUMN())</f>
        <v/>
      </c>
      <c r="M38" s="1971">
        <f>INDEX(MO_RIS_Dividend_Prefs,0,COLUMN())</f>
        <v/>
      </c>
      <c r="N38" s="1971">
        <f>INDEX(MO_RIS_Dividend_Prefs,0,COLUMN())</f>
        <v/>
      </c>
      <c r="O38" s="1971">
        <f>INDEX(MO_RIS_Dividend_Prefs,0,COLUMN())</f>
        <v/>
      </c>
      <c r="P38" s="1971">
        <f>INDEX(MO_RIS_Dividend_Prefs,0,COLUMN())</f>
        <v/>
      </c>
      <c r="Q38" s="1810">
        <f>INDEX(MO_RIS_Dividend_Prefs,0,COLUMN())</f>
        <v/>
      </c>
      <c r="R38" s="1971">
        <f>INDEX(MO_RIS_Dividend_Prefs,0,COLUMN())</f>
        <v/>
      </c>
      <c r="S38" s="1971">
        <f>INDEX(MO_RIS_Dividend_Prefs,0,COLUMN())</f>
        <v/>
      </c>
      <c r="T38" s="1971">
        <f>INDEX(MO_RIS_Dividend_Prefs,0,COLUMN())</f>
        <v/>
      </c>
      <c r="U38" s="1971">
        <f>INDEX(MO_RIS_Dividend_Prefs,0,COLUMN())</f>
        <v/>
      </c>
      <c r="V38" s="1810">
        <f>INDEX(MO_RIS_Dividend_Prefs,0,COLUMN())</f>
        <v/>
      </c>
      <c r="W38" s="1971">
        <f>INDEX(MO_RIS_Dividend_Prefs,0,COLUMN())</f>
        <v/>
      </c>
      <c r="X38" s="1971">
        <f>INDEX(MO_RIS_Dividend_Prefs,0,COLUMN())</f>
        <v/>
      </c>
      <c r="Y38" s="1971">
        <f>INDEX(MO_RIS_Dividend_Prefs,0,COLUMN())</f>
        <v/>
      </c>
      <c r="Z38" s="1971">
        <f>INDEX(MO_RIS_Dividend_Prefs,0,COLUMN())</f>
        <v/>
      </c>
      <c r="AA38" s="1810">
        <f>INDEX(MO_RIS_Dividend_Prefs,0,COLUMN())</f>
        <v/>
      </c>
      <c r="AB38" s="1971">
        <f>INDEX(MO_RIS_Dividend_Prefs,0,COLUMN())</f>
        <v/>
      </c>
      <c r="AC38" s="1971">
        <f>INDEX(MO_RIS_Dividend_Prefs,0,COLUMN())</f>
        <v/>
      </c>
      <c r="AD38" s="1971">
        <f>INDEX(MO_RIS_Dividend_Prefs,0,COLUMN())</f>
        <v/>
      </c>
      <c r="AE38" s="1971">
        <f>INDEX(MO_RIS_Dividend_Prefs,0,COLUMN())</f>
        <v/>
      </c>
      <c r="AF38" s="1810">
        <f>INDEX(MO_RIS_Dividend_Prefs,0,COLUMN())</f>
        <v/>
      </c>
      <c r="AG38" s="1971">
        <f>INDEX(MO_RIS_Dividend_Prefs,0,COLUMN())</f>
        <v/>
      </c>
      <c r="AH38" s="1971">
        <f>INDEX(MO_RIS_Dividend_Prefs,0,COLUMN())</f>
        <v/>
      </c>
      <c r="AI38" s="1971">
        <f>INDEX(MO_RIS_Dividend_Prefs,0,COLUMN())</f>
        <v/>
      </c>
      <c r="AJ38" s="1971">
        <f>INDEX(MO_RIS_Dividend_Prefs,0,COLUMN())</f>
        <v/>
      </c>
      <c r="AK38" s="1810">
        <f>INDEX(MO_RIS_Dividend_Prefs,0,COLUMN())</f>
        <v/>
      </c>
      <c r="AL38" s="1971">
        <f>INDEX(MO_RIS_Dividend_Prefs,0,COLUMN())</f>
        <v/>
      </c>
      <c r="AM38" s="1971">
        <f>INDEX(MO_RIS_Dividend_Prefs,0,COLUMN())</f>
        <v/>
      </c>
      <c r="AN38" s="1971">
        <f>INDEX(MO_RIS_Dividend_Prefs,0,COLUMN())</f>
        <v/>
      </c>
      <c r="AO38" s="1971">
        <f>INDEX(MO_RIS_Dividend_Prefs,0,COLUMN())</f>
        <v/>
      </c>
      <c r="AP38" s="1810">
        <f>INDEX(MO_RIS_Dividend_Prefs,0,COLUMN())</f>
        <v/>
      </c>
      <c r="AQ38" s="1971">
        <f>INDEX(MO_RIS_Dividend_Prefs,0,COLUMN())</f>
        <v/>
      </c>
      <c r="AR38" s="1971">
        <f>INDEX(MO_RIS_Dividend_Prefs,0,COLUMN())</f>
        <v/>
      </c>
      <c r="AS38" s="1971">
        <f>INDEX(MO_RIS_Dividend_Prefs,0,COLUMN())</f>
        <v/>
      </c>
      <c r="AT38" s="1971">
        <f>INDEX(MO_RIS_Dividend_Prefs,0,COLUMN())</f>
        <v/>
      </c>
      <c r="AU38" s="1810">
        <f>INDEX(MO_RIS_Dividend_Prefs,0,COLUMN())</f>
        <v/>
      </c>
      <c r="AV38" s="1971">
        <f>INDEX(MO_RIS_Dividend_Prefs,0,COLUMN())</f>
        <v/>
      </c>
      <c r="AW38" s="1971">
        <f>INDEX(MO_RIS_Dividend_Prefs,0,COLUMN())</f>
        <v/>
      </c>
      <c r="AX38" s="1971">
        <f>INDEX(MO_RIS_Dividend_Prefs,0,COLUMN())</f>
        <v/>
      </c>
      <c r="AY38" s="1971">
        <f>INDEX(MO_RIS_Dividend_Prefs,0,COLUMN())</f>
        <v/>
      </c>
      <c r="AZ38" s="1810">
        <f>INDEX(MO_RIS_Dividend_Prefs,0,COLUMN())</f>
        <v/>
      </c>
      <c r="BA38" s="1971">
        <f>INDEX(MO_RIS_Dividend_Prefs,0,COLUMN())</f>
        <v/>
      </c>
      <c r="BB38" s="1971">
        <f>INDEX(MO_RIS_Dividend_Prefs,0,COLUMN())</f>
        <v/>
      </c>
      <c r="BC38" s="1971">
        <f>INDEX(MO_RIS_Dividend_Prefs,0,COLUMN())</f>
        <v/>
      </c>
      <c r="BD38" s="1971">
        <f>INDEX(MO_RIS_Dividend_Prefs,0,COLUMN())</f>
        <v/>
      </c>
      <c r="BE38" s="1810">
        <f>INDEX(MO_RIS_Dividend_Prefs,0,COLUMN())</f>
        <v/>
      </c>
      <c r="BF38" s="1971">
        <f>INDEX(MO_RIS_Dividend_Prefs,0,COLUMN())</f>
        <v/>
      </c>
      <c r="BG38" s="1971">
        <f>INDEX(MO_RIS_Dividend_Prefs,0,COLUMN())</f>
        <v/>
      </c>
      <c r="BH38" s="1971">
        <f>INDEX(MO_RIS_Dividend_Prefs,0,COLUMN())</f>
        <v/>
      </c>
      <c r="BI38" s="1971">
        <f>INDEX(MO_RIS_Dividend_Prefs,0,COLUMN())</f>
        <v/>
      </c>
      <c r="BJ38" s="1810">
        <f>INDEX(MO_RIS_Dividend_Prefs,0,COLUMN())</f>
        <v/>
      </c>
      <c r="BK38" s="1971">
        <f>INDEX(MO_RIS_Dividend_Prefs,0,COLUMN())</f>
        <v/>
      </c>
      <c r="BL38" s="1971">
        <f>INDEX(MO_RIS_Dividend_Prefs,0,COLUMN())</f>
        <v/>
      </c>
      <c r="BM38" s="1971">
        <f>INDEX(MO_RIS_Dividend_Prefs,0,COLUMN())</f>
        <v/>
      </c>
      <c r="BN38" s="1971">
        <f>INDEX(MO_RIS_Dividend_Prefs,0,COLUMN())</f>
        <v/>
      </c>
      <c r="BO38" s="2140">
        <f>INDEX(MO_RIS_Dividend_Prefs,0,COLUMN())</f>
        <v/>
      </c>
      <c r="BP38" s="1971">
        <f>INDEX(MO_RIS_Dividend_Prefs,0,COLUMN())</f>
        <v/>
      </c>
      <c r="BQ38" s="1971">
        <f>INDEX(MO_RIS_Dividend_Prefs,0,COLUMN())</f>
        <v/>
      </c>
      <c r="BR38" s="1971">
        <f>INDEX(MO_RIS_Dividend_Prefs,0,COLUMN())</f>
        <v/>
      </c>
      <c r="BS38" s="1971">
        <f>INDEX(MO_RIS_Dividend_Prefs,0,COLUMN())</f>
        <v/>
      </c>
      <c r="BT38" s="1810">
        <f>INDEX(MO_RIS_Dividend_Prefs,0,COLUMN())</f>
        <v/>
      </c>
      <c r="BU38" s="1971">
        <f>INDEX(MO_RIS_Dividend_Prefs,0,COLUMN())</f>
        <v/>
      </c>
      <c r="BV38" s="1971">
        <f>INDEX(MO_RIS_Dividend_Prefs,0,COLUMN())</f>
        <v/>
      </c>
      <c r="BW38" s="1971">
        <f>INDEX(MO_RIS_Dividend_Prefs,0,COLUMN())</f>
        <v/>
      </c>
      <c r="BX38" s="1971">
        <f>INDEX(MO_RIS_Dividend_Prefs,0,COLUMN())</f>
        <v/>
      </c>
      <c r="BY38" s="1810">
        <f>INDEX(MO_RIS_Dividend_Prefs,0,COLUMN())</f>
        <v/>
      </c>
      <c r="BZ38" s="1810">
        <f>INDEX(MO_RIS_Dividend_Prefs,0,COLUMN())</f>
        <v/>
      </c>
      <c r="CA38" s="1810">
        <f>INDEX(MO_RIS_Dividend_Prefs,0,COLUMN())</f>
        <v/>
      </c>
      <c r="CB38" s="1810">
        <f>INDEX(MO_RIS_Dividend_Prefs,0,COLUMN())</f>
        <v/>
      </c>
      <c r="CC38" s="1970" t="n"/>
    </row>
    <row r="39" ht="15" customFormat="1" customHeight="1" s="2131">
      <c r="A39" s="1639">
        <f>INDEX(MO_RIS_NI_GAAP_Basic,0,COLUMN())</f>
        <v/>
      </c>
      <c r="B39" s="2132" t="n"/>
      <c r="C39" s="2133">
        <f>INDEX(MO_RIS_NI_GAAP_Basic,0,COLUMN())</f>
        <v/>
      </c>
      <c r="D39" s="2133">
        <f>INDEX(MO_RIS_NI_GAAP_Basic,0,COLUMN())</f>
        <v/>
      </c>
      <c r="E39" s="2133">
        <f>INDEX(MO_RIS_NI_GAAP_Basic,0,COLUMN())</f>
        <v/>
      </c>
      <c r="F39" s="2133">
        <f>INDEX(MO_RIS_NI_GAAP_Basic,0,COLUMN())</f>
        <v/>
      </c>
      <c r="G39" s="2133">
        <f>INDEX(MO_RIS_NI_GAAP_Basic,0,COLUMN())</f>
        <v/>
      </c>
      <c r="H39" s="2134">
        <f>INDEX(MO_RIS_NI_GAAP_Basic,0,COLUMN())</f>
        <v/>
      </c>
      <c r="I39" s="2134">
        <f>INDEX(MO_RIS_NI_GAAP_Basic,0,COLUMN())</f>
        <v/>
      </c>
      <c r="J39" s="2134">
        <f>INDEX(MO_RIS_NI_GAAP_Basic,0,COLUMN())</f>
        <v/>
      </c>
      <c r="K39" s="2134">
        <f>INDEX(MO_RIS_NI_GAAP_Basic,0,COLUMN())</f>
        <v/>
      </c>
      <c r="L39" s="2133">
        <f>INDEX(MO_RIS_NI_GAAP_Basic,0,COLUMN())</f>
        <v/>
      </c>
      <c r="M39" s="2134">
        <f>INDEX(MO_RIS_NI_GAAP_Basic,0,COLUMN())</f>
        <v/>
      </c>
      <c r="N39" s="2134">
        <f>INDEX(MO_RIS_NI_GAAP_Basic,0,COLUMN())</f>
        <v/>
      </c>
      <c r="O39" s="2134">
        <f>INDEX(MO_RIS_NI_GAAP_Basic,0,COLUMN())</f>
        <v/>
      </c>
      <c r="P39" s="2134">
        <f>INDEX(MO_RIS_NI_GAAP_Basic,0,COLUMN())</f>
        <v/>
      </c>
      <c r="Q39" s="2133">
        <f>INDEX(MO_RIS_NI_GAAP_Basic,0,COLUMN())</f>
        <v/>
      </c>
      <c r="R39" s="2134">
        <f>INDEX(MO_RIS_NI_GAAP_Basic,0,COLUMN())</f>
        <v/>
      </c>
      <c r="S39" s="2134">
        <f>INDEX(MO_RIS_NI_GAAP_Basic,0,COLUMN())</f>
        <v/>
      </c>
      <c r="T39" s="2134">
        <f>INDEX(MO_RIS_NI_GAAP_Basic,0,COLUMN())</f>
        <v/>
      </c>
      <c r="U39" s="2134">
        <f>INDEX(MO_RIS_NI_GAAP_Basic,0,COLUMN())</f>
        <v/>
      </c>
      <c r="V39" s="2133">
        <f>INDEX(MO_RIS_NI_GAAP_Basic,0,COLUMN())</f>
        <v/>
      </c>
      <c r="W39" s="2134">
        <f>INDEX(MO_RIS_NI_GAAP_Basic,0,COLUMN())</f>
        <v/>
      </c>
      <c r="X39" s="2134">
        <f>INDEX(MO_RIS_NI_GAAP_Basic,0,COLUMN())</f>
        <v/>
      </c>
      <c r="Y39" s="2134">
        <f>INDEX(MO_RIS_NI_GAAP_Basic,0,COLUMN())</f>
        <v/>
      </c>
      <c r="Z39" s="2134">
        <f>INDEX(MO_RIS_NI_GAAP_Basic,0,COLUMN())</f>
        <v/>
      </c>
      <c r="AA39" s="2133">
        <f>INDEX(MO_RIS_NI_GAAP_Basic,0,COLUMN())</f>
        <v/>
      </c>
      <c r="AB39" s="2134">
        <f>INDEX(MO_RIS_NI_GAAP_Basic,0,COLUMN())</f>
        <v/>
      </c>
      <c r="AC39" s="2134">
        <f>INDEX(MO_RIS_NI_GAAP_Basic,0,COLUMN())</f>
        <v/>
      </c>
      <c r="AD39" s="2134">
        <f>INDEX(MO_RIS_NI_GAAP_Basic,0,COLUMN())</f>
        <v/>
      </c>
      <c r="AE39" s="2134">
        <f>INDEX(MO_RIS_NI_GAAP_Basic,0,COLUMN())</f>
        <v/>
      </c>
      <c r="AF39" s="2133">
        <f>INDEX(MO_RIS_NI_GAAP_Basic,0,COLUMN())</f>
        <v/>
      </c>
      <c r="AG39" s="2134">
        <f>INDEX(MO_RIS_NI_GAAP_Basic,0,COLUMN())</f>
        <v/>
      </c>
      <c r="AH39" s="2134">
        <f>INDEX(MO_RIS_NI_GAAP_Basic,0,COLUMN())</f>
        <v/>
      </c>
      <c r="AI39" s="2134">
        <f>INDEX(MO_RIS_NI_GAAP_Basic,0,COLUMN())</f>
        <v/>
      </c>
      <c r="AJ39" s="2134">
        <f>INDEX(MO_RIS_NI_GAAP_Basic,0,COLUMN())</f>
        <v/>
      </c>
      <c r="AK39" s="2133">
        <f>INDEX(MO_RIS_NI_GAAP_Basic,0,COLUMN())</f>
        <v/>
      </c>
      <c r="AL39" s="2134">
        <f>INDEX(MO_RIS_NI_GAAP_Basic,0,COLUMN())</f>
        <v/>
      </c>
      <c r="AM39" s="2134">
        <f>INDEX(MO_RIS_NI_GAAP_Basic,0,COLUMN())</f>
        <v/>
      </c>
      <c r="AN39" s="2134">
        <f>INDEX(MO_RIS_NI_GAAP_Basic,0,COLUMN())</f>
        <v/>
      </c>
      <c r="AO39" s="2134">
        <f>INDEX(MO_RIS_NI_GAAP_Basic,0,COLUMN())</f>
        <v/>
      </c>
      <c r="AP39" s="2133">
        <f>INDEX(MO_RIS_NI_GAAP_Basic,0,COLUMN())</f>
        <v/>
      </c>
      <c r="AQ39" s="2134">
        <f>INDEX(MO_RIS_NI_GAAP_Basic,0,COLUMN())</f>
        <v/>
      </c>
      <c r="AR39" s="2134">
        <f>INDEX(MO_RIS_NI_GAAP_Basic,0,COLUMN())</f>
        <v/>
      </c>
      <c r="AS39" s="2134">
        <f>INDEX(MO_RIS_NI_GAAP_Basic,0,COLUMN())</f>
        <v/>
      </c>
      <c r="AT39" s="2134">
        <f>INDEX(MO_RIS_NI_GAAP_Basic,0,COLUMN())</f>
        <v/>
      </c>
      <c r="AU39" s="2133">
        <f>INDEX(MO_RIS_NI_GAAP_Basic,0,COLUMN())</f>
        <v/>
      </c>
      <c r="AV39" s="2134">
        <f>INDEX(MO_RIS_NI_GAAP_Basic,0,COLUMN())</f>
        <v/>
      </c>
      <c r="AW39" s="2134">
        <f>INDEX(MO_RIS_NI_GAAP_Basic,0,COLUMN())</f>
        <v/>
      </c>
      <c r="AX39" s="2134">
        <f>INDEX(MO_RIS_NI_GAAP_Basic,0,COLUMN())</f>
        <v/>
      </c>
      <c r="AY39" s="2134">
        <f>INDEX(MO_RIS_NI_GAAP_Basic,0,COLUMN())</f>
        <v/>
      </c>
      <c r="AZ39" s="2133">
        <f>INDEX(MO_RIS_NI_GAAP_Basic,0,COLUMN())</f>
        <v/>
      </c>
      <c r="BA39" s="2134">
        <f>INDEX(MO_RIS_NI_GAAP_Basic,0,COLUMN())</f>
        <v/>
      </c>
      <c r="BB39" s="2134">
        <f>INDEX(MO_RIS_NI_GAAP_Basic,0,COLUMN())</f>
        <v/>
      </c>
      <c r="BC39" s="2134">
        <f>INDEX(MO_RIS_NI_GAAP_Basic,0,COLUMN())</f>
        <v/>
      </c>
      <c r="BD39" s="2134">
        <f>INDEX(MO_RIS_NI_GAAP_Basic,0,COLUMN())</f>
        <v/>
      </c>
      <c r="BE39" s="2133">
        <f>INDEX(MO_RIS_NI_GAAP_Basic,0,COLUMN())</f>
        <v/>
      </c>
      <c r="BF39" s="2134">
        <f>INDEX(MO_RIS_NI_GAAP_Basic,0,COLUMN())</f>
        <v/>
      </c>
      <c r="BG39" s="2134">
        <f>INDEX(MO_RIS_NI_GAAP_Basic,0,COLUMN())</f>
        <v/>
      </c>
      <c r="BH39" s="2134">
        <f>INDEX(MO_RIS_NI_GAAP_Basic,0,COLUMN())</f>
        <v/>
      </c>
      <c r="BI39" s="2134">
        <f>INDEX(MO_RIS_NI_GAAP_Basic,0,COLUMN())</f>
        <v/>
      </c>
      <c r="BJ39" s="2133">
        <f>INDEX(MO_RIS_NI_GAAP_Basic,0,COLUMN())</f>
        <v/>
      </c>
      <c r="BK39" s="2134">
        <f>INDEX(MO_RIS_NI_GAAP_Basic,0,COLUMN())</f>
        <v/>
      </c>
      <c r="BL39" s="2134">
        <f>INDEX(MO_RIS_NI_GAAP_Basic,0,COLUMN())</f>
        <v/>
      </c>
      <c r="BM39" s="2134">
        <f>INDEX(MO_RIS_NI_GAAP_Basic,0,COLUMN())</f>
        <v/>
      </c>
      <c r="BN39" s="2134">
        <f>INDEX(MO_RIS_NI_GAAP_Basic,0,COLUMN())</f>
        <v/>
      </c>
      <c r="BO39" s="2135">
        <f>INDEX(MO_RIS_NI_GAAP_Basic,0,COLUMN())</f>
        <v/>
      </c>
      <c r="BP39" s="2134">
        <f>INDEX(MO_RIS_NI_GAAP_Basic,0,COLUMN())</f>
        <v/>
      </c>
      <c r="BQ39" s="2134">
        <f>INDEX(MO_RIS_NI_GAAP_Basic,0,COLUMN())</f>
        <v/>
      </c>
      <c r="BR39" s="2134">
        <f>INDEX(MO_RIS_NI_GAAP_Basic,0,COLUMN())</f>
        <v/>
      </c>
      <c r="BS39" s="2134">
        <f>INDEX(MO_RIS_NI_GAAP_Basic,0,COLUMN())</f>
        <v/>
      </c>
      <c r="BT39" s="2133">
        <f>INDEX(MO_RIS_NI_GAAP_Basic,0,COLUMN())</f>
        <v/>
      </c>
      <c r="BU39" s="2134">
        <f>INDEX(MO_RIS_NI_GAAP_Basic,0,COLUMN())</f>
        <v/>
      </c>
      <c r="BV39" s="2134">
        <f>INDEX(MO_RIS_NI_GAAP_Basic,0,COLUMN())</f>
        <v/>
      </c>
      <c r="BW39" s="2134">
        <f>INDEX(MO_RIS_NI_GAAP_Basic,0,COLUMN())</f>
        <v/>
      </c>
      <c r="BX39" s="2134">
        <f>INDEX(MO_RIS_NI_GAAP_Basic,0,COLUMN())</f>
        <v/>
      </c>
      <c r="BY39" s="2133">
        <f>INDEX(MO_RIS_NI_GAAP_Basic,0,COLUMN())</f>
        <v/>
      </c>
      <c r="BZ39" s="2133">
        <f>INDEX(MO_RIS_NI_GAAP_Basic,0,COLUMN())</f>
        <v/>
      </c>
      <c r="CA39" s="2133">
        <f>INDEX(MO_RIS_NI_GAAP_Basic,0,COLUMN())</f>
        <v/>
      </c>
      <c r="CB39" s="2133">
        <f>INDEX(MO_RIS_NI_GAAP_Basic,0,COLUMN())</f>
        <v/>
      </c>
      <c r="CC39" s="2136" t="n"/>
    </row>
    <row r="40" ht="15" customFormat="1" customHeight="1" s="2131">
      <c r="A40" s="1635">
        <f>INDEX(MO_RIS_Adjustments_Dilution_GAAP,0,COLUMN())</f>
        <v/>
      </c>
      <c r="B40" s="2137" t="n"/>
      <c r="C40" s="1804">
        <f>INDEX(MO_RIS_Adjustments_Dilution_GAAP,0,COLUMN())</f>
        <v/>
      </c>
      <c r="D40" s="1804">
        <f>INDEX(MO_RIS_Adjustments_Dilution_GAAP,0,COLUMN())</f>
        <v/>
      </c>
      <c r="E40" s="1804">
        <f>INDEX(MO_RIS_Adjustments_Dilution_GAAP,0,COLUMN())</f>
        <v/>
      </c>
      <c r="F40" s="1804">
        <f>INDEX(MO_RIS_Adjustments_Dilution_GAAP,0,COLUMN())</f>
        <v/>
      </c>
      <c r="G40" s="1804">
        <f>INDEX(MO_RIS_Adjustments_Dilution_GAAP,0,COLUMN())</f>
        <v/>
      </c>
      <c r="H40" s="1970">
        <f>INDEX(MO_RIS_Adjustments_Dilution_GAAP,0,COLUMN())</f>
        <v/>
      </c>
      <c r="I40" s="1970">
        <f>INDEX(MO_RIS_Adjustments_Dilution_GAAP,0,COLUMN())</f>
        <v/>
      </c>
      <c r="J40" s="1970">
        <f>INDEX(MO_RIS_Adjustments_Dilution_GAAP,0,COLUMN())</f>
        <v/>
      </c>
      <c r="K40" s="1970">
        <f>INDEX(MO_RIS_Adjustments_Dilution_GAAP,0,COLUMN())</f>
        <v/>
      </c>
      <c r="L40" s="1804">
        <f>INDEX(MO_RIS_Adjustments_Dilution_GAAP,0,COLUMN())</f>
        <v/>
      </c>
      <c r="M40" s="1970">
        <f>INDEX(MO_RIS_Adjustments_Dilution_GAAP,0,COLUMN())</f>
        <v/>
      </c>
      <c r="N40" s="1970">
        <f>INDEX(MO_RIS_Adjustments_Dilution_GAAP,0,COLUMN())</f>
        <v/>
      </c>
      <c r="O40" s="1970">
        <f>INDEX(MO_RIS_Adjustments_Dilution_GAAP,0,COLUMN())</f>
        <v/>
      </c>
      <c r="P40" s="1970">
        <f>INDEX(MO_RIS_Adjustments_Dilution_GAAP,0,COLUMN())</f>
        <v/>
      </c>
      <c r="Q40" s="1804">
        <f>INDEX(MO_RIS_Adjustments_Dilution_GAAP,0,COLUMN())</f>
        <v/>
      </c>
      <c r="R40" s="1970">
        <f>INDEX(MO_RIS_Adjustments_Dilution_GAAP,0,COLUMN())</f>
        <v/>
      </c>
      <c r="S40" s="1970">
        <f>INDEX(MO_RIS_Adjustments_Dilution_GAAP,0,COLUMN())</f>
        <v/>
      </c>
      <c r="T40" s="1970">
        <f>INDEX(MO_RIS_Adjustments_Dilution_GAAP,0,COLUMN())</f>
        <v/>
      </c>
      <c r="U40" s="1970">
        <f>INDEX(MO_RIS_Adjustments_Dilution_GAAP,0,COLUMN())</f>
        <v/>
      </c>
      <c r="V40" s="1804">
        <f>INDEX(MO_RIS_Adjustments_Dilution_GAAP,0,COLUMN())</f>
        <v/>
      </c>
      <c r="W40" s="1970">
        <f>INDEX(MO_RIS_Adjustments_Dilution_GAAP,0,COLUMN())</f>
        <v/>
      </c>
      <c r="X40" s="1970">
        <f>INDEX(MO_RIS_Adjustments_Dilution_GAAP,0,COLUMN())</f>
        <v/>
      </c>
      <c r="Y40" s="1970">
        <f>INDEX(MO_RIS_Adjustments_Dilution_GAAP,0,COLUMN())</f>
        <v/>
      </c>
      <c r="Z40" s="1970">
        <f>INDEX(MO_RIS_Adjustments_Dilution_GAAP,0,COLUMN())</f>
        <v/>
      </c>
      <c r="AA40" s="1804">
        <f>INDEX(MO_RIS_Adjustments_Dilution_GAAP,0,COLUMN())</f>
        <v/>
      </c>
      <c r="AB40" s="1970">
        <f>INDEX(MO_RIS_Adjustments_Dilution_GAAP,0,COLUMN())</f>
        <v/>
      </c>
      <c r="AC40" s="1970">
        <f>INDEX(MO_RIS_Adjustments_Dilution_GAAP,0,COLUMN())</f>
        <v/>
      </c>
      <c r="AD40" s="1970">
        <f>INDEX(MO_RIS_Adjustments_Dilution_GAAP,0,COLUMN())</f>
        <v/>
      </c>
      <c r="AE40" s="1970">
        <f>INDEX(MO_RIS_Adjustments_Dilution_GAAP,0,COLUMN())</f>
        <v/>
      </c>
      <c r="AF40" s="1804">
        <f>INDEX(MO_RIS_Adjustments_Dilution_GAAP,0,COLUMN())</f>
        <v/>
      </c>
      <c r="AG40" s="1970">
        <f>INDEX(MO_RIS_Adjustments_Dilution_GAAP,0,COLUMN())</f>
        <v/>
      </c>
      <c r="AH40" s="1970">
        <f>INDEX(MO_RIS_Adjustments_Dilution_GAAP,0,COLUMN())</f>
        <v/>
      </c>
      <c r="AI40" s="1970">
        <f>INDEX(MO_RIS_Adjustments_Dilution_GAAP,0,COLUMN())</f>
        <v/>
      </c>
      <c r="AJ40" s="1970">
        <f>INDEX(MO_RIS_Adjustments_Dilution_GAAP,0,COLUMN())</f>
        <v/>
      </c>
      <c r="AK40" s="1804">
        <f>INDEX(MO_RIS_Adjustments_Dilution_GAAP,0,COLUMN())</f>
        <v/>
      </c>
      <c r="AL40" s="1970">
        <f>INDEX(MO_RIS_Adjustments_Dilution_GAAP,0,COLUMN())</f>
        <v/>
      </c>
      <c r="AM40" s="1970">
        <f>INDEX(MO_RIS_Adjustments_Dilution_GAAP,0,COLUMN())</f>
        <v/>
      </c>
      <c r="AN40" s="1970">
        <f>INDEX(MO_RIS_Adjustments_Dilution_GAAP,0,COLUMN())</f>
        <v/>
      </c>
      <c r="AO40" s="1970">
        <f>INDEX(MO_RIS_Adjustments_Dilution_GAAP,0,COLUMN())</f>
        <v/>
      </c>
      <c r="AP40" s="1804">
        <f>INDEX(MO_RIS_Adjustments_Dilution_GAAP,0,COLUMN())</f>
        <v/>
      </c>
      <c r="AQ40" s="1970">
        <f>INDEX(MO_RIS_Adjustments_Dilution_GAAP,0,COLUMN())</f>
        <v/>
      </c>
      <c r="AR40" s="1970">
        <f>INDEX(MO_RIS_Adjustments_Dilution_GAAP,0,COLUMN())</f>
        <v/>
      </c>
      <c r="AS40" s="1970">
        <f>INDEX(MO_RIS_Adjustments_Dilution_GAAP,0,COLUMN())</f>
        <v/>
      </c>
      <c r="AT40" s="1970">
        <f>INDEX(MO_RIS_Adjustments_Dilution_GAAP,0,COLUMN())</f>
        <v/>
      </c>
      <c r="AU40" s="1804">
        <f>INDEX(MO_RIS_Adjustments_Dilution_GAAP,0,COLUMN())</f>
        <v/>
      </c>
      <c r="AV40" s="1970">
        <f>INDEX(MO_RIS_Adjustments_Dilution_GAAP,0,COLUMN())</f>
        <v/>
      </c>
      <c r="AW40" s="1970">
        <f>INDEX(MO_RIS_Adjustments_Dilution_GAAP,0,COLUMN())</f>
        <v/>
      </c>
      <c r="AX40" s="1970">
        <f>INDEX(MO_RIS_Adjustments_Dilution_GAAP,0,COLUMN())</f>
        <v/>
      </c>
      <c r="AY40" s="1970">
        <f>INDEX(MO_RIS_Adjustments_Dilution_GAAP,0,COLUMN())</f>
        <v/>
      </c>
      <c r="AZ40" s="1804">
        <f>INDEX(MO_RIS_Adjustments_Dilution_GAAP,0,COLUMN())</f>
        <v/>
      </c>
      <c r="BA40" s="1970">
        <f>INDEX(MO_RIS_Adjustments_Dilution_GAAP,0,COLUMN())</f>
        <v/>
      </c>
      <c r="BB40" s="1970">
        <f>INDEX(MO_RIS_Adjustments_Dilution_GAAP,0,COLUMN())</f>
        <v/>
      </c>
      <c r="BC40" s="1970">
        <f>INDEX(MO_RIS_Adjustments_Dilution_GAAP,0,COLUMN())</f>
        <v/>
      </c>
      <c r="BD40" s="1970">
        <f>INDEX(MO_RIS_Adjustments_Dilution_GAAP,0,COLUMN())</f>
        <v/>
      </c>
      <c r="BE40" s="1804">
        <f>INDEX(MO_RIS_Adjustments_Dilution_GAAP,0,COLUMN())</f>
        <v/>
      </c>
      <c r="BF40" s="1970">
        <f>INDEX(MO_RIS_Adjustments_Dilution_GAAP,0,COLUMN())</f>
        <v/>
      </c>
      <c r="BG40" s="1970">
        <f>INDEX(MO_RIS_Adjustments_Dilution_GAAP,0,COLUMN())</f>
        <v/>
      </c>
      <c r="BH40" s="1970">
        <f>INDEX(MO_RIS_Adjustments_Dilution_GAAP,0,COLUMN())</f>
        <v/>
      </c>
      <c r="BI40" s="1970">
        <f>INDEX(MO_RIS_Adjustments_Dilution_GAAP,0,COLUMN())</f>
        <v/>
      </c>
      <c r="BJ40" s="1804">
        <f>INDEX(MO_RIS_Adjustments_Dilution_GAAP,0,COLUMN())</f>
        <v/>
      </c>
      <c r="BK40" s="1970">
        <f>INDEX(MO_RIS_Adjustments_Dilution_GAAP,0,COLUMN())</f>
        <v/>
      </c>
      <c r="BL40" s="1970">
        <f>INDEX(MO_RIS_Adjustments_Dilution_GAAP,0,COLUMN())</f>
        <v/>
      </c>
      <c r="BM40" s="1970">
        <f>INDEX(MO_RIS_Adjustments_Dilution_GAAP,0,COLUMN())</f>
        <v/>
      </c>
      <c r="BN40" s="1970">
        <f>INDEX(MO_RIS_Adjustments_Dilution_GAAP,0,COLUMN())</f>
        <v/>
      </c>
      <c r="BO40" s="2138">
        <f>INDEX(MO_RIS_Adjustments_Dilution_GAAP,0,COLUMN())</f>
        <v/>
      </c>
      <c r="BP40" s="1970">
        <f>INDEX(MO_RIS_Adjustments_Dilution_GAAP,0,COLUMN())</f>
        <v/>
      </c>
      <c r="BQ40" s="1970">
        <f>INDEX(MO_RIS_Adjustments_Dilution_GAAP,0,COLUMN())</f>
        <v/>
      </c>
      <c r="BR40" s="1970">
        <f>INDEX(MO_RIS_Adjustments_Dilution_GAAP,0,COLUMN())</f>
        <v/>
      </c>
      <c r="BS40" s="1970">
        <f>INDEX(MO_RIS_Adjustments_Dilution_GAAP,0,COLUMN())</f>
        <v/>
      </c>
      <c r="BT40" s="1804">
        <f>INDEX(MO_RIS_Adjustments_Dilution_GAAP,0,COLUMN())</f>
        <v/>
      </c>
      <c r="BU40" s="1970">
        <f>INDEX(MO_RIS_Adjustments_Dilution_GAAP,0,COLUMN())</f>
        <v/>
      </c>
      <c r="BV40" s="1970">
        <f>INDEX(MO_RIS_Adjustments_Dilution_GAAP,0,COLUMN())</f>
        <v/>
      </c>
      <c r="BW40" s="1970">
        <f>INDEX(MO_RIS_Adjustments_Dilution_GAAP,0,COLUMN())</f>
        <v/>
      </c>
      <c r="BX40" s="1970">
        <f>INDEX(MO_RIS_Adjustments_Dilution_GAAP,0,COLUMN())</f>
        <v/>
      </c>
      <c r="BY40" s="1804">
        <f>INDEX(MO_RIS_Adjustments_Dilution_GAAP,0,COLUMN())</f>
        <v/>
      </c>
      <c r="BZ40" s="1804">
        <f>INDEX(MO_RIS_Adjustments_Dilution_GAAP,0,COLUMN())</f>
        <v/>
      </c>
      <c r="CA40" s="1804">
        <f>INDEX(MO_RIS_Adjustments_Dilution_GAAP,0,COLUMN())</f>
        <v/>
      </c>
      <c r="CB40" s="1804">
        <f>INDEX(MO_RIS_Adjustments_Dilution_GAAP,0,COLUMN())</f>
        <v/>
      </c>
      <c r="CC40" s="2136" t="n"/>
    </row>
    <row r="41" ht="15" customFormat="1" customHeight="1" s="2131">
      <c r="A41" s="1639">
        <f>INDEX(MO_RIS_NI_GAAP_Diluted,0,COLUMN())</f>
        <v/>
      </c>
      <c r="B41" s="2132" t="n"/>
      <c r="C41" s="2133">
        <f>INDEX(MO_RIS_NI_GAAP_Diluted,0,COLUMN())</f>
        <v/>
      </c>
      <c r="D41" s="2133">
        <f>INDEX(MO_RIS_NI_GAAP_Diluted,0,COLUMN())</f>
        <v/>
      </c>
      <c r="E41" s="2133">
        <f>INDEX(MO_RIS_NI_GAAP_Diluted,0,COLUMN())</f>
        <v/>
      </c>
      <c r="F41" s="2133">
        <f>INDEX(MO_RIS_NI_GAAP_Diluted,0,COLUMN())</f>
        <v/>
      </c>
      <c r="G41" s="2133">
        <f>INDEX(MO_RIS_NI_GAAP_Diluted,0,COLUMN())</f>
        <v/>
      </c>
      <c r="H41" s="2134">
        <f>INDEX(MO_RIS_NI_GAAP_Diluted,0,COLUMN())</f>
        <v/>
      </c>
      <c r="I41" s="2134">
        <f>INDEX(MO_RIS_NI_GAAP_Diluted,0,COLUMN())</f>
        <v/>
      </c>
      <c r="J41" s="2134">
        <f>INDEX(MO_RIS_NI_GAAP_Diluted,0,COLUMN())</f>
        <v/>
      </c>
      <c r="K41" s="2134">
        <f>INDEX(MO_RIS_NI_GAAP_Diluted,0,COLUMN())</f>
        <v/>
      </c>
      <c r="L41" s="2133">
        <f>INDEX(MO_RIS_NI_GAAP_Diluted,0,COLUMN())</f>
        <v/>
      </c>
      <c r="M41" s="2134">
        <f>INDEX(MO_RIS_NI_GAAP_Diluted,0,COLUMN())</f>
        <v/>
      </c>
      <c r="N41" s="2134">
        <f>INDEX(MO_RIS_NI_GAAP_Diluted,0,COLUMN())</f>
        <v/>
      </c>
      <c r="O41" s="2134">
        <f>INDEX(MO_RIS_NI_GAAP_Diluted,0,COLUMN())</f>
        <v/>
      </c>
      <c r="P41" s="2134">
        <f>INDEX(MO_RIS_NI_GAAP_Diluted,0,COLUMN())</f>
        <v/>
      </c>
      <c r="Q41" s="2133">
        <f>INDEX(MO_RIS_NI_GAAP_Diluted,0,COLUMN())</f>
        <v/>
      </c>
      <c r="R41" s="2134">
        <f>INDEX(MO_RIS_NI_GAAP_Diluted,0,COLUMN())</f>
        <v/>
      </c>
      <c r="S41" s="2134">
        <f>INDEX(MO_RIS_NI_GAAP_Diluted,0,COLUMN())</f>
        <v/>
      </c>
      <c r="T41" s="2134">
        <f>INDEX(MO_RIS_NI_GAAP_Diluted,0,COLUMN())</f>
        <v/>
      </c>
      <c r="U41" s="2134">
        <f>INDEX(MO_RIS_NI_GAAP_Diluted,0,COLUMN())</f>
        <v/>
      </c>
      <c r="V41" s="2133">
        <f>INDEX(MO_RIS_NI_GAAP_Diluted,0,COLUMN())</f>
        <v/>
      </c>
      <c r="W41" s="2134">
        <f>INDEX(MO_RIS_NI_GAAP_Diluted,0,COLUMN())</f>
        <v/>
      </c>
      <c r="X41" s="2134">
        <f>INDEX(MO_RIS_NI_GAAP_Diluted,0,COLUMN())</f>
        <v/>
      </c>
      <c r="Y41" s="2134">
        <f>INDEX(MO_RIS_NI_GAAP_Diluted,0,COLUMN())</f>
        <v/>
      </c>
      <c r="Z41" s="2134">
        <f>INDEX(MO_RIS_NI_GAAP_Diluted,0,COLUMN())</f>
        <v/>
      </c>
      <c r="AA41" s="2133">
        <f>INDEX(MO_RIS_NI_GAAP_Diluted,0,COLUMN())</f>
        <v/>
      </c>
      <c r="AB41" s="2134">
        <f>INDEX(MO_RIS_NI_GAAP_Diluted,0,COLUMN())</f>
        <v/>
      </c>
      <c r="AC41" s="2134">
        <f>INDEX(MO_RIS_NI_GAAP_Diluted,0,COLUMN())</f>
        <v/>
      </c>
      <c r="AD41" s="2134">
        <f>INDEX(MO_RIS_NI_GAAP_Diluted,0,COLUMN())</f>
        <v/>
      </c>
      <c r="AE41" s="2134">
        <f>INDEX(MO_RIS_NI_GAAP_Diluted,0,COLUMN())</f>
        <v/>
      </c>
      <c r="AF41" s="2133">
        <f>INDEX(MO_RIS_NI_GAAP_Diluted,0,COLUMN())</f>
        <v/>
      </c>
      <c r="AG41" s="2134">
        <f>INDEX(MO_RIS_NI_GAAP_Diluted,0,COLUMN())</f>
        <v/>
      </c>
      <c r="AH41" s="2134">
        <f>INDEX(MO_RIS_NI_GAAP_Diluted,0,COLUMN())</f>
        <v/>
      </c>
      <c r="AI41" s="2134">
        <f>INDEX(MO_RIS_NI_GAAP_Diluted,0,COLUMN())</f>
        <v/>
      </c>
      <c r="AJ41" s="2134">
        <f>INDEX(MO_RIS_NI_GAAP_Diluted,0,COLUMN())</f>
        <v/>
      </c>
      <c r="AK41" s="2133">
        <f>INDEX(MO_RIS_NI_GAAP_Diluted,0,COLUMN())</f>
        <v/>
      </c>
      <c r="AL41" s="2134">
        <f>INDEX(MO_RIS_NI_GAAP_Diluted,0,COLUMN())</f>
        <v/>
      </c>
      <c r="AM41" s="2134">
        <f>INDEX(MO_RIS_NI_GAAP_Diluted,0,COLUMN())</f>
        <v/>
      </c>
      <c r="AN41" s="2134">
        <f>INDEX(MO_RIS_NI_GAAP_Diluted,0,COLUMN())</f>
        <v/>
      </c>
      <c r="AO41" s="2134">
        <f>INDEX(MO_RIS_NI_GAAP_Diluted,0,COLUMN())</f>
        <v/>
      </c>
      <c r="AP41" s="2133">
        <f>INDEX(MO_RIS_NI_GAAP_Diluted,0,COLUMN())</f>
        <v/>
      </c>
      <c r="AQ41" s="2134">
        <f>INDEX(MO_RIS_NI_GAAP_Diluted,0,COLUMN())</f>
        <v/>
      </c>
      <c r="AR41" s="2134">
        <f>INDEX(MO_RIS_NI_GAAP_Diluted,0,COLUMN())</f>
        <v/>
      </c>
      <c r="AS41" s="2134">
        <f>INDEX(MO_RIS_NI_GAAP_Diluted,0,COLUMN())</f>
        <v/>
      </c>
      <c r="AT41" s="2134">
        <f>INDEX(MO_RIS_NI_GAAP_Diluted,0,COLUMN())</f>
        <v/>
      </c>
      <c r="AU41" s="2133">
        <f>INDEX(MO_RIS_NI_GAAP_Diluted,0,COLUMN())</f>
        <v/>
      </c>
      <c r="AV41" s="2134">
        <f>INDEX(MO_RIS_NI_GAAP_Diluted,0,COLUMN())</f>
        <v/>
      </c>
      <c r="AW41" s="2134">
        <f>INDEX(MO_RIS_NI_GAAP_Diluted,0,COLUMN())</f>
        <v/>
      </c>
      <c r="AX41" s="2134">
        <f>INDEX(MO_RIS_NI_GAAP_Diluted,0,COLUMN())</f>
        <v/>
      </c>
      <c r="AY41" s="2134">
        <f>INDEX(MO_RIS_NI_GAAP_Diluted,0,COLUMN())</f>
        <v/>
      </c>
      <c r="AZ41" s="2133">
        <f>INDEX(MO_RIS_NI_GAAP_Diluted,0,COLUMN())</f>
        <v/>
      </c>
      <c r="BA41" s="2134">
        <f>INDEX(MO_RIS_NI_GAAP_Diluted,0,COLUMN())</f>
        <v/>
      </c>
      <c r="BB41" s="2134">
        <f>INDEX(MO_RIS_NI_GAAP_Diluted,0,COLUMN())</f>
        <v/>
      </c>
      <c r="BC41" s="2134">
        <f>INDEX(MO_RIS_NI_GAAP_Diluted,0,COLUMN())</f>
        <v/>
      </c>
      <c r="BD41" s="2134">
        <f>INDEX(MO_RIS_NI_GAAP_Diluted,0,COLUMN())</f>
        <v/>
      </c>
      <c r="BE41" s="2133">
        <f>INDEX(MO_RIS_NI_GAAP_Diluted,0,COLUMN())</f>
        <v/>
      </c>
      <c r="BF41" s="2134">
        <f>INDEX(MO_RIS_NI_GAAP_Diluted,0,COLUMN())</f>
        <v/>
      </c>
      <c r="BG41" s="2134">
        <f>INDEX(MO_RIS_NI_GAAP_Diluted,0,COLUMN())</f>
        <v/>
      </c>
      <c r="BH41" s="2134">
        <f>INDEX(MO_RIS_NI_GAAP_Diluted,0,COLUMN())</f>
        <v/>
      </c>
      <c r="BI41" s="2134">
        <f>INDEX(MO_RIS_NI_GAAP_Diluted,0,COLUMN())</f>
        <v/>
      </c>
      <c r="BJ41" s="2133">
        <f>INDEX(MO_RIS_NI_GAAP_Diluted,0,COLUMN())</f>
        <v/>
      </c>
      <c r="BK41" s="2134">
        <f>INDEX(MO_RIS_NI_GAAP_Diluted,0,COLUMN())</f>
        <v/>
      </c>
      <c r="BL41" s="2134">
        <f>INDEX(MO_RIS_NI_GAAP_Diluted,0,COLUMN())</f>
        <v/>
      </c>
      <c r="BM41" s="2134">
        <f>INDEX(MO_RIS_NI_GAAP_Diluted,0,COLUMN())</f>
        <v/>
      </c>
      <c r="BN41" s="2134">
        <f>INDEX(MO_RIS_NI_GAAP_Diluted,0,COLUMN())</f>
        <v/>
      </c>
      <c r="BO41" s="2135">
        <f>INDEX(MO_RIS_NI_GAAP_Diluted,0,COLUMN())</f>
        <v/>
      </c>
      <c r="BP41" s="2134">
        <f>INDEX(MO_RIS_NI_GAAP_Diluted,0,COLUMN())</f>
        <v/>
      </c>
      <c r="BQ41" s="2134">
        <f>INDEX(MO_RIS_NI_GAAP_Diluted,0,COLUMN())</f>
        <v/>
      </c>
      <c r="BR41" s="2134">
        <f>INDEX(MO_RIS_NI_GAAP_Diluted,0,COLUMN())</f>
        <v/>
      </c>
      <c r="BS41" s="2134">
        <f>INDEX(MO_RIS_NI_GAAP_Diluted,0,COLUMN())</f>
        <v/>
      </c>
      <c r="BT41" s="2133">
        <f>INDEX(MO_RIS_NI_GAAP_Diluted,0,COLUMN())</f>
        <v/>
      </c>
      <c r="BU41" s="2134">
        <f>INDEX(MO_RIS_NI_GAAP_Diluted,0,COLUMN())</f>
        <v/>
      </c>
      <c r="BV41" s="2134">
        <f>INDEX(MO_RIS_NI_GAAP_Diluted,0,COLUMN())</f>
        <v/>
      </c>
      <c r="BW41" s="2134">
        <f>INDEX(MO_RIS_NI_GAAP_Diluted,0,COLUMN())</f>
        <v/>
      </c>
      <c r="BX41" s="2134">
        <f>INDEX(MO_RIS_NI_GAAP_Diluted,0,COLUMN())</f>
        <v/>
      </c>
      <c r="BY41" s="2133">
        <f>INDEX(MO_RIS_NI_GAAP_Diluted,0,COLUMN())</f>
        <v/>
      </c>
      <c r="BZ41" s="2133">
        <f>INDEX(MO_RIS_NI_GAAP_Diluted,0,COLUMN())</f>
        <v/>
      </c>
      <c r="CA41" s="2133">
        <f>INDEX(MO_RIS_NI_GAAP_Diluted,0,COLUMN())</f>
        <v/>
      </c>
      <c r="CB41" s="2133">
        <f>INDEX(MO_RIS_NI_GAAP_Diluted,0,COLUMN())</f>
        <v/>
      </c>
      <c r="CC41" s="2136" t="n"/>
    </row>
    <row r="42" ht="15" customFormat="1" customHeight="1" s="2123">
      <c r="A42" s="2146">
        <f>INDEX(MO_RIS_EPS_WAD,0,COLUMN())</f>
        <v/>
      </c>
      <c r="B42" s="2147" t="n"/>
      <c r="C42" s="2126">
        <f>INDEX(MO_RIS_EPS_WAD,0,COLUMN())</f>
        <v/>
      </c>
      <c r="D42" s="2126">
        <f>INDEX(MO_RIS_EPS_WAD,0,COLUMN())</f>
        <v/>
      </c>
      <c r="E42" s="2126">
        <f>INDEX(MO_RIS_EPS_WAD,0,COLUMN())</f>
        <v/>
      </c>
      <c r="F42" s="2126">
        <f>INDEX(MO_RIS_EPS_WAD,0,COLUMN())</f>
        <v/>
      </c>
      <c r="G42" s="2126">
        <f>INDEX(MO_RIS_EPS_WAD,0,COLUMN())</f>
        <v/>
      </c>
      <c r="H42" s="1850">
        <f>INDEX(MO_RIS_EPS_WAD,0,COLUMN())</f>
        <v/>
      </c>
      <c r="I42" s="1850">
        <f>INDEX(MO_RIS_EPS_WAD,0,COLUMN())</f>
        <v/>
      </c>
      <c r="J42" s="1850">
        <f>INDEX(MO_RIS_EPS_WAD,0,COLUMN())</f>
        <v/>
      </c>
      <c r="K42" s="1850">
        <f>INDEX(MO_RIS_EPS_WAD,0,COLUMN())</f>
        <v/>
      </c>
      <c r="L42" s="2126">
        <f>INDEX(MO_RIS_EPS_WAD,0,COLUMN())</f>
        <v/>
      </c>
      <c r="M42" s="1850">
        <f>INDEX(MO_RIS_EPS_WAD,0,COLUMN())</f>
        <v/>
      </c>
      <c r="N42" s="1850">
        <f>INDEX(MO_RIS_EPS_WAD,0,COLUMN())</f>
        <v/>
      </c>
      <c r="O42" s="1850">
        <f>INDEX(MO_RIS_EPS_WAD,0,COLUMN())</f>
        <v/>
      </c>
      <c r="P42" s="1850">
        <f>INDEX(MO_RIS_EPS_WAD,0,COLUMN())</f>
        <v/>
      </c>
      <c r="Q42" s="2126">
        <f>INDEX(MO_RIS_EPS_WAD,0,COLUMN())</f>
        <v/>
      </c>
      <c r="R42" s="1850">
        <f>INDEX(MO_RIS_EPS_WAD,0,COLUMN())</f>
        <v/>
      </c>
      <c r="S42" s="1850">
        <f>INDEX(MO_RIS_EPS_WAD,0,COLUMN())</f>
        <v/>
      </c>
      <c r="T42" s="1850">
        <f>INDEX(MO_RIS_EPS_WAD,0,COLUMN())</f>
        <v/>
      </c>
      <c r="U42" s="1850">
        <f>INDEX(MO_RIS_EPS_WAD,0,COLUMN())</f>
        <v/>
      </c>
      <c r="V42" s="2126">
        <f>INDEX(MO_RIS_EPS_WAD,0,COLUMN())</f>
        <v/>
      </c>
      <c r="W42" s="1850">
        <f>INDEX(MO_RIS_EPS_WAD,0,COLUMN())</f>
        <v/>
      </c>
      <c r="X42" s="1850">
        <f>INDEX(MO_RIS_EPS_WAD,0,COLUMN())</f>
        <v/>
      </c>
      <c r="Y42" s="1850">
        <f>INDEX(MO_RIS_EPS_WAD,0,COLUMN())</f>
        <v/>
      </c>
      <c r="Z42" s="1850">
        <f>INDEX(MO_RIS_EPS_WAD,0,COLUMN())</f>
        <v/>
      </c>
      <c r="AA42" s="2126">
        <f>INDEX(MO_RIS_EPS_WAD,0,COLUMN())</f>
        <v/>
      </c>
      <c r="AB42" s="1850">
        <f>INDEX(MO_RIS_EPS_WAD,0,COLUMN())</f>
        <v/>
      </c>
      <c r="AC42" s="1850">
        <f>INDEX(MO_RIS_EPS_WAD,0,COLUMN())</f>
        <v/>
      </c>
      <c r="AD42" s="1850">
        <f>INDEX(MO_RIS_EPS_WAD,0,COLUMN())</f>
        <v/>
      </c>
      <c r="AE42" s="1850">
        <f>INDEX(MO_RIS_EPS_WAD,0,COLUMN())</f>
        <v/>
      </c>
      <c r="AF42" s="2126">
        <f>INDEX(MO_RIS_EPS_WAD,0,COLUMN())</f>
        <v/>
      </c>
      <c r="AG42" s="1850">
        <f>INDEX(MO_RIS_EPS_WAD,0,COLUMN())</f>
        <v/>
      </c>
      <c r="AH42" s="1850">
        <f>INDEX(MO_RIS_EPS_WAD,0,COLUMN())</f>
        <v/>
      </c>
      <c r="AI42" s="1850">
        <f>INDEX(MO_RIS_EPS_WAD,0,COLUMN())</f>
        <v/>
      </c>
      <c r="AJ42" s="1850">
        <f>INDEX(MO_RIS_EPS_WAD,0,COLUMN())</f>
        <v/>
      </c>
      <c r="AK42" s="2126">
        <f>INDEX(MO_RIS_EPS_WAD,0,COLUMN())</f>
        <v/>
      </c>
      <c r="AL42" s="1850">
        <f>INDEX(MO_RIS_EPS_WAD,0,COLUMN())</f>
        <v/>
      </c>
      <c r="AM42" s="1850">
        <f>INDEX(MO_RIS_EPS_WAD,0,COLUMN())</f>
        <v/>
      </c>
      <c r="AN42" s="1850">
        <f>INDEX(MO_RIS_EPS_WAD,0,COLUMN())</f>
        <v/>
      </c>
      <c r="AO42" s="1850">
        <f>INDEX(MO_RIS_EPS_WAD,0,COLUMN())</f>
        <v/>
      </c>
      <c r="AP42" s="2126">
        <f>INDEX(MO_RIS_EPS_WAD,0,COLUMN())</f>
        <v/>
      </c>
      <c r="AQ42" s="1850">
        <f>INDEX(MO_RIS_EPS_WAD,0,COLUMN())</f>
        <v/>
      </c>
      <c r="AR42" s="1850">
        <f>INDEX(MO_RIS_EPS_WAD,0,COLUMN())</f>
        <v/>
      </c>
      <c r="AS42" s="1850">
        <f>INDEX(MO_RIS_EPS_WAD,0,COLUMN())</f>
        <v/>
      </c>
      <c r="AT42" s="1850">
        <f>INDEX(MO_RIS_EPS_WAD,0,COLUMN())</f>
        <v/>
      </c>
      <c r="AU42" s="2126">
        <f>INDEX(MO_RIS_EPS_WAD,0,COLUMN())</f>
        <v/>
      </c>
      <c r="AV42" s="1850">
        <f>INDEX(MO_RIS_EPS_WAD,0,COLUMN())</f>
        <v/>
      </c>
      <c r="AW42" s="1850">
        <f>INDEX(MO_RIS_EPS_WAD,0,COLUMN())</f>
        <v/>
      </c>
      <c r="AX42" s="1850">
        <f>INDEX(MO_RIS_EPS_WAD,0,COLUMN())</f>
        <v/>
      </c>
      <c r="AY42" s="1850">
        <f>INDEX(MO_RIS_EPS_WAD,0,COLUMN())</f>
        <v/>
      </c>
      <c r="AZ42" s="2126">
        <f>INDEX(MO_RIS_EPS_WAD,0,COLUMN())</f>
        <v/>
      </c>
      <c r="BA42" s="1850">
        <f>INDEX(MO_RIS_EPS_WAD,0,COLUMN())</f>
        <v/>
      </c>
      <c r="BB42" s="1850">
        <f>INDEX(MO_RIS_EPS_WAD,0,COLUMN())</f>
        <v/>
      </c>
      <c r="BC42" s="1850">
        <f>INDEX(MO_RIS_EPS_WAD,0,COLUMN())</f>
        <v/>
      </c>
      <c r="BD42" s="1850">
        <f>INDEX(MO_RIS_EPS_WAD,0,COLUMN())</f>
        <v/>
      </c>
      <c r="BE42" s="2126">
        <f>INDEX(MO_RIS_EPS_WAD,0,COLUMN())</f>
        <v/>
      </c>
      <c r="BF42" s="1850">
        <f>INDEX(MO_RIS_EPS_WAD,0,COLUMN())</f>
        <v/>
      </c>
      <c r="BG42" s="1850">
        <f>INDEX(MO_RIS_EPS_WAD,0,COLUMN())</f>
        <v/>
      </c>
      <c r="BH42" s="1850">
        <f>INDEX(MO_RIS_EPS_WAD,0,COLUMN())</f>
        <v/>
      </c>
      <c r="BI42" s="1850">
        <f>INDEX(MO_RIS_EPS_WAD,0,COLUMN())</f>
        <v/>
      </c>
      <c r="BJ42" s="2126">
        <f>INDEX(MO_RIS_EPS_WAD,0,COLUMN())</f>
        <v/>
      </c>
      <c r="BK42" s="1850">
        <f>INDEX(MO_RIS_EPS_WAD,0,COLUMN())</f>
        <v/>
      </c>
      <c r="BL42" s="1850">
        <f>INDEX(MO_RIS_EPS_WAD,0,COLUMN())</f>
        <v/>
      </c>
      <c r="BM42" s="1850">
        <f>INDEX(MO_RIS_EPS_WAD,0,COLUMN())</f>
        <v/>
      </c>
      <c r="BN42" s="1850">
        <f>INDEX(MO_RIS_EPS_WAD,0,COLUMN())</f>
        <v/>
      </c>
      <c r="BO42" s="2127">
        <f>INDEX(MO_RIS_EPS_WAD,0,COLUMN())</f>
        <v/>
      </c>
      <c r="BP42" s="1850">
        <f>INDEX(MO_RIS_EPS_WAD,0,COLUMN())</f>
        <v/>
      </c>
      <c r="BQ42" s="1850">
        <f>INDEX(MO_RIS_EPS_WAD,0,COLUMN())</f>
        <v/>
      </c>
      <c r="BR42" s="1850">
        <f>INDEX(MO_RIS_EPS_WAD,0,COLUMN())</f>
        <v/>
      </c>
      <c r="BS42" s="1850">
        <f>INDEX(MO_RIS_EPS_WAD,0,COLUMN())</f>
        <v/>
      </c>
      <c r="BT42" s="2126">
        <f>INDEX(MO_RIS_EPS_WAD,0,COLUMN())</f>
        <v/>
      </c>
      <c r="BU42" s="1850">
        <f>INDEX(MO_RIS_EPS_WAD,0,COLUMN())</f>
        <v/>
      </c>
      <c r="BV42" s="1850">
        <f>INDEX(MO_RIS_EPS_WAD,0,COLUMN())</f>
        <v/>
      </c>
      <c r="BW42" s="1850">
        <f>INDEX(MO_RIS_EPS_WAD,0,COLUMN())</f>
        <v/>
      </c>
      <c r="BX42" s="1850">
        <f>INDEX(MO_RIS_EPS_WAD,0,COLUMN())</f>
        <v/>
      </c>
      <c r="BY42" s="2126">
        <f>INDEX(MO_RIS_EPS_WAD,0,COLUMN())</f>
        <v/>
      </c>
      <c r="BZ42" s="2126">
        <f>INDEX(MO_RIS_EPS_WAD,0,COLUMN())</f>
        <v/>
      </c>
      <c r="CA42" s="2126">
        <f>INDEX(MO_RIS_EPS_WAD,0,COLUMN())</f>
        <v/>
      </c>
      <c r="CB42" s="2126">
        <f>INDEX(MO_RIS_EPS_WAD,0,COLUMN())</f>
        <v/>
      </c>
      <c r="CC42" s="2128" t="n"/>
    </row>
    <row r="43" ht="15" customFormat="1" customHeight="1" s="2114">
      <c r="A43" s="2148">
        <f>INDEX(MO_RIS_ShareCount_WAD_Adj,0,COLUMN())</f>
        <v/>
      </c>
      <c r="B43" s="2137" t="n"/>
      <c r="C43" s="1804">
        <f>INDEX(MO_RIS_ShareCount_WAD_Adj,0,COLUMN())</f>
        <v/>
      </c>
      <c r="D43" s="1804">
        <f>INDEX(MO_RIS_ShareCount_WAD_Adj,0,COLUMN())</f>
        <v/>
      </c>
      <c r="E43" s="1804">
        <f>INDEX(MO_RIS_ShareCount_WAD_Adj,0,COLUMN())</f>
        <v/>
      </c>
      <c r="F43" s="1804">
        <f>INDEX(MO_RIS_ShareCount_WAD_Adj,0,COLUMN())</f>
        <v/>
      </c>
      <c r="G43" s="1804">
        <f>INDEX(MO_RIS_ShareCount_WAD_Adj,0,COLUMN())</f>
        <v/>
      </c>
      <c r="H43" s="1970">
        <f>INDEX(MO_RIS_ShareCount_WAD_Adj,0,COLUMN())</f>
        <v/>
      </c>
      <c r="I43" s="1970">
        <f>INDEX(MO_RIS_ShareCount_WAD_Adj,0,COLUMN())</f>
        <v/>
      </c>
      <c r="J43" s="1970">
        <f>INDEX(MO_RIS_ShareCount_WAD_Adj,0,COLUMN())</f>
        <v/>
      </c>
      <c r="K43" s="1970">
        <f>INDEX(MO_RIS_ShareCount_WAD_Adj,0,COLUMN())</f>
        <v/>
      </c>
      <c r="L43" s="1804">
        <f>INDEX(MO_RIS_ShareCount_WAD_Adj,0,COLUMN())</f>
        <v/>
      </c>
      <c r="M43" s="1970">
        <f>INDEX(MO_RIS_ShareCount_WAD_Adj,0,COLUMN())</f>
        <v/>
      </c>
      <c r="N43" s="1970">
        <f>INDEX(MO_RIS_ShareCount_WAD_Adj,0,COLUMN())</f>
        <v/>
      </c>
      <c r="O43" s="1970">
        <f>INDEX(MO_RIS_ShareCount_WAD_Adj,0,COLUMN())</f>
        <v/>
      </c>
      <c r="P43" s="1970">
        <f>INDEX(MO_RIS_ShareCount_WAD_Adj,0,COLUMN())</f>
        <v/>
      </c>
      <c r="Q43" s="1804">
        <f>INDEX(MO_RIS_ShareCount_WAD_Adj,0,COLUMN())</f>
        <v/>
      </c>
      <c r="R43" s="1970">
        <f>INDEX(MO_RIS_ShareCount_WAD_Adj,0,COLUMN())</f>
        <v/>
      </c>
      <c r="S43" s="1970">
        <f>INDEX(MO_RIS_ShareCount_WAD_Adj,0,COLUMN())</f>
        <v/>
      </c>
      <c r="T43" s="1970">
        <f>INDEX(MO_RIS_ShareCount_WAD_Adj,0,COLUMN())</f>
        <v/>
      </c>
      <c r="U43" s="1970">
        <f>INDEX(MO_RIS_ShareCount_WAD_Adj,0,COLUMN())</f>
        <v/>
      </c>
      <c r="V43" s="1804">
        <f>INDEX(MO_RIS_ShareCount_WAD_Adj,0,COLUMN())</f>
        <v/>
      </c>
      <c r="W43" s="1970">
        <f>INDEX(MO_RIS_ShareCount_WAD_Adj,0,COLUMN())</f>
        <v/>
      </c>
      <c r="X43" s="1970">
        <f>INDEX(MO_RIS_ShareCount_WAD_Adj,0,COLUMN())</f>
        <v/>
      </c>
      <c r="Y43" s="1970">
        <f>INDEX(MO_RIS_ShareCount_WAD_Adj,0,COLUMN())</f>
        <v/>
      </c>
      <c r="Z43" s="1970">
        <f>INDEX(MO_RIS_ShareCount_WAD_Adj,0,COLUMN())</f>
        <v/>
      </c>
      <c r="AA43" s="1804">
        <f>INDEX(MO_RIS_ShareCount_WAD_Adj,0,COLUMN())</f>
        <v/>
      </c>
      <c r="AB43" s="1970">
        <f>INDEX(MO_RIS_ShareCount_WAD_Adj,0,COLUMN())</f>
        <v/>
      </c>
      <c r="AC43" s="1970">
        <f>INDEX(MO_RIS_ShareCount_WAD_Adj,0,COLUMN())</f>
        <v/>
      </c>
      <c r="AD43" s="1970">
        <f>INDEX(MO_RIS_ShareCount_WAD_Adj,0,COLUMN())</f>
        <v/>
      </c>
      <c r="AE43" s="1970">
        <f>INDEX(MO_RIS_ShareCount_WAD_Adj,0,COLUMN())</f>
        <v/>
      </c>
      <c r="AF43" s="1804">
        <f>INDEX(MO_RIS_ShareCount_WAD_Adj,0,COLUMN())</f>
        <v/>
      </c>
      <c r="AG43" s="1970">
        <f>INDEX(MO_RIS_ShareCount_WAD_Adj,0,COLUMN())</f>
        <v/>
      </c>
      <c r="AH43" s="1970">
        <f>INDEX(MO_RIS_ShareCount_WAD_Adj,0,COLUMN())</f>
        <v/>
      </c>
      <c r="AI43" s="1970">
        <f>INDEX(MO_RIS_ShareCount_WAD_Adj,0,COLUMN())</f>
        <v/>
      </c>
      <c r="AJ43" s="1970">
        <f>INDEX(MO_RIS_ShareCount_WAD_Adj,0,COLUMN())</f>
        <v/>
      </c>
      <c r="AK43" s="1804">
        <f>INDEX(MO_RIS_ShareCount_WAD_Adj,0,COLUMN())</f>
        <v/>
      </c>
      <c r="AL43" s="1970">
        <f>INDEX(MO_RIS_ShareCount_WAD_Adj,0,COLUMN())</f>
        <v/>
      </c>
      <c r="AM43" s="1970">
        <f>INDEX(MO_RIS_ShareCount_WAD_Adj,0,COLUMN())</f>
        <v/>
      </c>
      <c r="AN43" s="1970">
        <f>INDEX(MO_RIS_ShareCount_WAD_Adj,0,COLUMN())</f>
        <v/>
      </c>
      <c r="AO43" s="1970">
        <f>INDEX(MO_RIS_ShareCount_WAD_Adj,0,COLUMN())</f>
        <v/>
      </c>
      <c r="AP43" s="1804">
        <f>INDEX(MO_RIS_ShareCount_WAD_Adj,0,COLUMN())</f>
        <v/>
      </c>
      <c r="AQ43" s="1970">
        <f>INDEX(MO_RIS_ShareCount_WAD_Adj,0,COLUMN())</f>
        <v/>
      </c>
      <c r="AR43" s="1970">
        <f>INDEX(MO_RIS_ShareCount_WAD_Adj,0,COLUMN())</f>
        <v/>
      </c>
      <c r="AS43" s="1970">
        <f>INDEX(MO_RIS_ShareCount_WAD_Adj,0,COLUMN())</f>
        <v/>
      </c>
      <c r="AT43" s="1970">
        <f>INDEX(MO_RIS_ShareCount_WAD_Adj,0,COLUMN())</f>
        <v/>
      </c>
      <c r="AU43" s="1804">
        <f>INDEX(MO_RIS_ShareCount_WAD_Adj,0,COLUMN())</f>
        <v/>
      </c>
      <c r="AV43" s="1970">
        <f>INDEX(MO_RIS_ShareCount_WAD_Adj,0,COLUMN())</f>
        <v/>
      </c>
      <c r="AW43" s="1970">
        <f>INDEX(MO_RIS_ShareCount_WAD_Adj,0,COLUMN())</f>
        <v/>
      </c>
      <c r="AX43" s="1970">
        <f>INDEX(MO_RIS_ShareCount_WAD_Adj,0,COLUMN())</f>
        <v/>
      </c>
      <c r="AY43" s="1970">
        <f>INDEX(MO_RIS_ShareCount_WAD_Adj,0,COLUMN())</f>
        <v/>
      </c>
      <c r="AZ43" s="1804">
        <f>INDEX(MO_RIS_ShareCount_WAD_Adj,0,COLUMN())</f>
        <v/>
      </c>
      <c r="BA43" s="1970">
        <f>INDEX(MO_RIS_ShareCount_WAD_Adj,0,COLUMN())</f>
        <v/>
      </c>
      <c r="BB43" s="1970">
        <f>INDEX(MO_RIS_ShareCount_WAD_Adj,0,COLUMN())</f>
        <v/>
      </c>
      <c r="BC43" s="1970">
        <f>INDEX(MO_RIS_ShareCount_WAD_Adj,0,COLUMN())</f>
        <v/>
      </c>
      <c r="BD43" s="1970">
        <f>INDEX(MO_RIS_ShareCount_WAD_Adj,0,COLUMN())</f>
        <v/>
      </c>
      <c r="BE43" s="1804">
        <f>INDEX(MO_RIS_ShareCount_WAD_Adj,0,COLUMN())</f>
        <v/>
      </c>
      <c r="BF43" s="1970">
        <f>INDEX(MO_RIS_ShareCount_WAD_Adj,0,COLUMN())</f>
        <v/>
      </c>
      <c r="BG43" s="1970">
        <f>INDEX(MO_RIS_ShareCount_WAD_Adj,0,COLUMN())</f>
        <v/>
      </c>
      <c r="BH43" s="1970">
        <f>INDEX(MO_RIS_ShareCount_WAD_Adj,0,COLUMN())</f>
        <v/>
      </c>
      <c r="BI43" s="1970">
        <f>INDEX(MO_RIS_ShareCount_WAD_Adj,0,COLUMN())</f>
        <v/>
      </c>
      <c r="BJ43" s="1804">
        <f>INDEX(MO_RIS_ShareCount_WAD_Adj,0,COLUMN())</f>
        <v/>
      </c>
      <c r="BK43" s="1970">
        <f>INDEX(MO_RIS_ShareCount_WAD_Adj,0,COLUMN())</f>
        <v/>
      </c>
      <c r="BL43" s="1970">
        <f>INDEX(MO_RIS_ShareCount_WAD_Adj,0,COLUMN())</f>
        <v/>
      </c>
      <c r="BM43" s="1970">
        <f>INDEX(MO_RIS_ShareCount_WAD_Adj,0,COLUMN())</f>
        <v/>
      </c>
      <c r="BN43" s="1970">
        <f>INDEX(MO_RIS_ShareCount_WAD_Adj,0,COLUMN())</f>
        <v/>
      </c>
      <c r="BO43" s="2138">
        <f>INDEX(MO_RIS_ShareCount_WAD_Adj,0,COLUMN())</f>
        <v/>
      </c>
      <c r="BP43" s="1970">
        <f>INDEX(MO_RIS_ShareCount_WAD_Adj,0,COLUMN())</f>
        <v/>
      </c>
      <c r="BQ43" s="1970">
        <f>INDEX(MO_RIS_ShareCount_WAD_Adj,0,COLUMN())</f>
        <v/>
      </c>
      <c r="BR43" s="1970">
        <f>INDEX(MO_RIS_ShareCount_WAD_Adj,0,COLUMN())</f>
        <v/>
      </c>
      <c r="BS43" s="1970">
        <f>INDEX(MO_RIS_ShareCount_WAD_Adj,0,COLUMN())</f>
        <v/>
      </c>
      <c r="BT43" s="1804">
        <f>INDEX(MO_RIS_ShareCount_WAD_Adj,0,COLUMN())</f>
        <v/>
      </c>
      <c r="BU43" s="1970">
        <f>INDEX(MO_RIS_ShareCount_WAD_Adj,0,COLUMN())</f>
        <v/>
      </c>
      <c r="BV43" s="1970">
        <f>INDEX(MO_RIS_ShareCount_WAD_Adj,0,COLUMN())</f>
        <v/>
      </c>
      <c r="BW43" s="1970">
        <f>INDEX(MO_RIS_ShareCount_WAD_Adj,0,COLUMN())</f>
        <v/>
      </c>
      <c r="BX43" s="1970">
        <f>INDEX(MO_RIS_ShareCount_WAD_Adj,0,COLUMN())</f>
        <v/>
      </c>
      <c r="BY43" s="1804">
        <f>INDEX(MO_RIS_ShareCount_WAD_Adj,0,COLUMN())</f>
        <v/>
      </c>
      <c r="BZ43" s="1804">
        <f>INDEX(MO_RIS_ShareCount_WAD_Adj,0,COLUMN())</f>
        <v/>
      </c>
      <c r="CA43" s="1804">
        <f>INDEX(MO_RIS_ShareCount_WAD_Adj,0,COLUMN())</f>
        <v/>
      </c>
      <c r="CB43" s="1804">
        <f>INDEX(MO_RIS_ShareCount_WAD_Adj,0,COLUMN())</f>
        <v/>
      </c>
      <c r="CC43" s="1970" t="n"/>
    </row>
    <row r="44" ht="15" customFormat="1" customHeight="1" s="2114">
      <c r="A44" s="1635" t="n"/>
      <c r="B44" s="2137" t="n"/>
      <c r="C44" s="1804" t="n"/>
      <c r="D44" s="1804" t="n"/>
      <c r="E44" s="1804" t="n"/>
      <c r="F44" s="1804" t="n"/>
      <c r="G44" s="1804" t="n"/>
      <c r="H44" s="1970" t="n"/>
      <c r="I44" s="1970" t="n"/>
      <c r="J44" s="1970" t="n"/>
      <c r="K44" s="1970" t="n"/>
      <c r="L44" s="1804" t="n"/>
      <c r="M44" s="1970" t="n"/>
      <c r="N44" s="1970" t="n"/>
      <c r="O44" s="1970" t="n"/>
      <c r="P44" s="1970" t="n"/>
      <c r="Q44" s="1804" t="n"/>
      <c r="R44" s="1970" t="n"/>
      <c r="S44" s="1970" t="n"/>
      <c r="T44" s="1970" t="n"/>
      <c r="U44" s="1970" t="n"/>
      <c r="V44" s="1804" t="n"/>
      <c r="W44" s="1970" t="n"/>
      <c r="X44" s="1970" t="n"/>
      <c r="Y44" s="1970" t="n"/>
      <c r="Z44" s="1970" t="n"/>
      <c r="AA44" s="1804" t="n"/>
      <c r="AB44" s="1970" t="n"/>
      <c r="AC44" s="1970" t="n"/>
      <c r="AD44" s="1970" t="n"/>
      <c r="AE44" s="1970" t="n"/>
      <c r="AF44" s="1804" t="n"/>
      <c r="AG44" s="1970" t="n"/>
      <c r="AH44" s="1970" t="n"/>
      <c r="AI44" s="1970" t="n"/>
      <c r="AJ44" s="1970" t="n"/>
      <c r="AK44" s="1804" t="n"/>
      <c r="AL44" s="1970" t="n"/>
      <c r="AM44" s="1970" t="n"/>
      <c r="AN44" s="1970" t="n"/>
      <c r="AO44" s="1970" t="n"/>
      <c r="AP44" s="1804" t="n"/>
      <c r="AQ44" s="1970" t="n"/>
      <c r="AR44" s="1970" t="n"/>
      <c r="AS44" s="1970" t="n"/>
      <c r="AT44" s="1970" t="n"/>
      <c r="AU44" s="1804" t="n"/>
      <c r="AV44" s="1970" t="n"/>
      <c r="AW44" s="1970" t="n"/>
      <c r="AX44" s="1970" t="n"/>
      <c r="AY44" s="1970" t="n"/>
      <c r="AZ44" s="1804" t="n"/>
      <c r="BA44" s="1970" t="n"/>
      <c r="BB44" s="1970" t="n"/>
      <c r="BC44" s="1970" t="n"/>
      <c r="BD44" s="1970" t="n"/>
      <c r="BE44" s="1804" t="n"/>
      <c r="BF44" s="1970" t="n"/>
      <c r="BG44" s="1970" t="n"/>
      <c r="BH44" s="1970" t="n"/>
      <c r="BI44" s="1970" t="n"/>
      <c r="BJ44" s="1804" t="n"/>
      <c r="BK44" s="1970" t="n"/>
      <c r="BL44" s="1970" t="n"/>
      <c r="BM44" s="1970" t="n"/>
      <c r="BN44" s="1970" t="n"/>
      <c r="BO44" s="2138" t="n"/>
      <c r="BP44" s="1970" t="n"/>
      <c r="BQ44" s="1970" t="n"/>
      <c r="BR44" s="1970" t="n"/>
      <c r="BS44" s="1970" t="n"/>
      <c r="BT44" s="1804" t="n"/>
      <c r="BU44" s="1970" t="n"/>
      <c r="BV44" s="1970" t="n"/>
      <c r="BW44" s="1970" t="n"/>
      <c r="BX44" s="1970" t="n"/>
      <c r="BY44" s="1804" t="n"/>
      <c r="BZ44" s="1804" t="n"/>
      <c r="CA44" s="1804" t="n"/>
      <c r="CB44" s="1804" t="n"/>
      <c r="CC44" s="1970" t="n"/>
    </row>
    <row r="45" ht="15" customHeight="1" s="595">
      <c r="A45" s="56" t="inlineStr">
        <is>
          <t>Non-GAAP Financials</t>
        </is>
      </c>
      <c r="B45" s="781" t="n"/>
      <c r="C45" s="781" t="n"/>
      <c r="D45" s="781" t="n"/>
      <c r="E45" s="781" t="n"/>
      <c r="F45" s="781" t="n"/>
      <c r="G45" s="781" t="n"/>
      <c r="H45" s="781" t="n"/>
      <c r="I45" s="781" t="n"/>
      <c r="J45" s="781" t="n"/>
      <c r="K45" s="781" t="n"/>
      <c r="L45" s="781" t="n"/>
      <c r="M45" s="781" t="n"/>
      <c r="N45" s="781" t="n"/>
      <c r="O45" s="781" t="n"/>
      <c r="P45" s="781" t="n"/>
      <c r="Q45" s="781" t="n"/>
      <c r="R45" s="781" t="n"/>
      <c r="S45" s="781" t="n"/>
      <c r="T45" s="781" t="n"/>
      <c r="U45" s="781" t="n"/>
      <c r="V45" s="781" t="n"/>
      <c r="W45" s="781" t="n"/>
      <c r="X45" s="781" t="n"/>
      <c r="Y45" s="781" t="n"/>
      <c r="Z45" s="781" t="n"/>
      <c r="AA45" s="781" t="n"/>
      <c r="AB45" s="781" t="n"/>
      <c r="AC45" s="781" t="n"/>
      <c r="AD45" s="781" t="n"/>
      <c r="AE45" s="781" t="n"/>
      <c r="AF45" s="781" t="n"/>
      <c r="AG45" s="781" t="n"/>
      <c r="AH45" s="781" t="n"/>
      <c r="AI45" s="781" t="n"/>
      <c r="AJ45" s="781" t="n"/>
      <c r="AK45" s="781" t="n"/>
      <c r="AL45" s="781" t="n"/>
      <c r="AM45" s="781" t="n"/>
      <c r="AN45" s="781" t="n"/>
      <c r="AO45" s="781" t="n"/>
      <c r="AP45" s="781" t="n"/>
      <c r="AQ45" s="781" t="n"/>
      <c r="AR45" s="781" t="n"/>
      <c r="AS45" s="781" t="n"/>
      <c r="AT45" s="781" t="n"/>
      <c r="AU45" s="781" t="n"/>
      <c r="AV45" s="781" t="n"/>
      <c r="AW45" s="781" t="n"/>
      <c r="AX45" s="781" t="n"/>
      <c r="AY45" s="781" t="n"/>
      <c r="AZ45" s="781" t="n"/>
      <c r="BA45" s="781" t="n"/>
      <c r="BB45" s="781" t="n"/>
      <c r="BC45" s="781" t="n"/>
      <c r="BD45" s="781" t="n"/>
      <c r="BE45" s="781" t="n"/>
      <c r="BF45" s="781" t="n"/>
      <c r="BG45" s="781" t="n"/>
      <c r="BH45" s="781" t="n"/>
      <c r="BI45" s="781" t="n"/>
      <c r="BJ45" s="781" t="n"/>
      <c r="BK45" s="781" t="n"/>
      <c r="BL45" s="781" t="n"/>
      <c r="BM45" s="781" t="n"/>
      <c r="BN45" s="781" t="n"/>
      <c r="BO45" s="360" t="n"/>
      <c r="BP45" s="781" t="n"/>
      <c r="BQ45" s="781" t="n"/>
      <c r="BR45" s="781" t="n"/>
      <c r="BS45" s="781" t="n"/>
      <c r="BT45" s="781" t="n"/>
      <c r="BU45" s="781" t="n"/>
      <c r="BV45" s="781" t="n"/>
      <c r="BW45" s="781" t="n"/>
      <c r="BX45" s="781" t="n"/>
      <c r="BY45" s="781" t="n"/>
      <c r="BZ45" s="781" t="n"/>
      <c r="CA45" s="781" t="n"/>
      <c r="CB45" s="781" t="n"/>
      <c r="CC45" s="800" t="n"/>
    </row>
    <row r="46" ht="15" customFormat="1" customHeight="1" s="2131">
      <c r="A46" s="1780">
        <f>INDEX(MO_RIS_EBITDA_Adj,0,COLUMN())</f>
        <v/>
      </c>
      <c r="B46" s="2141" t="n"/>
      <c r="C46" s="2142">
        <f>INDEX(MO_RIS_EBITDA_Adj,0,COLUMN())</f>
        <v/>
      </c>
      <c r="D46" s="2142">
        <f>INDEX(MO_RIS_EBITDA_Adj,0,COLUMN())</f>
        <v/>
      </c>
      <c r="E46" s="2142">
        <f>INDEX(MO_RIS_EBITDA_Adj,0,COLUMN())</f>
        <v/>
      </c>
      <c r="F46" s="2142">
        <f>INDEX(MO_RIS_EBITDA_Adj,0,COLUMN())</f>
        <v/>
      </c>
      <c r="G46" s="2142">
        <f>INDEX(MO_RIS_EBITDA_Adj,0,COLUMN())</f>
        <v/>
      </c>
      <c r="H46" s="2136">
        <f>INDEX(MO_RIS_EBITDA_Adj,0,COLUMN())</f>
        <v/>
      </c>
      <c r="I46" s="2136">
        <f>INDEX(MO_RIS_EBITDA_Adj,0,COLUMN())</f>
        <v/>
      </c>
      <c r="J46" s="2136">
        <f>INDEX(MO_RIS_EBITDA_Adj,0,COLUMN())</f>
        <v/>
      </c>
      <c r="K46" s="2136">
        <f>INDEX(MO_RIS_EBITDA_Adj,0,COLUMN())</f>
        <v/>
      </c>
      <c r="L46" s="2142">
        <f>INDEX(MO_RIS_EBITDA_Adj,0,COLUMN())</f>
        <v/>
      </c>
      <c r="M46" s="2136">
        <f>INDEX(MO_RIS_EBITDA_Adj,0,COLUMN())</f>
        <v/>
      </c>
      <c r="N46" s="2136">
        <f>INDEX(MO_RIS_EBITDA_Adj,0,COLUMN())</f>
        <v/>
      </c>
      <c r="O46" s="2136">
        <f>INDEX(MO_RIS_EBITDA_Adj,0,COLUMN())</f>
        <v/>
      </c>
      <c r="P46" s="2136">
        <f>INDEX(MO_RIS_EBITDA_Adj,0,COLUMN())</f>
        <v/>
      </c>
      <c r="Q46" s="2142">
        <f>INDEX(MO_RIS_EBITDA_Adj,0,COLUMN())</f>
        <v/>
      </c>
      <c r="R46" s="2136">
        <f>INDEX(MO_RIS_EBITDA_Adj,0,COLUMN())</f>
        <v/>
      </c>
      <c r="S46" s="2136">
        <f>INDEX(MO_RIS_EBITDA_Adj,0,COLUMN())</f>
        <v/>
      </c>
      <c r="T46" s="2136">
        <f>INDEX(MO_RIS_EBITDA_Adj,0,COLUMN())</f>
        <v/>
      </c>
      <c r="U46" s="2136">
        <f>INDEX(MO_RIS_EBITDA_Adj,0,COLUMN())</f>
        <v/>
      </c>
      <c r="V46" s="2142">
        <f>INDEX(MO_RIS_EBITDA_Adj,0,COLUMN())</f>
        <v/>
      </c>
      <c r="W46" s="2136">
        <f>INDEX(MO_RIS_EBITDA_Adj,0,COLUMN())</f>
        <v/>
      </c>
      <c r="X46" s="2136">
        <f>INDEX(MO_RIS_EBITDA_Adj,0,COLUMN())</f>
        <v/>
      </c>
      <c r="Y46" s="2136">
        <f>INDEX(MO_RIS_EBITDA_Adj,0,COLUMN())</f>
        <v/>
      </c>
      <c r="Z46" s="2136">
        <f>INDEX(MO_RIS_EBITDA_Adj,0,COLUMN())</f>
        <v/>
      </c>
      <c r="AA46" s="2142">
        <f>INDEX(MO_RIS_EBITDA_Adj,0,COLUMN())</f>
        <v/>
      </c>
      <c r="AB46" s="2136">
        <f>INDEX(MO_RIS_EBITDA_Adj,0,COLUMN())</f>
        <v/>
      </c>
      <c r="AC46" s="2136">
        <f>INDEX(MO_RIS_EBITDA_Adj,0,COLUMN())</f>
        <v/>
      </c>
      <c r="AD46" s="2136">
        <f>INDEX(MO_RIS_EBITDA_Adj,0,COLUMN())</f>
        <v/>
      </c>
      <c r="AE46" s="2136">
        <f>INDEX(MO_RIS_EBITDA_Adj,0,COLUMN())</f>
        <v/>
      </c>
      <c r="AF46" s="2142">
        <f>INDEX(MO_RIS_EBITDA_Adj,0,COLUMN())</f>
        <v/>
      </c>
      <c r="AG46" s="2136">
        <f>INDEX(MO_RIS_EBITDA_Adj,0,COLUMN())</f>
        <v/>
      </c>
      <c r="AH46" s="2136">
        <f>INDEX(MO_RIS_EBITDA_Adj,0,COLUMN())</f>
        <v/>
      </c>
      <c r="AI46" s="2136">
        <f>INDEX(MO_RIS_EBITDA_Adj,0,COLUMN())</f>
        <v/>
      </c>
      <c r="AJ46" s="2136">
        <f>INDEX(MO_RIS_EBITDA_Adj,0,COLUMN())</f>
        <v/>
      </c>
      <c r="AK46" s="2142">
        <f>INDEX(MO_RIS_EBITDA_Adj,0,COLUMN())</f>
        <v/>
      </c>
      <c r="AL46" s="2136">
        <f>INDEX(MO_RIS_EBITDA_Adj,0,COLUMN())</f>
        <v/>
      </c>
      <c r="AM46" s="2136">
        <f>INDEX(MO_RIS_EBITDA_Adj,0,COLUMN())</f>
        <v/>
      </c>
      <c r="AN46" s="2136">
        <f>INDEX(MO_RIS_EBITDA_Adj,0,COLUMN())</f>
        <v/>
      </c>
      <c r="AO46" s="2136">
        <f>INDEX(MO_RIS_EBITDA_Adj,0,COLUMN())</f>
        <v/>
      </c>
      <c r="AP46" s="2142">
        <f>INDEX(MO_RIS_EBITDA_Adj,0,COLUMN())</f>
        <v/>
      </c>
      <c r="AQ46" s="2136">
        <f>INDEX(MO_RIS_EBITDA_Adj,0,COLUMN())</f>
        <v/>
      </c>
      <c r="AR46" s="2136">
        <f>INDEX(MO_RIS_EBITDA_Adj,0,COLUMN())</f>
        <v/>
      </c>
      <c r="AS46" s="2136">
        <f>INDEX(MO_RIS_EBITDA_Adj,0,COLUMN())</f>
        <v/>
      </c>
      <c r="AT46" s="2136">
        <f>INDEX(MO_RIS_EBITDA_Adj,0,COLUMN())</f>
        <v/>
      </c>
      <c r="AU46" s="2142">
        <f>INDEX(MO_RIS_EBITDA_Adj,0,COLUMN())</f>
        <v/>
      </c>
      <c r="AV46" s="2136">
        <f>INDEX(MO_RIS_EBITDA_Adj,0,COLUMN())</f>
        <v/>
      </c>
      <c r="AW46" s="2136">
        <f>INDEX(MO_RIS_EBITDA_Adj,0,COLUMN())</f>
        <v/>
      </c>
      <c r="AX46" s="2136">
        <f>INDEX(MO_RIS_EBITDA_Adj,0,COLUMN())</f>
        <v/>
      </c>
      <c r="AY46" s="2136">
        <f>INDEX(MO_RIS_EBITDA_Adj,0,COLUMN())</f>
        <v/>
      </c>
      <c r="AZ46" s="2142">
        <f>INDEX(MO_RIS_EBITDA_Adj,0,COLUMN())</f>
        <v/>
      </c>
      <c r="BA46" s="2136">
        <f>INDEX(MO_RIS_EBITDA_Adj,0,COLUMN())</f>
        <v/>
      </c>
      <c r="BB46" s="2136">
        <f>INDEX(MO_RIS_EBITDA_Adj,0,COLUMN())</f>
        <v/>
      </c>
      <c r="BC46" s="2136">
        <f>INDEX(MO_RIS_EBITDA_Adj,0,COLUMN())</f>
        <v/>
      </c>
      <c r="BD46" s="2136">
        <f>INDEX(MO_RIS_EBITDA_Adj,0,COLUMN())</f>
        <v/>
      </c>
      <c r="BE46" s="2142">
        <f>INDEX(MO_RIS_EBITDA_Adj,0,COLUMN())</f>
        <v/>
      </c>
      <c r="BF46" s="2136">
        <f>INDEX(MO_RIS_EBITDA_Adj,0,COLUMN())</f>
        <v/>
      </c>
      <c r="BG46" s="2136">
        <f>INDEX(MO_RIS_EBITDA_Adj,0,COLUMN())</f>
        <v/>
      </c>
      <c r="BH46" s="2136">
        <f>INDEX(MO_RIS_EBITDA_Adj,0,COLUMN())</f>
        <v/>
      </c>
      <c r="BI46" s="2136">
        <f>INDEX(MO_RIS_EBITDA_Adj,0,COLUMN())</f>
        <v/>
      </c>
      <c r="BJ46" s="2142">
        <f>INDEX(MO_RIS_EBITDA_Adj,0,COLUMN())</f>
        <v/>
      </c>
      <c r="BK46" s="2136">
        <f>INDEX(MO_RIS_EBITDA_Adj,0,COLUMN())</f>
        <v/>
      </c>
      <c r="BL46" s="2136">
        <f>INDEX(MO_RIS_EBITDA_Adj,0,COLUMN())</f>
        <v/>
      </c>
      <c r="BM46" s="2136">
        <f>INDEX(MO_RIS_EBITDA_Adj,0,COLUMN())</f>
        <v/>
      </c>
      <c r="BN46" s="2136">
        <f>INDEX(MO_RIS_EBITDA_Adj,0,COLUMN())</f>
        <v/>
      </c>
      <c r="BO46" s="2143">
        <f>INDEX(MO_RIS_EBITDA_Adj,0,COLUMN())</f>
        <v/>
      </c>
      <c r="BP46" s="2136">
        <f>INDEX(MO_RIS_EBITDA_Adj,0,COLUMN())</f>
        <v/>
      </c>
      <c r="BQ46" s="2136">
        <f>INDEX(MO_RIS_EBITDA_Adj,0,COLUMN())</f>
        <v/>
      </c>
      <c r="BR46" s="2136">
        <f>INDEX(MO_RIS_EBITDA_Adj,0,COLUMN())</f>
        <v/>
      </c>
      <c r="BS46" s="2136">
        <f>INDEX(MO_RIS_EBITDA_Adj,0,COLUMN())</f>
        <v/>
      </c>
      <c r="BT46" s="2142">
        <f>INDEX(MO_RIS_EBITDA_Adj,0,COLUMN())</f>
        <v/>
      </c>
      <c r="BU46" s="2136">
        <f>INDEX(MO_RIS_EBITDA_Adj,0,COLUMN())</f>
        <v/>
      </c>
      <c r="BV46" s="2136">
        <f>INDEX(MO_RIS_EBITDA_Adj,0,COLUMN())</f>
        <v/>
      </c>
      <c r="BW46" s="2136">
        <f>INDEX(MO_RIS_EBITDA_Adj,0,COLUMN())</f>
        <v/>
      </c>
      <c r="BX46" s="2136">
        <f>INDEX(MO_RIS_EBITDA_Adj,0,COLUMN())</f>
        <v/>
      </c>
      <c r="BY46" s="2142">
        <f>INDEX(MO_RIS_EBITDA_Adj,0,COLUMN())</f>
        <v/>
      </c>
      <c r="BZ46" s="2142">
        <f>INDEX(MO_RIS_EBITDA_Adj,0,COLUMN())</f>
        <v/>
      </c>
      <c r="CA46" s="2142">
        <f>INDEX(MO_RIS_EBITDA_Adj,0,COLUMN())</f>
        <v/>
      </c>
      <c r="CB46" s="2142">
        <f>INDEX(MO_RIS_EBITDA_Adj,0,COLUMN())</f>
        <v/>
      </c>
      <c r="CC46" s="2136" t="n"/>
    </row>
    <row r="47" ht="15" customFormat="1" customHeight="1" s="2131">
      <c r="A47" s="1780">
        <f>INDEX(MO_RIS_EBIT_Adj,0,COLUMN())</f>
        <v/>
      </c>
      <c r="B47" s="2141" t="n"/>
      <c r="C47" s="2142">
        <f>INDEX(MO_RIS_EBIT_Adj,0,COLUMN())</f>
        <v/>
      </c>
      <c r="D47" s="2142">
        <f>INDEX(MO_RIS_EBIT_Adj,0,COLUMN())</f>
        <v/>
      </c>
      <c r="E47" s="2142">
        <f>INDEX(MO_RIS_EBIT_Adj,0,COLUMN())</f>
        <v/>
      </c>
      <c r="F47" s="2142">
        <f>INDEX(MO_RIS_EBIT_Adj,0,COLUMN())</f>
        <v/>
      </c>
      <c r="G47" s="2142">
        <f>INDEX(MO_RIS_EBIT_Adj,0,COLUMN())</f>
        <v/>
      </c>
      <c r="H47" s="2136">
        <f>INDEX(MO_RIS_EBIT_Adj,0,COLUMN())</f>
        <v/>
      </c>
      <c r="I47" s="2136">
        <f>INDEX(MO_RIS_EBIT_Adj,0,COLUMN())</f>
        <v/>
      </c>
      <c r="J47" s="2136">
        <f>INDEX(MO_RIS_EBIT_Adj,0,COLUMN())</f>
        <v/>
      </c>
      <c r="K47" s="2136">
        <f>INDEX(MO_RIS_EBIT_Adj,0,COLUMN())</f>
        <v/>
      </c>
      <c r="L47" s="2142">
        <f>INDEX(MO_RIS_EBIT_Adj,0,COLUMN())</f>
        <v/>
      </c>
      <c r="M47" s="2136">
        <f>INDEX(MO_RIS_EBIT_Adj,0,COLUMN())</f>
        <v/>
      </c>
      <c r="N47" s="2136">
        <f>INDEX(MO_RIS_EBIT_Adj,0,COLUMN())</f>
        <v/>
      </c>
      <c r="O47" s="2136">
        <f>INDEX(MO_RIS_EBIT_Adj,0,COLUMN())</f>
        <v/>
      </c>
      <c r="P47" s="2136">
        <f>INDEX(MO_RIS_EBIT_Adj,0,COLUMN())</f>
        <v/>
      </c>
      <c r="Q47" s="2142">
        <f>INDEX(MO_RIS_EBIT_Adj,0,COLUMN())</f>
        <v/>
      </c>
      <c r="R47" s="2136">
        <f>INDEX(MO_RIS_EBIT_Adj,0,COLUMN())</f>
        <v/>
      </c>
      <c r="S47" s="2136">
        <f>INDEX(MO_RIS_EBIT_Adj,0,COLUMN())</f>
        <v/>
      </c>
      <c r="T47" s="2136">
        <f>INDEX(MO_RIS_EBIT_Adj,0,COLUMN())</f>
        <v/>
      </c>
      <c r="U47" s="2136">
        <f>INDEX(MO_RIS_EBIT_Adj,0,COLUMN())</f>
        <v/>
      </c>
      <c r="V47" s="2142">
        <f>INDEX(MO_RIS_EBIT_Adj,0,COLUMN())</f>
        <v/>
      </c>
      <c r="W47" s="2136">
        <f>INDEX(MO_RIS_EBIT_Adj,0,COLUMN())</f>
        <v/>
      </c>
      <c r="X47" s="2136">
        <f>INDEX(MO_RIS_EBIT_Adj,0,COLUMN())</f>
        <v/>
      </c>
      <c r="Y47" s="2136">
        <f>INDEX(MO_RIS_EBIT_Adj,0,COLUMN())</f>
        <v/>
      </c>
      <c r="Z47" s="2136">
        <f>INDEX(MO_RIS_EBIT_Adj,0,COLUMN())</f>
        <v/>
      </c>
      <c r="AA47" s="2142">
        <f>INDEX(MO_RIS_EBIT_Adj,0,COLUMN())</f>
        <v/>
      </c>
      <c r="AB47" s="2136">
        <f>INDEX(MO_RIS_EBIT_Adj,0,COLUMN())</f>
        <v/>
      </c>
      <c r="AC47" s="2136">
        <f>INDEX(MO_RIS_EBIT_Adj,0,COLUMN())</f>
        <v/>
      </c>
      <c r="AD47" s="2136">
        <f>INDEX(MO_RIS_EBIT_Adj,0,COLUMN())</f>
        <v/>
      </c>
      <c r="AE47" s="2136">
        <f>INDEX(MO_RIS_EBIT_Adj,0,COLUMN())</f>
        <v/>
      </c>
      <c r="AF47" s="2142">
        <f>INDEX(MO_RIS_EBIT_Adj,0,COLUMN())</f>
        <v/>
      </c>
      <c r="AG47" s="2136">
        <f>INDEX(MO_RIS_EBIT_Adj,0,COLUMN())</f>
        <v/>
      </c>
      <c r="AH47" s="2136">
        <f>INDEX(MO_RIS_EBIT_Adj,0,COLUMN())</f>
        <v/>
      </c>
      <c r="AI47" s="2136">
        <f>INDEX(MO_RIS_EBIT_Adj,0,COLUMN())</f>
        <v/>
      </c>
      <c r="AJ47" s="2136">
        <f>INDEX(MO_RIS_EBIT_Adj,0,COLUMN())</f>
        <v/>
      </c>
      <c r="AK47" s="2142">
        <f>INDEX(MO_RIS_EBIT_Adj,0,COLUMN())</f>
        <v/>
      </c>
      <c r="AL47" s="2136">
        <f>INDEX(MO_RIS_EBIT_Adj,0,COLUMN())</f>
        <v/>
      </c>
      <c r="AM47" s="2136">
        <f>INDEX(MO_RIS_EBIT_Adj,0,COLUMN())</f>
        <v/>
      </c>
      <c r="AN47" s="2136">
        <f>INDEX(MO_RIS_EBIT_Adj,0,COLUMN())</f>
        <v/>
      </c>
      <c r="AO47" s="2136">
        <f>INDEX(MO_RIS_EBIT_Adj,0,COLUMN())</f>
        <v/>
      </c>
      <c r="AP47" s="2142">
        <f>INDEX(MO_RIS_EBIT_Adj,0,COLUMN())</f>
        <v/>
      </c>
      <c r="AQ47" s="2136">
        <f>INDEX(MO_RIS_EBIT_Adj,0,COLUMN())</f>
        <v/>
      </c>
      <c r="AR47" s="2136">
        <f>INDEX(MO_RIS_EBIT_Adj,0,COLUMN())</f>
        <v/>
      </c>
      <c r="AS47" s="2136">
        <f>INDEX(MO_RIS_EBIT_Adj,0,COLUMN())</f>
        <v/>
      </c>
      <c r="AT47" s="2136">
        <f>INDEX(MO_RIS_EBIT_Adj,0,COLUMN())</f>
        <v/>
      </c>
      <c r="AU47" s="2142">
        <f>INDEX(MO_RIS_EBIT_Adj,0,COLUMN())</f>
        <v/>
      </c>
      <c r="AV47" s="2136">
        <f>INDEX(MO_RIS_EBIT_Adj,0,COLUMN())</f>
        <v/>
      </c>
      <c r="AW47" s="2136">
        <f>INDEX(MO_RIS_EBIT_Adj,0,COLUMN())</f>
        <v/>
      </c>
      <c r="AX47" s="2136">
        <f>INDEX(MO_RIS_EBIT_Adj,0,COLUMN())</f>
        <v/>
      </c>
      <c r="AY47" s="2136">
        <f>INDEX(MO_RIS_EBIT_Adj,0,COLUMN())</f>
        <v/>
      </c>
      <c r="AZ47" s="2142">
        <f>INDEX(MO_RIS_EBIT_Adj,0,COLUMN())</f>
        <v/>
      </c>
      <c r="BA47" s="2136">
        <f>INDEX(MO_RIS_EBIT_Adj,0,COLUMN())</f>
        <v/>
      </c>
      <c r="BB47" s="2136">
        <f>INDEX(MO_RIS_EBIT_Adj,0,COLUMN())</f>
        <v/>
      </c>
      <c r="BC47" s="2136">
        <f>INDEX(MO_RIS_EBIT_Adj,0,COLUMN())</f>
        <v/>
      </c>
      <c r="BD47" s="2136">
        <f>INDEX(MO_RIS_EBIT_Adj,0,COLUMN())</f>
        <v/>
      </c>
      <c r="BE47" s="2142">
        <f>INDEX(MO_RIS_EBIT_Adj,0,COLUMN())</f>
        <v/>
      </c>
      <c r="BF47" s="2136">
        <f>INDEX(MO_RIS_EBIT_Adj,0,COLUMN())</f>
        <v/>
      </c>
      <c r="BG47" s="2136">
        <f>INDEX(MO_RIS_EBIT_Adj,0,COLUMN())</f>
        <v/>
      </c>
      <c r="BH47" s="2136">
        <f>INDEX(MO_RIS_EBIT_Adj,0,COLUMN())</f>
        <v/>
      </c>
      <c r="BI47" s="2136">
        <f>INDEX(MO_RIS_EBIT_Adj,0,COLUMN())</f>
        <v/>
      </c>
      <c r="BJ47" s="2142">
        <f>INDEX(MO_RIS_EBIT_Adj,0,COLUMN())</f>
        <v/>
      </c>
      <c r="BK47" s="2136">
        <f>INDEX(MO_RIS_EBIT_Adj,0,COLUMN())</f>
        <v/>
      </c>
      <c r="BL47" s="2136">
        <f>INDEX(MO_RIS_EBIT_Adj,0,COLUMN())</f>
        <v/>
      </c>
      <c r="BM47" s="2136">
        <f>INDEX(MO_RIS_EBIT_Adj,0,COLUMN())</f>
        <v/>
      </c>
      <c r="BN47" s="2136">
        <f>INDEX(MO_RIS_EBIT_Adj,0,COLUMN())</f>
        <v/>
      </c>
      <c r="BO47" s="2143">
        <f>INDEX(MO_RIS_EBIT_Adj,0,COLUMN())</f>
        <v/>
      </c>
      <c r="BP47" s="2136">
        <f>INDEX(MO_RIS_EBIT_Adj,0,COLUMN())</f>
        <v/>
      </c>
      <c r="BQ47" s="2136">
        <f>INDEX(MO_RIS_EBIT_Adj,0,COLUMN())</f>
        <v/>
      </c>
      <c r="BR47" s="2136">
        <f>INDEX(MO_RIS_EBIT_Adj,0,COLUMN())</f>
        <v/>
      </c>
      <c r="BS47" s="2136">
        <f>INDEX(MO_RIS_EBIT_Adj,0,COLUMN())</f>
        <v/>
      </c>
      <c r="BT47" s="2142">
        <f>INDEX(MO_RIS_EBIT_Adj,0,COLUMN())</f>
        <v/>
      </c>
      <c r="BU47" s="2136">
        <f>INDEX(MO_RIS_EBIT_Adj,0,COLUMN())</f>
        <v/>
      </c>
      <c r="BV47" s="2136">
        <f>INDEX(MO_RIS_EBIT_Adj,0,COLUMN())</f>
        <v/>
      </c>
      <c r="BW47" s="2136">
        <f>INDEX(MO_RIS_EBIT_Adj,0,COLUMN())</f>
        <v/>
      </c>
      <c r="BX47" s="2136">
        <f>INDEX(MO_RIS_EBIT_Adj,0,COLUMN())</f>
        <v/>
      </c>
      <c r="BY47" s="2142">
        <f>INDEX(MO_RIS_EBIT_Adj,0,COLUMN())</f>
        <v/>
      </c>
      <c r="BZ47" s="2142">
        <f>INDEX(MO_RIS_EBIT_Adj,0,COLUMN())</f>
        <v/>
      </c>
      <c r="CA47" s="2142">
        <f>INDEX(MO_RIS_EBIT_Adj,0,COLUMN())</f>
        <v/>
      </c>
      <c r="CB47" s="2142">
        <f>INDEX(MO_RIS_EBIT_Adj,0,COLUMN())</f>
        <v/>
      </c>
      <c r="CC47" s="2136" t="n"/>
    </row>
    <row r="48" ht="15" customFormat="1" customHeight="1" s="2131">
      <c r="A48" s="1780">
        <f>INDEX(MO_RIS_NI_NONGAAP_Diluted,0,COLUMN())</f>
        <v/>
      </c>
      <c r="B48" s="2141" t="n"/>
      <c r="C48" s="2142">
        <f>INDEX(MO_RIS_NI_NONGAAP_Diluted,0,COLUMN())</f>
        <v/>
      </c>
      <c r="D48" s="2142">
        <f>INDEX(MO_RIS_NI_NONGAAP_Diluted,0,COLUMN())</f>
        <v/>
      </c>
      <c r="E48" s="2142">
        <f>INDEX(MO_RIS_NI_NONGAAP_Diluted,0,COLUMN())</f>
        <v/>
      </c>
      <c r="F48" s="2142">
        <f>INDEX(MO_RIS_NI_NONGAAP_Diluted,0,COLUMN())</f>
        <v/>
      </c>
      <c r="G48" s="2142">
        <f>INDEX(MO_RIS_NI_NONGAAP_Diluted,0,COLUMN())</f>
        <v/>
      </c>
      <c r="H48" s="2136">
        <f>INDEX(MO_RIS_NI_NONGAAP_Diluted,0,COLUMN())</f>
        <v/>
      </c>
      <c r="I48" s="2136">
        <f>INDEX(MO_RIS_NI_NONGAAP_Diluted,0,COLUMN())</f>
        <v/>
      </c>
      <c r="J48" s="2136">
        <f>INDEX(MO_RIS_NI_NONGAAP_Diluted,0,COLUMN())</f>
        <v/>
      </c>
      <c r="K48" s="2136">
        <f>INDEX(MO_RIS_NI_NONGAAP_Diluted,0,COLUMN())</f>
        <v/>
      </c>
      <c r="L48" s="2142">
        <f>INDEX(MO_RIS_NI_NONGAAP_Diluted,0,COLUMN())</f>
        <v/>
      </c>
      <c r="M48" s="2136">
        <f>INDEX(MO_RIS_NI_NONGAAP_Diluted,0,COLUMN())</f>
        <v/>
      </c>
      <c r="N48" s="2136">
        <f>INDEX(MO_RIS_NI_NONGAAP_Diluted,0,COLUMN())</f>
        <v/>
      </c>
      <c r="O48" s="2136">
        <f>INDEX(MO_RIS_NI_NONGAAP_Diluted,0,COLUMN())</f>
        <v/>
      </c>
      <c r="P48" s="2136">
        <f>INDEX(MO_RIS_NI_NONGAAP_Diluted,0,COLUMN())</f>
        <v/>
      </c>
      <c r="Q48" s="2142">
        <f>INDEX(MO_RIS_NI_NONGAAP_Diluted,0,COLUMN())</f>
        <v/>
      </c>
      <c r="R48" s="2136">
        <f>INDEX(MO_RIS_NI_NONGAAP_Diluted,0,COLUMN())</f>
        <v/>
      </c>
      <c r="S48" s="2136">
        <f>INDEX(MO_RIS_NI_NONGAAP_Diluted,0,COLUMN())</f>
        <v/>
      </c>
      <c r="T48" s="2136">
        <f>INDEX(MO_RIS_NI_NONGAAP_Diluted,0,COLUMN())</f>
        <v/>
      </c>
      <c r="U48" s="2136">
        <f>INDEX(MO_RIS_NI_NONGAAP_Diluted,0,COLUMN())</f>
        <v/>
      </c>
      <c r="V48" s="2142">
        <f>INDEX(MO_RIS_NI_NONGAAP_Diluted,0,COLUMN())</f>
        <v/>
      </c>
      <c r="W48" s="2136">
        <f>INDEX(MO_RIS_NI_NONGAAP_Diluted,0,COLUMN())</f>
        <v/>
      </c>
      <c r="X48" s="2136">
        <f>INDEX(MO_RIS_NI_NONGAAP_Diluted,0,COLUMN())</f>
        <v/>
      </c>
      <c r="Y48" s="2136">
        <f>INDEX(MO_RIS_NI_NONGAAP_Diluted,0,COLUMN())</f>
        <v/>
      </c>
      <c r="Z48" s="2136">
        <f>INDEX(MO_RIS_NI_NONGAAP_Diluted,0,COLUMN())</f>
        <v/>
      </c>
      <c r="AA48" s="2142">
        <f>INDEX(MO_RIS_NI_NONGAAP_Diluted,0,COLUMN())</f>
        <v/>
      </c>
      <c r="AB48" s="2136">
        <f>INDEX(MO_RIS_NI_NONGAAP_Diluted,0,COLUMN())</f>
        <v/>
      </c>
      <c r="AC48" s="2136">
        <f>INDEX(MO_RIS_NI_NONGAAP_Diluted,0,COLUMN())</f>
        <v/>
      </c>
      <c r="AD48" s="2136">
        <f>INDEX(MO_RIS_NI_NONGAAP_Diluted,0,COLUMN())</f>
        <v/>
      </c>
      <c r="AE48" s="2136">
        <f>INDEX(MO_RIS_NI_NONGAAP_Diluted,0,COLUMN())</f>
        <v/>
      </c>
      <c r="AF48" s="2142">
        <f>INDEX(MO_RIS_NI_NONGAAP_Diluted,0,COLUMN())</f>
        <v/>
      </c>
      <c r="AG48" s="2136">
        <f>INDEX(MO_RIS_NI_NONGAAP_Diluted,0,COLUMN())</f>
        <v/>
      </c>
      <c r="AH48" s="2136">
        <f>INDEX(MO_RIS_NI_NONGAAP_Diluted,0,COLUMN())</f>
        <v/>
      </c>
      <c r="AI48" s="2136">
        <f>INDEX(MO_RIS_NI_NONGAAP_Diluted,0,COLUMN())</f>
        <v/>
      </c>
      <c r="AJ48" s="2136">
        <f>INDEX(MO_RIS_NI_NONGAAP_Diluted,0,COLUMN())</f>
        <v/>
      </c>
      <c r="AK48" s="2142">
        <f>INDEX(MO_RIS_NI_NONGAAP_Diluted,0,COLUMN())</f>
        <v/>
      </c>
      <c r="AL48" s="2136">
        <f>INDEX(MO_RIS_NI_NONGAAP_Diluted,0,COLUMN())</f>
        <v/>
      </c>
      <c r="AM48" s="2136">
        <f>INDEX(MO_RIS_NI_NONGAAP_Diluted,0,COLUMN())</f>
        <v/>
      </c>
      <c r="AN48" s="2136">
        <f>INDEX(MO_RIS_NI_NONGAAP_Diluted,0,COLUMN())</f>
        <v/>
      </c>
      <c r="AO48" s="2136">
        <f>INDEX(MO_RIS_NI_NONGAAP_Diluted,0,COLUMN())</f>
        <v/>
      </c>
      <c r="AP48" s="2142">
        <f>INDEX(MO_RIS_NI_NONGAAP_Diluted,0,COLUMN())</f>
        <v/>
      </c>
      <c r="AQ48" s="2136">
        <f>INDEX(MO_RIS_NI_NONGAAP_Diluted,0,COLUMN())</f>
        <v/>
      </c>
      <c r="AR48" s="2136">
        <f>INDEX(MO_RIS_NI_NONGAAP_Diluted,0,COLUMN())</f>
        <v/>
      </c>
      <c r="AS48" s="2136">
        <f>INDEX(MO_RIS_NI_NONGAAP_Diluted,0,COLUMN())</f>
        <v/>
      </c>
      <c r="AT48" s="2136">
        <f>INDEX(MO_RIS_NI_NONGAAP_Diluted,0,COLUMN())</f>
        <v/>
      </c>
      <c r="AU48" s="2142">
        <f>INDEX(MO_RIS_NI_NONGAAP_Diluted,0,COLUMN())</f>
        <v/>
      </c>
      <c r="AV48" s="2136">
        <f>INDEX(MO_RIS_NI_NONGAAP_Diluted,0,COLUMN())</f>
        <v/>
      </c>
      <c r="AW48" s="2136">
        <f>INDEX(MO_RIS_NI_NONGAAP_Diluted,0,COLUMN())</f>
        <v/>
      </c>
      <c r="AX48" s="2136">
        <f>INDEX(MO_RIS_NI_NONGAAP_Diluted,0,COLUMN())</f>
        <v/>
      </c>
      <c r="AY48" s="2136">
        <f>INDEX(MO_RIS_NI_NONGAAP_Diluted,0,COLUMN())</f>
        <v/>
      </c>
      <c r="AZ48" s="2142">
        <f>INDEX(MO_RIS_NI_NONGAAP_Diluted,0,COLUMN())</f>
        <v/>
      </c>
      <c r="BA48" s="2136">
        <f>INDEX(MO_RIS_NI_NONGAAP_Diluted,0,COLUMN())</f>
        <v/>
      </c>
      <c r="BB48" s="2136">
        <f>INDEX(MO_RIS_NI_NONGAAP_Diluted,0,COLUMN())</f>
        <v/>
      </c>
      <c r="BC48" s="2136">
        <f>INDEX(MO_RIS_NI_NONGAAP_Diluted,0,COLUMN())</f>
        <v/>
      </c>
      <c r="BD48" s="2136">
        <f>INDEX(MO_RIS_NI_NONGAAP_Diluted,0,COLUMN())</f>
        <v/>
      </c>
      <c r="BE48" s="2142">
        <f>INDEX(MO_RIS_NI_NONGAAP_Diluted,0,COLUMN())</f>
        <v/>
      </c>
      <c r="BF48" s="2136">
        <f>INDEX(MO_RIS_NI_NONGAAP_Diluted,0,COLUMN())</f>
        <v/>
      </c>
      <c r="BG48" s="2136">
        <f>INDEX(MO_RIS_NI_NONGAAP_Diluted,0,COLUMN())</f>
        <v/>
      </c>
      <c r="BH48" s="2136">
        <f>INDEX(MO_RIS_NI_NONGAAP_Diluted,0,COLUMN())</f>
        <v/>
      </c>
      <c r="BI48" s="2136">
        <f>INDEX(MO_RIS_NI_NONGAAP_Diluted,0,COLUMN())</f>
        <v/>
      </c>
      <c r="BJ48" s="2142">
        <f>INDEX(MO_RIS_NI_NONGAAP_Diluted,0,COLUMN())</f>
        <v/>
      </c>
      <c r="BK48" s="2136">
        <f>INDEX(MO_RIS_NI_NONGAAP_Diluted,0,COLUMN())</f>
        <v/>
      </c>
      <c r="BL48" s="2136">
        <f>INDEX(MO_RIS_NI_NONGAAP_Diluted,0,COLUMN())</f>
        <v/>
      </c>
      <c r="BM48" s="2136">
        <f>INDEX(MO_RIS_NI_NONGAAP_Diluted,0,COLUMN())</f>
        <v/>
      </c>
      <c r="BN48" s="2136">
        <f>INDEX(MO_RIS_NI_NONGAAP_Diluted,0,COLUMN())</f>
        <v/>
      </c>
      <c r="BO48" s="2143">
        <f>INDEX(MO_RIS_NI_NONGAAP_Diluted,0,COLUMN())</f>
        <v/>
      </c>
      <c r="BP48" s="2136">
        <f>INDEX(MO_RIS_NI_NONGAAP_Diluted,0,COLUMN())</f>
        <v/>
      </c>
      <c r="BQ48" s="2136">
        <f>INDEX(MO_RIS_NI_NONGAAP_Diluted,0,COLUMN())</f>
        <v/>
      </c>
      <c r="BR48" s="2136">
        <f>INDEX(MO_RIS_NI_NONGAAP_Diluted,0,COLUMN())</f>
        <v/>
      </c>
      <c r="BS48" s="2136">
        <f>INDEX(MO_RIS_NI_NONGAAP_Diluted,0,COLUMN())</f>
        <v/>
      </c>
      <c r="BT48" s="2142">
        <f>INDEX(MO_RIS_NI_NONGAAP_Diluted,0,COLUMN())</f>
        <v/>
      </c>
      <c r="BU48" s="2136">
        <f>INDEX(MO_RIS_NI_NONGAAP_Diluted,0,COLUMN())</f>
        <v/>
      </c>
      <c r="BV48" s="2136">
        <f>INDEX(MO_RIS_NI_NONGAAP_Diluted,0,COLUMN())</f>
        <v/>
      </c>
      <c r="BW48" s="2136">
        <f>INDEX(MO_RIS_NI_NONGAAP_Diluted,0,COLUMN())</f>
        <v/>
      </c>
      <c r="BX48" s="2136">
        <f>INDEX(MO_RIS_NI_NONGAAP_Diluted,0,COLUMN())</f>
        <v/>
      </c>
      <c r="BY48" s="2142">
        <f>INDEX(MO_RIS_NI_NONGAAP_Diluted,0,COLUMN())</f>
        <v/>
      </c>
      <c r="BZ48" s="2142">
        <f>INDEX(MO_RIS_NI_NONGAAP_Diluted,0,COLUMN())</f>
        <v/>
      </c>
      <c r="CA48" s="2142">
        <f>INDEX(MO_RIS_NI_NONGAAP_Diluted,0,COLUMN())</f>
        <v/>
      </c>
      <c r="CB48" s="2142">
        <f>INDEX(MO_RIS_NI_NONGAAP_Diluted,0,COLUMN())</f>
        <v/>
      </c>
      <c r="CC48" s="2136" t="n"/>
    </row>
    <row r="49" ht="15" customFormat="1" customHeight="1" s="2123">
      <c r="A49" s="2146">
        <f>INDEX(MO_RIS_EPS_WAD_Adj,0,COLUMN())</f>
        <v/>
      </c>
      <c r="B49" s="2147" t="n"/>
      <c r="C49" s="2126">
        <f>INDEX(MO_RIS_EPS_WAD_Adj,0,COLUMN())</f>
        <v/>
      </c>
      <c r="D49" s="2126">
        <f>INDEX(MO_RIS_EPS_WAD_Adj,0,COLUMN())</f>
        <v/>
      </c>
      <c r="E49" s="2126">
        <f>INDEX(MO_RIS_EPS_WAD_Adj,0,COLUMN())</f>
        <v/>
      </c>
      <c r="F49" s="2126">
        <f>INDEX(MO_RIS_EPS_WAD_Adj,0,COLUMN())</f>
        <v/>
      </c>
      <c r="G49" s="2126">
        <f>INDEX(MO_RIS_EPS_WAD_Adj,0,COLUMN())</f>
        <v/>
      </c>
      <c r="H49" s="1850">
        <f>INDEX(MO_RIS_EPS_WAD_Adj,0,COLUMN())</f>
        <v/>
      </c>
      <c r="I49" s="1850">
        <f>INDEX(MO_RIS_EPS_WAD_Adj,0,COLUMN())</f>
        <v/>
      </c>
      <c r="J49" s="1850">
        <f>INDEX(MO_RIS_EPS_WAD_Adj,0,COLUMN())</f>
        <v/>
      </c>
      <c r="K49" s="1850">
        <f>INDEX(MO_RIS_EPS_WAD_Adj,0,COLUMN())</f>
        <v/>
      </c>
      <c r="L49" s="2126">
        <f>INDEX(MO_RIS_EPS_WAD_Adj,0,COLUMN())</f>
        <v/>
      </c>
      <c r="M49" s="1850">
        <f>INDEX(MO_RIS_EPS_WAD_Adj,0,COLUMN())</f>
        <v/>
      </c>
      <c r="N49" s="1850">
        <f>INDEX(MO_RIS_EPS_WAD_Adj,0,COLUMN())</f>
        <v/>
      </c>
      <c r="O49" s="1850">
        <f>INDEX(MO_RIS_EPS_WAD_Adj,0,COLUMN())</f>
        <v/>
      </c>
      <c r="P49" s="1850">
        <f>INDEX(MO_RIS_EPS_WAD_Adj,0,COLUMN())</f>
        <v/>
      </c>
      <c r="Q49" s="2126">
        <f>INDEX(MO_RIS_EPS_WAD_Adj,0,COLUMN())</f>
        <v/>
      </c>
      <c r="R49" s="1850">
        <f>INDEX(MO_RIS_EPS_WAD_Adj,0,COLUMN())</f>
        <v/>
      </c>
      <c r="S49" s="1850">
        <f>INDEX(MO_RIS_EPS_WAD_Adj,0,COLUMN())</f>
        <v/>
      </c>
      <c r="T49" s="1850">
        <f>INDEX(MO_RIS_EPS_WAD_Adj,0,COLUMN())</f>
        <v/>
      </c>
      <c r="U49" s="1850">
        <f>INDEX(MO_RIS_EPS_WAD_Adj,0,COLUMN())</f>
        <v/>
      </c>
      <c r="V49" s="2126">
        <f>INDEX(MO_RIS_EPS_WAD_Adj,0,COLUMN())</f>
        <v/>
      </c>
      <c r="W49" s="1850">
        <f>INDEX(MO_RIS_EPS_WAD_Adj,0,COLUMN())</f>
        <v/>
      </c>
      <c r="X49" s="1850">
        <f>INDEX(MO_RIS_EPS_WAD_Adj,0,COLUMN())</f>
        <v/>
      </c>
      <c r="Y49" s="1850">
        <f>INDEX(MO_RIS_EPS_WAD_Adj,0,COLUMN())</f>
        <v/>
      </c>
      <c r="Z49" s="1850">
        <f>INDEX(MO_RIS_EPS_WAD_Adj,0,COLUMN())</f>
        <v/>
      </c>
      <c r="AA49" s="2126">
        <f>INDEX(MO_RIS_EPS_WAD_Adj,0,COLUMN())</f>
        <v/>
      </c>
      <c r="AB49" s="1850">
        <f>INDEX(MO_RIS_EPS_WAD_Adj,0,COLUMN())</f>
        <v/>
      </c>
      <c r="AC49" s="1850">
        <f>INDEX(MO_RIS_EPS_WAD_Adj,0,COLUMN())</f>
        <v/>
      </c>
      <c r="AD49" s="1850">
        <f>INDEX(MO_RIS_EPS_WAD_Adj,0,COLUMN())</f>
        <v/>
      </c>
      <c r="AE49" s="1850">
        <f>INDEX(MO_RIS_EPS_WAD_Adj,0,COLUMN())</f>
        <v/>
      </c>
      <c r="AF49" s="2126">
        <f>INDEX(MO_RIS_EPS_WAD_Adj,0,COLUMN())</f>
        <v/>
      </c>
      <c r="AG49" s="1850">
        <f>INDEX(MO_RIS_EPS_WAD_Adj,0,COLUMN())</f>
        <v/>
      </c>
      <c r="AH49" s="1850">
        <f>INDEX(MO_RIS_EPS_WAD_Adj,0,COLUMN())</f>
        <v/>
      </c>
      <c r="AI49" s="1850">
        <f>INDEX(MO_RIS_EPS_WAD_Adj,0,COLUMN())</f>
        <v/>
      </c>
      <c r="AJ49" s="1850">
        <f>INDEX(MO_RIS_EPS_WAD_Adj,0,COLUMN())</f>
        <v/>
      </c>
      <c r="AK49" s="2126">
        <f>INDEX(MO_RIS_EPS_WAD_Adj,0,COLUMN())</f>
        <v/>
      </c>
      <c r="AL49" s="1850">
        <f>INDEX(MO_RIS_EPS_WAD_Adj,0,COLUMN())</f>
        <v/>
      </c>
      <c r="AM49" s="1850">
        <f>INDEX(MO_RIS_EPS_WAD_Adj,0,COLUMN())</f>
        <v/>
      </c>
      <c r="AN49" s="1850">
        <f>INDEX(MO_RIS_EPS_WAD_Adj,0,COLUMN())</f>
        <v/>
      </c>
      <c r="AO49" s="1850">
        <f>INDEX(MO_RIS_EPS_WAD_Adj,0,COLUMN())</f>
        <v/>
      </c>
      <c r="AP49" s="2126">
        <f>INDEX(MO_RIS_EPS_WAD_Adj,0,COLUMN())</f>
        <v/>
      </c>
      <c r="AQ49" s="1850">
        <f>INDEX(MO_RIS_EPS_WAD_Adj,0,COLUMN())</f>
        <v/>
      </c>
      <c r="AR49" s="1850">
        <f>INDEX(MO_RIS_EPS_WAD_Adj,0,COLUMN())</f>
        <v/>
      </c>
      <c r="AS49" s="1850">
        <f>INDEX(MO_RIS_EPS_WAD_Adj,0,COLUMN())</f>
        <v/>
      </c>
      <c r="AT49" s="1850">
        <f>INDEX(MO_RIS_EPS_WAD_Adj,0,COLUMN())</f>
        <v/>
      </c>
      <c r="AU49" s="2126">
        <f>INDEX(MO_RIS_EPS_WAD_Adj,0,COLUMN())</f>
        <v/>
      </c>
      <c r="AV49" s="1850">
        <f>INDEX(MO_RIS_EPS_WAD_Adj,0,COLUMN())</f>
        <v/>
      </c>
      <c r="AW49" s="1850">
        <f>INDEX(MO_RIS_EPS_WAD_Adj,0,COLUMN())</f>
        <v/>
      </c>
      <c r="AX49" s="1850">
        <f>INDEX(MO_RIS_EPS_WAD_Adj,0,COLUMN())</f>
        <v/>
      </c>
      <c r="AY49" s="1850">
        <f>INDEX(MO_RIS_EPS_WAD_Adj,0,COLUMN())</f>
        <v/>
      </c>
      <c r="AZ49" s="2126">
        <f>INDEX(MO_RIS_EPS_WAD_Adj,0,COLUMN())</f>
        <v/>
      </c>
      <c r="BA49" s="1850">
        <f>INDEX(MO_RIS_EPS_WAD_Adj,0,COLUMN())</f>
        <v/>
      </c>
      <c r="BB49" s="1850">
        <f>INDEX(MO_RIS_EPS_WAD_Adj,0,COLUMN())</f>
        <v/>
      </c>
      <c r="BC49" s="1850">
        <f>INDEX(MO_RIS_EPS_WAD_Adj,0,COLUMN())</f>
        <v/>
      </c>
      <c r="BD49" s="1850">
        <f>INDEX(MO_RIS_EPS_WAD_Adj,0,COLUMN())</f>
        <v/>
      </c>
      <c r="BE49" s="2126">
        <f>INDEX(MO_RIS_EPS_WAD_Adj,0,COLUMN())</f>
        <v/>
      </c>
      <c r="BF49" s="1850">
        <f>INDEX(MO_RIS_EPS_WAD_Adj,0,COLUMN())</f>
        <v/>
      </c>
      <c r="BG49" s="1850">
        <f>INDEX(MO_RIS_EPS_WAD_Adj,0,COLUMN())</f>
        <v/>
      </c>
      <c r="BH49" s="1850">
        <f>INDEX(MO_RIS_EPS_WAD_Adj,0,COLUMN())</f>
        <v/>
      </c>
      <c r="BI49" s="1850">
        <f>INDEX(MO_RIS_EPS_WAD_Adj,0,COLUMN())</f>
        <v/>
      </c>
      <c r="BJ49" s="2126">
        <f>INDEX(MO_RIS_EPS_WAD_Adj,0,COLUMN())</f>
        <v/>
      </c>
      <c r="BK49" s="1850">
        <f>INDEX(MO_RIS_EPS_WAD_Adj,0,COLUMN())</f>
        <v/>
      </c>
      <c r="BL49" s="1850">
        <f>INDEX(MO_RIS_EPS_WAD_Adj,0,COLUMN())</f>
        <v/>
      </c>
      <c r="BM49" s="1850">
        <f>INDEX(MO_RIS_EPS_WAD_Adj,0,COLUMN())</f>
        <v/>
      </c>
      <c r="BN49" s="1850">
        <f>INDEX(MO_RIS_EPS_WAD_Adj,0,COLUMN())</f>
        <v/>
      </c>
      <c r="BO49" s="2127">
        <f>INDEX(MO_RIS_EPS_WAD_Adj,0,COLUMN())</f>
        <v/>
      </c>
      <c r="BP49" s="1850">
        <f>INDEX(MO_RIS_EPS_WAD_Adj,0,COLUMN())</f>
        <v/>
      </c>
      <c r="BQ49" s="1850">
        <f>INDEX(MO_RIS_EPS_WAD_Adj,0,COLUMN())</f>
        <v/>
      </c>
      <c r="BR49" s="1850">
        <f>INDEX(MO_RIS_EPS_WAD_Adj,0,COLUMN())</f>
        <v/>
      </c>
      <c r="BS49" s="1850">
        <f>INDEX(MO_RIS_EPS_WAD_Adj,0,COLUMN())</f>
        <v/>
      </c>
      <c r="BT49" s="2126">
        <f>INDEX(MO_RIS_EPS_WAD_Adj,0,COLUMN())</f>
        <v/>
      </c>
      <c r="BU49" s="1850">
        <f>INDEX(MO_RIS_EPS_WAD_Adj,0,COLUMN())</f>
        <v/>
      </c>
      <c r="BV49" s="1850">
        <f>INDEX(MO_RIS_EPS_WAD_Adj,0,COLUMN())</f>
        <v/>
      </c>
      <c r="BW49" s="1850">
        <f>INDEX(MO_RIS_EPS_WAD_Adj,0,COLUMN())</f>
        <v/>
      </c>
      <c r="BX49" s="1850">
        <f>INDEX(MO_RIS_EPS_WAD_Adj,0,COLUMN())</f>
        <v/>
      </c>
      <c r="BY49" s="2126">
        <f>INDEX(MO_RIS_EPS_WAD_Adj,0,COLUMN())</f>
        <v/>
      </c>
      <c r="BZ49" s="2126">
        <f>INDEX(MO_RIS_EPS_WAD_Adj,0,COLUMN())</f>
        <v/>
      </c>
      <c r="CA49" s="2126">
        <f>INDEX(MO_RIS_EPS_WAD_Adj,0,COLUMN())</f>
        <v/>
      </c>
      <c r="CB49" s="2126">
        <f>INDEX(MO_RIS_EPS_WAD_Adj,0,COLUMN())</f>
        <v/>
      </c>
      <c r="CC49" s="2128" t="n"/>
    </row>
    <row r="50" ht="15" customHeight="1" s="595">
      <c r="A50" s="800" t="n"/>
      <c r="B50" s="162" t="n"/>
      <c r="C50" s="1521" t="n"/>
      <c r="D50" s="1521" t="n"/>
      <c r="E50" s="1521" t="n"/>
      <c r="F50" s="1521" t="n"/>
      <c r="G50" s="1521" t="n"/>
      <c r="H50" s="783" t="n"/>
      <c r="I50" s="783" t="n"/>
      <c r="J50" s="783" t="n"/>
      <c r="K50" s="783" t="n"/>
      <c r="L50" s="1521" t="n"/>
      <c r="M50" s="783" t="n"/>
      <c r="N50" s="783" t="n"/>
      <c r="O50" s="783" t="n"/>
      <c r="P50" s="783" t="n"/>
      <c r="Q50" s="1521" t="n"/>
      <c r="R50" s="783" t="n"/>
      <c r="S50" s="783" t="n"/>
      <c r="T50" s="783" t="n"/>
      <c r="U50" s="783" t="n"/>
      <c r="V50" s="1521" t="n"/>
      <c r="W50" s="783" t="n"/>
      <c r="X50" s="783" t="n"/>
      <c r="Y50" s="783" t="n"/>
      <c r="Z50" s="784" t="n"/>
      <c r="AA50" s="1524" t="n"/>
      <c r="AB50" s="783" t="n"/>
      <c r="AC50" s="783" t="n"/>
      <c r="AD50" s="783" t="n"/>
      <c r="AE50" s="784" t="n"/>
      <c r="AF50" s="1524" t="n"/>
      <c r="AG50" s="783" t="n"/>
      <c r="AH50" s="783" t="n"/>
      <c r="AI50" s="783" t="n"/>
      <c r="AJ50" s="784" t="n"/>
      <c r="AK50" s="1524" t="n"/>
      <c r="AL50" s="783" t="n"/>
      <c r="AM50" s="783" t="n"/>
      <c r="AN50" s="783" t="n"/>
      <c r="AO50" s="784" t="n"/>
      <c r="AP50" s="1524" t="n"/>
      <c r="AQ50" s="783" t="n"/>
      <c r="AR50" s="783" t="n"/>
      <c r="AS50" s="783" t="n"/>
      <c r="AT50" s="784" t="n"/>
      <c r="AU50" s="1524" t="n"/>
      <c r="AV50" s="783" t="n"/>
      <c r="AW50" s="783" t="n"/>
      <c r="AX50" s="783" t="n"/>
      <c r="AY50" s="784" t="n"/>
      <c r="AZ50" s="1524" t="n"/>
      <c r="BA50" s="783" t="n"/>
      <c r="BB50" s="783" t="n"/>
      <c r="BC50" s="783" t="n"/>
      <c r="BD50" s="784" t="n"/>
      <c r="BE50" s="1524" t="n"/>
      <c r="BF50" s="783" t="n"/>
      <c r="BG50" s="783" t="n"/>
      <c r="BH50" s="783" t="n"/>
      <c r="BI50" s="784" t="n"/>
      <c r="BJ50" s="1524" t="n"/>
      <c r="BK50" s="783" t="n"/>
      <c r="BL50" s="783" t="n"/>
      <c r="BM50" s="783" t="n"/>
      <c r="BN50" s="784" t="n"/>
      <c r="BO50" s="1523" t="n"/>
      <c r="BP50" s="783" t="n"/>
      <c r="BQ50" s="783" t="n"/>
      <c r="BR50" s="783" t="n"/>
      <c r="BS50" s="784" t="n"/>
      <c r="BT50" s="1524" t="n"/>
      <c r="BU50" s="783" t="n"/>
      <c r="BV50" s="783" t="n"/>
      <c r="BW50" s="783" t="n"/>
      <c r="BX50" s="784" t="n"/>
      <c r="BY50" s="1524" t="n"/>
      <c r="BZ50" s="1524" t="n"/>
      <c r="CA50" s="1524" t="n"/>
      <c r="CB50" s="1524" t="n"/>
      <c r="CC50" s="800" t="n"/>
    </row>
    <row r="51" ht="15" customHeight="1" s="595">
      <c r="A51" s="1679" t="inlineStr">
        <is>
          <t>Margin Analysis</t>
        </is>
      </c>
      <c r="B51" s="2144" t="n"/>
      <c r="C51" s="2144" t="n"/>
      <c r="D51" s="2144" t="n"/>
      <c r="E51" s="2144" t="n"/>
      <c r="F51" s="2144" t="n"/>
      <c r="G51" s="2144" t="n"/>
      <c r="H51" s="2144" t="n"/>
      <c r="I51" s="2144" t="n"/>
      <c r="J51" s="2144" t="n"/>
      <c r="K51" s="2144" t="n"/>
      <c r="L51" s="2144" t="n"/>
      <c r="M51" s="2144" t="n"/>
      <c r="N51" s="2144" t="n"/>
      <c r="O51" s="2144" t="n"/>
      <c r="P51" s="2144" t="n"/>
      <c r="Q51" s="2144" t="n"/>
      <c r="R51" s="2144" t="n"/>
      <c r="S51" s="2144" t="n"/>
      <c r="T51" s="2144" t="n"/>
      <c r="U51" s="2144" t="n"/>
      <c r="V51" s="2144" t="n"/>
      <c r="W51" s="2144" t="n"/>
      <c r="X51" s="2144" t="n"/>
      <c r="Y51" s="2144" t="n"/>
      <c r="Z51" s="2144" t="n"/>
      <c r="AA51" s="2144" t="n"/>
      <c r="AB51" s="2144" t="n"/>
      <c r="AC51" s="2144" t="n"/>
      <c r="AD51" s="2144" t="n"/>
      <c r="AE51" s="2144" t="n"/>
      <c r="AF51" s="2144" t="n"/>
      <c r="AG51" s="2144" t="n"/>
      <c r="AH51" s="2144" t="n"/>
      <c r="AI51" s="2144" t="n"/>
      <c r="AJ51" s="2144" t="n"/>
      <c r="AK51" s="2144" t="n"/>
      <c r="AL51" s="2144" t="n"/>
      <c r="AM51" s="2144" t="n"/>
      <c r="AN51" s="2144" t="n"/>
      <c r="AO51" s="2144" t="n"/>
      <c r="AP51" s="2144" t="n"/>
      <c r="AQ51" s="2144" t="n"/>
      <c r="AR51" s="2144" t="n"/>
      <c r="AS51" s="2144" t="n"/>
      <c r="AT51" s="2144" t="n"/>
      <c r="AU51" s="2144" t="n"/>
      <c r="AV51" s="2144" t="n"/>
      <c r="AW51" s="2144" t="n"/>
      <c r="AX51" s="2144" t="n"/>
      <c r="AY51" s="2144" t="n"/>
      <c r="AZ51" s="2144" t="n"/>
      <c r="BA51" s="2144" t="n"/>
      <c r="BB51" s="2144" t="n"/>
      <c r="BC51" s="2144" t="n"/>
      <c r="BD51" s="2144" t="n"/>
      <c r="BE51" s="2144" t="n"/>
      <c r="BF51" s="2144" t="n"/>
      <c r="BG51" s="2144" t="n"/>
      <c r="BH51" s="2144" t="n"/>
      <c r="BI51" s="2144" t="n"/>
      <c r="BJ51" s="2144" t="n"/>
      <c r="BK51" s="2144" t="n"/>
      <c r="BL51" s="2144" t="n"/>
      <c r="BM51" s="2144" t="n"/>
      <c r="BN51" s="2144" t="n"/>
      <c r="BO51" s="2145" t="n"/>
      <c r="BP51" s="2144" t="n"/>
      <c r="BQ51" s="2144" t="n"/>
      <c r="BR51" s="2144" t="n"/>
      <c r="BS51" s="2144" t="n"/>
      <c r="BT51" s="2144" t="n"/>
      <c r="BU51" s="2144" t="n"/>
      <c r="BV51" s="2144" t="n"/>
      <c r="BW51" s="2144" t="n"/>
      <c r="BX51" s="2144" t="n"/>
      <c r="BY51" s="2144" t="n"/>
      <c r="BZ51" s="2144" t="n"/>
      <c r="CA51" s="2144" t="n"/>
      <c r="CB51" s="2144" t="n"/>
      <c r="CC51" s="1970" t="n"/>
    </row>
    <row r="52" ht="15" customFormat="1" customHeight="1" s="636">
      <c r="A52" s="120">
        <f>INDEX(MO_MA_COGS,0,COLUMN())</f>
        <v/>
      </c>
      <c r="B52" s="162" t="n"/>
      <c r="C52" s="1515">
        <f>INDEX(SP_GF_COGS,0,COLUMN())/INDEX(SP_GF_Rev,0,COLUMN())</f>
        <v/>
      </c>
      <c r="D52" s="1515">
        <f>INDEX(SP_GF_COGS,0,COLUMN())/INDEX(SP_GF_Rev,0,COLUMN())</f>
        <v/>
      </c>
      <c r="E52" s="1515">
        <f>INDEX(SP_GF_COGS,0,COLUMN())/INDEX(SP_GF_Rev,0,COLUMN())</f>
        <v/>
      </c>
      <c r="F52" s="1515">
        <f>INDEX(SP_GF_COGS,0,COLUMN())/INDEX(SP_GF_Rev,0,COLUMN())</f>
        <v/>
      </c>
      <c r="G52" s="1515">
        <f>INDEX(SP_GF_COGS,0,COLUMN())/INDEX(SP_GF_Rev,0,COLUMN())</f>
        <v/>
      </c>
      <c r="H52" s="778">
        <f>INDEX(SP_GF_COGS,0,COLUMN())/INDEX(SP_GF_Rev,0,COLUMN())</f>
        <v/>
      </c>
      <c r="I52" s="778">
        <f>INDEX(SP_GF_COGS,0,COLUMN())/INDEX(SP_GF_Rev,0,COLUMN())</f>
        <v/>
      </c>
      <c r="J52" s="778">
        <f>INDEX(SP_GF_COGS,0,COLUMN())/INDEX(SP_GF_Rev,0,COLUMN())</f>
        <v/>
      </c>
      <c r="K52" s="778">
        <f>INDEX(SP_GF_COGS,0,COLUMN())/INDEX(SP_GF_Rev,0,COLUMN())</f>
        <v/>
      </c>
      <c r="L52" s="1515">
        <f>INDEX(SP_GF_COGS,0,COLUMN())/INDEX(SP_GF_Rev,0,COLUMN())</f>
        <v/>
      </c>
      <c r="M52" s="778">
        <f>INDEX(SP_GF_COGS,0,COLUMN())/INDEX(SP_GF_Rev,0,COLUMN())</f>
        <v/>
      </c>
      <c r="N52" s="778">
        <f>INDEX(SP_GF_COGS,0,COLUMN())/INDEX(SP_GF_Rev,0,COLUMN())</f>
        <v/>
      </c>
      <c r="O52" s="778">
        <f>INDEX(SP_GF_COGS,0,COLUMN())/INDEX(SP_GF_Rev,0,COLUMN())</f>
        <v/>
      </c>
      <c r="P52" s="778">
        <f>INDEX(SP_GF_COGS,0,COLUMN())/INDEX(SP_GF_Rev,0,COLUMN())</f>
        <v/>
      </c>
      <c r="Q52" s="1515">
        <f>INDEX(SP_GF_COGS,0,COLUMN())/INDEX(SP_GF_Rev,0,COLUMN())</f>
        <v/>
      </c>
      <c r="R52" s="778">
        <f>INDEX(SP_GF_COGS,0,COLUMN())/INDEX(SP_GF_Rev,0,COLUMN())</f>
        <v/>
      </c>
      <c r="S52" s="778">
        <f>INDEX(SP_GF_COGS,0,COLUMN())/INDEX(SP_GF_Rev,0,COLUMN())</f>
        <v/>
      </c>
      <c r="T52" s="778">
        <f>INDEX(SP_GF_COGS,0,COLUMN())/INDEX(SP_GF_Rev,0,COLUMN())</f>
        <v/>
      </c>
      <c r="U52" s="778">
        <f>INDEX(SP_GF_COGS,0,COLUMN())/INDEX(SP_GF_Rev,0,COLUMN())</f>
        <v/>
      </c>
      <c r="V52" s="1515">
        <f>INDEX(SP_GF_COGS,0,COLUMN())/INDEX(SP_GF_Rev,0,COLUMN())</f>
        <v/>
      </c>
      <c r="W52" s="778">
        <f>INDEX(SP_GF_COGS,0,COLUMN())/INDEX(SP_GF_Rev,0,COLUMN())</f>
        <v/>
      </c>
      <c r="X52" s="778">
        <f>INDEX(SP_GF_COGS,0,COLUMN())/INDEX(SP_GF_Rev,0,COLUMN())</f>
        <v/>
      </c>
      <c r="Y52" s="778">
        <f>INDEX(SP_GF_COGS,0,COLUMN())/INDEX(SP_GF_Rev,0,COLUMN())</f>
        <v/>
      </c>
      <c r="Z52" s="778">
        <f>INDEX(SP_GF_COGS,0,COLUMN())/INDEX(SP_GF_Rev,0,COLUMN())</f>
        <v/>
      </c>
      <c r="AA52" s="1515">
        <f>INDEX(SP_GF_COGS,0,COLUMN())/INDEX(SP_GF_Rev,0,COLUMN())</f>
        <v/>
      </c>
      <c r="AB52" s="778">
        <f>INDEX(SP_GF_COGS,0,COLUMN())/INDEX(SP_GF_Rev,0,COLUMN())</f>
        <v/>
      </c>
      <c r="AC52" s="778">
        <f>INDEX(SP_GF_COGS,0,COLUMN())/INDEX(SP_GF_Rev,0,COLUMN())</f>
        <v/>
      </c>
      <c r="AD52" s="778">
        <f>INDEX(SP_GF_COGS,0,COLUMN())/INDEX(SP_GF_Rev,0,COLUMN())</f>
        <v/>
      </c>
      <c r="AE52" s="778">
        <f>INDEX(SP_GF_COGS,0,COLUMN())/INDEX(SP_GF_Rev,0,COLUMN())</f>
        <v/>
      </c>
      <c r="AF52" s="1515">
        <f>INDEX(SP_GF_COGS,0,COLUMN())/INDEX(SP_GF_Rev,0,COLUMN())</f>
        <v/>
      </c>
      <c r="AG52" s="778">
        <f>INDEX(SP_GF_COGS,0,COLUMN())/INDEX(SP_GF_Rev,0,COLUMN())</f>
        <v/>
      </c>
      <c r="AH52" s="778">
        <f>INDEX(SP_GF_COGS,0,COLUMN())/INDEX(SP_GF_Rev,0,COLUMN())</f>
        <v/>
      </c>
      <c r="AI52" s="778">
        <f>INDEX(SP_GF_COGS,0,COLUMN())/INDEX(SP_GF_Rev,0,COLUMN())</f>
        <v/>
      </c>
      <c r="AJ52" s="778">
        <f>INDEX(SP_GF_COGS,0,COLUMN())/INDEX(SP_GF_Rev,0,COLUMN())</f>
        <v/>
      </c>
      <c r="AK52" s="1515">
        <f>INDEX(SP_GF_COGS,0,COLUMN())/INDEX(SP_GF_Rev,0,COLUMN())</f>
        <v/>
      </c>
      <c r="AL52" s="778">
        <f>INDEX(SP_GF_COGS,0,COLUMN())/INDEX(SP_GF_Rev,0,COLUMN())</f>
        <v/>
      </c>
      <c r="AM52" s="778">
        <f>INDEX(SP_GF_COGS,0,COLUMN())/INDEX(SP_GF_Rev,0,COLUMN())</f>
        <v/>
      </c>
      <c r="AN52" s="778">
        <f>INDEX(SP_GF_COGS,0,COLUMN())/INDEX(SP_GF_Rev,0,COLUMN())</f>
        <v/>
      </c>
      <c r="AO52" s="778">
        <f>INDEX(SP_GF_COGS,0,COLUMN())/INDEX(SP_GF_Rev,0,COLUMN())</f>
        <v/>
      </c>
      <c r="AP52" s="1515">
        <f>INDEX(SP_GF_COGS,0,COLUMN())/INDEX(SP_GF_Rev,0,COLUMN())</f>
        <v/>
      </c>
      <c r="AQ52" s="778">
        <f>INDEX(SP_GF_COGS,0,COLUMN())/INDEX(SP_GF_Rev,0,COLUMN())</f>
        <v/>
      </c>
      <c r="AR52" s="778">
        <f>INDEX(SP_GF_COGS,0,COLUMN())/INDEX(SP_GF_Rev,0,COLUMN())</f>
        <v/>
      </c>
      <c r="AS52" s="778">
        <f>INDEX(SP_GF_COGS,0,COLUMN())/INDEX(SP_GF_Rev,0,COLUMN())</f>
        <v/>
      </c>
      <c r="AT52" s="778">
        <f>INDEX(SP_GF_COGS,0,COLUMN())/INDEX(SP_GF_Rev,0,COLUMN())</f>
        <v/>
      </c>
      <c r="AU52" s="1515">
        <f>INDEX(SP_GF_COGS,0,COLUMN())/INDEX(SP_GF_Rev,0,COLUMN())</f>
        <v/>
      </c>
      <c r="AV52" s="778">
        <f>INDEX(SP_GF_COGS,0,COLUMN())/INDEX(SP_GF_Rev,0,COLUMN())</f>
        <v/>
      </c>
      <c r="AW52" s="778">
        <f>INDEX(SP_GF_COGS,0,COLUMN())/INDEX(SP_GF_Rev,0,COLUMN())</f>
        <v/>
      </c>
      <c r="AX52" s="778">
        <f>INDEX(SP_GF_COGS,0,COLUMN())/INDEX(SP_GF_Rev,0,COLUMN())</f>
        <v/>
      </c>
      <c r="AY52" s="778">
        <f>INDEX(SP_GF_COGS,0,COLUMN())/INDEX(SP_GF_Rev,0,COLUMN())</f>
        <v/>
      </c>
      <c r="AZ52" s="1515">
        <f>INDEX(SP_GF_COGS,0,COLUMN())/INDEX(SP_GF_Rev,0,COLUMN())</f>
        <v/>
      </c>
      <c r="BA52" s="778">
        <f>INDEX(SP_GF_COGS,0,COLUMN())/INDEX(SP_GF_Rev,0,COLUMN())</f>
        <v/>
      </c>
      <c r="BB52" s="778">
        <f>INDEX(SP_GF_COGS,0,COLUMN())/INDEX(SP_GF_Rev,0,COLUMN())</f>
        <v/>
      </c>
      <c r="BC52" s="778">
        <f>INDEX(SP_GF_COGS,0,COLUMN())/INDEX(SP_GF_Rev,0,COLUMN())</f>
        <v/>
      </c>
      <c r="BD52" s="778">
        <f>INDEX(SP_GF_COGS,0,COLUMN())/INDEX(SP_GF_Rev,0,COLUMN())</f>
        <v/>
      </c>
      <c r="BE52" s="1515">
        <f>INDEX(SP_GF_COGS,0,COLUMN())/INDEX(SP_GF_Rev,0,COLUMN())</f>
        <v/>
      </c>
      <c r="BF52" s="778">
        <f>INDEX(SP_GF_COGS,0,COLUMN())/INDEX(SP_GF_Rev,0,COLUMN())</f>
        <v/>
      </c>
      <c r="BG52" s="778">
        <f>INDEX(SP_GF_COGS,0,COLUMN())/INDEX(SP_GF_Rev,0,COLUMN())</f>
        <v/>
      </c>
      <c r="BH52" s="778">
        <f>INDEX(SP_GF_COGS,0,COLUMN())/INDEX(SP_GF_Rev,0,COLUMN())</f>
        <v/>
      </c>
      <c r="BI52" s="778">
        <f>INDEX(SP_GF_COGS,0,COLUMN())/INDEX(SP_GF_Rev,0,COLUMN())</f>
        <v/>
      </c>
      <c r="BJ52" s="1515">
        <f>INDEX(SP_GF_COGS,0,COLUMN())/INDEX(SP_GF_Rev,0,COLUMN())</f>
        <v/>
      </c>
      <c r="BK52" s="778">
        <f>INDEX(SP_GF_COGS,0,COLUMN())/INDEX(SP_GF_Rev,0,COLUMN())</f>
        <v/>
      </c>
      <c r="BL52" s="778">
        <f>INDEX(SP_GF_COGS,0,COLUMN())/INDEX(SP_GF_Rev,0,COLUMN())</f>
        <v/>
      </c>
      <c r="BM52" s="778">
        <f>INDEX(SP_GF_COGS,0,COLUMN())/INDEX(SP_GF_Rev,0,COLUMN())</f>
        <v/>
      </c>
      <c r="BN52" s="778">
        <f>INDEX(SP_GF_COGS,0,COLUMN())/INDEX(SP_GF_Rev,0,COLUMN())</f>
        <v/>
      </c>
      <c r="BO52" s="1514">
        <f>INDEX(SP_GF_COGS,0,COLUMN())/INDEX(SP_GF_Rev,0,COLUMN())</f>
        <v/>
      </c>
      <c r="BP52" s="778">
        <f>INDEX(SP_GF_COGS,0,COLUMN())/INDEX(SP_GF_Rev,0,COLUMN())</f>
        <v/>
      </c>
      <c r="BQ52" s="778">
        <f>INDEX(SP_GF_COGS,0,COLUMN())/INDEX(SP_GF_Rev,0,COLUMN())</f>
        <v/>
      </c>
      <c r="BR52" s="778">
        <f>INDEX(SP_GF_COGS,0,COLUMN())/INDEX(SP_GF_Rev,0,COLUMN())</f>
        <v/>
      </c>
      <c r="BS52" s="778">
        <f>INDEX(SP_GF_COGS,0,COLUMN())/INDEX(SP_GF_Rev,0,COLUMN())</f>
        <v/>
      </c>
      <c r="BT52" s="1524">
        <f>INDEX(SP_GF_COGS,0,COLUMN())/INDEX(SP_GF_Rev,0,COLUMN())</f>
        <v/>
      </c>
      <c r="BU52" s="778">
        <f>INDEX(SP_GF_COGS,0,COLUMN())/INDEX(SP_GF_Rev,0,COLUMN())</f>
        <v/>
      </c>
      <c r="BV52" s="778">
        <f>INDEX(SP_GF_COGS,0,COLUMN())/INDEX(SP_GF_Rev,0,COLUMN())</f>
        <v/>
      </c>
      <c r="BW52" s="778">
        <f>INDEX(SP_GF_COGS,0,COLUMN())/INDEX(SP_GF_Rev,0,COLUMN())</f>
        <v/>
      </c>
      <c r="BX52" s="778">
        <f>INDEX(SP_GF_COGS,0,COLUMN())/INDEX(SP_GF_Rev,0,COLUMN())</f>
        <v/>
      </c>
      <c r="BY52" s="1524">
        <f>INDEX(SP_GF_COGS,0,COLUMN())/INDEX(SP_GF_Rev,0,COLUMN())</f>
        <v/>
      </c>
      <c r="BZ52" s="1524">
        <f>INDEX(SP_GF_COGS,0,COLUMN())/INDEX(SP_GF_Rev,0,COLUMN())</f>
        <v/>
      </c>
      <c r="CA52" s="1524">
        <f>INDEX(SP_GF_COGS,0,COLUMN())/INDEX(SP_GF_Rev,0,COLUMN())</f>
        <v/>
      </c>
      <c r="CB52" s="1524">
        <f>INDEX(SP_GF_COGS,0,COLUMN())/INDEX(SP_GF_Rev,0,COLUMN())</f>
        <v/>
      </c>
      <c r="CC52" s="800" t="n"/>
    </row>
    <row r="53" ht="15" customFormat="1" customHeight="1" s="636">
      <c r="A53" s="120">
        <f>INDEX(MO_MA_SGA,0,COLUMN())</f>
        <v/>
      </c>
      <c r="B53" s="162" t="n"/>
      <c r="C53" s="1515">
        <f>INDEX(SP_GF_SGA,0,COLUMN())/INDEX(SP_GF_Rev,0,COLUMN())</f>
        <v/>
      </c>
      <c r="D53" s="1515">
        <f>INDEX(SP_GF_SGA,0,COLUMN())/INDEX(SP_GF_Rev,0,COLUMN())</f>
        <v/>
      </c>
      <c r="E53" s="1515">
        <f>INDEX(SP_GF_SGA,0,COLUMN())/INDEX(SP_GF_Rev,0,COLUMN())</f>
        <v/>
      </c>
      <c r="F53" s="1515">
        <f>INDEX(SP_GF_SGA,0,COLUMN())/INDEX(SP_GF_Rev,0,COLUMN())</f>
        <v/>
      </c>
      <c r="G53" s="1515">
        <f>INDEX(SP_GF_SGA,0,COLUMN())/INDEX(SP_GF_Rev,0,COLUMN())</f>
        <v/>
      </c>
      <c r="H53" s="778">
        <f>INDEX(SP_GF_SGA,0,COLUMN())/INDEX(SP_GF_Rev,0,COLUMN())</f>
        <v/>
      </c>
      <c r="I53" s="778">
        <f>INDEX(SP_GF_SGA,0,COLUMN())/INDEX(SP_GF_Rev,0,COLUMN())</f>
        <v/>
      </c>
      <c r="J53" s="778">
        <f>INDEX(SP_GF_SGA,0,COLUMN())/INDEX(SP_GF_Rev,0,COLUMN())</f>
        <v/>
      </c>
      <c r="K53" s="778">
        <f>INDEX(SP_GF_SGA,0,COLUMN())/INDEX(SP_GF_Rev,0,COLUMN())</f>
        <v/>
      </c>
      <c r="L53" s="1515">
        <f>INDEX(SP_GF_SGA,0,COLUMN())/INDEX(SP_GF_Rev,0,COLUMN())</f>
        <v/>
      </c>
      <c r="M53" s="778">
        <f>INDEX(SP_GF_SGA,0,COLUMN())/INDEX(SP_GF_Rev,0,COLUMN())</f>
        <v/>
      </c>
      <c r="N53" s="778">
        <f>INDEX(SP_GF_SGA,0,COLUMN())/INDEX(SP_GF_Rev,0,COLUMN())</f>
        <v/>
      </c>
      <c r="O53" s="778">
        <f>INDEX(SP_GF_SGA,0,COLUMN())/INDEX(SP_GF_Rev,0,COLUMN())</f>
        <v/>
      </c>
      <c r="P53" s="778">
        <f>INDEX(SP_GF_SGA,0,COLUMN())/INDEX(SP_GF_Rev,0,COLUMN())</f>
        <v/>
      </c>
      <c r="Q53" s="1515">
        <f>INDEX(SP_GF_SGA,0,COLUMN())/INDEX(SP_GF_Rev,0,COLUMN())</f>
        <v/>
      </c>
      <c r="R53" s="778">
        <f>INDEX(SP_GF_SGA,0,COLUMN())/INDEX(SP_GF_Rev,0,COLUMN())</f>
        <v/>
      </c>
      <c r="S53" s="778">
        <f>INDEX(SP_GF_SGA,0,COLUMN())/INDEX(SP_GF_Rev,0,COLUMN())</f>
        <v/>
      </c>
      <c r="T53" s="778">
        <f>INDEX(SP_GF_SGA,0,COLUMN())/INDEX(SP_GF_Rev,0,COLUMN())</f>
        <v/>
      </c>
      <c r="U53" s="778">
        <f>INDEX(SP_GF_SGA,0,COLUMN())/INDEX(SP_GF_Rev,0,COLUMN())</f>
        <v/>
      </c>
      <c r="V53" s="1515">
        <f>INDEX(SP_GF_SGA,0,COLUMN())/INDEX(SP_GF_Rev,0,COLUMN())</f>
        <v/>
      </c>
      <c r="W53" s="778">
        <f>INDEX(SP_GF_SGA,0,COLUMN())/INDEX(SP_GF_Rev,0,COLUMN())</f>
        <v/>
      </c>
      <c r="X53" s="778">
        <f>INDEX(SP_GF_SGA,0,COLUMN())/INDEX(SP_GF_Rev,0,COLUMN())</f>
        <v/>
      </c>
      <c r="Y53" s="778">
        <f>INDEX(SP_GF_SGA,0,COLUMN())/INDEX(SP_GF_Rev,0,COLUMN())</f>
        <v/>
      </c>
      <c r="Z53" s="778">
        <f>INDEX(SP_GF_SGA,0,COLUMN())/INDEX(SP_GF_Rev,0,COLUMN())</f>
        <v/>
      </c>
      <c r="AA53" s="1515">
        <f>INDEX(SP_GF_SGA,0,COLUMN())/INDEX(SP_GF_Rev,0,COLUMN())</f>
        <v/>
      </c>
      <c r="AB53" s="778">
        <f>INDEX(SP_GF_SGA,0,COLUMN())/INDEX(SP_GF_Rev,0,COLUMN())</f>
        <v/>
      </c>
      <c r="AC53" s="778">
        <f>INDEX(SP_GF_SGA,0,COLUMN())/INDEX(SP_GF_Rev,0,COLUMN())</f>
        <v/>
      </c>
      <c r="AD53" s="778">
        <f>INDEX(SP_GF_SGA,0,COLUMN())/INDEX(SP_GF_Rev,0,COLUMN())</f>
        <v/>
      </c>
      <c r="AE53" s="778">
        <f>INDEX(SP_GF_SGA,0,COLUMN())/INDEX(SP_GF_Rev,0,COLUMN())</f>
        <v/>
      </c>
      <c r="AF53" s="1515">
        <f>INDEX(SP_GF_SGA,0,COLUMN())/INDEX(SP_GF_Rev,0,COLUMN())</f>
        <v/>
      </c>
      <c r="AG53" s="778">
        <f>INDEX(SP_GF_SGA,0,COLUMN())/INDEX(SP_GF_Rev,0,COLUMN())</f>
        <v/>
      </c>
      <c r="AH53" s="778">
        <f>INDEX(SP_GF_SGA,0,COLUMN())/INDEX(SP_GF_Rev,0,COLUMN())</f>
        <v/>
      </c>
      <c r="AI53" s="778">
        <f>INDEX(SP_GF_SGA,0,COLUMN())/INDEX(SP_GF_Rev,0,COLUMN())</f>
        <v/>
      </c>
      <c r="AJ53" s="778">
        <f>INDEX(SP_GF_SGA,0,COLUMN())/INDEX(SP_GF_Rev,0,COLUMN())</f>
        <v/>
      </c>
      <c r="AK53" s="1515">
        <f>INDEX(SP_GF_SGA,0,COLUMN())/INDEX(SP_GF_Rev,0,COLUMN())</f>
        <v/>
      </c>
      <c r="AL53" s="778">
        <f>INDEX(SP_GF_SGA,0,COLUMN())/INDEX(SP_GF_Rev,0,COLUMN())</f>
        <v/>
      </c>
      <c r="AM53" s="778">
        <f>INDEX(SP_GF_SGA,0,COLUMN())/INDEX(SP_GF_Rev,0,COLUMN())</f>
        <v/>
      </c>
      <c r="AN53" s="778">
        <f>INDEX(SP_GF_SGA,0,COLUMN())/INDEX(SP_GF_Rev,0,COLUMN())</f>
        <v/>
      </c>
      <c r="AO53" s="778">
        <f>INDEX(SP_GF_SGA,0,COLUMN())/INDEX(SP_GF_Rev,0,COLUMN())</f>
        <v/>
      </c>
      <c r="AP53" s="1515">
        <f>INDEX(SP_GF_SGA,0,COLUMN())/INDEX(SP_GF_Rev,0,COLUMN())</f>
        <v/>
      </c>
      <c r="AQ53" s="778">
        <f>INDEX(SP_GF_SGA,0,COLUMN())/INDEX(SP_GF_Rev,0,COLUMN())</f>
        <v/>
      </c>
      <c r="AR53" s="778">
        <f>INDEX(SP_GF_SGA,0,COLUMN())/INDEX(SP_GF_Rev,0,COLUMN())</f>
        <v/>
      </c>
      <c r="AS53" s="778">
        <f>INDEX(SP_GF_SGA,0,COLUMN())/INDEX(SP_GF_Rev,0,COLUMN())</f>
        <v/>
      </c>
      <c r="AT53" s="778">
        <f>INDEX(SP_GF_SGA,0,COLUMN())/INDEX(SP_GF_Rev,0,COLUMN())</f>
        <v/>
      </c>
      <c r="AU53" s="1515">
        <f>INDEX(SP_GF_SGA,0,COLUMN())/INDEX(SP_GF_Rev,0,COLUMN())</f>
        <v/>
      </c>
      <c r="AV53" s="778">
        <f>INDEX(SP_GF_SGA,0,COLUMN())/INDEX(SP_GF_Rev,0,COLUMN())</f>
        <v/>
      </c>
      <c r="AW53" s="778">
        <f>INDEX(SP_GF_SGA,0,COLUMN())/INDEX(SP_GF_Rev,0,COLUMN())</f>
        <v/>
      </c>
      <c r="AX53" s="778">
        <f>INDEX(SP_GF_SGA,0,COLUMN())/INDEX(SP_GF_Rev,0,COLUMN())</f>
        <v/>
      </c>
      <c r="AY53" s="778">
        <f>INDEX(SP_GF_SGA,0,COLUMN())/INDEX(SP_GF_Rev,0,COLUMN())</f>
        <v/>
      </c>
      <c r="AZ53" s="1515">
        <f>INDEX(SP_GF_SGA,0,COLUMN())/INDEX(SP_GF_Rev,0,COLUMN())</f>
        <v/>
      </c>
      <c r="BA53" s="778">
        <f>INDEX(SP_GF_SGA,0,COLUMN())/INDEX(SP_GF_Rev,0,COLUMN())</f>
        <v/>
      </c>
      <c r="BB53" s="778">
        <f>INDEX(SP_GF_SGA,0,COLUMN())/INDEX(SP_GF_Rev,0,COLUMN())</f>
        <v/>
      </c>
      <c r="BC53" s="778">
        <f>INDEX(SP_GF_SGA,0,COLUMN())/INDEX(SP_GF_Rev,0,COLUMN())</f>
        <v/>
      </c>
      <c r="BD53" s="778">
        <f>INDEX(SP_GF_SGA,0,COLUMN())/INDEX(SP_GF_Rev,0,COLUMN())</f>
        <v/>
      </c>
      <c r="BE53" s="1515">
        <f>INDEX(SP_GF_SGA,0,COLUMN())/INDEX(SP_GF_Rev,0,COLUMN())</f>
        <v/>
      </c>
      <c r="BF53" s="778">
        <f>INDEX(SP_GF_SGA,0,COLUMN())/INDEX(SP_GF_Rev,0,COLUMN())</f>
        <v/>
      </c>
      <c r="BG53" s="778">
        <f>INDEX(SP_GF_SGA,0,COLUMN())/INDEX(SP_GF_Rev,0,COLUMN())</f>
        <v/>
      </c>
      <c r="BH53" s="778">
        <f>INDEX(SP_GF_SGA,0,COLUMN())/INDEX(SP_GF_Rev,0,COLUMN())</f>
        <v/>
      </c>
      <c r="BI53" s="778">
        <f>INDEX(SP_GF_SGA,0,COLUMN())/INDEX(SP_GF_Rev,0,COLUMN())</f>
        <v/>
      </c>
      <c r="BJ53" s="1515">
        <f>INDEX(SP_GF_SGA,0,COLUMN())/INDEX(SP_GF_Rev,0,COLUMN())</f>
        <v/>
      </c>
      <c r="BK53" s="778">
        <f>INDEX(SP_GF_SGA,0,COLUMN())/INDEX(SP_GF_Rev,0,COLUMN())</f>
        <v/>
      </c>
      <c r="BL53" s="778">
        <f>INDEX(SP_GF_SGA,0,COLUMN())/INDEX(SP_GF_Rev,0,COLUMN())</f>
        <v/>
      </c>
      <c r="BM53" s="778">
        <f>INDEX(SP_GF_SGA,0,COLUMN())/INDEX(SP_GF_Rev,0,COLUMN())</f>
        <v/>
      </c>
      <c r="BN53" s="778">
        <f>INDEX(SP_GF_SGA,0,COLUMN())/INDEX(SP_GF_Rev,0,COLUMN())</f>
        <v/>
      </c>
      <c r="BO53" s="1514">
        <f>INDEX(SP_GF_SGA,0,COLUMN())/INDEX(SP_GF_Rev,0,COLUMN())</f>
        <v/>
      </c>
      <c r="BP53" s="778">
        <f>INDEX(SP_GF_SGA,0,COLUMN())/INDEX(SP_GF_Rev,0,COLUMN())</f>
        <v/>
      </c>
      <c r="BQ53" s="778">
        <f>INDEX(SP_GF_SGA,0,COLUMN())/INDEX(SP_GF_Rev,0,COLUMN())</f>
        <v/>
      </c>
      <c r="BR53" s="778">
        <f>INDEX(SP_GF_SGA,0,COLUMN())/INDEX(SP_GF_Rev,0,COLUMN())</f>
        <v/>
      </c>
      <c r="BS53" s="778">
        <f>INDEX(SP_GF_SGA,0,COLUMN())/INDEX(SP_GF_Rev,0,COLUMN())</f>
        <v/>
      </c>
      <c r="BT53" s="1524">
        <f>INDEX(SP_GF_SGA,0,COLUMN())/INDEX(SP_GF_Rev,0,COLUMN())</f>
        <v/>
      </c>
      <c r="BU53" s="778">
        <f>INDEX(SP_GF_SGA,0,COLUMN())/INDEX(SP_GF_Rev,0,COLUMN())</f>
        <v/>
      </c>
      <c r="BV53" s="778">
        <f>INDEX(SP_GF_SGA,0,COLUMN())/INDEX(SP_GF_Rev,0,COLUMN())</f>
        <v/>
      </c>
      <c r="BW53" s="778">
        <f>INDEX(SP_GF_SGA,0,COLUMN())/INDEX(SP_GF_Rev,0,COLUMN())</f>
        <v/>
      </c>
      <c r="BX53" s="778">
        <f>INDEX(SP_GF_SGA,0,COLUMN())/INDEX(SP_GF_Rev,0,COLUMN())</f>
        <v/>
      </c>
      <c r="BY53" s="1524">
        <f>INDEX(SP_GF_SGA,0,COLUMN())/INDEX(SP_GF_Rev,0,COLUMN())</f>
        <v/>
      </c>
      <c r="BZ53" s="1524">
        <f>INDEX(SP_GF_SGA,0,COLUMN())/INDEX(SP_GF_Rev,0,COLUMN())</f>
        <v/>
      </c>
      <c r="CA53" s="1524">
        <f>INDEX(SP_GF_SGA,0,COLUMN())/INDEX(SP_GF_Rev,0,COLUMN())</f>
        <v/>
      </c>
      <c r="CB53" s="1524">
        <f>INDEX(SP_GF_SGA,0,COLUMN())/INDEX(SP_GF_Rev,0,COLUMN())</f>
        <v/>
      </c>
      <c r="CC53" s="800" t="n"/>
    </row>
    <row r="54" ht="15" customFormat="1" customHeight="1" s="636">
      <c r="A54" s="220">
        <f>INDEX(MO_MA_RD,0,COLUMN())</f>
        <v/>
      </c>
      <c r="B54" s="251" t="n"/>
      <c r="C54" s="1516">
        <f>INDEX(SP_GF_RD,0,COLUMN())/INDEX(SP_GF_Rev,0,COLUMN())</f>
        <v/>
      </c>
      <c r="D54" s="1516">
        <f>INDEX(SP_GF_RD,0,COLUMN())/INDEX(SP_GF_Rev,0,COLUMN())</f>
        <v/>
      </c>
      <c r="E54" s="1516">
        <f>INDEX(SP_GF_RD,0,COLUMN())/INDEX(SP_GF_Rev,0,COLUMN())</f>
        <v/>
      </c>
      <c r="F54" s="1516">
        <f>INDEX(SP_GF_RD,0,COLUMN())/INDEX(SP_GF_Rev,0,COLUMN())</f>
        <v/>
      </c>
      <c r="G54" s="1516">
        <f>INDEX(SP_GF_RD,0,COLUMN())/INDEX(SP_GF_Rev,0,COLUMN())</f>
        <v/>
      </c>
      <c r="H54" s="253">
        <f>INDEX(SP_GF_RD,0,COLUMN())/INDEX(SP_GF_Rev,0,COLUMN())</f>
        <v/>
      </c>
      <c r="I54" s="253">
        <f>INDEX(SP_GF_RD,0,COLUMN())/INDEX(SP_GF_Rev,0,COLUMN())</f>
        <v/>
      </c>
      <c r="J54" s="253">
        <f>INDEX(SP_GF_RD,0,COLUMN())/INDEX(SP_GF_Rev,0,COLUMN())</f>
        <v/>
      </c>
      <c r="K54" s="253">
        <f>INDEX(SP_GF_RD,0,COLUMN())/INDEX(SP_GF_Rev,0,COLUMN())</f>
        <v/>
      </c>
      <c r="L54" s="1516">
        <f>INDEX(SP_GF_RD,0,COLUMN())/INDEX(SP_GF_Rev,0,COLUMN())</f>
        <v/>
      </c>
      <c r="M54" s="253">
        <f>INDEX(SP_GF_RD,0,COLUMN())/INDEX(SP_GF_Rev,0,COLUMN())</f>
        <v/>
      </c>
      <c r="N54" s="253">
        <f>INDEX(SP_GF_RD,0,COLUMN())/INDEX(SP_GF_Rev,0,COLUMN())</f>
        <v/>
      </c>
      <c r="O54" s="253">
        <f>INDEX(SP_GF_RD,0,COLUMN())/INDEX(SP_GF_Rev,0,COLUMN())</f>
        <v/>
      </c>
      <c r="P54" s="253">
        <f>INDEX(SP_GF_RD,0,COLUMN())/INDEX(SP_GF_Rev,0,COLUMN())</f>
        <v/>
      </c>
      <c r="Q54" s="1516">
        <f>INDEX(SP_GF_RD,0,COLUMN())/INDEX(SP_GF_Rev,0,COLUMN())</f>
        <v/>
      </c>
      <c r="R54" s="253">
        <f>INDEX(SP_GF_RD,0,COLUMN())/INDEX(SP_GF_Rev,0,COLUMN())</f>
        <v/>
      </c>
      <c r="S54" s="253">
        <f>INDEX(SP_GF_RD,0,COLUMN())/INDEX(SP_GF_Rev,0,COLUMN())</f>
        <v/>
      </c>
      <c r="T54" s="253">
        <f>INDEX(SP_GF_RD,0,COLUMN())/INDEX(SP_GF_Rev,0,COLUMN())</f>
        <v/>
      </c>
      <c r="U54" s="253">
        <f>INDEX(SP_GF_RD,0,COLUMN())/INDEX(SP_GF_Rev,0,COLUMN())</f>
        <v/>
      </c>
      <c r="V54" s="1516">
        <f>INDEX(SP_GF_RD,0,COLUMN())/INDEX(SP_GF_Rev,0,COLUMN())</f>
        <v/>
      </c>
      <c r="W54" s="253">
        <f>INDEX(SP_GF_RD,0,COLUMN())/INDEX(SP_GF_Rev,0,COLUMN())</f>
        <v/>
      </c>
      <c r="X54" s="253">
        <f>INDEX(SP_GF_RD,0,COLUMN())/INDEX(SP_GF_Rev,0,COLUMN())</f>
        <v/>
      </c>
      <c r="Y54" s="253">
        <f>INDEX(SP_GF_RD,0,COLUMN())/INDEX(SP_GF_Rev,0,COLUMN())</f>
        <v/>
      </c>
      <c r="Z54" s="253">
        <f>INDEX(SP_GF_RD,0,COLUMN())/INDEX(SP_GF_Rev,0,COLUMN())</f>
        <v/>
      </c>
      <c r="AA54" s="1516">
        <f>INDEX(SP_GF_RD,0,COLUMN())/INDEX(SP_GF_Rev,0,COLUMN())</f>
        <v/>
      </c>
      <c r="AB54" s="253">
        <f>INDEX(SP_GF_RD,0,COLUMN())/INDEX(SP_GF_Rev,0,COLUMN())</f>
        <v/>
      </c>
      <c r="AC54" s="253">
        <f>INDEX(SP_GF_RD,0,COLUMN())/INDEX(SP_GF_Rev,0,COLUMN())</f>
        <v/>
      </c>
      <c r="AD54" s="253">
        <f>INDEX(SP_GF_RD,0,COLUMN())/INDEX(SP_GF_Rev,0,COLUMN())</f>
        <v/>
      </c>
      <c r="AE54" s="253">
        <f>INDEX(SP_GF_RD,0,COLUMN())/INDEX(SP_GF_Rev,0,COLUMN())</f>
        <v/>
      </c>
      <c r="AF54" s="1516">
        <f>INDEX(SP_GF_RD,0,COLUMN())/INDEX(SP_GF_Rev,0,COLUMN())</f>
        <v/>
      </c>
      <c r="AG54" s="253">
        <f>INDEX(SP_GF_RD,0,COLUMN())/INDEX(SP_GF_Rev,0,COLUMN())</f>
        <v/>
      </c>
      <c r="AH54" s="253">
        <f>INDEX(SP_GF_RD,0,COLUMN())/INDEX(SP_GF_Rev,0,COLUMN())</f>
        <v/>
      </c>
      <c r="AI54" s="253">
        <f>INDEX(SP_GF_RD,0,COLUMN())/INDEX(SP_GF_Rev,0,COLUMN())</f>
        <v/>
      </c>
      <c r="AJ54" s="253">
        <f>INDEX(SP_GF_RD,0,COLUMN())/INDEX(SP_GF_Rev,0,COLUMN())</f>
        <v/>
      </c>
      <c r="AK54" s="1516">
        <f>INDEX(SP_GF_RD,0,COLUMN())/INDEX(SP_GF_Rev,0,COLUMN())</f>
        <v/>
      </c>
      <c r="AL54" s="253">
        <f>INDEX(SP_GF_RD,0,COLUMN())/INDEX(SP_GF_Rev,0,COLUMN())</f>
        <v/>
      </c>
      <c r="AM54" s="253">
        <f>INDEX(SP_GF_RD,0,COLUMN())/INDEX(SP_GF_Rev,0,COLUMN())</f>
        <v/>
      </c>
      <c r="AN54" s="253">
        <f>INDEX(SP_GF_RD,0,COLUMN())/INDEX(SP_GF_Rev,0,COLUMN())</f>
        <v/>
      </c>
      <c r="AO54" s="253">
        <f>INDEX(SP_GF_RD,0,COLUMN())/INDEX(SP_GF_Rev,0,COLUMN())</f>
        <v/>
      </c>
      <c r="AP54" s="1516">
        <f>INDEX(SP_GF_RD,0,COLUMN())/INDEX(SP_GF_Rev,0,COLUMN())</f>
        <v/>
      </c>
      <c r="AQ54" s="253">
        <f>INDEX(SP_GF_RD,0,COLUMN())/INDEX(SP_GF_Rev,0,COLUMN())</f>
        <v/>
      </c>
      <c r="AR54" s="253">
        <f>INDEX(SP_GF_RD,0,COLUMN())/INDEX(SP_GF_Rev,0,COLUMN())</f>
        <v/>
      </c>
      <c r="AS54" s="253">
        <f>INDEX(SP_GF_RD,0,COLUMN())/INDEX(SP_GF_Rev,0,COLUMN())</f>
        <v/>
      </c>
      <c r="AT54" s="253">
        <f>INDEX(SP_GF_RD,0,COLUMN())/INDEX(SP_GF_Rev,0,COLUMN())</f>
        <v/>
      </c>
      <c r="AU54" s="1516">
        <f>INDEX(SP_GF_RD,0,COLUMN())/INDEX(SP_GF_Rev,0,COLUMN())</f>
        <v/>
      </c>
      <c r="AV54" s="253">
        <f>INDEX(SP_GF_RD,0,COLUMN())/INDEX(SP_GF_Rev,0,COLUMN())</f>
        <v/>
      </c>
      <c r="AW54" s="253">
        <f>INDEX(SP_GF_RD,0,COLUMN())/INDEX(SP_GF_Rev,0,COLUMN())</f>
        <v/>
      </c>
      <c r="AX54" s="253">
        <f>INDEX(SP_GF_RD,0,COLUMN())/INDEX(SP_GF_Rev,0,COLUMN())</f>
        <v/>
      </c>
      <c r="AY54" s="253">
        <f>INDEX(SP_GF_RD,0,COLUMN())/INDEX(SP_GF_Rev,0,COLUMN())</f>
        <v/>
      </c>
      <c r="AZ54" s="1516">
        <f>INDEX(SP_GF_RD,0,COLUMN())/INDEX(SP_GF_Rev,0,COLUMN())</f>
        <v/>
      </c>
      <c r="BA54" s="253">
        <f>INDEX(SP_GF_RD,0,COLUMN())/INDEX(SP_GF_Rev,0,COLUMN())</f>
        <v/>
      </c>
      <c r="BB54" s="253">
        <f>INDEX(SP_GF_RD,0,COLUMN())/INDEX(SP_GF_Rev,0,COLUMN())</f>
        <v/>
      </c>
      <c r="BC54" s="253">
        <f>INDEX(SP_GF_RD,0,COLUMN())/INDEX(SP_GF_Rev,0,COLUMN())</f>
        <v/>
      </c>
      <c r="BD54" s="253">
        <f>INDEX(SP_GF_RD,0,COLUMN())/INDEX(SP_GF_Rev,0,COLUMN())</f>
        <v/>
      </c>
      <c r="BE54" s="1516">
        <f>INDEX(SP_GF_RD,0,COLUMN())/INDEX(SP_GF_Rev,0,COLUMN())</f>
        <v/>
      </c>
      <c r="BF54" s="253">
        <f>INDEX(SP_GF_RD,0,COLUMN())/INDEX(SP_GF_Rev,0,COLUMN())</f>
        <v/>
      </c>
      <c r="BG54" s="253">
        <f>INDEX(SP_GF_RD,0,COLUMN())/INDEX(SP_GF_Rev,0,COLUMN())</f>
        <v/>
      </c>
      <c r="BH54" s="253">
        <f>INDEX(SP_GF_RD,0,COLUMN())/INDEX(SP_GF_Rev,0,COLUMN())</f>
        <v/>
      </c>
      <c r="BI54" s="253">
        <f>INDEX(SP_GF_RD,0,COLUMN())/INDEX(SP_GF_Rev,0,COLUMN())</f>
        <v/>
      </c>
      <c r="BJ54" s="1516">
        <f>INDEX(SP_GF_RD,0,COLUMN())/INDEX(SP_GF_Rev,0,COLUMN())</f>
        <v/>
      </c>
      <c r="BK54" s="253">
        <f>INDEX(SP_GF_RD,0,COLUMN())/INDEX(SP_GF_Rev,0,COLUMN())</f>
        <v/>
      </c>
      <c r="BL54" s="253">
        <f>INDEX(SP_GF_RD,0,COLUMN())/INDEX(SP_GF_Rev,0,COLUMN())</f>
        <v/>
      </c>
      <c r="BM54" s="253">
        <f>INDEX(SP_GF_RD,0,COLUMN())/INDEX(SP_GF_Rev,0,COLUMN())</f>
        <v/>
      </c>
      <c r="BN54" s="253">
        <f>INDEX(SP_GF_RD,0,COLUMN())/INDEX(SP_GF_Rev,0,COLUMN())</f>
        <v/>
      </c>
      <c r="BO54" s="1517">
        <f>INDEX(SP_GF_RD,0,COLUMN())/INDEX(SP_GF_Rev,0,COLUMN())</f>
        <v/>
      </c>
      <c r="BP54" s="253">
        <f>INDEX(SP_GF_RD,0,COLUMN())/INDEX(SP_GF_Rev,0,COLUMN())</f>
        <v/>
      </c>
      <c r="BQ54" s="253">
        <f>INDEX(SP_GF_RD,0,COLUMN())/INDEX(SP_GF_Rev,0,COLUMN())</f>
        <v/>
      </c>
      <c r="BR54" s="253">
        <f>INDEX(SP_GF_RD,0,COLUMN())/INDEX(SP_GF_Rev,0,COLUMN())</f>
        <v/>
      </c>
      <c r="BS54" s="253">
        <f>INDEX(SP_GF_RD,0,COLUMN())/INDEX(SP_GF_Rev,0,COLUMN())</f>
        <v/>
      </c>
      <c r="BT54" s="1525">
        <f>INDEX(SP_GF_RD,0,COLUMN())/INDEX(SP_GF_Rev,0,COLUMN())</f>
        <v/>
      </c>
      <c r="BU54" s="253">
        <f>INDEX(SP_GF_RD,0,COLUMN())/INDEX(SP_GF_Rev,0,COLUMN())</f>
        <v/>
      </c>
      <c r="BV54" s="253">
        <f>INDEX(SP_GF_RD,0,COLUMN())/INDEX(SP_GF_Rev,0,COLUMN())</f>
        <v/>
      </c>
      <c r="BW54" s="253">
        <f>INDEX(SP_GF_RD,0,COLUMN())/INDEX(SP_GF_Rev,0,COLUMN())</f>
        <v/>
      </c>
      <c r="BX54" s="253">
        <f>INDEX(SP_GF_RD,0,COLUMN())/INDEX(SP_GF_Rev,0,COLUMN())</f>
        <v/>
      </c>
      <c r="BY54" s="1525">
        <f>INDEX(SP_GF_RD,0,COLUMN())/INDEX(SP_GF_Rev,0,COLUMN())</f>
        <v/>
      </c>
      <c r="BZ54" s="1525">
        <f>INDEX(SP_GF_RD,0,COLUMN())/INDEX(SP_GF_Rev,0,COLUMN())</f>
        <v/>
      </c>
      <c r="CA54" s="1525">
        <f>INDEX(SP_GF_RD,0,COLUMN())/INDEX(SP_GF_Rev,0,COLUMN())</f>
        <v/>
      </c>
      <c r="CB54" s="1525">
        <f>INDEX(SP_GF_RD,0,COLUMN())/INDEX(SP_GF_Rev,0,COLUMN())</f>
        <v/>
      </c>
      <c r="CC54" s="800" t="n"/>
    </row>
    <row r="55" ht="15" customFormat="1" customHeight="1" s="637">
      <c r="A55" s="167">
        <f>INDEX(MO_MA_EBIT,0,COLUMN())</f>
        <v/>
      </c>
      <c r="B55" s="168" t="n"/>
      <c r="C55" s="1520">
        <f>INDEX(MO_MA_EBIT,0,COLUMN())</f>
        <v/>
      </c>
      <c r="D55" s="1520">
        <f>INDEX(MO_MA_EBIT,0,COLUMN())</f>
        <v/>
      </c>
      <c r="E55" s="1520">
        <f>INDEX(MO_MA_EBIT,0,COLUMN())</f>
        <v/>
      </c>
      <c r="F55" s="1520">
        <f>INDEX(MO_MA_EBIT,0,COLUMN())</f>
        <v/>
      </c>
      <c r="G55" s="1520">
        <f>INDEX(MO_MA_EBIT,0,COLUMN())</f>
        <v/>
      </c>
      <c r="H55" s="780">
        <f>INDEX(MO_MA_EBIT,0,COLUMN())</f>
        <v/>
      </c>
      <c r="I55" s="780">
        <f>INDEX(MO_MA_EBIT,0,COLUMN())</f>
        <v/>
      </c>
      <c r="J55" s="780">
        <f>INDEX(MO_MA_EBIT,0,COLUMN())</f>
        <v/>
      </c>
      <c r="K55" s="780">
        <f>INDEX(MO_MA_EBIT,0,COLUMN())</f>
        <v/>
      </c>
      <c r="L55" s="1520">
        <f>INDEX(MO_MA_EBIT,0,COLUMN())</f>
        <v/>
      </c>
      <c r="M55" s="780">
        <f>INDEX(MO_MA_EBIT,0,COLUMN())</f>
        <v/>
      </c>
      <c r="N55" s="780">
        <f>INDEX(MO_MA_EBIT,0,COLUMN())</f>
        <v/>
      </c>
      <c r="O55" s="780">
        <f>INDEX(MO_MA_EBIT,0,COLUMN())</f>
        <v/>
      </c>
      <c r="P55" s="780">
        <f>INDEX(MO_MA_EBIT,0,COLUMN())</f>
        <v/>
      </c>
      <c r="Q55" s="1520">
        <f>INDEX(MO_MA_EBIT,0,COLUMN())</f>
        <v/>
      </c>
      <c r="R55" s="780">
        <f>INDEX(MO_MA_EBIT,0,COLUMN())</f>
        <v/>
      </c>
      <c r="S55" s="780">
        <f>INDEX(MO_MA_EBIT,0,COLUMN())</f>
        <v/>
      </c>
      <c r="T55" s="780">
        <f>INDEX(MO_MA_EBIT,0,COLUMN())</f>
        <v/>
      </c>
      <c r="U55" s="780">
        <f>INDEX(MO_MA_EBIT,0,COLUMN())</f>
        <v/>
      </c>
      <c r="V55" s="1520">
        <f>INDEX(MO_MA_EBIT,0,COLUMN())</f>
        <v/>
      </c>
      <c r="W55" s="780">
        <f>INDEX(MO_MA_EBIT,0,COLUMN())</f>
        <v/>
      </c>
      <c r="X55" s="780">
        <f>INDEX(MO_MA_EBIT,0,COLUMN())</f>
        <v/>
      </c>
      <c r="Y55" s="780">
        <f>INDEX(MO_MA_EBIT,0,COLUMN())</f>
        <v/>
      </c>
      <c r="Z55" s="780">
        <f>INDEX(MO_MA_EBIT,0,COLUMN())</f>
        <v/>
      </c>
      <c r="AA55" s="1520">
        <f>INDEX(MO_MA_EBIT,0,COLUMN())</f>
        <v/>
      </c>
      <c r="AB55" s="780">
        <f>INDEX(MO_MA_EBIT,0,COLUMN())</f>
        <v/>
      </c>
      <c r="AC55" s="780">
        <f>INDEX(MO_MA_EBIT,0,COLUMN())</f>
        <v/>
      </c>
      <c r="AD55" s="780">
        <f>INDEX(MO_MA_EBIT,0,COLUMN())</f>
        <v/>
      </c>
      <c r="AE55" s="780">
        <f>INDEX(MO_MA_EBIT,0,COLUMN())</f>
        <v/>
      </c>
      <c r="AF55" s="1520">
        <f>INDEX(MO_MA_EBIT,0,COLUMN())</f>
        <v/>
      </c>
      <c r="AG55" s="780">
        <f>INDEX(MO_MA_EBIT,0,COLUMN())</f>
        <v/>
      </c>
      <c r="AH55" s="780">
        <f>INDEX(MO_MA_EBIT,0,COLUMN())</f>
        <v/>
      </c>
      <c r="AI55" s="780">
        <f>INDEX(MO_MA_EBIT,0,COLUMN())</f>
        <v/>
      </c>
      <c r="AJ55" s="780">
        <f>INDEX(MO_MA_EBIT,0,COLUMN())</f>
        <v/>
      </c>
      <c r="AK55" s="1520">
        <f>INDEX(MO_MA_EBIT,0,COLUMN())</f>
        <v/>
      </c>
      <c r="AL55" s="780">
        <f>INDEX(MO_MA_EBIT,0,COLUMN())</f>
        <v/>
      </c>
      <c r="AM55" s="780">
        <f>INDEX(MO_MA_EBIT,0,COLUMN())</f>
        <v/>
      </c>
      <c r="AN55" s="780">
        <f>INDEX(MO_MA_EBIT,0,COLUMN())</f>
        <v/>
      </c>
      <c r="AO55" s="780">
        <f>INDEX(MO_MA_EBIT,0,COLUMN())</f>
        <v/>
      </c>
      <c r="AP55" s="1520">
        <f>INDEX(MO_MA_EBIT,0,COLUMN())</f>
        <v/>
      </c>
      <c r="AQ55" s="780">
        <f>INDEX(MO_MA_EBIT,0,COLUMN())</f>
        <v/>
      </c>
      <c r="AR55" s="780">
        <f>INDEX(MO_MA_EBIT,0,COLUMN())</f>
        <v/>
      </c>
      <c r="AS55" s="780">
        <f>INDEX(MO_MA_EBIT,0,COLUMN())</f>
        <v/>
      </c>
      <c r="AT55" s="780">
        <f>INDEX(MO_MA_EBIT,0,COLUMN())</f>
        <v/>
      </c>
      <c r="AU55" s="1520">
        <f>INDEX(MO_MA_EBIT,0,COLUMN())</f>
        <v/>
      </c>
      <c r="AV55" s="780">
        <f>INDEX(MO_MA_EBIT,0,COLUMN())</f>
        <v/>
      </c>
      <c r="AW55" s="780">
        <f>INDEX(MO_MA_EBIT,0,COLUMN())</f>
        <v/>
      </c>
      <c r="AX55" s="780">
        <f>INDEX(MO_MA_EBIT,0,COLUMN())</f>
        <v/>
      </c>
      <c r="AY55" s="780">
        <f>INDEX(MO_MA_EBIT,0,COLUMN())</f>
        <v/>
      </c>
      <c r="AZ55" s="1520">
        <f>INDEX(MO_MA_EBIT,0,COLUMN())</f>
        <v/>
      </c>
      <c r="BA55" s="780">
        <f>INDEX(MO_MA_EBIT,0,COLUMN())</f>
        <v/>
      </c>
      <c r="BB55" s="780">
        <f>INDEX(MO_MA_EBIT,0,COLUMN())</f>
        <v/>
      </c>
      <c r="BC55" s="780">
        <f>INDEX(MO_MA_EBIT,0,COLUMN())</f>
        <v/>
      </c>
      <c r="BD55" s="780">
        <f>INDEX(MO_MA_EBIT,0,COLUMN())</f>
        <v/>
      </c>
      <c r="BE55" s="1520">
        <f>INDEX(MO_MA_EBIT,0,COLUMN())</f>
        <v/>
      </c>
      <c r="BF55" s="780">
        <f>INDEX(MO_MA_EBIT,0,COLUMN())</f>
        <v/>
      </c>
      <c r="BG55" s="780">
        <f>INDEX(MO_MA_EBIT,0,COLUMN())</f>
        <v/>
      </c>
      <c r="BH55" s="780">
        <f>INDEX(MO_MA_EBIT,0,COLUMN())</f>
        <v/>
      </c>
      <c r="BI55" s="780">
        <f>INDEX(MO_MA_EBIT,0,COLUMN())</f>
        <v/>
      </c>
      <c r="BJ55" s="1520">
        <f>INDEX(MO_MA_EBIT,0,COLUMN())</f>
        <v/>
      </c>
      <c r="BK55" s="780">
        <f>INDEX(MO_MA_EBIT,0,COLUMN())</f>
        <v/>
      </c>
      <c r="BL55" s="780">
        <f>INDEX(MO_MA_EBIT,0,COLUMN())</f>
        <v/>
      </c>
      <c r="BM55" s="780">
        <f>INDEX(MO_MA_EBIT,0,COLUMN())</f>
        <v/>
      </c>
      <c r="BN55" s="780">
        <f>INDEX(MO_MA_EBIT,0,COLUMN())</f>
        <v/>
      </c>
      <c r="BO55" s="1519">
        <f>INDEX(MO_MA_EBIT,0,COLUMN())</f>
        <v/>
      </c>
      <c r="BP55" s="780">
        <f>INDEX(MO_MA_EBIT,0,COLUMN())</f>
        <v/>
      </c>
      <c r="BQ55" s="780">
        <f>INDEX(MO_MA_EBIT,0,COLUMN())</f>
        <v/>
      </c>
      <c r="BR55" s="780">
        <f>INDEX(MO_MA_EBIT,0,COLUMN())</f>
        <v/>
      </c>
      <c r="BS55" s="780">
        <f>INDEX(MO_MA_EBIT,0,COLUMN())</f>
        <v/>
      </c>
      <c r="BT55" s="1520">
        <f>INDEX(MO_MA_EBIT,0,COLUMN())</f>
        <v/>
      </c>
      <c r="BU55" s="780">
        <f>INDEX(MO_MA_EBIT,0,COLUMN())</f>
        <v/>
      </c>
      <c r="BV55" s="780">
        <f>INDEX(MO_MA_EBIT,0,COLUMN())</f>
        <v/>
      </c>
      <c r="BW55" s="780">
        <f>INDEX(MO_MA_EBIT,0,COLUMN())</f>
        <v/>
      </c>
      <c r="BX55" s="780">
        <f>INDEX(MO_MA_EBIT,0,COLUMN())</f>
        <v/>
      </c>
      <c r="BY55" s="1520">
        <f>INDEX(MO_MA_EBIT,0,COLUMN())</f>
        <v/>
      </c>
      <c r="BZ55" s="1520">
        <f>INDEX(MO_MA_EBIT,0,COLUMN())</f>
        <v/>
      </c>
      <c r="CA55" s="1520">
        <f>INDEX(MO_MA_EBIT,0,COLUMN())</f>
        <v/>
      </c>
      <c r="CB55" s="1520">
        <f>INDEX(MO_MA_EBIT,0,COLUMN())</f>
        <v/>
      </c>
      <c r="CC55" s="188" t="n"/>
    </row>
    <row r="56" ht="15" customFormat="1" customHeight="1" s="637">
      <c r="A56" s="167">
        <f>INDEX(MO_MA_EBIT_Adj,0,COLUMN())</f>
        <v/>
      </c>
      <c r="B56" s="168" t="n"/>
      <c r="C56" s="1520">
        <f>INDEX(MO_MA_EBIT_Adj,0,COLUMN())</f>
        <v/>
      </c>
      <c r="D56" s="1520">
        <f>INDEX(MO_MA_EBIT_Adj,0,COLUMN())</f>
        <v/>
      </c>
      <c r="E56" s="1520">
        <f>INDEX(MO_MA_EBIT_Adj,0,COLUMN())</f>
        <v/>
      </c>
      <c r="F56" s="1520">
        <f>INDEX(MO_MA_EBIT_Adj,0,COLUMN())</f>
        <v/>
      </c>
      <c r="G56" s="1520">
        <f>INDEX(MO_MA_EBIT_Adj,0,COLUMN())</f>
        <v/>
      </c>
      <c r="H56" s="780">
        <f>INDEX(MO_MA_EBIT_Adj,0,COLUMN())</f>
        <v/>
      </c>
      <c r="I56" s="780">
        <f>INDEX(MO_MA_EBIT_Adj,0,COLUMN())</f>
        <v/>
      </c>
      <c r="J56" s="780">
        <f>INDEX(MO_MA_EBIT_Adj,0,COLUMN())</f>
        <v/>
      </c>
      <c r="K56" s="780">
        <f>INDEX(MO_MA_EBIT_Adj,0,COLUMN())</f>
        <v/>
      </c>
      <c r="L56" s="1520">
        <f>INDEX(MO_MA_EBIT_Adj,0,COLUMN())</f>
        <v/>
      </c>
      <c r="M56" s="780">
        <f>INDEX(MO_MA_EBIT_Adj,0,COLUMN())</f>
        <v/>
      </c>
      <c r="N56" s="780">
        <f>INDEX(MO_MA_EBIT_Adj,0,COLUMN())</f>
        <v/>
      </c>
      <c r="O56" s="780">
        <f>INDEX(MO_MA_EBIT_Adj,0,COLUMN())</f>
        <v/>
      </c>
      <c r="P56" s="780">
        <f>INDEX(MO_MA_EBIT_Adj,0,COLUMN())</f>
        <v/>
      </c>
      <c r="Q56" s="1520">
        <f>INDEX(MO_MA_EBIT_Adj,0,COLUMN())</f>
        <v/>
      </c>
      <c r="R56" s="780">
        <f>INDEX(MO_MA_EBIT_Adj,0,COLUMN())</f>
        <v/>
      </c>
      <c r="S56" s="780">
        <f>INDEX(MO_MA_EBIT_Adj,0,COLUMN())</f>
        <v/>
      </c>
      <c r="T56" s="780">
        <f>INDEX(MO_MA_EBIT_Adj,0,COLUMN())</f>
        <v/>
      </c>
      <c r="U56" s="780">
        <f>INDEX(MO_MA_EBIT_Adj,0,COLUMN())</f>
        <v/>
      </c>
      <c r="V56" s="1520">
        <f>INDEX(MO_MA_EBIT_Adj,0,COLUMN())</f>
        <v/>
      </c>
      <c r="W56" s="780">
        <f>INDEX(MO_MA_EBIT_Adj,0,COLUMN())</f>
        <v/>
      </c>
      <c r="X56" s="780">
        <f>INDEX(MO_MA_EBIT_Adj,0,COLUMN())</f>
        <v/>
      </c>
      <c r="Y56" s="780">
        <f>INDEX(MO_MA_EBIT_Adj,0,COLUMN())</f>
        <v/>
      </c>
      <c r="Z56" s="780">
        <f>INDEX(MO_MA_EBIT_Adj,0,COLUMN())</f>
        <v/>
      </c>
      <c r="AA56" s="1520">
        <f>INDEX(MO_MA_EBIT_Adj,0,COLUMN())</f>
        <v/>
      </c>
      <c r="AB56" s="780">
        <f>INDEX(MO_MA_EBIT_Adj,0,COLUMN())</f>
        <v/>
      </c>
      <c r="AC56" s="780">
        <f>INDEX(MO_MA_EBIT_Adj,0,COLUMN())</f>
        <v/>
      </c>
      <c r="AD56" s="780">
        <f>INDEX(MO_MA_EBIT_Adj,0,COLUMN())</f>
        <v/>
      </c>
      <c r="AE56" s="780">
        <f>INDEX(MO_MA_EBIT_Adj,0,COLUMN())</f>
        <v/>
      </c>
      <c r="AF56" s="1520">
        <f>INDEX(MO_MA_EBIT_Adj,0,COLUMN())</f>
        <v/>
      </c>
      <c r="AG56" s="780">
        <f>INDEX(MO_MA_EBIT_Adj,0,COLUMN())</f>
        <v/>
      </c>
      <c r="AH56" s="780">
        <f>INDEX(MO_MA_EBIT_Adj,0,COLUMN())</f>
        <v/>
      </c>
      <c r="AI56" s="780">
        <f>INDEX(MO_MA_EBIT_Adj,0,COLUMN())</f>
        <v/>
      </c>
      <c r="AJ56" s="780">
        <f>INDEX(MO_MA_EBIT_Adj,0,COLUMN())</f>
        <v/>
      </c>
      <c r="AK56" s="1520">
        <f>INDEX(MO_MA_EBIT_Adj,0,COLUMN())</f>
        <v/>
      </c>
      <c r="AL56" s="780">
        <f>INDEX(MO_MA_EBIT_Adj,0,COLUMN())</f>
        <v/>
      </c>
      <c r="AM56" s="780">
        <f>INDEX(MO_MA_EBIT_Adj,0,COLUMN())</f>
        <v/>
      </c>
      <c r="AN56" s="780">
        <f>INDEX(MO_MA_EBIT_Adj,0,COLUMN())</f>
        <v/>
      </c>
      <c r="AO56" s="780">
        <f>INDEX(MO_MA_EBIT_Adj,0,COLUMN())</f>
        <v/>
      </c>
      <c r="AP56" s="1520">
        <f>INDEX(MO_MA_EBIT_Adj,0,COLUMN())</f>
        <v/>
      </c>
      <c r="AQ56" s="780">
        <f>INDEX(MO_MA_EBIT_Adj,0,COLUMN())</f>
        <v/>
      </c>
      <c r="AR56" s="780">
        <f>INDEX(MO_MA_EBIT_Adj,0,COLUMN())</f>
        <v/>
      </c>
      <c r="AS56" s="780">
        <f>INDEX(MO_MA_EBIT_Adj,0,COLUMN())</f>
        <v/>
      </c>
      <c r="AT56" s="780">
        <f>INDEX(MO_MA_EBIT_Adj,0,COLUMN())</f>
        <v/>
      </c>
      <c r="AU56" s="1520">
        <f>INDEX(MO_MA_EBIT_Adj,0,COLUMN())</f>
        <v/>
      </c>
      <c r="AV56" s="780">
        <f>INDEX(MO_MA_EBIT_Adj,0,COLUMN())</f>
        <v/>
      </c>
      <c r="AW56" s="780">
        <f>INDEX(MO_MA_EBIT_Adj,0,COLUMN())</f>
        <v/>
      </c>
      <c r="AX56" s="780">
        <f>INDEX(MO_MA_EBIT_Adj,0,COLUMN())</f>
        <v/>
      </c>
      <c r="AY56" s="780">
        <f>INDEX(MO_MA_EBIT_Adj,0,COLUMN())</f>
        <v/>
      </c>
      <c r="AZ56" s="1520">
        <f>INDEX(MO_MA_EBIT_Adj,0,COLUMN())</f>
        <v/>
      </c>
      <c r="BA56" s="780">
        <f>INDEX(MO_MA_EBIT_Adj,0,COLUMN())</f>
        <v/>
      </c>
      <c r="BB56" s="780">
        <f>INDEX(MO_MA_EBIT_Adj,0,COLUMN())</f>
        <v/>
      </c>
      <c r="BC56" s="780">
        <f>INDEX(MO_MA_EBIT_Adj,0,COLUMN())</f>
        <v/>
      </c>
      <c r="BD56" s="780">
        <f>INDEX(MO_MA_EBIT_Adj,0,COLUMN())</f>
        <v/>
      </c>
      <c r="BE56" s="1520">
        <f>INDEX(MO_MA_EBIT_Adj,0,COLUMN())</f>
        <v/>
      </c>
      <c r="BF56" s="780">
        <f>INDEX(MO_MA_EBIT_Adj,0,COLUMN())</f>
        <v/>
      </c>
      <c r="BG56" s="780">
        <f>INDEX(MO_MA_EBIT_Adj,0,COLUMN())</f>
        <v/>
      </c>
      <c r="BH56" s="780">
        <f>INDEX(MO_MA_EBIT_Adj,0,COLUMN())</f>
        <v/>
      </c>
      <c r="BI56" s="780">
        <f>INDEX(MO_MA_EBIT_Adj,0,COLUMN())</f>
        <v/>
      </c>
      <c r="BJ56" s="1520">
        <f>INDEX(MO_MA_EBIT_Adj,0,COLUMN())</f>
        <v/>
      </c>
      <c r="BK56" s="780">
        <f>INDEX(MO_MA_EBIT_Adj,0,COLUMN())</f>
        <v/>
      </c>
      <c r="BL56" s="780">
        <f>INDEX(MO_MA_EBIT_Adj,0,COLUMN())</f>
        <v/>
      </c>
      <c r="BM56" s="780">
        <f>INDEX(MO_MA_EBIT_Adj,0,COLUMN())</f>
        <v/>
      </c>
      <c r="BN56" s="780">
        <f>INDEX(MO_MA_EBIT_Adj,0,COLUMN())</f>
        <v/>
      </c>
      <c r="BO56" s="1519">
        <f>INDEX(MO_MA_EBIT_Adj,0,COLUMN())</f>
        <v/>
      </c>
      <c r="BP56" s="780">
        <f>INDEX(MO_MA_EBIT_Adj,0,COLUMN())</f>
        <v/>
      </c>
      <c r="BQ56" s="780">
        <f>INDEX(MO_MA_EBIT_Adj,0,COLUMN())</f>
        <v/>
      </c>
      <c r="BR56" s="780">
        <f>INDEX(MO_MA_EBIT_Adj,0,COLUMN())</f>
        <v/>
      </c>
      <c r="BS56" s="780">
        <f>INDEX(MO_MA_EBIT_Adj,0,COLUMN())</f>
        <v/>
      </c>
      <c r="BT56" s="1520">
        <f>INDEX(MO_MA_EBIT_Adj,0,COLUMN())</f>
        <v/>
      </c>
      <c r="BU56" s="780">
        <f>INDEX(MO_MA_EBIT_Adj,0,COLUMN())</f>
        <v/>
      </c>
      <c r="BV56" s="780">
        <f>INDEX(MO_MA_EBIT_Adj,0,COLUMN())</f>
        <v/>
      </c>
      <c r="BW56" s="780">
        <f>INDEX(MO_MA_EBIT_Adj,0,COLUMN())</f>
        <v/>
      </c>
      <c r="BX56" s="780">
        <f>INDEX(MO_MA_EBIT_Adj,0,COLUMN())</f>
        <v/>
      </c>
      <c r="BY56" s="1520">
        <f>INDEX(MO_MA_EBIT_Adj,0,COLUMN())</f>
        <v/>
      </c>
      <c r="BZ56" s="1520">
        <f>INDEX(MO_MA_EBIT_Adj,0,COLUMN())</f>
        <v/>
      </c>
      <c r="CA56" s="1520">
        <f>INDEX(MO_MA_EBIT_Adj,0,COLUMN())</f>
        <v/>
      </c>
      <c r="CB56" s="1520">
        <f>INDEX(MO_MA_EBIT_Adj,0,COLUMN())</f>
        <v/>
      </c>
      <c r="CC56" s="188" t="n"/>
    </row>
    <row r="57" ht="15" customFormat="1" customHeight="1" s="637">
      <c r="A57" s="167">
        <f>INDEX(MO_MA_EBITDA,0,COLUMN())</f>
        <v/>
      </c>
      <c r="B57" s="168" t="n"/>
      <c r="C57" s="1520">
        <f>INDEX(MO_MA_EBITDA,0,COLUMN())</f>
        <v/>
      </c>
      <c r="D57" s="1520">
        <f>INDEX(MO_MA_EBITDA,0,COLUMN())</f>
        <v/>
      </c>
      <c r="E57" s="1520">
        <f>INDEX(MO_MA_EBITDA,0,COLUMN())</f>
        <v/>
      </c>
      <c r="F57" s="1520">
        <f>INDEX(MO_MA_EBITDA,0,COLUMN())</f>
        <v/>
      </c>
      <c r="G57" s="1520">
        <f>INDEX(MO_MA_EBITDA,0,COLUMN())</f>
        <v/>
      </c>
      <c r="H57" s="780">
        <f>INDEX(MO_MA_EBITDA,0,COLUMN())</f>
        <v/>
      </c>
      <c r="I57" s="780">
        <f>INDEX(MO_MA_EBITDA,0,COLUMN())</f>
        <v/>
      </c>
      <c r="J57" s="780">
        <f>INDEX(MO_MA_EBITDA,0,COLUMN())</f>
        <v/>
      </c>
      <c r="K57" s="780">
        <f>INDEX(MO_MA_EBITDA,0,COLUMN())</f>
        <v/>
      </c>
      <c r="L57" s="1520">
        <f>INDEX(MO_MA_EBITDA,0,COLUMN())</f>
        <v/>
      </c>
      <c r="M57" s="780">
        <f>INDEX(MO_MA_EBITDA,0,COLUMN())</f>
        <v/>
      </c>
      <c r="N57" s="780">
        <f>INDEX(MO_MA_EBITDA,0,COLUMN())</f>
        <v/>
      </c>
      <c r="O57" s="780">
        <f>INDEX(MO_MA_EBITDA,0,COLUMN())</f>
        <v/>
      </c>
      <c r="P57" s="780">
        <f>INDEX(MO_MA_EBITDA,0,COLUMN())</f>
        <v/>
      </c>
      <c r="Q57" s="1520">
        <f>INDEX(MO_MA_EBITDA,0,COLUMN())</f>
        <v/>
      </c>
      <c r="R57" s="780">
        <f>INDEX(MO_MA_EBITDA,0,COLUMN())</f>
        <v/>
      </c>
      <c r="S57" s="780">
        <f>INDEX(MO_MA_EBITDA,0,COLUMN())</f>
        <v/>
      </c>
      <c r="T57" s="780">
        <f>INDEX(MO_MA_EBITDA,0,COLUMN())</f>
        <v/>
      </c>
      <c r="U57" s="780">
        <f>INDEX(MO_MA_EBITDA,0,COLUMN())</f>
        <v/>
      </c>
      <c r="V57" s="1520">
        <f>INDEX(MO_MA_EBITDA,0,COLUMN())</f>
        <v/>
      </c>
      <c r="W57" s="780">
        <f>INDEX(MO_MA_EBITDA,0,COLUMN())</f>
        <v/>
      </c>
      <c r="X57" s="780">
        <f>INDEX(MO_MA_EBITDA,0,COLUMN())</f>
        <v/>
      </c>
      <c r="Y57" s="780">
        <f>INDEX(MO_MA_EBITDA,0,COLUMN())</f>
        <v/>
      </c>
      <c r="Z57" s="780">
        <f>INDEX(MO_MA_EBITDA,0,COLUMN())</f>
        <v/>
      </c>
      <c r="AA57" s="1520">
        <f>INDEX(MO_MA_EBITDA,0,COLUMN())</f>
        <v/>
      </c>
      <c r="AB57" s="780">
        <f>INDEX(MO_MA_EBITDA,0,COLUMN())</f>
        <v/>
      </c>
      <c r="AC57" s="780">
        <f>INDEX(MO_MA_EBITDA,0,COLUMN())</f>
        <v/>
      </c>
      <c r="AD57" s="780">
        <f>INDEX(MO_MA_EBITDA,0,COLUMN())</f>
        <v/>
      </c>
      <c r="AE57" s="780">
        <f>INDEX(MO_MA_EBITDA,0,COLUMN())</f>
        <v/>
      </c>
      <c r="AF57" s="1520">
        <f>INDEX(MO_MA_EBITDA,0,COLUMN())</f>
        <v/>
      </c>
      <c r="AG57" s="780">
        <f>INDEX(MO_MA_EBITDA,0,COLUMN())</f>
        <v/>
      </c>
      <c r="AH57" s="780">
        <f>INDEX(MO_MA_EBITDA,0,COLUMN())</f>
        <v/>
      </c>
      <c r="AI57" s="780">
        <f>INDEX(MO_MA_EBITDA,0,COLUMN())</f>
        <v/>
      </c>
      <c r="AJ57" s="780">
        <f>INDEX(MO_MA_EBITDA,0,COLUMN())</f>
        <v/>
      </c>
      <c r="AK57" s="1520">
        <f>INDEX(MO_MA_EBITDA,0,COLUMN())</f>
        <v/>
      </c>
      <c r="AL57" s="780">
        <f>INDEX(MO_MA_EBITDA,0,COLUMN())</f>
        <v/>
      </c>
      <c r="AM57" s="780">
        <f>INDEX(MO_MA_EBITDA,0,COLUMN())</f>
        <v/>
      </c>
      <c r="AN57" s="780">
        <f>INDEX(MO_MA_EBITDA,0,COLUMN())</f>
        <v/>
      </c>
      <c r="AO57" s="780">
        <f>INDEX(MO_MA_EBITDA,0,COLUMN())</f>
        <v/>
      </c>
      <c r="AP57" s="1520">
        <f>INDEX(MO_MA_EBITDA,0,COLUMN())</f>
        <v/>
      </c>
      <c r="AQ57" s="780">
        <f>INDEX(MO_MA_EBITDA,0,COLUMN())</f>
        <v/>
      </c>
      <c r="AR57" s="780">
        <f>INDEX(MO_MA_EBITDA,0,COLUMN())</f>
        <v/>
      </c>
      <c r="AS57" s="780">
        <f>INDEX(MO_MA_EBITDA,0,COLUMN())</f>
        <v/>
      </c>
      <c r="AT57" s="780">
        <f>INDEX(MO_MA_EBITDA,0,COLUMN())</f>
        <v/>
      </c>
      <c r="AU57" s="1520">
        <f>INDEX(MO_MA_EBITDA,0,COLUMN())</f>
        <v/>
      </c>
      <c r="AV57" s="780">
        <f>INDEX(MO_MA_EBITDA,0,COLUMN())</f>
        <v/>
      </c>
      <c r="AW57" s="780">
        <f>INDEX(MO_MA_EBITDA,0,COLUMN())</f>
        <v/>
      </c>
      <c r="AX57" s="780">
        <f>INDEX(MO_MA_EBITDA,0,COLUMN())</f>
        <v/>
      </c>
      <c r="AY57" s="780">
        <f>INDEX(MO_MA_EBITDA,0,COLUMN())</f>
        <v/>
      </c>
      <c r="AZ57" s="1520">
        <f>INDEX(MO_MA_EBITDA,0,COLUMN())</f>
        <v/>
      </c>
      <c r="BA57" s="780">
        <f>INDEX(MO_MA_EBITDA,0,COLUMN())</f>
        <v/>
      </c>
      <c r="BB57" s="780">
        <f>INDEX(MO_MA_EBITDA,0,COLUMN())</f>
        <v/>
      </c>
      <c r="BC57" s="780">
        <f>INDEX(MO_MA_EBITDA,0,COLUMN())</f>
        <v/>
      </c>
      <c r="BD57" s="780">
        <f>INDEX(MO_MA_EBITDA,0,COLUMN())</f>
        <v/>
      </c>
      <c r="BE57" s="1520">
        <f>INDEX(MO_MA_EBITDA,0,COLUMN())</f>
        <v/>
      </c>
      <c r="BF57" s="780">
        <f>INDEX(MO_MA_EBITDA,0,COLUMN())</f>
        <v/>
      </c>
      <c r="BG57" s="780">
        <f>INDEX(MO_MA_EBITDA,0,COLUMN())</f>
        <v/>
      </c>
      <c r="BH57" s="780">
        <f>INDEX(MO_MA_EBITDA,0,COLUMN())</f>
        <v/>
      </c>
      <c r="BI57" s="780">
        <f>INDEX(MO_MA_EBITDA,0,COLUMN())</f>
        <v/>
      </c>
      <c r="BJ57" s="1520">
        <f>INDEX(MO_MA_EBITDA,0,COLUMN())</f>
        <v/>
      </c>
      <c r="BK57" s="780">
        <f>INDEX(MO_MA_EBITDA,0,COLUMN())</f>
        <v/>
      </c>
      <c r="BL57" s="780">
        <f>INDEX(MO_MA_EBITDA,0,COLUMN())</f>
        <v/>
      </c>
      <c r="BM57" s="780">
        <f>INDEX(MO_MA_EBITDA,0,COLUMN())</f>
        <v/>
      </c>
      <c r="BN57" s="780">
        <f>INDEX(MO_MA_EBITDA,0,COLUMN())</f>
        <v/>
      </c>
      <c r="BO57" s="1519">
        <f>INDEX(MO_MA_EBITDA,0,COLUMN())</f>
        <v/>
      </c>
      <c r="BP57" s="780">
        <f>INDEX(MO_MA_EBITDA,0,COLUMN())</f>
        <v/>
      </c>
      <c r="BQ57" s="780">
        <f>INDEX(MO_MA_EBITDA,0,COLUMN())</f>
        <v/>
      </c>
      <c r="BR57" s="780">
        <f>INDEX(MO_MA_EBITDA,0,COLUMN())</f>
        <v/>
      </c>
      <c r="BS57" s="780">
        <f>INDEX(MO_MA_EBITDA,0,COLUMN())</f>
        <v/>
      </c>
      <c r="BT57" s="1520">
        <f>INDEX(MO_MA_EBITDA,0,COLUMN())</f>
        <v/>
      </c>
      <c r="BU57" s="780">
        <f>INDEX(MO_MA_EBITDA,0,COLUMN())</f>
        <v/>
      </c>
      <c r="BV57" s="780">
        <f>INDEX(MO_MA_EBITDA,0,COLUMN())</f>
        <v/>
      </c>
      <c r="BW57" s="780">
        <f>INDEX(MO_MA_EBITDA,0,COLUMN())</f>
        <v/>
      </c>
      <c r="BX57" s="780">
        <f>INDEX(MO_MA_EBITDA,0,COLUMN())</f>
        <v/>
      </c>
      <c r="BY57" s="1520">
        <f>INDEX(MO_MA_EBITDA,0,COLUMN())</f>
        <v/>
      </c>
      <c r="BZ57" s="1520">
        <f>INDEX(MO_MA_EBITDA,0,COLUMN())</f>
        <v/>
      </c>
      <c r="CA57" s="1520">
        <f>INDEX(MO_MA_EBITDA,0,COLUMN())</f>
        <v/>
      </c>
      <c r="CB57" s="1520">
        <f>INDEX(MO_MA_EBITDA,0,COLUMN())</f>
        <v/>
      </c>
      <c r="CC57" s="188" t="n"/>
    </row>
    <row r="58" ht="15" customFormat="1" customHeight="1" s="637">
      <c r="A58" s="167">
        <f>INDEX(MO_MA_EBITDA_Adj,0,COLUMN())</f>
        <v/>
      </c>
      <c r="B58" s="168" t="n"/>
      <c r="C58" s="1520">
        <f>INDEX(SP_NGF_EBITDA,0,COLUMN())/INDEX(SP_GF_Rev,0,COLUMN())</f>
        <v/>
      </c>
      <c r="D58" s="1520">
        <f>INDEX(SP_NGF_EBITDA,0,COLUMN())/INDEX(SP_GF_Rev,0,COLUMN())</f>
        <v/>
      </c>
      <c r="E58" s="1520">
        <f>INDEX(SP_NGF_EBITDA,0,COLUMN())/INDEX(SP_GF_Rev,0,COLUMN())</f>
        <v/>
      </c>
      <c r="F58" s="1520">
        <f>INDEX(SP_NGF_EBITDA,0,COLUMN())/INDEX(SP_GF_Rev,0,COLUMN())</f>
        <v/>
      </c>
      <c r="G58" s="1520">
        <f>INDEX(SP_NGF_EBITDA,0,COLUMN())/INDEX(SP_GF_Rev,0,COLUMN())</f>
        <v/>
      </c>
      <c r="H58" s="780">
        <f>INDEX(SP_NGF_EBITDA,0,COLUMN())/INDEX(SP_GF_Rev,0,COLUMN())</f>
        <v/>
      </c>
      <c r="I58" s="780">
        <f>INDEX(SP_NGF_EBITDA,0,COLUMN())/INDEX(SP_GF_Rev,0,COLUMN())</f>
        <v/>
      </c>
      <c r="J58" s="780">
        <f>INDEX(SP_NGF_EBITDA,0,COLUMN())/INDEX(SP_GF_Rev,0,COLUMN())</f>
        <v/>
      </c>
      <c r="K58" s="780">
        <f>INDEX(SP_NGF_EBITDA,0,COLUMN())/INDEX(SP_GF_Rev,0,COLUMN())</f>
        <v/>
      </c>
      <c r="L58" s="1520">
        <f>INDEX(SP_NGF_EBITDA,0,COLUMN())/INDEX(SP_GF_Rev,0,COLUMN())</f>
        <v/>
      </c>
      <c r="M58" s="780">
        <f>INDEX(SP_NGF_EBITDA,0,COLUMN())/INDEX(SP_GF_Rev,0,COLUMN())</f>
        <v/>
      </c>
      <c r="N58" s="780">
        <f>INDEX(SP_NGF_EBITDA,0,COLUMN())/INDEX(SP_GF_Rev,0,COLUMN())</f>
        <v/>
      </c>
      <c r="O58" s="780">
        <f>INDEX(SP_NGF_EBITDA,0,COLUMN())/INDEX(SP_GF_Rev,0,COLUMN())</f>
        <v/>
      </c>
      <c r="P58" s="780">
        <f>INDEX(SP_NGF_EBITDA,0,COLUMN())/INDEX(SP_GF_Rev,0,COLUMN())</f>
        <v/>
      </c>
      <c r="Q58" s="1520">
        <f>INDEX(SP_NGF_EBITDA,0,COLUMN())/INDEX(SP_GF_Rev,0,COLUMN())</f>
        <v/>
      </c>
      <c r="R58" s="780">
        <f>INDEX(SP_NGF_EBITDA,0,COLUMN())/INDEX(SP_GF_Rev,0,COLUMN())</f>
        <v/>
      </c>
      <c r="S58" s="780">
        <f>INDEX(SP_NGF_EBITDA,0,COLUMN())/INDEX(SP_GF_Rev,0,COLUMN())</f>
        <v/>
      </c>
      <c r="T58" s="780">
        <f>INDEX(SP_NGF_EBITDA,0,COLUMN())/INDEX(SP_GF_Rev,0,COLUMN())</f>
        <v/>
      </c>
      <c r="U58" s="780">
        <f>INDEX(SP_NGF_EBITDA,0,COLUMN())/INDEX(SP_GF_Rev,0,COLUMN())</f>
        <v/>
      </c>
      <c r="V58" s="1520">
        <f>INDEX(SP_NGF_EBITDA,0,COLUMN())/INDEX(SP_GF_Rev,0,COLUMN())</f>
        <v/>
      </c>
      <c r="W58" s="780">
        <f>INDEX(SP_NGF_EBITDA,0,COLUMN())/INDEX(SP_GF_Rev,0,COLUMN())</f>
        <v/>
      </c>
      <c r="X58" s="780">
        <f>INDEX(SP_NGF_EBITDA,0,COLUMN())/INDEX(SP_GF_Rev,0,COLUMN())</f>
        <v/>
      </c>
      <c r="Y58" s="780">
        <f>INDEX(SP_NGF_EBITDA,0,COLUMN())/INDEX(SP_GF_Rev,0,COLUMN())</f>
        <v/>
      </c>
      <c r="Z58" s="780">
        <f>INDEX(SP_NGF_EBITDA,0,COLUMN())/INDEX(SP_GF_Rev,0,COLUMN())</f>
        <v/>
      </c>
      <c r="AA58" s="1520">
        <f>INDEX(SP_NGF_EBITDA,0,COLUMN())/INDEX(SP_GF_Rev,0,COLUMN())</f>
        <v/>
      </c>
      <c r="AB58" s="780">
        <f>INDEX(SP_NGF_EBITDA,0,COLUMN())/INDEX(SP_GF_Rev,0,COLUMN())</f>
        <v/>
      </c>
      <c r="AC58" s="780">
        <f>INDEX(SP_NGF_EBITDA,0,COLUMN())/INDEX(SP_GF_Rev,0,COLUMN())</f>
        <v/>
      </c>
      <c r="AD58" s="780">
        <f>INDEX(SP_NGF_EBITDA,0,COLUMN())/INDEX(SP_GF_Rev,0,COLUMN())</f>
        <v/>
      </c>
      <c r="AE58" s="780">
        <f>INDEX(SP_NGF_EBITDA,0,COLUMN())/INDEX(SP_GF_Rev,0,COLUMN())</f>
        <v/>
      </c>
      <c r="AF58" s="1520">
        <f>INDEX(SP_NGF_EBITDA,0,COLUMN())/INDEX(SP_GF_Rev,0,COLUMN())</f>
        <v/>
      </c>
      <c r="AG58" s="780">
        <f>INDEX(SP_NGF_EBITDA,0,COLUMN())/INDEX(SP_GF_Rev,0,COLUMN())</f>
        <v/>
      </c>
      <c r="AH58" s="780">
        <f>INDEX(SP_NGF_EBITDA,0,COLUMN())/INDEX(SP_GF_Rev,0,COLUMN())</f>
        <v/>
      </c>
      <c r="AI58" s="780">
        <f>INDEX(SP_NGF_EBITDA,0,COLUMN())/INDEX(SP_GF_Rev,0,COLUMN())</f>
        <v/>
      </c>
      <c r="AJ58" s="780">
        <f>INDEX(SP_NGF_EBITDA,0,COLUMN())/INDEX(SP_GF_Rev,0,COLUMN())</f>
        <v/>
      </c>
      <c r="AK58" s="1520">
        <f>INDEX(SP_NGF_EBITDA,0,COLUMN())/INDEX(SP_GF_Rev,0,COLUMN())</f>
        <v/>
      </c>
      <c r="AL58" s="780">
        <f>INDEX(SP_NGF_EBITDA,0,COLUMN())/INDEX(SP_GF_Rev,0,COLUMN())</f>
        <v/>
      </c>
      <c r="AM58" s="780">
        <f>INDEX(SP_NGF_EBITDA,0,COLUMN())/INDEX(SP_GF_Rev,0,COLUMN())</f>
        <v/>
      </c>
      <c r="AN58" s="780">
        <f>INDEX(SP_NGF_EBITDA,0,COLUMN())/INDEX(SP_GF_Rev,0,COLUMN())</f>
        <v/>
      </c>
      <c r="AO58" s="780">
        <f>INDEX(SP_NGF_EBITDA,0,COLUMN())/INDEX(SP_GF_Rev,0,COLUMN())</f>
        <v/>
      </c>
      <c r="AP58" s="1520">
        <f>INDEX(SP_NGF_EBITDA,0,COLUMN())/INDEX(SP_GF_Rev,0,COLUMN())</f>
        <v/>
      </c>
      <c r="AQ58" s="780">
        <f>INDEX(SP_NGF_EBITDA,0,COLUMN())/INDEX(SP_GF_Rev,0,COLUMN())</f>
        <v/>
      </c>
      <c r="AR58" s="780">
        <f>INDEX(SP_NGF_EBITDA,0,COLUMN())/INDEX(SP_GF_Rev,0,COLUMN())</f>
        <v/>
      </c>
      <c r="AS58" s="780">
        <f>INDEX(SP_NGF_EBITDA,0,COLUMN())/INDEX(SP_GF_Rev,0,COLUMN())</f>
        <v/>
      </c>
      <c r="AT58" s="780">
        <f>INDEX(SP_NGF_EBITDA,0,COLUMN())/INDEX(SP_GF_Rev,0,COLUMN())</f>
        <v/>
      </c>
      <c r="AU58" s="1520">
        <f>INDEX(SP_NGF_EBITDA,0,COLUMN())/INDEX(SP_GF_Rev,0,COLUMN())</f>
        <v/>
      </c>
      <c r="AV58" s="780">
        <f>INDEX(SP_NGF_EBITDA,0,COLUMN())/INDEX(SP_GF_Rev,0,COLUMN())</f>
        <v/>
      </c>
      <c r="AW58" s="780">
        <f>INDEX(SP_NGF_EBITDA,0,COLUMN())/INDEX(SP_GF_Rev,0,COLUMN())</f>
        <v/>
      </c>
      <c r="AX58" s="780">
        <f>INDEX(SP_NGF_EBITDA,0,COLUMN())/INDEX(SP_GF_Rev,0,COLUMN())</f>
        <v/>
      </c>
      <c r="AY58" s="780">
        <f>INDEX(SP_NGF_EBITDA,0,COLUMN())/INDEX(SP_GF_Rev,0,COLUMN())</f>
        <v/>
      </c>
      <c r="AZ58" s="1520">
        <f>INDEX(SP_NGF_EBITDA,0,COLUMN())/INDEX(SP_GF_Rev,0,COLUMN())</f>
        <v/>
      </c>
      <c r="BA58" s="780">
        <f>INDEX(SP_NGF_EBITDA,0,COLUMN())/INDEX(SP_GF_Rev,0,COLUMN())</f>
        <v/>
      </c>
      <c r="BB58" s="780">
        <f>INDEX(SP_NGF_EBITDA,0,COLUMN())/INDEX(SP_GF_Rev,0,COLUMN())</f>
        <v/>
      </c>
      <c r="BC58" s="780">
        <f>INDEX(SP_NGF_EBITDA,0,COLUMN())/INDEX(SP_GF_Rev,0,COLUMN())</f>
        <v/>
      </c>
      <c r="BD58" s="780">
        <f>INDEX(SP_NGF_EBITDA,0,COLUMN())/INDEX(SP_GF_Rev,0,COLUMN())</f>
        <v/>
      </c>
      <c r="BE58" s="1520">
        <f>INDEX(SP_NGF_EBITDA,0,COLUMN())/INDEX(SP_GF_Rev,0,COLUMN())</f>
        <v/>
      </c>
      <c r="BF58" s="780">
        <f>INDEX(SP_NGF_EBITDA,0,COLUMN())/INDEX(SP_GF_Rev,0,COLUMN())</f>
        <v/>
      </c>
      <c r="BG58" s="780">
        <f>INDEX(SP_NGF_EBITDA,0,COLUMN())/INDEX(SP_GF_Rev,0,COLUMN())</f>
        <v/>
      </c>
      <c r="BH58" s="780">
        <f>INDEX(SP_NGF_EBITDA,0,COLUMN())/INDEX(SP_GF_Rev,0,COLUMN())</f>
        <v/>
      </c>
      <c r="BI58" s="780">
        <f>INDEX(SP_NGF_EBITDA,0,COLUMN())/INDEX(SP_GF_Rev,0,COLUMN())</f>
        <v/>
      </c>
      <c r="BJ58" s="1520">
        <f>INDEX(SP_NGF_EBITDA,0,COLUMN())/INDEX(SP_GF_Rev,0,COLUMN())</f>
        <v/>
      </c>
      <c r="BK58" s="780">
        <f>INDEX(SP_NGF_EBITDA,0,COLUMN())/INDEX(SP_GF_Rev,0,COLUMN())</f>
        <v/>
      </c>
      <c r="BL58" s="780">
        <f>INDEX(SP_NGF_EBITDA,0,COLUMN())/INDEX(SP_GF_Rev,0,COLUMN())</f>
        <v/>
      </c>
      <c r="BM58" s="780">
        <f>INDEX(SP_NGF_EBITDA,0,COLUMN())/INDEX(SP_GF_Rev,0,COLUMN())</f>
        <v/>
      </c>
      <c r="BN58" s="780">
        <f>INDEX(SP_NGF_EBITDA,0,COLUMN())/INDEX(SP_GF_Rev,0,COLUMN())</f>
        <v/>
      </c>
      <c r="BO58" s="1519">
        <f>INDEX(SP_NGF_EBITDA,0,COLUMN())/INDEX(SP_GF_Rev,0,COLUMN())</f>
        <v/>
      </c>
      <c r="BP58" s="780">
        <f>INDEX(SP_NGF_EBITDA,0,COLUMN())/INDEX(SP_GF_Rev,0,COLUMN())</f>
        <v/>
      </c>
      <c r="BQ58" s="780">
        <f>INDEX(SP_NGF_EBITDA,0,COLUMN())/INDEX(SP_GF_Rev,0,COLUMN())</f>
        <v/>
      </c>
      <c r="BR58" s="780">
        <f>INDEX(SP_NGF_EBITDA,0,COLUMN())/INDEX(SP_GF_Rev,0,COLUMN())</f>
        <v/>
      </c>
      <c r="BS58" s="780">
        <f>INDEX(SP_NGF_EBITDA,0,COLUMN())/INDEX(SP_GF_Rev,0,COLUMN())</f>
        <v/>
      </c>
      <c r="BT58" s="1520">
        <f>INDEX(SP_NGF_EBITDA,0,COLUMN())/INDEX(SP_GF_Rev,0,COLUMN())</f>
        <v/>
      </c>
      <c r="BU58" s="780">
        <f>INDEX(SP_NGF_EBITDA,0,COLUMN())/INDEX(SP_GF_Rev,0,COLUMN())</f>
        <v/>
      </c>
      <c r="BV58" s="780">
        <f>INDEX(SP_NGF_EBITDA,0,COLUMN())/INDEX(SP_GF_Rev,0,COLUMN())</f>
        <v/>
      </c>
      <c r="BW58" s="780">
        <f>INDEX(SP_NGF_EBITDA,0,COLUMN())/INDEX(SP_GF_Rev,0,COLUMN())</f>
        <v/>
      </c>
      <c r="BX58" s="780">
        <f>INDEX(SP_NGF_EBITDA,0,COLUMN())/INDEX(SP_GF_Rev,0,COLUMN())</f>
        <v/>
      </c>
      <c r="BY58" s="1520">
        <f>INDEX(SP_NGF_EBITDA,0,COLUMN())/INDEX(SP_GF_Rev,0,COLUMN())</f>
        <v/>
      </c>
      <c r="BZ58" s="1520">
        <f>INDEX(SP_NGF_EBITDA,0,COLUMN())/INDEX(SP_GF_Rev,0,COLUMN())</f>
        <v/>
      </c>
      <c r="CA58" s="1520">
        <f>INDEX(SP_NGF_EBITDA,0,COLUMN())/INDEX(SP_GF_Rev,0,COLUMN())</f>
        <v/>
      </c>
      <c r="CB58" s="1520">
        <f>INDEX(SP_NGF_EBITDA,0,COLUMN())/INDEX(SP_GF_Rev,0,COLUMN())</f>
        <v/>
      </c>
      <c r="CC58" s="188" t="n"/>
    </row>
    <row r="59" ht="15" customHeight="1" s="595">
      <c r="A59" s="169" t="n"/>
      <c r="B59" s="2141" t="n"/>
      <c r="C59" s="2142" t="n"/>
      <c r="D59" s="2142" t="n"/>
      <c r="E59" s="2142" t="n"/>
      <c r="F59" s="2142" t="n"/>
      <c r="G59" s="2142" t="n"/>
      <c r="H59" s="2136" t="n"/>
      <c r="I59" s="2136" t="n"/>
      <c r="J59" s="2136" t="n"/>
      <c r="K59" s="2136" t="n"/>
      <c r="L59" s="2142" t="n"/>
      <c r="M59" s="2136" t="n"/>
      <c r="N59" s="2136" t="n"/>
      <c r="O59" s="2136" t="n"/>
      <c r="P59" s="2136" t="n"/>
      <c r="Q59" s="2142" t="n"/>
      <c r="R59" s="2136" t="n"/>
      <c r="S59" s="2136" t="n"/>
      <c r="T59" s="2136" t="n"/>
      <c r="U59" s="2136" t="n"/>
      <c r="V59" s="2142" t="n"/>
      <c r="W59" s="2136" t="n"/>
      <c r="X59" s="2136" t="n"/>
      <c r="Y59" s="2136" t="n"/>
      <c r="Z59" s="2136" t="n"/>
      <c r="AA59" s="2142" t="n"/>
      <c r="AB59" s="2136" t="n"/>
      <c r="AC59" s="2136" t="n"/>
      <c r="AD59" s="2136" t="n"/>
      <c r="AE59" s="2136" t="n"/>
      <c r="AF59" s="2142" t="n"/>
      <c r="AG59" s="2136" t="n"/>
      <c r="AH59" s="2136" t="n"/>
      <c r="AI59" s="2136" t="n"/>
      <c r="AJ59" s="2136" t="n"/>
      <c r="AK59" s="2142" t="n"/>
      <c r="AL59" s="2136" t="n"/>
      <c r="AM59" s="2136" t="n"/>
      <c r="AN59" s="2136" t="n"/>
      <c r="AO59" s="2136" t="n"/>
      <c r="AP59" s="2142" t="n"/>
      <c r="AQ59" s="2136" t="n"/>
      <c r="AR59" s="2136" t="n"/>
      <c r="AS59" s="2136" t="n"/>
      <c r="AT59" s="2136" t="n"/>
      <c r="AU59" s="2142" t="n"/>
      <c r="AV59" s="2136" t="n"/>
      <c r="AW59" s="2136" t="n"/>
      <c r="AX59" s="2136" t="n"/>
      <c r="AY59" s="2136" t="n"/>
      <c r="AZ59" s="2142" t="n"/>
      <c r="BA59" s="2136" t="n"/>
      <c r="BB59" s="2136" t="n"/>
      <c r="BC59" s="2136" t="n"/>
      <c r="BD59" s="2136" t="n"/>
      <c r="BE59" s="2142" t="n"/>
      <c r="BF59" s="2136" t="n"/>
      <c r="BG59" s="2136" t="n"/>
      <c r="BH59" s="2136" t="n"/>
      <c r="BI59" s="2136" t="n"/>
      <c r="BJ59" s="2142" t="n"/>
      <c r="BK59" s="2136" t="n"/>
      <c r="BL59" s="2136" t="n"/>
      <c r="BM59" s="2136" t="n"/>
      <c r="BN59" s="2136" t="n"/>
      <c r="BO59" s="2143" t="n"/>
      <c r="BP59" s="2136" t="n"/>
      <c r="BQ59" s="2136" t="n"/>
      <c r="BR59" s="2136" t="n"/>
      <c r="BS59" s="2136" t="n"/>
      <c r="BT59" s="2142" t="n"/>
      <c r="BU59" s="2136" t="n"/>
      <c r="BV59" s="2136" t="n"/>
      <c r="BW59" s="2136" t="n"/>
      <c r="BX59" s="2136" t="n"/>
      <c r="BY59" s="2142" t="n"/>
      <c r="BZ59" s="2142" t="n"/>
      <c r="CA59" s="2142" t="n"/>
      <c r="CB59" s="2142" t="n"/>
      <c r="CC59" s="2136" t="n"/>
    </row>
    <row r="60" ht="15" customHeight="1" s="595">
      <c r="A60" s="1679" t="inlineStr">
        <is>
          <t>Cash Flow Analysis</t>
        </is>
      </c>
      <c r="B60" s="2144" t="n"/>
      <c r="C60" s="2144" t="n"/>
      <c r="D60" s="2144" t="n"/>
      <c r="E60" s="2144" t="n"/>
      <c r="F60" s="2144" t="n"/>
      <c r="G60" s="2144" t="n"/>
      <c r="H60" s="2144" t="n"/>
      <c r="I60" s="2144" t="n"/>
      <c r="J60" s="2144" t="n"/>
      <c r="K60" s="2144" t="n"/>
      <c r="L60" s="2144" t="n"/>
      <c r="M60" s="2144" t="n"/>
      <c r="N60" s="2144" t="n"/>
      <c r="O60" s="2144" t="n"/>
      <c r="P60" s="2144" t="n"/>
      <c r="Q60" s="2144" t="n"/>
      <c r="R60" s="2144" t="n"/>
      <c r="S60" s="2144" t="n"/>
      <c r="T60" s="2144" t="n"/>
      <c r="U60" s="2144" t="n"/>
      <c r="V60" s="2144" t="n"/>
      <c r="W60" s="2144" t="n"/>
      <c r="X60" s="2144" t="n"/>
      <c r="Y60" s="2144" t="n"/>
      <c r="Z60" s="2144" t="n"/>
      <c r="AA60" s="2144" t="n"/>
      <c r="AB60" s="2144" t="n"/>
      <c r="AC60" s="2144" t="n"/>
      <c r="AD60" s="2144" t="n"/>
      <c r="AE60" s="2144" t="n"/>
      <c r="AF60" s="2144" t="n"/>
      <c r="AG60" s="2144" t="n"/>
      <c r="AH60" s="2144" t="n"/>
      <c r="AI60" s="2144" t="n"/>
      <c r="AJ60" s="2144" t="n"/>
      <c r="AK60" s="2144" t="n"/>
      <c r="AL60" s="2144" t="n"/>
      <c r="AM60" s="2144" t="n"/>
      <c r="AN60" s="2144" t="n"/>
      <c r="AO60" s="2144" t="n"/>
      <c r="AP60" s="2144" t="n"/>
      <c r="AQ60" s="2144" t="n"/>
      <c r="AR60" s="2144" t="n"/>
      <c r="AS60" s="2144" t="n"/>
      <c r="AT60" s="2144" t="n"/>
      <c r="AU60" s="2144" t="n"/>
      <c r="AV60" s="2144" t="n"/>
      <c r="AW60" s="2144" t="n"/>
      <c r="AX60" s="2144" t="n"/>
      <c r="AY60" s="2144" t="n"/>
      <c r="AZ60" s="2144" t="n"/>
      <c r="BA60" s="2144" t="n"/>
      <c r="BB60" s="2144" t="n"/>
      <c r="BC60" s="2144" t="n"/>
      <c r="BD60" s="2144" t="n"/>
      <c r="BE60" s="2144" t="n"/>
      <c r="BF60" s="2144" t="n"/>
      <c r="BG60" s="2144" t="n"/>
      <c r="BH60" s="2144" t="n"/>
      <c r="BI60" s="2144" t="n"/>
      <c r="BJ60" s="2144" t="n"/>
      <c r="BK60" s="2144" t="n"/>
      <c r="BL60" s="2144" t="n"/>
      <c r="BM60" s="2144" t="n"/>
      <c r="BN60" s="2144" t="n"/>
      <c r="BO60" s="2145" t="n"/>
      <c r="BP60" s="2144" t="n"/>
      <c r="BQ60" s="2144" t="n"/>
      <c r="BR60" s="2144" t="n"/>
      <c r="BS60" s="2144" t="n"/>
      <c r="BT60" s="2144" t="n"/>
      <c r="BU60" s="2144" t="n"/>
      <c r="BV60" s="2144" t="n"/>
      <c r="BW60" s="2144" t="n"/>
      <c r="BX60" s="2144" t="n"/>
      <c r="BY60" s="2144" t="n"/>
      <c r="BZ60" s="2144" t="n"/>
      <c r="CA60" s="2144" t="n"/>
      <c r="CB60" s="2144" t="n"/>
      <c r="CC60" s="1970" t="n"/>
    </row>
    <row r="61" hidden="1" outlineLevel="1" ht="15" customFormat="1" customHeight="1" s="2131">
      <c r="A61" s="1780">
        <f>INDEX(MO_CFSum_CFO_BeforeWC,0,COLUMN())</f>
        <v/>
      </c>
      <c r="B61" s="2141" t="n"/>
      <c r="C61" s="2142">
        <f>INDEX(MO_CFSum_CFO_BeforeWC,0,COLUMN())</f>
        <v/>
      </c>
      <c r="D61" s="2142">
        <f>INDEX(MO_CFSum_CFO_BeforeWC,0,COLUMN())</f>
        <v/>
      </c>
      <c r="E61" s="2142">
        <f>INDEX(MO_CFSum_CFO_BeforeWC,0,COLUMN())</f>
        <v/>
      </c>
      <c r="F61" s="2142">
        <f>INDEX(MO_CFSum_CFO_BeforeWC,0,COLUMN())</f>
        <v/>
      </c>
      <c r="G61" s="2142">
        <f>INDEX(MO_CFSum_CFO_BeforeWC,0,COLUMN())</f>
        <v/>
      </c>
      <c r="H61" s="2136">
        <f>INDEX(MO_CFSum_CFO_BeforeWC,0,COLUMN())</f>
        <v/>
      </c>
      <c r="I61" s="2136">
        <f>INDEX(MO_CFSum_CFO_BeforeWC,0,COLUMN())</f>
        <v/>
      </c>
      <c r="J61" s="2136">
        <f>INDEX(MO_CFSum_CFO_BeforeWC,0,COLUMN())</f>
        <v/>
      </c>
      <c r="K61" s="2136">
        <f>INDEX(MO_CFSum_CFO_BeforeWC,0,COLUMN())</f>
        <v/>
      </c>
      <c r="L61" s="2142">
        <f>INDEX(MO_CFSum_CFO_BeforeWC,0,COLUMN())</f>
        <v/>
      </c>
      <c r="M61" s="2136">
        <f>INDEX(MO_CFSum_CFO_BeforeWC,0,COLUMN())</f>
        <v/>
      </c>
      <c r="N61" s="2136">
        <f>INDEX(MO_CFSum_CFO_BeforeWC,0,COLUMN())</f>
        <v/>
      </c>
      <c r="O61" s="2136">
        <f>INDEX(MO_CFSum_CFO_BeforeWC,0,COLUMN())</f>
        <v/>
      </c>
      <c r="P61" s="2136">
        <f>INDEX(MO_CFSum_CFO_BeforeWC,0,COLUMN())</f>
        <v/>
      </c>
      <c r="Q61" s="2142">
        <f>INDEX(MO_CFSum_CFO_BeforeWC,0,COLUMN())</f>
        <v/>
      </c>
      <c r="R61" s="2136">
        <f>INDEX(MO_CFSum_CFO_BeforeWC,0,COLUMN())</f>
        <v/>
      </c>
      <c r="S61" s="2136">
        <f>INDEX(MO_CFSum_CFO_BeforeWC,0,COLUMN())</f>
        <v/>
      </c>
      <c r="T61" s="2136">
        <f>INDEX(MO_CFSum_CFO_BeforeWC,0,COLUMN())</f>
        <v/>
      </c>
      <c r="U61" s="2136">
        <f>INDEX(MO_CFSum_CFO_BeforeWC,0,COLUMN())</f>
        <v/>
      </c>
      <c r="V61" s="2142">
        <f>INDEX(MO_CFSum_CFO_BeforeWC,0,COLUMN())</f>
        <v/>
      </c>
      <c r="W61" s="2136">
        <f>INDEX(MO_CFSum_CFO_BeforeWC,0,COLUMN())</f>
        <v/>
      </c>
      <c r="X61" s="2136">
        <f>INDEX(MO_CFSum_CFO_BeforeWC,0,COLUMN())</f>
        <v/>
      </c>
      <c r="Y61" s="2136">
        <f>INDEX(MO_CFSum_CFO_BeforeWC,0,COLUMN())</f>
        <v/>
      </c>
      <c r="Z61" s="2136">
        <f>INDEX(MO_CFSum_CFO_BeforeWC,0,COLUMN())</f>
        <v/>
      </c>
      <c r="AA61" s="2142">
        <f>INDEX(MO_CFSum_CFO_BeforeWC,0,COLUMN())</f>
        <v/>
      </c>
      <c r="AB61" s="2136">
        <f>INDEX(MO_CFSum_CFO_BeforeWC,0,COLUMN())</f>
        <v/>
      </c>
      <c r="AC61" s="2136">
        <f>INDEX(MO_CFSum_CFO_BeforeWC,0,COLUMN())</f>
        <v/>
      </c>
      <c r="AD61" s="2136">
        <f>INDEX(MO_CFSum_CFO_BeforeWC,0,COLUMN())</f>
        <v/>
      </c>
      <c r="AE61" s="2136">
        <f>INDEX(MO_CFSum_CFO_BeforeWC,0,COLUMN())</f>
        <v/>
      </c>
      <c r="AF61" s="2142">
        <f>INDEX(MO_CFSum_CFO_BeforeWC,0,COLUMN())</f>
        <v/>
      </c>
      <c r="AG61" s="2136">
        <f>INDEX(MO_CFSum_CFO_BeforeWC,0,COLUMN())</f>
        <v/>
      </c>
      <c r="AH61" s="2136">
        <f>INDEX(MO_CFSum_CFO_BeforeWC,0,COLUMN())</f>
        <v/>
      </c>
      <c r="AI61" s="2136">
        <f>INDEX(MO_CFSum_CFO_BeforeWC,0,COLUMN())</f>
        <v/>
      </c>
      <c r="AJ61" s="2136">
        <f>INDEX(MO_CFSum_CFO_BeforeWC,0,COLUMN())</f>
        <v/>
      </c>
      <c r="AK61" s="2142">
        <f>INDEX(MO_CFSum_CFO_BeforeWC,0,COLUMN())</f>
        <v/>
      </c>
      <c r="AL61" s="2136">
        <f>INDEX(MO_CFSum_CFO_BeforeWC,0,COLUMN())</f>
        <v/>
      </c>
      <c r="AM61" s="2136">
        <f>INDEX(MO_CFSum_CFO_BeforeWC,0,COLUMN())</f>
        <v/>
      </c>
      <c r="AN61" s="2136">
        <f>INDEX(MO_CFSum_CFO_BeforeWC,0,COLUMN())</f>
        <v/>
      </c>
      <c r="AO61" s="2136">
        <f>INDEX(MO_CFSum_CFO_BeforeWC,0,COLUMN())</f>
        <v/>
      </c>
      <c r="AP61" s="2142">
        <f>INDEX(MO_CFSum_CFO_BeforeWC,0,COLUMN())</f>
        <v/>
      </c>
      <c r="AQ61" s="2136">
        <f>INDEX(MO_CFSum_CFO_BeforeWC,0,COLUMN())</f>
        <v/>
      </c>
      <c r="AR61" s="2136">
        <f>INDEX(MO_CFSum_CFO_BeforeWC,0,COLUMN())</f>
        <v/>
      </c>
      <c r="AS61" s="2136">
        <f>INDEX(MO_CFSum_CFO_BeforeWC,0,COLUMN())</f>
        <v/>
      </c>
      <c r="AT61" s="2136">
        <f>INDEX(MO_CFSum_CFO_BeforeWC,0,COLUMN())</f>
        <v/>
      </c>
      <c r="AU61" s="2142">
        <f>INDEX(MO_CFSum_CFO_BeforeWC,0,COLUMN())</f>
        <v/>
      </c>
      <c r="AV61" s="2136">
        <f>INDEX(MO_CFSum_CFO_BeforeWC,0,COLUMN())</f>
        <v/>
      </c>
      <c r="AW61" s="2136">
        <f>INDEX(MO_CFSum_CFO_BeforeWC,0,COLUMN())</f>
        <v/>
      </c>
      <c r="AX61" s="2136">
        <f>INDEX(MO_CFSum_CFO_BeforeWC,0,COLUMN())</f>
        <v/>
      </c>
      <c r="AY61" s="2136">
        <f>INDEX(MO_CFSum_CFO_BeforeWC,0,COLUMN())</f>
        <v/>
      </c>
      <c r="AZ61" s="2142">
        <f>INDEX(MO_CFSum_CFO_BeforeWC,0,COLUMN())</f>
        <v/>
      </c>
      <c r="BA61" s="2136">
        <f>INDEX(MO_CFSum_CFO_BeforeWC,0,COLUMN())</f>
        <v/>
      </c>
      <c r="BB61" s="2136">
        <f>INDEX(MO_CFSum_CFO_BeforeWC,0,COLUMN())</f>
        <v/>
      </c>
      <c r="BC61" s="2136">
        <f>INDEX(MO_CFSum_CFO_BeforeWC,0,COLUMN())</f>
        <v/>
      </c>
      <c r="BD61" s="2136">
        <f>INDEX(MO_CFSum_CFO_BeforeWC,0,COLUMN())</f>
        <v/>
      </c>
      <c r="BE61" s="2142">
        <f>INDEX(MO_CFSum_CFO_BeforeWC,0,COLUMN())</f>
        <v/>
      </c>
      <c r="BF61" s="2136">
        <f>INDEX(MO_CFSum_CFO_BeforeWC,0,COLUMN())</f>
        <v/>
      </c>
      <c r="BG61" s="2136">
        <f>INDEX(MO_CFSum_CFO_BeforeWC,0,COLUMN())</f>
        <v/>
      </c>
      <c r="BH61" s="2136">
        <f>INDEX(MO_CFSum_CFO_BeforeWC,0,COLUMN())</f>
        <v/>
      </c>
      <c r="BI61" s="2136">
        <f>INDEX(MO_CFSum_CFO_BeforeWC,0,COLUMN())</f>
        <v/>
      </c>
      <c r="BJ61" s="2142">
        <f>INDEX(MO_CFSum_CFO_BeforeWC,0,COLUMN())</f>
        <v/>
      </c>
      <c r="BK61" s="2136">
        <f>INDEX(MO_CFSum_CFO_BeforeWC,0,COLUMN())</f>
        <v/>
      </c>
      <c r="BL61" s="2136">
        <f>INDEX(MO_CFSum_CFO_BeforeWC,0,COLUMN())</f>
        <v/>
      </c>
      <c r="BM61" s="2136">
        <f>INDEX(MO_CFSum_CFO_BeforeWC,0,COLUMN())</f>
        <v/>
      </c>
      <c r="BN61" s="2136">
        <f>INDEX(MO_CFSum_CFO_BeforeWC,0,COLUMN())</f>
        <v/>
      </c>
      <c r="BO61" s="2143">
        <f>INDEX(MO_CFSum_CFO_BeforeWC,0,COLUMN())</f>
        <v/>
      </c>
      <c r="BP61" s="2136">
        <f>INDEX(MO_CFSum_CFO_BeforeWC,0,COLUMN())</f>
        <v/>
      </c>
      <c r="BQ61" s="2136">
        <f>INDEX(MO_CFSum_CFO_BeforeWC,0,COLUMN())</f>
        <v/>
      </c>
      <c r="BR61" s="2136">
        <f>INDEX(MO_CFSum_CFO_BeforeWC,0,COLUMN())</f>
        <v/>
      </c>
      <c r="BS61" s="2136">
        <f>INDEX(MO_CFSum_CFO_BeforeWC,0,COLUMN())</f>
        <v/>
      </c>
      <c r="BT61" s="2142">
        <f>INDEX(MO_CFSum_CFO_BeforeWC,0,COLUMN())</f>
        <v/>
      </c>
      <c r="BU61" s="2136">
        <f>INDEX(MO_CFSum_CFO_BeforeWC,0,COLUMN())</f>
        <v/>
      </c>
      <c r="BV61" s="2136">
        <f>INDEX(MO_CFSum_CFO_BeforeWC,0,COLUMN())</f>
        <v/>
      </c>
      <c r="BW61" s="2136">
        <f>INDEX(MO_CFSum_CFO_BeforeWC,0,COLUMN())</f>
        <v/>
      </c>
      <c r="BX61" s="2136">
        <f>INDEX(MO_CFSum_CFO_BeforeWC,0,COLUMN())</f>
        <v/>
      </c>
      <c r="BY61" s="2142">
        <f>INDEX(MO_CFSum_CFO_BeforeWC,0,COLUMN())</f>
        <v/>
      </c>
      <c r="BZ61" s="2142">
        <f>INDEX(MO_CFSum_CFO_BeforeWC,0,COLUMN())</f>
        <v/>
      </c>
      <c r="CA61" s="2142">
        <f>INDEX(MO_CFSum_CFO_BeforeWC,0,COLUMN())</f>
        <v/>
      </c>
      <c r="CB61" s="2142">
        <f>INDEX(MO_CFSum_CFO_BeforeWC,0,COLUMN())</f>
        <v/>
      </c>
      <c r="CC61" s="2136" t="n"/>
    </row>
    <row r="62" hidden="1" outlineLevel="1" ht="15" customFormat="1" customHeight="1" s="2114">
      <c r="A62" s="2149" t="inlineStr">
        <is>
          <t>Change in WC</t>
        </is>
      </c>
      <c r="B62" s="2150" t="n"/>
      <c r="C62" s="2151">
        <f>Model!C545</f>
        <v/>
      </c>
      <c r="D62" s="2151">
        <f>Model!D545</f>
        <v/>
      </c>
      <c r="E62" s="2151">
        <f>Model!E545</f>
        <v/>
      </c>
      <c r="F62" s="2151">
        <f>Model!F545</f>
        <v/>
      </c>
      <c r="G62" s="2151">
        <f>Model!G545</f>
        <v/>
      </c>
      <c r="H62" s="2152">
        <f>Model!H545</f>
        <v/>
      </c>
      <c r="I62" s="2152">
        <f>Model!I545</f>
        <v/>
      </c>
      <c r="J62" s="2152">
        <f>Model!J545</f>
        <v/>
      </c>
      <c r="K62" s="2152">
        <f>Model!K545</f>
        <v/>
      </c>
      <c r="L62" s="2151">
        <f>Model!L545</f>
        <v/>
      </c>
      <c r="M62" s="2152">
        <f>Model!M545</f>
        <v/>
      </c>
      <c r="N62" s="2152">
        <f>Model!N545</f>
        <v/>
      </c>
      <c r="O62" s="2152">
        <f>Model!O545</f>
        <v/>
      </c>
      <c r="P62" s="2152">
        <f>Model!P545</f>
        <v/>
      </c>
      <c r="Q62" s="2151">
        <f>Model!Q545</f>
        <v/>
      </c>
      <c r="R62" s="2152">
        <f>Model!R545</f>
        <v/>
      </c>
      <c r="S62" s="2152">
        <f>Model!S545</f>
        <v/>
      </c>
      <c r="T62" s="2152">
        <f>Model!T545</f>
        <v/>
      </c>
      <c r="U62" s="2152">
        <f>Model!U545</f>
        <v/>
      </c>
      <c r="V62" s="2151">
        <f>Model!V545</f>
        <v/>
      </c>
      <c r="W62" s="2152">
        <f>Model!W545</f>
        <v/>
      </c>
      <c r="X62" s="2152">
        <f>Model!X545</f>
        <v/>
      </c>
      <c r="Y62" s="2152">
        <f>Model!Y545</f>
        <v/>
      </c>
      <c r="Z62" s="2152">
        <f>Model!Z545</f>
        <v/>
      </c>
      <c r="AA62" s="2151">
        <f>Model!AA545</f>
        <v/>
      </c>
      <c r="AB62" s="2152">
        <f>Model!AB545</f>
        <v/>
      </c>
      <c r="AC62" s="2152">
        <f>Model!AC545</f>
        <v/>
      </c>
      <c r="AD62" s="2152">
        <f>Model!AD545</f>
        <v/>
      </c>
      <c r="AE62" s="2152">
        <f>Model!AE545</f>
        <v/>
      </c>
      <c r="AF62" s="2151">
        <f>Model!AF545</f>
        <v/>
      </c>
      <c r="AG62" s="2152">
        <f>Model!AG545</f>
        <v/>
      </c>
      <c r="AH62" s="2152">
        <f>Model!AH545</f>
        <v/>
      </c>
      <c r="AI62" s="2152">
        <f>Model!AI545</f>
        <v/>
      </c>
      <c r="AJ62" s="2152">
        <f>Model!AJ545</f>
        <v/>
      </c>
      <c r="AK62" s="2151">
        <f>Model!AK545</f>
        <v/>
      </c>
      <c r="AL62" s="2152">
        <f>Model!AL545</f>
        <v/>
      </c>
      <c r="AM62" s="2152">
        <f>Model!AM545</f>
        <v/>
      </c>
      <c r="AN62" s="2152">
        <f>Model!AN545</f>
        <v/>
      </c>
      <c r="AO62" s="2152">
        <f>Model!AO545</f>
        <v/>
      </c>
      <c r="AP62" s="2151">
        <f>Model!AP545</f>
        <v/>
      </c>
      <c r="AQ62" s="2152">
        <f>Model!AQ545</f>
        <v/>
      </c>
      <c r="AR62" s="2152">
        <f>Model!AR545</f>
        <v/>
      </c>
      <c r="AS62" s="2152">
        <f>Model!AS545</f>
        <v/>
      </c>
      <c r="AT62" s="2152">
        <f>Model!AT545</f>
        <v/>
      </c>
      <c r="AU62" s="2151">
        <f>Model!AU545</f>
        <v/>
      </c>
      <c r="AV62" s="2152">
        <f>Model!AV545</f>
        <v/>
      </c>
      <c r="AW62" s="2152">
        <f>Model!AW545</f>
        <v/>
      </c>
      <c r="AX62" s="2152">
        <f>Model!AX545</f>
        <v/>
      </c>
      <c r="AY62" s="2152">
        <f>Model!AY545</f>
        <v/>
      </c>
      <c r="AZ62" s="2151">
        <f>Model!AZ545</f>
        <v/>
      </c>
      <c r="BA62" s="2152">
        <f>Model!BA545</f>
        <v/>
      </c>
      <c r="BB62" s="2152">
        <f>Model!BB545</f>
        <v/>
      </c>
      <c r="BC62" s="2152">
        <f>Model!BC545</f>
        <v/>
      </c>
      <c r="BD62" s="2152">
        <f>Model!BD545</f>
        <v/>
      </c>
      <c r="BE62" s="2151">
        <f>Model!BE545</f>
        <v/>
      </c>
      <c r="BF62" s="2152">
        <f>Model!BF545</f>
        <v/>
      </c>
      <c r="BG62" s="2152">
        <f>Model!BG545</f>
        <v/>
      </c>
      <c r="BH62" s="2152">
        <f>Model!BH545</f>
        <v/>
      </c>
      <c r="BI62" s="2152">
        <f>Model!BI545</f>
        <v/>
      </c>
      <c r="BJ62" s="2151">
        <f>Model!BJ545</f>
        <v/>
      </c>
      <c r="BK62" s="2152">
        <f>Model!BK545</f>
        <v/>
      </c>
      <c r="BL62" s="2152">
        <f>Model!BL545</f>
        <v/>
      </c>
      <c r="BM62" s="2152">
        <f>Model!BM545</f>
        <v/>
      </c>
      <c r="BN62" s="2152">
        <f>Model!BN545</f>
        <v/>
      </c>
      <c r="BO62" s="2153">
        <f>Model!BO545</f>
        <v/>
      </c>
      <c r="BP62" s="2152">
        <f>Model!BP545</f>
        <v/>
      </c>
      <c r="BQ62" s="2152">
        <f>Model!BQ545</f>
        <v/>
      </c>
      <c r="BR62" s="2152">
        <f>Model!BR545</f>
        <v/>
      </c>
      <c r="BS62" s="2152">
        <f>Model!BS545</f>
        <v/>
      </c>
      <c r="BT62" s="2151">
        <f>Model!BT545</f>
        <v/>
      </c>
      <c r="BU62" s="2152">
        <f>Model!BU545</f>
        <v/>
      </c>
      <c r="BV62" s="2152">
        <f>Model!BV545</f>
        <v/>
      </c>
      <c r="BW62" s="2152">
        <f>Model!BW545</f>
        <v/>
      </c>
      <c r="BX62" s="2152">
        <f>Model!BX545</f>
        <v/>
      </c>
      <c r="BY62" s="2151">
        <f>Model!BY545</f>
        <v/>
      </c>
      <c r="BZ62" s="2151">
        <f>Model!BZ545</f>
        <v/>
      </c>
      <c r="CA62" s="2151">
        <f>Model!CA545</f>
        <v/>
      </c>
      <c r="CB62" s="2151">
        <f>Model!CB545</f>
        <v/>
      </c>
      <c r="CC62" s="1970" t="n"/>
    </row>
    <row r="63" collapsed="1" ht="15" customFormat="1" customHeight="1" s="2114">
      <c r="A63" s="1780" t="inlineStr">
        <is>
          <t>Operating Cash Flow after WC</t>
        </is>
      </c>
      <c r="B63" s="2141" t="n"/>
      <c r="C63" s="2142">
        <f>SUM(C61:C62)</f>
        <v/>
      </c>
      <c r="D63" s="2142">
        <f>SUM(D61:D62)</f>
        <v/>
      </c>
      <c r="E63" s="2142">
        <f>SUM(E61:E62)</f>
        <v/>
      </c>
      <c r="F63" s="2142">
        <f>SUM(F61:F62)</f>
        <v/>
      </c>
      <c r="G63" s="2142">
        <f>SUM(G61:G62)</f>
        <v/>
      </c>
      <c r="H63" s="2136">
        <f>SUM(H61:H62)</f>
        <v/>
      </c>
      <c r="I63" s="2136">
        <f>SUM(I61:I62)</f>
        <v/>
      </c>
      <c r="J63" s="2136">
        <f>SUM(J61:J62)</f>
        <v/>
      </c>
      <c r="K63" s="2136">
        <f>SUM(K61:K62)</f>
        <v/>
      </c>
      <c r="L63" s="2142">
        <f>SUM(L61:L62)</f>
        <v/>
      </c>
      <c r="M63" s="2136">
        <f>SUM(M61:M62)</f>
        <v/>
      </c>
      <c r="N63" s="2136">
        <f>SUM(N61:N62)</f>
        <v/>
      </c>
      <c r="O63" s="2136">
        <f>SUM(O61:O62)</f>
        <v/>
      </c>
      <c r="P63" s="2136">
        <f>SUM(P61:P62)</f>
        <v/>
      </c>
      <c r="Q63" s="2142">
        <f>SUM(Q61:Q62)</f>
        <v/>
      </c>
      <c r="R63" s="2136">
        <f>SUM(R61:R62)</f>
        <v/>
      </c>
      <c r="S63" s="2136">
        <f>SUM(S61:S62)</f>
        <v/>
      </c>
      <c r="T63" s="2136">
        <f>SUM(T61:T62)</f>
        <v/>
      </c>
      <c r="U63" s="2136">
        <f>SUM(U61:U62)</f>
        <v/>
      </c>
      <c r="V63" s="2142">
        <f>SUM(V61:V62)</f>
        <v/>
      </c>
      <c r="W63" s="2136">
        <f>SUM(W61:W62)</f>
        <v/>
      </c>
      <c r="X63" s="2136">
        <f>SUM(X61:X62)</f>
        <v/>
      </c>
      <c r="Y63" s="2136">
        <f>SUM(Y61:Y62)</f>
        <v/>
      </c>
      <c r="Z63" s="2136">
        <f>SUM(Z61:Z62)</f>
        <v/>
      </c>
      <c r="AA63" s="2142">
        <f>SUM(AA61:AA62)</f>
        <v/>
      </c>
      <c r="AB63" s="2136">
        <f>SUM(AB61:AB62)</f>
        <v/>
      </c>
      <c r="AC63" s="2136">
        <f>SUM(AC61:AC62)</f>
        <v/>
      </c>
      <c r="AD63" s="2136">
        <f>SUM(AD61:AD62)</f>
        <v/>
      </c>
      <c r="AE63" s="2136">
        <f>SUM(AE61:AE62)</f>
        <v/>
      </c>
      <c r="AF63" s="2142">
        <f>SUM(AF61:AF62)</f>
        <v/>
      </c>
      <c r="AG63" s="2136">
        <f>SUM(AG61:AG62)</f>
        <v/>
      </c>
      <c r="AH63" s="2136">
        <f>SUM(AH61:AH62)</f>
        <v/>
      </c>
      <c r="AI63" s="2136">
        <f>SUM(AI61:AI62)</f>
        <v/>
      </c>
      <c r="AJ63" s="2136">
        <f>SUM(AJ61:AJ62)</f>
        <v/>
      </c>
      <c r="AK63" s="2142">
        <f>SUM(AK61:AK62)</f>
        <v/>
      </c>
      <c r="AL63" s="2136">
        <f>SUM(AL61:AL62)</f>
        <v/>
      </c>
      <c r="AM63" s="2136">
        <f>SUM(AM61:AM62)</f>
        <v/>
      </c>
      <c r="AN63" s="2136">
        <f>SUM(AN61:AN62)</f>
        <v/>
      </c>
      <c r="AO63" s="2136">
        <f>SUM(AO61:AO62)</f>
        <v/>
      </c>
      <c r="AP63" s="2142">
        <f>SUM(AP61:AP62)</f>
        <v/>
      </c>
      <c r="AQ63" s="2136">
        <f>SUM(AQ61:AQ62)</f>
        <v/>
      </c>
      <c r="AR63" s="2136">
        <f>SUM(AR61:AR62)</f>
        <v/>
      </c>
      <c r="AS63" s="2136">
        <f>SUM(AS61:AS62)</f>
        <v/>
      </c>
      <c r="AT63" s="2136">
        <f>SUM(AT61:AT62)</f>
        <v/>
      </c>
      <c r="AU63" s="2142">
        <f>SUM(AU61:AU62)</f>
        <v/>
      </c>
      <c r="AV63" s="2136">
        <f>SUM(AV61:AV62)</f>
        <v/>
      </c>
      <c r="AW63" s="2136">
        <f>SUM(AW61:AW62)</f>
        <v/>
      </c>
      <c r="AX63" s="2136">
        <f>SUM(AX61:AX62)</f>
        <v/>
      </c>
      <c r="AY63" s="2136">
        <f>SUM(AY61:AY62)</f>
        <v/>
      </c>
      <c r="AZ63" s="2142">
        <f>SUM(AZ61:AZ62)</f>
        <v/>
      </c>
      <c r="BA63" s="2136">
        <f>SUM(BA61:BA62)</f>
        <v/>
      </c>
      <c r="BB63" s="2136">
        <f>SUM(BB61:BB62)</f>
        <v/>
      </c>
      <c r="BC63" s="2136">
        <f>SUM(BC61:BC62)</f>
        <v/>
      </c>
      <c r="BD63" s="2136">
        <f>SUM(BD61:BD62)</f>
        <v/>
      </c>
      <c r="BE63" s="2142">
        <f>SUM(BE61:BE62)</f>
        <v/>
      </c>
      <c r="BF63" s="2136">
        <f>SUM(BF61:BF62)</f>
        <v/>
      </c>
      <c r="BG63" s="2136">
        <f>SUM(BG61:BG62)</f>
        <v/>
      </c>
      <c r="BH63" s="2136">
        <f>SUM(BH61:BH62)</f>
        <v/>
      </c>
      <c r="BI63" s="2136">
        <f>SUM(BI61:BI62)</f>
        <v/>
      </c>
      <c r="BJ63" s="2142">
        <f>SUM(BJ61:BJ62)</f>
        <v/>
      </c>
      <c r="BK63" s="2136">
        <f>SUM(BK61:BK62)</f>
        <v/>
      </c>
      <c r="BL63" s="2136">
        <f>SUM(BL61:BL62)</f>
        <v/>
      </c>
      <c r="BM63" s="2136">
        <f>SUM(BM61:BM62)</f>
        <v/>
      </c>
      <c r="BN63" s="2136">
        <f>SUM(BN61:BN62)</f>
        <v/>
      </c>
      <c r="BO63" s="2143">
        <f>SUM(BO61:BO62)</f>
        <v/>
      </c>
      <c r="BP63" s="2136">
        <f>SUM(BP61:BP62)</f>
        <v/>
      </c>
      <c r="BQ63" s="2136">
        <f>SUM(BQ61:BQ62)</f>
        <v/>
      </c>
      <c r="BR63" s="2136">
        <f>SUM(BR61:BR62)</f>
        <v/>
      </c>
      <c r="BS63" s="2136">
        <f>SUM(BS61:BS62)</f>
        <v/>
      </c>
      <c r="BT63" s="2142">
        <f>SUM(BT61:BT62)</f>
        <v/>
      </c>
      <c r="BU63" s="2136">
        <f>SUM(BU61:BU62)</f>
        <v/>
      </c>
      <c r="BV63" s="2136">
        <f>SUM(BV61:BV62)</f>
        <v/>
      </c>
      <c r="BW63" s="2136">
        <f>SUM(BW61:BW62)</f>
        <v/>
      </c>
      <c r="BX63" s="2136">
        <f>SUM(BX61:BX62)</f>
        <v/>
      </c>
      <c r="BY63" s="2142">
        <f>SUM(BY61:BY62)</f>
        <v/>
      </c>
      <c r="BZ63" s="2142">
        <f>SUM(BZ61:BZ62)</f>
        <v/>
      </c>
      <c r="CA63" s="2142">
        <f>SUM(CA61:CA62)</f>
        <v/>
      </c>
      <c r="CB63" s="2142">
        <f>SUM(CB61:CB62)</f>
        <v/>
      </c>
      <c r="CC63" s="1970" t="n"/>
    </row>
    <row r="64" ht="15" customFormat="1" customHeight="1" s="2114">
      <c r="A64" s="2129">
        <f>INDEX(MO_CFSum_Capex,0,COLUMN())</f>
        <v/>
      </c>
      <c r="B64" s="2139" t="n"/>
      <c r="C64" s="1810">
        <f>INDEX(MO_CFSum_Capex,0,COLUMN())</f>
        <v/>
      </c>
      <c r="D64" s="1810">
        <f>INDEX(MO_CFSum_Capex,0,COLUMN())</f>
        <v/>
      </c>
      <c r="E64" s="1810">
        <f>INDEX(MO_CFSum_Capex,0,COLUMN())</f>
        <v/>
      </c>
      <c r="F64" s="1810">
        <f>INDEX(MO_CFSum_Capex,0,COLUMN())</f>
        <v/>
      </c>
      <c r="G64" s="1810">
        <f>INDEX(MO_CFSum_Capex,0,COLUMN())</f>
        <v/>
      </c>
      <c r="H64" s="1971">
        <f>INDEX(MO_CFSum_Capex,0,COLUMN())</f>
        <v/>
      </c>
      <c r="I64" s="1971">
        <f>INDEX(MO_CFSum_Capex,0,COLUMN())</f>
        <v/>
      </c>
      <c r="J64" s="1971">
        <f>INDEX(MO_CFSum_Capex,0,COLUMN())</f>
        <v/>
      </c>
      <c r="K64" s="1971">
        <f>INDEX(MO_CFSum_Capex,0,COLUMN())</f>
        <v/>
      </c>
      <c r="L64" s="1810">
        <f>INDEX(MO_CFSum_Capex,0,COLUMN())</f>
        <v/>
      </c>
      <c r="M64" s="1971">
        <f>INDEX(MO_CFSum_Capex,0,COLUMN())</f>
        <v/>
      </c>
      <c r="N64" s="1971">
        <f>INDEX(MO_CFSum_Capex,0,COLUMN())</f>
        <v/>
      </c>
      <c r="O64" s="1971">
        <f>INDEX(MO_CFSum_Capex,0,COLUMN())</f>
        <v/>
      </c>
      <c r="P64" s="1971">
        <f>INDEX(MO_CFSum_Capex,0,COLUMN())</f>
        <v/>
      </c>
      <c r="Q64" s="1810">
        <f>INDEX(MO_CFSum_Capex,0,COLUMN())</f>
        <v/>
      </c>
      <c r="R64" s="1971">
        <f>INDEX(MO_CFSum_Capex,0,COLUMN())</f>
        <v/>
      </c>
      <c r="S64" s="1971">
        <f>INDEX(MO_CFSum_Capex,0,COLUMN())</f>
        <v/>
      </c>
      <c r="T64" s="1971">
        <f>INDEX(MO_CFSum_Capex,0,COLUMN())</f>
        <v/>
      </c>
      <c r="U64" s="1971">
        <f>INDEX(MO_CFSum_Capex,0,COLUMN())</f>
        <v/>
      </c>
      <c r="V64" s="1810">
        <f>INDEX(MO_CFSum_Capex,0,COLUMN())</f>
        <v/>
      </c>
      <c r="W64" s="1971">
        <f>INDEX(MO_CFSum_Capex,0,COLUMN())</f>
        <v/>
      </c>
      <c r="X64" s="1971">
        <f>INDEX(MO_CFSum_Capex,0,COLUMN())</f>
        <v/>
      </c>
      <c r="Y64" s="1971">
        <f>INDEX(MO_CFSum_Capex,0,COLUMN())</f>
        <v/>
      </c>
      <c r="Z64" s="1971">
        <f>INDEX(MO_CFSum_Capex,0,COLUMN())</f>
        <v/>
      </c>
      <c r="AA64" s="1810">
        <f>INDEX(MO_CFSum_Capex,0,COLUMN())</f>
        <v/>
      </c>
      <c r="AB64" s="1971">
        <f>INDEX(MO_CFSum_Capex,0,COLUMN())</f>
        <v/>
      </c>
      <c r="AC64" s="1971">
        <f>INDEX(MO_CFSum_Capex,0,COLUMN())</f>
        <v/>
      </c>
      <c r="AD64" s="1971">
        <f>INDEX(MO_CFSum_Capex,0,COLUMN())</f>
        <v/>
      </c>
      <c r="AE64" s="1971">
        <f>INDEX(MO_CFSum_Capex,0,COLUMN())</f>
        <v/>
      </c>
      <c r="AF64" s="1810">
        <f>INDEX(MO_CFSum_Capex,0,COLUMN())</f>
        <v/>
      </c>
      <c r="AG64" s="1971">
        <f>INDEX(MO_CFSum_Capex,0,COLUMN())</f>
        <v/>
      </c>
      <c r="AH64" s="1971">
        <f>INDEX(MO_CFSum_Capex,0,COLUMN())</f>
        <v/>
      </c>
      <c r="AI64" s="1971">
        <f>INDEX(MO_CFSum_Capex,0,COLUMN())</f>
        <v/>
      </c>
      <c r="AJ64" s="1971">
        <f>INDEX(MO_CFSum_Capex,0,COLUMN())</f>
        <v/>
      </c>
      <c r="AK64" s="1810">
        <f>INDEX(MO_CFSum_Capex,0,COLUMN())</f>
        <v/>
      </c>
      <c r="AL64" s="1971">
        <f>INDEX(MO_CFSum_Capex,0,COLUMN())</f>
        <v/>
      </c>
      <c r="AM64" s="1971">
        <f>INDEX(MO_CFSum_Capex,0,COLUMN())</f>
        <v/>
      </c>
      <c r="AN64" s="1971">
        <f>INDEX(MO_CFSum_Capex,0,COLUMN())</f>
        <v/>
      </c>
      <c r="AO64" s="1971">
        <f>INDEX(MO_CFSum_Capex,0,COLUMN())</f>
        <v/>
      </c>
      <c r="AP64" s="1810">
        <f>INDEX(MO_CFSum_Capex,0,COLUMN())</f>
        <v/>
      </c>
      <c r="AQ64" s="1971">
        <f>INDEX(MO_CFSum_Capex,0,COLUMN())</f>
        <v/>
      </c>
      <c r="AR64" s="1971">
        <f>INDEX(MO_CFSum_Capex,0,COLUMN())</f>
        <v/>
      </c>
      <c r="AS64" s="1971">
        <f>INDEX(MO_CFSum_Capex,0,COLUMN())</f>
        <v/>
      </c>
      <c r="AT64" s="1971">
        <f>INDEX(MO_CFSum_Capex,0,COLUMN())</f>
        <v/>
      </c>
      <c r="AU64" s="1810">
        <f>INDEX(MO_CFSum_Capex,0,COLUMN())</f>
        <v/>
      </c>
      <c r="AV64" s="1971">
        <f>INDEX(MO_CFSum_Capex,0,COLUMN())</f>
        <v/>
      </c>
      <c r="AW64" s="1971">
        <f>INDEX(MO_CFSum_Capex,0,COLUMN())</f>
        <v/>
      </c>
      <c r="AX64" s="1971">
        <f>INDEX(MO_CFSum_Capex,0,COLUMN())</f>
        <v/>
      </c>
      <c r="AY64" s="1971">
        <f>INDEX(MO_CFSum_Capex,0,COLUMN())</f>
        <v/>
      </c>
      <c r="AZ64" s="1810">
        <f>INDEX(MO_CFSum_Capex,0,COLUMN())</f>
        <v/>
      </c>
      <c r="BA64" s="1971">
        <f>INDEX(MO_CFSum_Capex,0,COLUMN())</f>
        <v/>
      </c>
      <c r="BB64" s="1971">
        <f>INDEX(MO_CFSum_Capex,0,COLUMN())</f>
        <v/>
      </c>
      <c r="BC64" s="1971">
        <f>INDEX(MO_CFSum_Capex,0,COLUMN())</f>
        <v/>
      </c>
      <c r="BD64" s="1971">
        <f>INDEX(MO_CFSum_Capex,0,COLUMN())</f>
        <v/>
      </c>
      <c r="BE64" s="1810">
        <f>INDEX(MO_CFSum_Capex,0,COLUMN())</f>
        <v/>
      </c>
      <c r="BF64" s="1971">
        <f>INDEX(MO_CFSum_Capex,0,COLUMN())</f>
        <v/>
      </c>
      <c r="BG64" s="1971">
        <f>INDEX(MO_CFSum_Capex,0,COLUMN())</f>
        <v/>
      </c>
      <c r="BH64" s="1971">
        <f>INDEX(MO_CFSum_Capex,0,COLUMN())</f>
        <v/>
      </c>
      <c r="BI64" s="1971">
        <f>INDEX(MO_CFSum_Capex,0,COLUMN())</f>
        <v/>
      </c>
      <c r="BJ64" s="1810">
        <f>INDEX(MO_CFSum_Capex,0,COLUMN())</f>
        <v/>
      </c>
      <c r="BK64" s="1971">
        <f>INDEX(MO_CFSum_Capex,0,COLUMN())</f>
        <v/>
      </c>
      <c r="BL64" s="1971">
        <f>INDEX(MO_CFSum_Capex,0,COLUMN())</f>
        <v/>
      </c>
      <c r="BM64" s="1971">
        <f>INDEX(MO_CFSum_Capex,0,COLUMN())</f>
        <v/>
      </c>
      <c r="BN64" s="1971">
        <f>INDEX(MO_CFSum_Capex,0,COLUMN())</f>
        <v/>
      </c>
      <c r="BO64" s="2140">
        <f>INDEX(MO_CFSum_Capex,0,COLUMN())</f>
        <v/>
      </c>
      <c r="BP64" s="1971">
        <f>INDEX(MO_CFSum_Capex,0,COLUMN())</f>
        <v/>
      </c>
      <c r="BQ64" s="1971">
        <f>INDEX(MO_CFSum_Capex,0,COLUMN())</f>
        <v/>
      </c>
      <c r="BR64" s="1971">
        <f>INDEX(MO_CFSum_Capex,0,COLUMN())</f>
        <v/>
      </c>
      <c r="BS64" s="1971">
        <f>INDEX(MO_CFSum_Capex,0,COLUMN())</f>
        <v/>
      </c>
      <c r="BT64" s="1810">
        <f>INDEX(MO_CFSum_Capex,0,COLUMN())</f>
        <v/>
      </c>
      <c r="BU64" s="1971">
        <f>INDEX(MO_CFSum_Capex,0,COLUMN())</f>
        <v/>
      </c>
      <c r="BV64" s="1971">
        <f>INDEX(MO_CFSum_Capex,0,COLUMN())</f>
        <v/>
      </c>
      <c r="BW64" s="1971">
        <f>INDEX(MO_CFSum_Capex,0,COLUMN())</f>
        <v/>
      </c>
      <c r="BX64" s="1971">
        <f>INDEX(MO_CFSum_Capex,0,COLUMN())</f>
        <v/>
      </c>
      <c r="BY64" s="1810">
        <f>INDEX(MO_CFSum_Capex,0,COLUMN())</f>
        <v/>
      </c>
      <c r="BZ64" s="1810">
        <f>INDEX(MO_CFSum_Capex,0,COLUMN())</f>
        <v/>
      </c>
      <c r="CA64" s="1810">
        <f>INDEX(MO_CFSum_Capex,0,COLUMN())</f>
        <v/>
      </c>
      <c r="CB64" s="1810">
        <f>INDEX(MO_CFSum_Capex,0,COLUMN())</f>
        <v/>
      </c>
      <c r="CC64" s="1970" t="n"/>
    </row>
    <row r="65" ht="15" customFormat="1" customHeight="1" s="2131">
      <c r="A65" s="1639" t="inlineStr">
        <is>
          <t>Core FCF, Pre Div</t>
        </is>
      </c>
      <c r="B65" s="2132" t="n"/>
      <c r="C65" s="2133">
        <f>SUM(C63:C64)</f>
        <v/>
      </c>
      <c r="D65" s="2133">
        <f>SUM(D63:D64)</f>
        <v/>
      </c>
      <c r="E65" s="2133">
        <f>SUM(E63:E64)</f>
        <v/>
      </c>
      <c r="F65" s="2133">
        <f>SUM(F63:F64)</f>
        <v/>
      </c>
      <c r="G65" s="2133">
        <f>SUM(G63:G64)</f>
        <v/>
      </c>
      <c r="H65" s="2134">
        <f>SUM(H63:H64)</f>
        <v/>
      </c>
      <c r="I65" s="2134">
        <f>SUM(I63:I64)</f>
        <v/>
      </c>
      <c r="J65" s="2134">
        <f>SUM(J63:J64)</f>
        <v/>
      </c>
      <c r="K65" s="2134">
        <f>SUM(K63:K64)</f>
        <v/>
      </c>
      <c r="L65" s="2133">
        <f>SUM(L63:L64)</f>
        <v/>
      </c>
      <c r="M65" s="2134">
        <f>SUM(M63:M64)</f>
        <v/>
      </c>
      <c r="N65" s="2134">
        <f>SUM(N63:N64)</f>
        <v/>
      </c>
      <c r="O65" s="2134">
        <f>SUM(O63:O64)</f>
        <v/>
      </c>
      <c r="P65" s="2134">
        <f>SUM(P63:P64)</f>
        <v/>
      </c>
      <c r="Q65" s="2133">
        <f>SUM(Q63:Q64)</f>
        <v/>
      </c>
      <c r="R65" s="2134">
        <f>SUM(R63:R64)</f>
        <v/>
      </c>
      <c r="S65" s="2134">
        <f>SUM(S63:S64)</f>
        <v/>
      </c>
      <c r="T65" s="2134">
        <f>SUM(T63:T64)</f>
        <v/>
      </c>
      <c r="U65" s="2134">
        <f>SUM(U63:U64)</f>
        <v/>
      </c>
      <c r="V65" s="2133">
        <f>SUM(V63:V64)</f>
        <v/>
      </c>
      <c r="W65" s="2134">
        <f>SUM(W63:W64)</f>
        <v/>
      </c>
      <c r="X65" s="2134">
        <f>SUM(X63:X64)</f>
        <v/>
      </c>
      <c r="Y65" s="2134">
        <f>SUM(Y63:Y64)</f>
        <v/>
      </c>
      <c r="Z65" s="2134">
        <f>SUM(Z63:Z64)</f>
        <v/>
      </c>
      <c r="AA65" s="2133">
        <f>SUM(AA63:AA64)</f>
        <v/>
      </c>
      <c r="AB65" s="2134">
        <f>SUM(AB63:AB64)</f>
        <v/>
      </c>
      <c r="AC65" s="2134">
        <f>SUM(AC63:AC64)</f>
        <v/>
      </c>
      <c r="AD65" s="2134">
        <f>SUM(AD63:AD64)</f>
        <v/>
      </c>
      <c r="AE65" s="2134">
        <f>SUM(AE63:AE64)</f>
        <v/>
      </c>
      <c r="AF65" s="2133">
        <f>SUM(AF63:AF64)</f>
        <v/>
      </c>
      <c r="AG65" s="2134">
        <f>SUM(AG63:AG64)</f>
        <v/>
      </c>
      <c r="AH65" s="2134">
        <f>SUM(AH63:AH64)</f>
        <v/>
      </c>
      <c r="AI65" s="2134">
        <f>SUM(AI63:AI64)</f>
        <v/>
      </c>
      <c r="AJ65" s="2134">
        <f>SUM(AJ63:AJ64)</f>
        <v/>
      </c>
      <c r="AK65" s="2133">
        <f>SUM(AK63:AK64)</f>
        <v/>
      </c>
      <c r="AL65" s="2134">
        <f>SUM(AL63:AL64)</f>
        <v/>
      </c>
      <c r="AM65" s="2134">
        <f>SUM(AM63:AM64)</f>
        <v/>
      </c>
      <c r="AN65" s="2134">
        <f>SUM(AN63:AN64)</f>
        <v/>
      </c>
      <c r="AO65" s="2134">
        <f>SUM(AO63:AO64)</f>
        <v/>
      </c>
      <c r="AP65" s="2133">
        <f>SUM(AP63:AP64)</f>
        <v/>
      </c>
      <c r="AQ65" s="2134">
        <f>SUM(AQ63:AQ64)</f>
        <v/>
      </c>
      <c r="AR65" s="2134">
        <f>SUM(AR63:AR64)</f>
        <v/>
      </c>
      <c r="AS65" s="2134">
        <f>SUM(AS63:AS64)</f>
        <v/>
      </c>
      <c r="AT65" s="2134">
        <f>SUM(AT63:AT64)</f>
        <v/>
      </c>
      <c r="AU65" s="2133">
        <f>SUM(AU63:AU64)</f>
        <v/>
      </c>
      <c r="AV65" s="2134">
        <f>SUM(AV63:AV64)</f>
        <v/>
      </c>
      <c r="AW65" s="2134">
        <f>SUM(AW63:AW64)</f>
        <v/>
      </c>
      <c r="AX65" s="2134">
        <f>SUM(AX63:AX64)</f>
        <v/>
      </c>
      <c r="AY65" s="2134">
        <f>SUM(AY63:AY64)</f>
        <v/>
      </c>
      <c r="AZ65" s="2133">
        <f>SUM(AZ63:AZ64)</f>
        <v/>
      </c>
      <c r="BA65" s="2134">
        <f>SUM(BA63:BA64)</f>
        <v/>
      </c>
      <c r="BB65" s="2134">
        <f>SUM(BB63:BB64)</f>
        <v/>
      </c>
      <c r="BC65" s="2134">
        <f>SUM(BC63:BC64)</f>
        <v/>
      </c>
      <c r="BD65" s="2134">
        <f>SUM(BD63:BD64)</f>
        <v/>
      </c>
      <c r="BE65" s="2133">
        <f>SUM(BE63:BE64)</f>
        <v/>
      </c>
      <c r="BF65" s="2134">
        <f>SUM(BF63:BF64)</f>
        <v/>
      </c>
      <c r="BG65" s="2134">
        <f>SUM(BG63:BG64)</f>
        <v/>
      </c>
      <c r="BH65" s="2134">
        <f>SUM(BH63:BH64)</f>
        <v/>
      </c>
      <c r="BI65" s="2134">
        <f>SUM(BI63:BI64)</f>
        <v/>
      </c>
      <c r="BJ65" s="2133">
        <f>SUM(BJ63:BJ64)</f>
        <v/>
      </c>
      <c r="BK65" s="2134">
        <f>SUM(BK63:BK64)</f>
        <v/>
      </c>
      <c r="BL65" s="2134">
        <f>SUM(BL63:BL64)</f>
        <v/>
      </c>
      <c r="BM65" s="2134">
        <f>SUM(BM63:BM64)</f>
        <v/>
      </c>
      <c r="BN65" s="2134">
        <f>SUM(BN63:BN64)</f>
        <v/>
      </c>
      <c r="BO65" s="2135">
        <f>SUM(BO63:BO64)</f>
        <v/>
      </c>
      <c r="BP65" s="2134">
        <f>SUM(BP63:BP64)</f>
        <v/>
      </c>
      <c r="BQ65" s="2134">
        <f>SUM(BQ63:BQ64)</f>
        <v/>
      </c>
      <c r="BR65" s="2134">
        <f>SUM(BR63:BR64)</f>
        <v/>
      </c>
      <c r="BS65" s="2134">
        <f>SUM(BS63:BS64)</f>
        <v/>
      </c>
      <c r="BT65" s="2133">
        <f>SUM(BT63:BT64)</f>
        <v/>
      </c>
      <c r="BU65" s="2134">
        <f>SUM(BU63:BU64)</f>
        <v/>
      </c>
      <c r="BV65" s="2134">
        <f>SUM(BV63:BV64)</f>
        <v/>
      </c>
      <c r="BW65" s="2134">
        <f>SUM(BW63:BW64)</f>
        <v/>
      </c>
      <c r="BX65" s="2134">
        <f>SUM(BX63:BX64)</f>
        <v/>
      </c>
      <c r="BY65" s="2133">
        <f>SUM(BY63:BY64)</f>
        <v/>
      </c>
      <c r="BZ65" s="2133">
        <f>SUM(BZ63:BZ64)</f>
        <v/>
      </c>
      <c r="CA65" s="2133">
        <f>SUM(CA63:CA64)</f>
        <v/>
      </c>
      <c r="CB65" s="2133">
        <f>SUM(CB63:CB64)</f>
        <v/>
      </c>
      <c r="CC65" s="2136" t="n"/>
    </row>
    <row r="66" ht="15" customFormat="1" customHeight="1" s="2114">
      <c r="A66" s="2129">
        <f>INDEX(MO_CFSum_Dividend,0,COLUMN())</f>
        <v/>
      </c>
      <c r="B66" s="2139" t="n"/>
      <c r="C66" s="1810">
        <f>INDEX(MO_CFSum_Dividend,0,COLUMN())</f>
        <v/>
      </c>
      <c r="D66" s="1810">
        <f>INDEX(MO_CFSum_Dividend,0,COLUMN())</f>
        <v/>
      </c>
      <c r="E66" s="1810">
        <f>INDEX(MO_CFSum_Dividend,0,COLUMN())</f>
        <v/>
      </c>
      <c r="F66" s="1810">
        <f>INDEX(MO_CFSum_Dividend,0,COLUMN())</f>
        <v/>
      </c>
      <c r="G66" s="1810">
        <f>INDEX(MO_CFSum_Dividend,0,COLUMN())</f>
        <v/>
      </c>
      <c r="H66" s="1971">
        <f>INDEX(MO_CFSum_Dividend,0,COLUMN())</f>
        <v/>
      </c>
      <c r="I66" s="1971">
        <f>INDEX(MO_CFSum_Dividend,0,COLUMN())</f>
        <v/>
      </c>
      <c r="J66" s="1971">
        <f>INDEX(MO_CFSum_Dividend,0,COLUMN())</f>
        <v/>
      </c>
      <c r="K66" s="1971">
        <f>INDEX(MO_CFSum_Dividend,0,COLUMN())</f>
        <v/>
      </c>
      <c r="L66" s="1810">
        <f>INDEX(MO_CFSum_Dividend,0,COLUMN())</f>
        <v/>
      </c>
      <c r="M66" s="1971">
        <f>INDEX(MO_CFSum_Dividend,0,COLUMN())</f>
        <v/>
      </c>
      <c r="N66" s="1971">
        <f>INDEX(MO_CFSum_Dividend,0,COLUMN())</f>
        <v/>
      </c>
      <c r="O66" s="1971">
        <f>INDEX(MO_CFSum_Dividend,0,COLUMN())</f>
        <v/>
      </c>
      <c r="P66" s="1971">
        <f>INDEX(MO_CFSum_Dividend,0,COLUMN())</f>
        <v/>
      </c>
      <c r="Q66" s="1810">
        <f>INDEX(MO_CFSum_Dividend,0,COLUMN())</f>
        <v/>
      </c>
      <c r="R66" s="1971">
        <f>INDEX(MO_CFSum_Dividend,0,COLUMN())</f>
        <v/>
      </c>
      <c r="S66" s="1971">
        <f>INDEX(MO_CFSum_Dividend,0,COLUMN())</f>
        <v/>
      </c>
      <c r="T66" s="1971">
        <f>INDEX(MO_CFSum_Dividend,0,COLUMN())</f>
        <v/>
      </c>
      <c r="U66" s="1971">
        <f>INDEX(MO_CFSum_Dividend,0,COLUMN())</f>
        <v/>
      </c>
      <c r="V66" s="1810">
        <f>INDEX(MO_CFSum_Dividend,0,COLUMN())</f>
        <v/>
      </c>
      <c r="W66" s="1971">
        <f>INDEX(MO_CFSum_Dividend,0,COLUMN())</f>
        <v/>
      </c>
      <c r="X66" s="1971">
        <f>INDEX(MO_CFSum_Dividend,0,COLUMN())</f>
        <v/>
      </c>
      <c r="Y66" s="1971">
        <f>INDEX(MO_CFSum_Dividend,0,COLUMN())</f>
        <v/>
      </c>
      <c r="Z66" s="1971">
        <f>INDEX(MO_CFSum_Dividend,0,COLUMN())</f>
        <v/>
      </c>
      <c r="AA66" s="1810">
        <f>INDEX(MO_CFSum_Dividend,0,COLUMN())</f>
        <v/>
      </c>
      <c r="AB66" s="1971">
        <f>INDEX(MO_CFSum_Dividend,0,COLUMN())</f>
        <v/>
      </c>
      <c r="AC66" s="1971">
        <f>INDEX(MO_CFSum_Dividend,0,COLUMN())</f>
        <v/>
      </c>
      <c r="AD66" s="1971">
        <f>INDEX(MO_CFSum_Dividend,0,COLUMN())</f>
        <v/>
      </c>
      <c r="AE66" s="1971">
        <f>INDEX(MO_CFSum_Dividend,0,COLUMN())</f>
        <v/>
      </c>
      <c r="AF66" s="1810">
        <f>INDEX(MO_CFSum_Dividend,0,COLUMN())</f>
        <v/>
      </c>
      <c r="AG66" s="1971">
        <f>INDEX(MO_CFSum_Dividend,0,COLUMN())</f>
        <v/>
      </c>
      <c r="AH66" s="1971">
        <f>INDEX(MO_CFSum_Dividend,0,COLUMN())</f>
        <v/>
      </c>
      <c r="AI66" s="1971">
        <f>INDEX(MO_CFSum_Dividend,0,COLUMN())</f>
        <v/>
      </c>
      <c r="AJ66" s="1971">
        <f>INDEX(MO_CFSum_Dividend,0,COLUMN())</f>
        <v/>
      </c>
      <c r="AK66" s="1810">
        <f>INDEX(MO_CFSum_Dividend,0,COLUMN())</f>
        <v/>
      </c>
      <c r="AL66" s="1971">
        <f>INDEX(MO_CFSum_Dividend,0,COLUMN())</f>
        <v/>
      </c>
      <c r="AM66" s="1971">
        <f>INDEX(MO_CFSum_Dividend,0,COLUMN())</f>
        <v/>
      </c>
      <c r="AN66" s="1971">
        <f>INDEX(MO_CFSum_Dividend,0,COLUMN())</f>
        <v/>
      </c>
      <c r="AO66" s="1971">
        <f>INDEX(MO_CFSum_Dividend,0,COLUMN())</f>
        <v/>
      </c>
      <c r="AP66" s="1810">
        <f>INDEX(MO_CFSum_Dividend,0,COLUMN())</f>
        <v/>
      </c>
      <c r="AQ66" s="1971">
        <f>INDEX(MO_CFSum_Dividend,0,COLUMN())</f>
        <v/>
      </c>
      <c r="AR66" s="1971">
        <f>INDEX(MO_CFSum_Dividend,0,COLUMN())</f>
        <v/>
      </c>
      <c r="AS66" s="1971">
        <f>INDEX(MO_CFSum_Dividend,0,COLUMN())</f>
        <v/>
      </c>
      <c r="AT66" s="1971">
        <f>INDEX(MO_CFSum_Dividend,0,COLUMN())</f>
        <v/>
      </c>
      <c r="AU66" s="1810">
        <f>INDEX(MO_CFSum_Dividend,0,COLUMN())</f>
        <v/>
      </c>
      <c r="AV66" s="1971">
        <f>INDEX(MO_CFSum_Dividend,0,COLUMN())</f>
        <v/>
      </c>
      <c r="AW66" s="1971">
        <f>INDEX(MO_CFSum_Dividend,0,COLUMN())</f>
        <v/>
      </c>
      <c r="AX66" s="1971">
        <f>INDEX(MO_CFSum_Dividend,0,COLUMN())</f>
        <v/>
      </c>
      <c r="AY66" s="1971">
        <f>INDEX(MO_CFSum_Dividend,0,COLUMN())</f>
        <v/>
      </c>
      <c r="AZ66" s="1810">
        <f>INDEX(MO_CFSum_Dividend,0,COLUMN())</f>
        <v/>
      </c>
      <c r="BA66" s="1971">
        <f>INDEX(MO_CFSum_Dividend,0,COLUMN())</f>
        <v/>
      </c>
      <c r="BB66" s="1971">
        <f>INDEX(MO_CFSum_Dividend,0,COLUMN())</f>
        <v/>
      </c>
      <c r="BC66" s="1971">
        <f>INDEX(MO_CFSum_Dividend,0,COLUMN())</f>
        <v/>
      </c>
      <c r="BD66" s="1971">
        <f>INDEX(MO_CFSum_Dividend,0,COLUMN())</f>
        <v/>
      </c>
      <c r="BE66" s="1810">
        <f>INDEX(MO_CFSum_Dividend,0,COLUMN())</f>
        <v/>
      </c>
      <c r="BF66" s="1971">
        <f>INDEX(MO_CFSum_Dividend,0,COLUMN())</f>
        <v/>
      </c>
      <c r="BG66" s="1971">
        <f>INDEX(MO_CFSum_Dividend,0,COLUMN())</f>
        <v/>
      </c>
      <c r="BH66" s="1971">
        <f>INDEX(MO_CFSum_Dividend,0,COLUMN())</f>
        <v/>
      </c>
      <c r="BI66" s="1971">
        <f>INDEX(MO_CFSum_Dividend,0,COLUMN())</f>
        <v/>
      </c>
      <c r="BJ66" s="1810">
        <f>INDEX(MO_CFSum_Dividend,0,COLUMN())</f>
        <v/>
      </c>
      <c r="BK66" s="1971">
        <f>INDEX(MO_CFSum_Dividend,0,COLUMN())</f>
        <v/>
      </c>
      <c r="BL66" s="1971">
        <f>INDEX(MO_CFSum_Dividend,0,COLUMN())</f>
        <v/>
      </c>
      <c r="BM66" s="1971">
        <f>INDEX(MO_CFSum_Dividend,0,COLUMN())</f>
        <v/>
      </c>
      <c r="BN66" s="1971">
        <f>INDEX(MO_CFSum_Dividend,0,COLUMN())</f>
        <v/>
      </c>
      <c r="BO66" s="2140">
        <f>INDEX(MO_CFSum_Dividend,0,COLUMN())</f>
        <v/>
      </c>
      <c r="BP66" s="1971">
        <f>INDEX(MO_CFSum_Dividend,0,COLUMN())</f>
        <v/>
      </c>
      <c r="BQ66" s="1971">
        <f>INDEX(MO_CFSum_Dividend,0,COLUMN())</f>
        <v/>
      </c>
      <c r="BR66" s="1971">
        <f>INDEX(MO_CFSum_Dividend,0,COLUMN())</f>
        <v/>
      </c>
      <c r="BS66" s="1971">
        <f>INDEX(MO_CFSum_Dividend,0,COLUMN())</f>
        <v/>
      </c>
      <c r="BT66" s="1810">
        <f>INDEX(MO_CFSum_Dividend,0,COLUMN())</f>
        <v/>
      </c>
      <c r="BU66" s="1971">
        <f>INDEX(MO_CFSum_Dividend,0,COLUMN())</f>
        <v/>
      </c>
      <c r="BV66" s="1971">
        <f>INDEX(MO_CFSum_Dividend,0,COLUMN())</f>
        <v/>
      </c>
      <c r="BW66" s="1971">
        <f>INDEX(MO_CFSum_Dividend,0,COLUMN())</f>
        <v/>
      </c>
      <c r="BX66" s="1971">
        <f>INDEX(MO_CFSum_Dividend,0,COLUMN())</f>
        <v/>
      </c>
      <c r="BY66" s="1810">
        <f>INDEX(MO_CFSum_Dividend,0,COLUMN())</f>
        <v/>
      </c>
      <c r="BZ66" s="1810">
        <f>INDEX(MO_CFSum_Dividend,0,COLUMN())</f>
        <v/>
      </c>
      <c r="CA66" s="1810">
        <f>INDEX(MO_CFSum_Dividend,0,COLUMN())</f>
        <v/>
      </c>
      <c r="CB66" s="1810">
        <f>INDEX(MO_CFSum_Dividend,0,COLUMN())</f>
        <v/>
      </c>
      <c r="CC66" s="1970" t="n"/>
    </row>
    <row r="67" ht="15" customFormat="1" customHeight="1" s="2131">
      <c r="A67" s="1639" t="inlineStr">
        <is>
          <t>Core FCF, Post Div</t>
        </is>
      </c>
      <c r="B67" s="2132" t="n"/>
      <c r="C67" s="2133">
        <f>SUM(C65:C66)</f>
        <v/>
      </c>
      <c r="D67" s="2133">
        <f>SUM(D65:D66)</f>
        <v/>
      </c>
      <c r="E67" s="2133">
        <f>SUM(E65:E66)</f>
        <v/>
      </c>
      <c r="F67" s="2133">
        <f>SUM(F65:F66)</f>
        <v/>
      </c>
      <c r="G67" s="2133">
        <f>SUM(G65:G66)</f>
        <v/>
      </c>
      <c r="H67" s="2134">
        <f>SUM(H65:H66)</f>
        <v/>
      </c>
      <c r="I67" s="2134">
        <f>SUM(I65:I66)</f>
        <v/>
      </c>
      <c r="J67" s="2134">
        <f>SUM(J65:J66)</f>
        <v/>
      </c>
      <c r="K67" s="2134">
        <f>SUM(K65:K66)</f>
        <v/>
      </c>
      <c r="L67" s="2133">
        <f>SUM(L65:L66)</f>
        <v/>
      </c>
      <c r="M67" s="2134">
        <f>SUM(M65:M66)</f>
        <v/>
      </c>
      <c r="N67" s="2134">
        <f>SUM(N65:N66)</f>
        <v/>
      </c>
      <c r="O67" s="2134">
        <f>SUM(O65:O66)</f>
        <v/>
      </c>
      <c r="P67" s="2134">
        <f>SUM(P65:P66)</f>
        <v/>
      </c>
      <c r="Q67" s="2133">
        <f>SUM(Q65:Q66)</f>
        <v/>
      </c>
      <c r="R67" s="2134">
        <f>SUM(R65:R66)</f>
        <v/>
      </c>
      <c r="S67" s="2134">
        <f>SUM(S65:S66)</f>
        <v/>
      </c>
      <c r="T67" s="2134">
        <f>SUM(T65:T66)</f>
        <v/>
      </c>
      <c r="U67" s="2134">
        <f>SUM(U65:U66)</f>
        <v/>
      </c>
      <c r="V67" s="2133">
        <f>SUM(V65:V66)</f>
        <v/>
      </c>
      <c r="W67" s="2134">
        <f>SUM(W65:W66)</f>
        <v/>
      </c>
      <c r="X67" s="2134">
        <f>SUM(X65:X66)</f>
        <v/>
      </c>
      <c r="Y67" s="2134">
        <f>SUM(Y65:Y66)</f>
        <v/>
      </c>
      <c r="Z67" s="2134">
        <f>SUM(Z65:Z66)</f>
        <v/>
      </c>
      <c r="AA67" s="2133">
        <f>SUM(AA65:AA66)</f>
        <v/>
      </c>
      <c r="AB67" s="2134">
        <f>SUM(AB65:AB66)</f>
        <v/>
      </c>
      <c r="AC67" s="2134">
        <f>SUM(AC65:AC66)</f>
        <v/>
      </c>
      <c r="AD67" s="2134">
        <f>SUM(AD65:AD66)</f>
        <v/>
      </c>
      <c r="AE67" s="2134">
        <f>SUM(AE65:AE66)</f>
        <v/>
      </c>
      <c r="AF67" s="2133">
        <f>SUM(AF65:AF66)</f>
        <v/>
      </c>
      <c r="AG67" s="2134">
        <f>SUM(AG65:AG66)</f>
        <v/>
      </c>
      <c r="AH67" s="2134">
        <f>SUM(AH65:AH66)</f>
        <v/>
      </c>
      <c r="AI67" s="2134">
        <f>SUM(AI65:AI66)</f>
        <v/>
      </c>
      <c r="AJ67" s="2134">
        <f>SUM(AJ65:AJ66)</f>
        <v/>
      </c>
      <c r="AK67" s="2133">
        <f>SUM(AK65:AK66)</f>
        <v/>
      </c>
      <c r="AL67" s="2134">
        <f>SUM(AL65:AL66)</f>
        <v/>
      </c>
      <c r="AM67" s="2134">
        <f>SUM(AM65:AM66)</f>
        <v/>
      </c>
      <c r="AN67" s="2134">
        <f>SUM(AN65:AN66)</f>
        <v/>
      </c>
      <c r="AO67" s="2134">
        <f>SUM(AO65:AO66)</f>
        <v/>
      </c>
      <c r="AP67" s="2133">
        <f>SUM(AP65:AP66)</f>
        <v/>
      </c>
      <c r="AQ67" s="2134">
        <f>SUM(AQ65:AQ66)</f>
        <v/>
      </c>
      <c r="AR67" s="2134">
        <f>SUM(AR65:AR66)</f>
        <v/>
      </c>
      <c r="AS67" s="2134">
        <f>SUM(AS65:AS66)</f>
        <v/>
      </c>
      <c r="AT67" s="2134">
        <f>SUM(AT65:AT66)</f>
        <v/>
      </c>
      <c r="AU67" s="2133">
        <f>SUM(AU65:AU66)</f>
        <v/>
      </c>
      <c r="AV67" s="2134">
        <f>SUM(AV65:AV66)</f>
        <v/>
      </c>
      <c r="AW67" s="2134">
        <f>SUM(AW65:AW66)</f>
        <v/>
      </c>
      <c r="AX67" s="2134">
        <f>SUM(AX65:AX66)</f>
        <v/>
      </c>
      <c r="AY67" s="2134">
        <f>SUM(AY65:AY66)</f>
        <v/>
      </c>
      <c r="AZ67" s="2133">
        <f>SUM(AZ65:AZ66)</f>
        <v/>
      </c>
      <c r="BA67" s="2134">
        <f>SUM(BA65:BA66)</f>
        <v/>
      </c>
      <c r="BB67" s="2134">
        <f>SUM(BB65:BB66)</f>
        <v/>
      </c>
      <c r="BC67" s="2134">
        <f>SUM(BC65:BC66)</f>
        <v/>
      </c>
      <c r="BD67" s="2134">
        <f>SUM(BD65:BD66)</f>
        <v/>
      </c>
      <c r="BE67" s="2133">
        <f>SUM(BE65:BE66)</f>
        <v/>
      </c>
      <c r="BF67" s="2134">
        <f>SUM(BF65:BF66)</f>
        <v/>
      </c>
      <c r="BG67" s="2134">
        <f>SUM(BG65:BG66)</f>
        <v/>
      </c>
      <c r="BH67" s="2134">
        <f>SUM(BH65:BH66)</f>
        <v/>
      </c>
      <c r="BI67" s="2134">
        <f>SUM(BI65:BI66)</f>
        <v/>
      </c>
      <c r="BJ67" s="2133">
        <f>SUM(BJ65:BJ66)</f>
        <v/>
      </c>
      <c r="BK67" s="2134">
        <f>SUM(BK65:BK66)</f>
        <v/>
      </c>
      <c r="BL67" s="2134">
        <f>SUM(BL65:BL66)</f>
        <v/>
      </c>
      <c r="BM67" s="2134">
        <f>SUM(BM65:BM66)</f>
        <v/>
      </c>
      <c r="BN67" s="2134">
        <f>SUM(BN65:BN66)</f>
        <v/>
      </c>
      <c r="BO67" s="2135">
        <f>SUM(BO65:BO66)</f>
        <v/>
      </c>
      <c r="BP67" s="2134">
        <f>SUM(BP65:BP66)</f>
        <v/>
      </c>
      <c r="BQ67" s="2134">
        <f>SUM(BQ65:BQ66)</f>
        <v/>
      </c>
      <c r="BR67" s="2134">
        <f>SUM(BR65:BR66)</f>
        <v/>
      </c>
      <c r="BS67" s="2134">
        <f>SUM(BS65:BS66)</f>
        <v/>
      </c>
      <c r="BT67" s="2133">
        <f>SUM(BT65:BT66)</f>
        <v/>
      </c>
      <c r="BU67" s="2134">
        <f>SUM(BU65:BU66)</f>
        <v/>
      </c>
      <c r="BV67" s="2134">
        <f>SUM(BV65:BV66)</f>
        <v/>
      </c>
      <c r="BW67" s="2134">
        <f>SUM(BW65:BW66)</f>
        <v/>
      </c>
      <c r="BX67" s="2134">
        <f>SUM(BX65:BX66)</f>
        <v/>
      </c>
      <c r="BY67" s="2133">
        <f>SUM(BY65:BY66)</f>
        <v/>
      </c>
      <c r="BZ67" s="2133">
        <f>SUM(BZ65:BZ66)</f>
        <v/>
      </c>
      <c r="CA67" s="2133">
        <f>SUM(CA65:CA66)</f>
        <v/>
      </c>
      <c r="CB67" s="2133">
        <f>SUM(CB65:CB66)</f>
        <v/>
      </c>
      <c r="CC67" s="2136" t="n"/>
    </row>
    <row r="68" ht="15" customFormat="1" customHeight="1" s="2114">
      <c r="A68" s="1635">
        <f>INDEX(MO_CFSum_Acquisition,0,COLUMN())</f>
        <v/>
      </c>
      <c r="B68" s="2137" t="n"/>
      <c r="C68" s="1804">
        <f>INDEX(MO_CFSum_Acquisition,0,COLUMN())</f>
        <v/>
      </c>
      <c r="D68" s="1804">
        <f>INDEX(MO_CFSum_Acquisition,0,COLUMN())</f>
        <v/>
      </c>
      <c r="E68" s="1804">
        <f>INDEX(MO_CFSum_Acquisition,0,COLUMN())</f>
        <v/>
      </c>
      <c r="F68" s="1804">
        <f>INDEX(MO_CFSum_Acquisition,0,COLUMN())</f>
        <v/>
      </c>
      <c r="G68" s="1804">
        <f>INDEX(MO_CFSum_Acquisition,0,COLUMN())</f>
        <v/>
      </c>
      <c r="H68" s="1970">
        <f>INDEX(MO_CFSum_Acquisition,0,COLUMN())</f>
        <v/>
      </c>
      <c r="I68" s="1970">
        <f>INDEX(MO_CFSum_Acquisition,0,COLUMN())</f>
        <v/>
      </c>
      <c r="J68" s="1970">
        <f>INDEX(MO_CFSum_Acquisition,0,COLUMN())</f>
        <v/>
      </c>
      <c r="K68" s="1970">
        <f>INDEX(MO_CFSum_Acquisition,0,COLUMN())</f>
        <v/>
      </c>
      <c r="L68" s="1804">
        <f>INDEX(MO_CFSum_Acquisition,0,COLUMN())</f>
        <v/>
      </c>
      <c r="M68" s="1970">
        <f>INDEX(MO_CFSum_Acquisition,0,COLUMN())</f>
        <v/>
      </c>
      <c r="N68" s="1970">
        <f>INDEX(MO_CFSum_Acquisition,0,COLUMN())</f>
        <v/>
      </c>
      <c r="O68" s="1970">
        <f>INDEX(MO_CFSum_Acquisition,0,COLUMN())</f>
        <v/>
      </c>
      <c r="P68" s="1970">
        <f>INDEX(MO_CFSum_Acquisition,0,COLUMN())</f>
        <v/>
      </c>
      <c r="Q68" s="1804">
        <f>INDEX(MO_CFSum_Acquisition,0,COLUMN())</f>
        <v/>
      </c>
      <c r="R68" s="1970">
        <f>INDEX(MO_CFSum_Acquisition,0,COLUMN())</f>
        <v/>
      </c>
      <c r="S68" s="1970">
        <f>INDEX(MO_CFSum_Acquisition,0,COLUMN())</f>
        <v/>
      </c>
      <c r="T68" s="1970">
        <f>INDEX(MO_CFSum_Acquisition,0,COLUMN())</f>
        <v/>
      </c>
      <c r="U68" s="1970">
        <f>INDEX(MO_CFSum_Acquisition,0,COLUMN())</f>
        <v/>
      </c>
      <c r="V68" s="1804">
        <f>INDEX(MO_CFSum_Acquisition,0,COLUMN())</f>
        <v/>
      </c>
      <c r="W68" s="1970">
        <f>INDEX(MO_CFSum_Acquisition,0,COLUMN())</f>
        <v/>
      </c>
      <c r="X68" s="1970">
        <f>INDEX(MO_CFSum_Acquisition,0,COLUMN())</f>
        <v/>
      </c>
      <c r="Y68" s="1970">
        <f>INDEX(MO_CFSum_Acquisition,0,COLUMN())</f>
        <v/>
      </c>
      <c r="Z68" s="1970">
        <f>INDEX(MO_CFSum_Acquisition,0,COLUMN())</f>
        <v/>
      </c>
      <c r="AA68" s="1804">
        <f>INDEX(MO_CFSum_Acquisition,0,COLUMN())</f>
        <v/>
      </c>
      <c r="AB68" s="1970">
        <f>INDEX(MO_CFSum_Acquisition,0,COLUMN())</f>
        <v/>
      </c>
      <c r="AC68" s="1970">
        <f>INDEX(MO_CFSum_Acquisition,0,COLUMN())</f>
        <v/>
      </c>
      <c r="AD68" s="1970">
        <f>INDEX(MO_CFSum_Acquisition,0,COLUMN())</f>
        <v/>
      </c>
      <c r="AE68" s="1970">
        <f>INDEX(MO_CFSum_Acquisition,0,COLUMN())</f>
        <v/>
      </c>
      <c r="AF68" s="1804">
        <f>INDEX(MO_CFSum_Acquisition,0,COLUMN())</f>
        <v/>
      </c>
      <c r="AG68" s="1970">
        <f>INDEX(MO_CFSum_Acquisition,0,COLUMN())</f>
        <v/>
      </c>
      <c r="AH68" s="1970">
        <f>INDEX(MO_CFSum_Acquisition,0,COLUMN())</f>
        <v/>
      </c>
      <c r="AI68" s="1970">
        <f>INDEX(MO_CFSum_Acquisition,0,COLUMN())</f>
        <v/>
      </c>
      <c r="AJ68" s="1970">
        <f>INDEX(MO_CFSum_Acquisition,0,COLUMN())</f>
        <v/>
      </c>
      <c r="AK68" s="1804">
        <f>INDEX(MO_CFSum_Acquisition,0,COLUMN())</f>
        <v/>
      </c>
      <c r="AL68" s="1970">
        <f>INDEX(MO_CFSum_Acquisition,0,COLUMN())</f>
        <v/>
      </c>
      <c r="AM68" s="1970">
        <f>INDEX(MO_CFSum_Acquisition,0,COLUMN())</f>
        <v/>
      </c>
      <c r="AN68" s="1970">
        <f>INDEX(MO_CFSum_Acquisition,0,COLUMN())</f>
        <v/>
      </c>
      <c r="AO68" s="1970">
        <f>INDEX(MO_CFSum_Acquisition,0,COLUMN())</f>
        <v/>
      </c>
      <c r="AP68" s="1804">
        <f>INDEX(MO_CFSum_Acquisition,0,COLUMN())</f>
        <v/>
      </c>
      <c r="AQ68" s="1970">
        <f>INDEX(MO_CFSum_Acquisition,0,COLUMN())</f>
        <v/>
      </c>
      <c r="AR68" s="1970">
        <f>INDEX(MO_CFSum_Acquisition,0,COLUMN())</f>
        <v/>
      </c>
      <c r="AS68" s="1970">
        <f>INDEX(MO_CFSum_Acquisition,0,COLUMN())</f>
        <v/>
      </c>
      <c r="AT68" s="1970">
        <f>INDEX(MO_CFSum_Acquisition,0,COLUMN())</f>
        <v/>
      </c>
      <c r="AU68" s="1804">
        <f>INDEX(MO_CFSum_Acquisition,0,COLUMN())</f>
        <v/>
      </c>
      <c r="AV68" s="1970">
        <f>INDEX(MO_CFSum_Acquisition,0,COLUMN())</f>
        <v/>
      </c>
      <c r="AW68" s="1970">
        <f>INDEX(MO_CFSum_Acquisition,0,COLUMN())</f>
        <v/>
      </c>
      <c r="AX68" s="1970">
        <f>INDEX(MO_CFSum_Acquisition,0,COLUMN())</f>
        <v/>
      </c>
      <c r="AY68" s="1970">
        <f>INDEX(MO_CFSum_Acquisition,0,COLUMN())</f>
        <v/>
      </c>
      <c r="AZ68" s="1804">
        <f>INDEX(MO_CFSum_Acquisition,0,COLUMN())</f>
        <v/>
      </c>
      <c r="BA68" s="1970">
        <f>INDEX(MO_CFSum_Acquisition,0,COLUMN())</f>
        <v/>
      </c>
      <c r="BB68" s="1970">
        <f>INDEX(MO_CFSum_Acquisition,0,COLUMN())</f>
        <v/>
      </c>
      <c r="BC68" s="1970">
        <f>INDEX(MO_CFSum_Acquisition,0,COLUMN())</f>
        <v/>
      </c>
      <c r="BD68" s="1970">
        <f>INDEX(MO_CFSum_Acquisition,0,COLUMN())</f>
        <v/>
      </c>
      <c r="BE68" s="1804">
        <f>INDEX(MO_CFSum_Acquisition,0,COLUMN())</f>
        <v/>
      </c>
      <c r="BF68" s="1970">
        <f>INDEX(MO_CFSum_Acquisition,0,COLUMN())</f>
        <v/>
      </c>
      <c r="BG68" s="1970">
        <f>INDEX(MO_CFSum_Acquisition,0,COLUMN())</f>
        <v/>
      </c>
      <c r="BH68" s="1970">
        <f>INDEX(MO_CFSum_Acquisition,0,COLUMN())</f>
        <v/>
      </c>
      <c r="BI68" s="1970">
        <f>INDEX(MO_CFSum_Acquisition,0,COLUMN())</f>
        <v/>
      </c>
      <c r="BJ68" s="1804">
        <f>INDEX(MO_CFSum_Acquisition,0,COLUMN())</f>
        <v/>
      </c>
      <c r="BK68" s="1970">
        <f>INDEX(MO_CFSum_Acquisition,0,COLUMN())</f>
        <v/>
      </c>
      <c r="BL68" s="1970">
        <f>INDEX(MO_CFSum_Acquisition,0,COLUMN())</f>
        <v/>
      </c>
      <c r="BM68" s="1970">
        <f>INDEX(MO_CFSum_Acquisition,0,COLUMN())</f>
        <v/>
      </c>
      <c r="BN68" s="1970">
        <f>INDEX(MO_CFSum_Acquisition,0,COLUMN())</f>
        <v/>
      </c>
      <c r="BO68" s="2138">
        <f>INDEX(MO_CFSum_Acquisition,0,COLUMN())</f>
        <v/>
      </c>
      <c r="BP68" s="1970">
        <f>INDEX(MO_CFSum_Acquisition,0,COLUMN())</f>
        <v/>
      </c>
      <c r="BQ68" s="1970">
        <f>INDEX(MO_CFSum_Acquisition,0,COLUMN())</f>
        <v/>
      </c>
      <c r="BR68" s="1970">
        <f>INDEX(MO_CFSum_Acquisition,0,COLUMN())</f>
        <v/>
      </c>
      <c r="BS68" s="1970">
        <f>INDEX(MO_CFSum_Acquisition,0,COLUMN())</f>
        <v/>
      </c>
      <c r="BT68" s="1804">
        <f>INDEX(MO_CFSum_Acquisition,0,COLUMN())</f>
        <v/>
      </c>
      <c r="BU68" s="1970">
        <f>INDEX(MO_CFSum_Acquisition,0,COLUMN())</f>
        <v/>
      </c>
      <c r="BV68" s="1970">
        <f>INDEX(MO_CFSum_Acquisition,0,COLUMN())</f>
        <v/>
      </c>
      <c r="BW68" s="1970">
        <f>INDEX(MO_CFSum_Acquisition,0,COLUMN())</f>
        <v/>
      </c>
      <c r="BX68" s="1970">
        <f>INDEX(MO_CFSum_Acquisition,0,COLUMN())</f>
        <v/>
      </c>
      <c r="BY68" s="1804">
        <f>INDEX(MO_CFSum_Acquisition,0,COLUMN())</f>
        <v/>
      </c>
      <c r="BZ68" s="1804">
        <f>INDEX(MO_CFSum_Acquisition,0,COLUMN())</f>
        <v/>
      </c>
      <c r="CA68" s="1804">
        <f>INDEX(MO_CFSum_Acquisition,0,COLUMN())</f>
        <v/>
      </c>
      <c r="CB68" s="1804">
        <f>INDEX(MO_CFSum_Acquisition,0,COLUMN())</f>
        <v/>
      </c>
      <c r="CC68" s="1970" t="n"/>
    </row>
    <row r="69" ht="15" customFormat="1" customHeight="1" s="2114">
      <c r="A69" s="1635">
        <f>INDEX(MO_CFSum_Divestiture,0,COLUMN())</f>
        <v/>
      </c>
      <c r="B69" s="2137" t="n"/>
      <c r="C69" s="1804">
        <f>INDEX(MO_CFSum_Divestiture,0,COLUMN())</f>
        <v/>
      </c>
      <c r="D69" s="1804">
        <f>INDEX(MO_CFSum_Divestiture,0,COLUMN())</f>
        <v/>
      </c>
      <c r="E69" s="1804">
        <f>INDEX(MO_CFSum_Divestiture,0,COLUMN())</f>
        <v/>
      </c>
      <c r="F69" s="1804">
        <f>INDEX(MO_CFSum_Divestiture,0,COLUMN())</f>
        <v/>
      </c>
      <c r="G69" s="1804">
        <f>INDEX(MO_CFSum_Divestiture,0,COLUMN())</f>
        <v/>
      </c>
      <c r="H69" s="1970">
        <f>INDEX(MO_CFSum_Divestiture,0,COLUMN())</f>
        <v/>
      </c>
      <c r="I69" s="1970">
        <f>INDEX(MO_CFSum_Divestiture,0,COLUMN())</f>
        <v/>
      </c>
      <c r="J69" s="1970">
        <f>INDEX(MO_CFSum_Divestiture,0,COLUMN())</f>
        <v/>
      </c>
      <c r="K69" s="1970">
        <f>INDEX(MO_CFSum_Divestiture,0,COLUMN())</f>
        <v/>
      </c>
      <c r="L69" s="1804">
        <f>INDEX(MO_CFSum_Divestiture,0,COLUMN())</f>
        <v/>
      </c>
      <c r="M69" s="1970">
        <f>INDEX(MO_CFSum_Divestiture,0,COLUMN())</f>
        <v/>
      </c>
      <c r="N69" s="1970">
        <f>INDEX(MO_CFSum_Divestiture,0,COLUMN())</f>
        <v/>
      </c>
      <c r="O69" s="1970">
        <f>INDEX(MO_CFSum_Divestiture,0,COLUMN())</f>
        <v/>
      </c>
      <c r="P69" s="1970">
        <f>INDEX(MO_CFSum_Divestiture,0,COLUMN())</f>
        <v/>
      </c>
      <c r="Q69" s="1804">
        <f>INDEX(MO_CFSum_Divestiture,0,COLUMN())</f>
        <v/>
      </c>
      <c r="R69" s="1970">
        <f>INDEX(MO_CFSum_Divestiture,0,COLUMN())</f>
        <v/>
      </c>
      <c r="S69" s="1970">
        <f>INDEX(MO_CFSum_Divestiture,0,COLUMN())</f>
        <v/>
      </c>
      <c r="T69" s="1970">
        <f>INDEX(MO_CFSum_Divestiture,0,COLUMN())</f>
        <v/>
      </c>
      <c r="U69" s="1970">
        <f>INDEX(MO_CFSum_Divestiture,0,COLUMN())</f>
        <v/>
      </c>
      <c r="V69" s="1804">
        <f>INDEX(MO_CFSum_Divestiture,0,COLUMN())</f>
        <v/>
      </c>
      <c r="W69" s="1970">
        <f>INDEX(MO_CFSum_Divestiture,0,COLUMN())</f>
        <v/>
      </c>
      <c r="X69" s="1970">
        <f>INDEX(MO_CFSum_Divestiture,0,COLUMN())</f>
        <v/>
      </c>
      <c r="Y69" s="1970">
        <f>INDEX(MO_CFSum_Divestiture,0,COLUMN())</f>
        <v/>
      </c>
      <c r="Z69" s="1970">
        <f>INDEX(MO_CFSum_Divestiture,0,COLUMN())</f>
        <v/>
      </c>
      <c r="AA69" s="1804">
        <f>INDEX(MO_CFSum_Divestiture,0,COLUMN())</f>
        <v/>
      </c>
      <c r="AB69" s="1970">
        <f>INDEX(MO_CFSum_Divestiture,0,COLUMN())</f>
        <v/>
      </c>
      <c r="AC69" s="1970">
        <f>INDEX(MO_CFSum_Divestiture,0,COLUMN())</f>
        <v/>
      </c>
      <c r="AD69" s="1970">
        <f>INDEX(MO_CFSum_Divestiture,0,COLUMN())</f>
        <v/>
      </c>
      <c r="AE69" s="1970">
        <f>INDEX(MO_CFSum_Divestiture,0,COLUMN())</f>
        <v/>
      </c>
      <c r="AF69" s="1804">
        <f>INDEX(MO_CFSum_Divestiture,0,COLUMN())</f>
        <v/>
      </c>
      <c r="AG69" s="1970">
        <f>INDEX(MO_CFSum_Divestiture,0,COLUMN())</f>
        <v/>
      </c>
      <c r="AH69" s="1970">
        <f>INDEX(MO_CFSum_Divestiture,0,COLUMN())</f>
        <v/>
      </c>
      <c r="AI69" s="1970">
        <f>INDEX(MO_CFSum_Divestiture,0,COLUMN())</f>
        <v/>
      </c>
      <c r="AJ69" s="1970">
        <f>INDEX(MO_CFSum_Divestiture,0,COLUMN())</f>
        <v/>
      </c>
      <c r="AK69" s="1804">
        <f>INDEX(MO_CFSum_Divestiture,0,COLUMN())</f>
        <v/>
      </c>
      <c r="AL69" s="1970">
        <f>INDEX(MO_CFSum_Divestiture,0,COLUMN())</f>
        <v/>
      </c>
      <c r="AM69" s="1970">
        <f>INDEX(MO_CFSum_Divestiture,0,COLUMN())</f>
        <v/>
      </c>
      <c r="AN69" s="1970">
        <f>INDEX(MO_CFSum_Divestiture,0,COLUMN())</f>
        <v/>
      </c>
      <c r="AO69" s="1970">
        <f>INDEX(MO_CFSum_Divestiture,0,COLUMN())</f>
        <v/>
      </c>
      <c r="AP69" s="1804">
        <f>INDEX(MO_CFSum_Divestiture,0,COLUMN())</f>
        <v/>
      </c>
      <c r="AQ69" s="1970">
        <f>INDEX(MO_CFSum_Divestiture,0,COLUMN())</f>
        <v/>
      </c>
      <c r="AR69" s="1970">
        <f>INDEX(MO_CFSum_Divestiture,0,COLUMN())</f>
        <v/>
      </c>
      <c r="AS69" s="1970">
        <f>INDEX(MO_CFSum_Divestiture,0,COLUMN())</f>
        <v/>
      </c>
      <c r="AT69" s="1970">
        <f>INDEX(MO_CFSum_Divestiture,0,COLUMN())</f>
        <v/>
      </c>
      <c r="AU69" s="1804">
        <f>INDEX(MO_CFSum_Divestiture,0,COLUMN())</f>
        <v/>
      </c>
      <c r="AV69" s="1970">
        <f>INDEX(MO_CFSum_Divestiture,0,COLUMN())</f>
        <v/>
      </c>
      <c r="AW69" s="1970">
        <f>INDEX(MO_CFSum_Divestiture,0,COLUMN())</f>
        <v/>
      </c>
      <c r="AX69" s="1970">
        <f>INDEX(MO_CFSum_Divestiture,0,COLUMN())</f>
        <v/>
      </c>
      <c r="AY69" s="1970">
        <f>INDEX(MO_CFSum_Divestiture,0,COLUMN())</f>
        <v/>
      </c>
      <c r="AZ69" s="1804">
        <f>INDEX(MO_CFSum_Divestiture,0,COLUMN())</f>
        <v/>
      </c>
      <c r="BA69" s="1970">
        <f>INDEX(MO_CFSum_Divestiture,0,COLUMN())</f>
        <v/>
      </c>
      <c r="BB69" s="1970">
        <f>INDEX(MO_CFSum_Divestiture,0,COLUMN())</f>
        <v/>
      </c>
      <c r="BC69" s="1970">
        <f>INDEX(MO_CFSum_Divestiture,0,COLUMN())</f>
        <v/>
      </c>
      <c r="BD69" s="1970">
        <f>INDEX(MO_CFSum_Divestiture,0,COLUMN())</f>
        <v/>
      </c>
      <c r="BE69" s="1804">
        <f>INDEX(MO_CFSum_Divestiture,0,COLUMN())</f>
        <v/>
      </c>
      <c r="BF69" s="1970">
        <f>INDEX(MO_CFSum_Divestiture,0,COLUMN())</f>
        <v/>
      </c>
      <c r="BG69" s="1970">
        <f>INDEX(MO_CFSum_Divestiture,0,COLUMN())</f>
        <v/>
      </c>
      <c r="BH69" s="1970">
        <f>INDEX(MO_CFSum_Divestiture,0,COLUMN())</f>
        <v/>
      </c>
      <c r="BI69" s="1970">
        <f>INDEX(MO_CFSum_Divestiture,0,COLUMN())</f>
        <v/>
      </c>
      <c r="BJ69" s="1804">
        <f>INDEX(MO_CFSum_Divestiture,0,COLUMN())</f>
        <v/>
      </c>
      <c r="BK69" s="1970">
        <f>INDEX(MO_CFSum_Divestiture,0,COLUMN())</f>
        <v/>
      </c>
      <c r="BL69" s="1970">
        <f>INDEX(MO_CFSum_Divestiture,0,COLUMN())</f>
        <v/>
      </c>
      <c r="BM69" s="1970">
        <f>INDEX(MO_CFSum_Divestiture,0,COLUMN())</f>
        <v/>
      </c>
      <c r="BN69" s="1970">
        <f>INDEX(MO_CFSum_Divestiture,0,COLUMN())</f>
        <v/>
      </c>
      <c r="BO69" s="2138">
        <f>INDEX(MO_CFSum_Divestiture,0,COLUMN())</f>
        <v/>
      </c>
      <c r="BP69" s="1970">
        <f>INDEX(MO_CFSum_Divestiture,0,COLUMN())</f>
        <v/>
      </c>
      <c r="BQ69" s="1970">
        <f>INDEX(MO_CFSum_Divestiture,0,COLUMN())</f>
        <v/>
      </c>
      <c r="BR69" s="1970">
        <f>INDEX(MO_CFSum_Divestiture,0,COLUMN())</f>
        <v/>
      </c>
      <c r="BS69" s="1970">
        <f>INDEX(MO_CFSum_Divestiture,0,COLUMN())</f>
        <v/>
      </c>
      <c r="BT69" s="1804">
        <f>INDEX(MO_CFSum_Divestiture,0,COLUMN())</f>
        <v/>
      </c>
      <c r="BU69" s="1970">
        <f>INDEX(MO_CFSum_Divestiture,0,COLUMN())</f>
        <v/>
      </c>
      <c r="BV69" s="1970">
        <f>INDEX(MO_CFSum_Divestiture,0,COLUMN())</f>
        <v/>
      </c>
      <c r="BW69" s="1970">
        <f>INDEX(MO_CFSum_Divestiture,0,COLUMN())</f>
        <v/>
      </c>
      <c r="BX69" s="1970">
        <f>INDEX(MO_CFSum_Divestiture,0,COLUMN())</f>
        <v/>
      </c>
      <c r="BY69" s="1804">
        <f>INDEX(MO_CFSum_Divestiture,0,COLUMN())</f>
        <v/>
      </c>
      <c r="BZ69" s="1804">
        <f>INDEX(MO_CFSum_Divestiture,0,COLUMN())</f>
        <v/>
      </c>
      <c r="CA69" s="1804">
        <f>INDEX(MO_CFSum_Divestiture,0,COLUMN())</f>
        <v/>
      </c>
      <c r="CB69" s="1804">
        <f>INDEX(MO_CFSum_Divestiture,0,COLUMN())</f>
        <v/>
      </c>
      <c r="CC69" s="1970" t="n"/>
    </row>
    <row r="70" ht="15" customFormat="1" customHeight="1" s="2114">
      <c r="A70" s="1635" t="inlineStr">
        <is>
          <t>New Equity Issuance</t>
        </is>
      </c>
      <c r="B70" s="2137" t="n"/>
      <c r="C70" s="1804">
        <f>INDEX(MO_CFSum_NetShares,0,COLUMN())</f>
        <v/>
      </c>
      <c r="D70" s="1804">
        <f>INDEX(MO_CFSum_NetShares,0,COLUMN())</f>
        <v/>
      </c>
      <c r="E70" s="1804">
        <f>INDEX(MO_CFSum_NetShares,0,COLUMN())</f>
        <v/>
      </c>
      <c r="F70" s="1804">
        <f>INDEX(MO_CFSum_NetShares,0,COLUMN())</f>
        <v/>
      </c>
      <c r="G70" s="1804">
        <f>INDEX(MO_CFSum_NetShares,0,COLUMN())</f>
        <v/>
      </c>
      <c r="H70" s="1970">
        <f>INDEX(MO_CFSum_NetShares,0,COLUMN())</f>
        <v/>
      </c>
      <c r="I70" s="1970">
        <f>INDEX(MO_CFSum_NetShares,0,COLUMN())</f>
        <v/>
      </c>
      <c r="J70" s="1970">
        <f>INDEX(MO_CFSum_NetShares,0,COLUMN())</f>
        <v/>
      </c>
      <c r="K70" s="1970">
        <f>INDEX(MO_CFSum_NetShares,0,COLUMN())</f>
        <v/>
      </c>
      <c r="L70" s="1804">
        <f>INDEX(MO_CFSum_NetShares,0,COLUMN())</f>
        <v/>
      </c>
      <c r="M70" s="1970">
        <f>INDEX(MO_CFSum_NetShares,0,COLUMN())</f>
        <v/>
      </c>
      <c r="N70" s="1970">
        <f>INDEX(MO_CFSum_NetShares,0,COLUMN())</f>
        <v/>
      </c>
      <c r="O70" s="1970">
        <f>INDEX(MO_CFSum_NetShares,0,COLUMN())</f>
        <v/>
      </c>
      <c r="P70" s="1970">
        <f>INDEX(MO_CFSum_NetShares,0,COLUMN())</f>
        <v/>
      </c>
      <c r="Q70" s="1804">
        <f>INDEX(MO_CFSum_NetShares,0,COLUMN())</f>
        <v/>
      </c>
      <c r="R70" s="1970">
        <f>INDEX(MO_CFSum_NetShares,0,COLUMN())</f>
        <v/>
      </c>
      <c r="S70" s="1970">
        <f>INDEX(MO_CFSum_NetShares,0,COLUMN())</f>
        <v/>
      </c>
      <c r="T70" s="1970">
        <f>INDEX(MO_CFSum_NetShares,0,COLUMN())</f>
        <v/>
      </c>
      <c r="U70" s="1970">
        <f>INDEX(MO_CFSum_NetShares,0,COLUMN())</f>
        <v/>
      </c>
      <c r="V70" s="1804">
        <f>INDEX(MO_CFSum_NetShares,0,COLUMN())</f>
        <v/>
      </c>
      <c r="W70" s="1970">
        <f>INDEX(MO_CFSum_NetShares,0,COLUMN())</f>
        <v/>
      </c>
      <c r="X70" s="1970">
        <f>INDEX(MO_CFSum_NetShares,0,COLUMN())</f>
        <v/>
      </c>
      <c r="Y70" s="1970">
        <f>INDEX(MO_CFSum_NetShares,0,COLUMN())</f>
        <v/>
      </c>
      <c r="Z70" s="1970">
        <f>INDEX(MO_CFSum_NetShares,0,COLUMN())</f>
        <v/>
      </c>
      <c r="AA70" s="1804">
        <f>INDEX(MO_CFSum_NetShares,0,COLUMN())</f>
        <v/>
      </c>
      <c r="AB70" s="1970">
        <f>INDEX(MO_CFSum_NetShares,0,COLUMN())</f>
        <v/>
      </c>
      <c r="AC70" s="1970">
        <f>INDEX(MO_CFSum_NetShares,0,COLUMN())</f>
        <v/>
      </c>
      <c r="AD70" s="1970">
        <f>INDEX(MO_CFSum_NetShares,0,COLUMN())</f>
        <v/>
      </c>
      <c r="AE70" s="1970">
        <f>INDEX(MO_CFSum_NetShares,0,COLUMN())</f>
        <v/>
      </c>
      <c r="AF70" s="1804">
        <f>INDEX(MO_CFSum_NetShares,0,COLUMN())</f>
        <v/>
      </c>
      <c r="AG70" s="1970">
        <f>INDEX(MO_CFSum_NetShares,0,COLUMN())</f>
        <v/>
      </c>
      <c r="AH70" s="1970">
        <f>INDEX(MO_CFSum_NetShares,0,COLUMN())</f>
        <v/>
      </c>
      <c r="AI70" s="1970">
        <f>INDEX(MO_CFSum_NetShares,0,COLUMN())</f>
        <v/>
      </c>
      <c r="AJ70" s="1970">
        <f>INDEX(MO_CFSum_NetShares,0,COLUMN())</f>
        <v/>
      </c>
      <c r="AK70" s="1804">
        <f>INDEX(MO_CFSum_NetShares,0,COLUMN())</f>
        <v/>
      </c>
      <c r="AL70" s="1970">
        <f>INDEX(MO_CFSum_NetShares,0,COLUMN())</f>
        <v/>
      </c>
      <c r="AM70" s="1970">
        <f>INDEX(MO_CFSum_NetShares,0,COLUMN())</f>
        <v/>
      </c>
      <c r="AN70" s="1970">
        <f>INDEX(MO_CFSum_NetShares,0,COLUMN())</f>
        <v/>
      </c>
      <c r="AO70" s="1970">
        <f>INDEX(MO_CFSum_NetShares,0,COLUMN())</f>
        <v/>
      </c>
      <c r="AP70" s="1804">
        <f>INDEX(MO_CFSum_NetShares,0,COLUMN())</f>
        <v/>
      </c>
      <c r="AQ70" s="1970">
        <f>INDEX(MO_CFSum_NetShares,0,COLUMN())</f>
        <v/>
      </c>
      <c r="AR70" s="1970">
        <f>INDEX(MO_CFSum_NetShares,0,COLUMN())</f>
        <v/>
      </c>
      <c r="AS70" s="1970">
        <f>INDEX(MO_CFSum_NetShares,0,COLUMN())</f>
        <v/>
      </c>
      <c r="AT70" s="1970">
        <f>INDEX(MO_CFSum_NetShares,0,COLUMN())</f>
        <v/>
      </c>
      <c r="AU70" s="1804">
        <f>INDEX(MO_CFSum_NetShares,0,COLUMN())</f>
        <v/>
      </c>
      <c r="AV70" s="1970">
        <f>INDEX(MO_CFSum_NetShares,0,COLUMN())</f>
        <v/>
      </c>
      <c r="AW70" s="1970">
        <f>INDEX(MO_CFSum_NetShares,0,COLUMN())</f>
        <v/>
      </c>
      <c r="AX70" s="1970">
        <f>INDEX(MO_CFSum_NetShares,0,COLUMN())</f>
        <v/>
      </c>
      <c r="AY70" s="1970">
        <f>INDEX(MO_CFSum_NetShares,0,COLUMN())</f>
        <v/>
      </c>
      <c r="AZ70" s="1804">
        <f>INDEX(MO_CFSum_NetShares,0,COLUMN())</f>
        <v/>
      </c>
      <c r="BA70" s="1970">
        <f>INDEX(MO_CFSum_NetShares,0,COLUMN())</f>
        <v/>
      </c>
      <c r="BB70" s="1970">
        <f>INDEX(MO_CFSum_NetShares,0,COLUMN())</f>
        <v/>
      </c>
      <c r="BC70" s="1970">
        <f>INDEX(MO_CFSum_NetShares,0,COLUMN())</f>
        <v/>
      </c>
      <c r="BD70" s="1970">
        <f>INDEX(MO_CFSum_NetShares,0,COLUMN())</f>
        <v/>
      </c>
      <c r="BE70" s="1804">
        <f>INDEX(MO_CFSum_NetShares,0,COLUMN())</f>
        <v/>
      </c>
      <c r="BF70" s="1970">
        <f>INDEX(MO_CFSum_NetShares,0,COLUMN())</f>
        <v/>
      </c>
      <c r="BG70" s="1970">
        <f>INDEX(MO_CFSum_NetShares,0,COLUMN())</f>
        <v/>
      </c>
      <c r="BH70" s="1970">
        <f>INDEX(MO_CFSum_NetShares,0,COLUMN())</f>
        <v/>
      </c>
      <c r="BI70" s="1970">
        <f>INDEX(MO_CFSum_NetShares,0,COLUMN())</f>
        <v/>
      </c>
      <c r="BJ70" s="1804">
        <f>INDEX(MO_CFSum_NetShares,0,COLUMN())</f>
        <v/>
      </c>
      <c r="BK70" s="1970">
        <f>INDEX(MO_CFSum_NetShares,0,COLUMN())</f>
        <v/>
      </c>
      <c r="BL70" s="1970">
        <f>INDEX(MO_CFSum_NetShares,0,COLUMN())</f>
        <v/>
      </c>
      <c r="BM70" s="1970">
        <f>INDEX(MO_CFSum_NetShares,0,COLUMN())</f>
        <v/>
      </c>
      <c r="BN70" s="1970">
        <f>INDEX(MO_CFSum_NetShares,0,COLUMN())</f>
        <v/>
      </c>
      <c r="BO70" s="2138">
        <f>INDEX(MO_CFSum_NetShares,0,COLUMN())</f>
        <v/>
      </c>
      <c r="BP70" s="1970">
        <f>INDEX(MO_CFSum_NetShares,0,COLUMN())</f>
        <v/>
      </c>
      <c r="BQ70" s="1970">
        <f>INDEX(MO_CFSum_NetShares,0,COLUMN())</f>
        <v/>
      </c>
      <c r="BR70" s="1970">
        <f>INDEX(MO_CFSum_NetShares,0,COLUMN())</f>
        <v/>
      </c>
      <c r="BS70" s="1970">
        <f>INDEX(MO_CFSum_NetShares,0,COLUMN())</f>
        <v/>
      </c>
      <c r="BT70" s="1804">
        <f>INDEX(MO_CFSum_NetShares,0,COLUMN())</f>
        <v/>
      </c>
      <c r="BU70" s="1970">
        <f>INDEX(MO_CFSum_NetShares,0,COLUMN())</f>
        <v/>
      </c>
      <c r="BV70" s="1970">
        <f>INDEX(MO_CFSum_NetShares,0,COLUMN())</f>
        <v/>
      </c>
      <c r="BW70" s="1970">
        <f>INDEX(MO_CFSum_NetShares,0,COLUMN())</f>
        <v/>
      </c>
      <c r="BX70" s="1970">
        <f>INDEX(MO_CFSum_NetShares,0,COLUMN())</f>
        <v/>
      </c>
      <c r="BY70" s="1804">
        <f>INDEX(MO_CFSum_NetShares,0,COLUMN())</f>
        <v/>
      </c>
      <c r="BZ70" s="1804">
        <f>INDEX(MO_CFSum_NetShares,0,COLUMN())</f>
        <v/>
      </c>
      <c r="CA70" s="1804">
        <f>INDEX(MO_CFSum_NetShares,0,COLUMN())</f>
        <v/>
      </c>
      <c r="CB70" s="1804">
        <f>INDEX(MO_CFSum_NetShares,0,COLUMN())</f>
        <v/>
      </c>
      <c r="CC70" s="1970" t="n"/>
    </row>
    <row r="71" ht="15" customFormat="1" customHeight="1" s="2114">
      <c r="A71" s="1635" t="inlineStr">
        <is>
          <t>New Debt Issuance</t>
        </is>
      </c>
      <c r="B71" s="2137" t="n"/>
      <c r="C71" s="1804">
        <f>INDEX(MO_CFSum_NetDebtIssuance,0,COLUMN())</f>
        <v/>
      </c>
      <c r="D71" s="1804">
        <f>INDEX(MO_CFSum_NetDebtIssuance,0,COLUMN())</f>
        <v/>
      </c>
      <c r="E71" s="1804">
        <f>INDEX(MO_CFSum_NetDebtIssuance,0,COLUMN())</f>
        <v/>
      </c>
      <c r="F71" s="1804">
        <f>INDEX(MO_CFSum_NetDebtIssuance,0,COLUMN())</f>
        <v/>
      </c>
      <c r="G71" s="1804">
        <f>INDEX(MO_CFSum_NetDebtIssuance,0,COLUMN())</f>
        <v/>
      </c>
      <c r="H71" s="1970">
        <f>INDEX(MO_CFSum_NetDebtIssuance,0,COLUMN())</f>
        <v/>
      </c>
      <c r="I71" s="1970">
        <f>INDEX(MO_CFSum_NetDebtIssuance,0,COLUMN())</f>
        <v/>
      </c>
      <c r="J71" s="1970">
        <f>INDEX(MO_CFSum_NetDebtIssuance,0,COLUMN())</f>
        <v/>
      </c>
      <c r="K71" s="1970">
        <f>INDEX(MO_CFSum_NetDebtIssuance,0,COLUMN())</f>
        <v/>
      </c>
      <c r="L71" s="1804">
        <f>INDEX(MO_CFSum_NetDebtIssuance,0,COLUMN())</f>
        <v/>
      </c>
      <c r="M71" s="1970">
        <f>INDEX(MO_CFSum_NetDebtIssuance,0,COLUMN())</f>
        <v/>
      </c>
      <c r="N71" s="1970">
        <f>INDEX(MO_CFSum_NetDebtIssuance,0,COLUMN())</f>
        <v/>
      </c>
      <c r="O71" s="1970">
        <f>INDEX(MO_CFSum_NetDebtIssuance,0,COLUMN())</f>
        <v/>
      </c>
      <c r="P71" s="1970">
        <f>INDEX(MO_CFSum_NetDebtIssuance,0,COLUMN())</f>
        <v/>
      </c>
      <c r="Q71" s="1804">
        <f>INDEX(MO_CFSum_NetDebtIssuance,0,COLUMN())</f>
        <v/>
      </c>
      <c r="R71" s="1970">
        <f>INDEX(MO_CFSum_NetDebtIssuance,0,COLUMN())</f>
        <v/>
      </c>
      <c r="S71" s="1970">
        <f>INDEX(MO_CFSum_NetDebtIssuance,0,COLUMN())</f>
        <v/>
      </c>
      <c r="T71" s="1970">
        <f>INDEX(MO_CFSum_NetDebtIssuance,0,COLUMN())</f>
        <v/>
      </c>
      <c r="U71" s="1970">
        <f>INDEX(MO_CFSum_NetDebtIssuance,0,COLUMN())</f>
        <v/>
      </c>
      <c r="V71" s="1804">
        <f>INDEX(MO_CFSum_NetDebtIssuance,0,COLUMN())</f>
        <v/>
      </c>
      <c r="W71" s="1970">
        <f>INDEX(MO_CFSum_NetDebtIssuance,0,COLUMN())</f>
        <v/>
      </c>
      <c r="X71" s="1970">
        <f>INDEX(MO_CFSum_NetDebtIssuance,0,COLUMN())</f>
        <v/>
      </c>
      <c r="Y71" s="1970">
        <f>INDEX(MO_CFSum_NetDebtIssuance,0,COLUMN())</f>
        <v/>
      </c>
      <c r="Z71" s="1970">
        <f>INDEX(MO_CFSum_NetDebtIssuance,0,COLUMN())</f>
        <v/>
      </c>
      <c r="AA71" s="1804">
        <f>INDEX(MO_CFSum_NetDebtIssuance,0,COLUMN())</f>
        <v/>
      </c>
      <c r="AB71" s="1970">
        <f>INDEX(MO_CFSum_NetDebtIssuance,0,COLUMN())</f>
        <v/>
      </c>
      <c r="AC71" s="1970">
        <f>INDEX(MO_CFSum_NetDebtIssuance,0,COLUMN())</f>
        <v/>
      </c>
      <c r="AD71" s="1970">
        <f>INDEX(MO_CFSum_NetDebtIssuance,0,COLUMN())</f>
        <v/>
      </c>
      <c r="AE71" s="1970">
        <f>INDEX(MO_CFSum_NetDebtIssuance,0,COLUMN())</f>
        <v/>
      </c>
      <c r="AF71" s="1804">
        <f>INDEX(MO_CFSum_NetDebtIssuance,0,COLUMN())</f>
        <v/>
      </c>
      <c r="AG71" s="1970">
        <f>INDEX(MO_CFSum_NetDebtIssuance,0,COLUMN())</f>
        <v/>
      </c>
      <c r="AH71" s="1970">
        <f>INDEX(MO_CFSum_NetDebtIssuance,0,COLUMN())</f>
        <v/>
      </c>
      <c r="AI71" s="1970">
        <f>INDEX(MO_CFSum_NetDebtIssuance,0,COLUMN())</f>
        <v/>
      </c>
      <c r="AJ71" s="1970">
        <f>INDEX(MO_CFSum_NetDebtIssuance,0,COLUMN())</f>
        <v/>
      </c>
      <c r="AK71" s="1804">
        <f>INDEX(MO_CFSum_NetDebtIssuance,0,COLUMN())</f>
        <v/>
      </c>
      <c r="AL71" s="1970">
        <f>INDEX(MO_CFSum_NetDebtIssuance,0,COLUMN())</f>
        <v/>
      </c>
      <c r="AM71" s="1970">
        <f>INDEX(MO_CFSum_NetDebtIssuance,0,COLUMN())</f>
        <v/>
      </c>
      <c r="AN71" s="1970">
        <f>INDEX(MO_CFSum_NetDebtIssuance,0,COLUMN())</f>
        <v/>
      </c>
      <c r="AO71" s="1970">
        <f>INDEX(MO_CFSum_NetDebtIssuance,0,COLUMN())</f>
        <v/>
      </c>
      <c r="AP71" s="1804">
        <f>INDEX(MO_CFSum_NetDebtIssuance,0,COLUMN())</f>
        <v/>
      </c>
      <c r="AQ71" s="1970">
        <f>INDEX(MO_CFSum_NetDebtIssuance,0,COLUMN())</f>
        <v/>
      </c>
      <c r="AR71" s="1970">
        <f>INDEX(MO_CFSum_NetDebtIssuance,0,COLUMN())</f>
        <v/>
      </c>
      <c r="AS71" s="1970">
        <f>INDEX(MO_CFSum_NetDebtIssuance,0,COLUMN())</f>
        <v/>
      </c>
      <c r="AT71" s="1970">
        <f>INDEX(MO_CFSum_NetDebtIssuance,0,COLUMN())</f>
        <v/>
      </c>
      <c r="AU71" s="1804">
        <f>INDEX(MO_CFSum_NetDebtIssuance,0,COLUMN())</f>
        <v/>
      </c>
      <c r="AV71" s="1970">
        <f>INDEX(MO_CFSum_NetDebtIssuance,0,COLUMN())</f>
        <v/>
      </c>
      <c r="AW71" s="1970">
        <f>INDEX(MO_CFSum_NetDebtIssuance,0,COLUMN())</f>
        <v/>
      </c>
      <c r="AX71" s="1970">
        <f>INDEX(MO_CFSum_NetDebtIssuance,0,COLUMN())</f>
        <v/>
      </c>
      <c r="AY71" s="1970">
        <f>INDEX(MO_CFSum_NetDebtIssuance,0,COLUMN())</f>
        <v/>
      </c>
      <c r="AZ71" s="1804">
        <f>INDEX(MO_CFSum_NetDebtIssuance,0,COLUMN())</f>
        <v/>
      </c>
      <c r="BA71" s="1970">
        <f>INDEX(MO_CFSum_NetDebtIssuance,0,COLUMN())</f>
        <v/>
      </c>
      <c r="BB71" s="1970">
        <f>INDEX(MO_CFSum_NetDebtIssuance,0,COLUMN())</f>
        <v/>
      </c>
      <c r="BC71" s="1970">
        <f>INDEX(MO_CFSum_NetDebtIssuance,0,COLUMN())</f>
        <v/>
      </c>
      <c r="BD71" s="1970">
        <f>INDEX(MO_CFSum_NetDebtIssuance,0,COLUMN())</f>
        <v/>
      </c>
      <c r="BE71" s="1804">
        <f>INDEX(MO_CFSum_NetDebtIssuance,0,COLUMN())</f>
        <v/>
      </c>
      <c r="BF71" s="1970">
        <f>INDEX(MO_CFSum_NetDebtIssuance,0,COLUMN())</f>
        <v/>
      </c>
      <c r="BG71" s="1970">
        <f>INDEX(MO_CFSum_NetDebtIssuance,0,COLUMN())</f>
        <v/>
      </c>
      <c r="BH71" s="1970">
        <f>INDEX(MO_CFSum_NetDebtIssuance,0,COLUMN())</f>
        <v/>
      </c>
      <c r="BI71" s="1970">
        <f>INDEX(MO_CFSum_NetDebtIssuance,0,COLUMN())</f>
        <v/>
      </c>
      <c r="BJ71" s="1804">
        <f>INDEX(MO_CFSum_NetDebtIssuance,0,COLUMN())</f>
        <v/>
      </c>
      <c r="BK71" s="1970">
        <f>INDEX(MO_CFSum_NetDebtIssuance,0,COLUMN())</f>
        <v/>
      </c>
      <c r="BL71" s="1970">
        <f>INDEX(MO_CFSum_NetDebtIssuance,0,COLUMN())</f>
        <v/>
      </c>
      <c r="BM71" s="1970">
        <f>INDEX(MO_CFSum_NetDebtIssuance,0,COLUMN())</f>
        <v/>
      </c>
      <c r="BN71" s="1970">
        <f>INDEX(MO_CFSum_NetDebtIssuance,0,COLUMN())</f>
        <v/>
      </c>
      <c r="BO71" s="2138">
        <f>INDEX(MO_CFSum_NetDebtIssuance,0,COLUMN())</f>
        <v/>
      </c>
      <c r="BP71" s="1970">
        <f>INDEX(MO_CFSum_NetDebtIssuance,0,COLUMN())</f>
        <v/>
      </c>
      <c r="BQ71" s="1970">
        <f>INDEX(MO_CFSum_NetDebtIssuance,0,COLUMN())</f>
        <v/>
      </c>
      <c r="BR71" s="1970">
        <f>INDEX(MO_CFSum_NetDebtIssuance,0,COLUMN())</f>
        <v/>
      </c>
      <c r="BS71" s="1970">
        <f>INDEX(MO_CFSum_NetDebtIssuance,0,COLUMN())</f>
        <v/>
      </c>
      <c r="BT71" s="1804">
        <f>INDEX(MO_CFSum_NetDebtIssuance,0,COLUMN())</f>
        <v/>
      </c>
      <c r="BU71" s="1970">
        <f>INDEX(MO_CFSum_NetDebtIssuance,0,COLUMN())</f>
        <v/>
      </c>
      <c r="BV71" s="1970">
        <f>INDEX(MO_CFSum_NetDebtIssuance,0,COLUMN())</f>
        <v/>
      </c>
      <c r="BW71" s="1970">
        <f>INDEX(MO_CFSum_NetDebtIssuance,0,COLUMN())</f>
        <v/>
      </c>
      <c r="BX71" s="1970">
        <f>INDEX(MO_CFSum_NetDebtIssuance,0,COLUMN())</f>
        <v/>
      </c>
      <c r="BY71" s="1804">
        <f>INDEX(MO_CFSum_NetDebtIssuance,0,COLUMN())</f>
        <v/>
      </c>
      <c r="BZ71" s="1804">
        <f>INDEX(MO_CFSum_NetDebtIssuance,0,COLUMN())</f>
        <v/>
      </c>
      <c r="CA71" s="1804">
        <f>INDEX(MO_CFSum_NetDebtIssuance,0,COLUMN())</f>
        <v/>
      </c>
      <c r="CB71" s="1804">
        <f>INDEX(MO_CFSum_NetDebtIssuance,0,COLUMN())</f>
        <v/>
      </c>
      <c r="CC71" s="1970" t="n"/>
    </row>
    <row r="72" ht="15" customFormat="1" customHeight="1" s="2114">
      <c r="A72" s="2129" t="inlineStr">
        <is>
          <t>Other Items</t>
        </is>
      </c>
      <c r="B72" s="2139" t="n"/>
      <c r="C72" s="1810">
        <f>Model!C571+Model!C569+Model!C567+Model!C557+Model!C553+Model!C552+Model!C551+Model!C574+Model!C556+Model!C555+Model!C554</f>
        <v/>
      </c>
      <c r="D72" s="1810">
        <f>Model!D571+Model!D569+Model!D567+Model!D557+Model!D553+Model!D552+Model!D551+Model!D574+Model!D556+Model!D555+Model!D554</f>
        <v/>
      </c>
      <c r="E72" s="1810">
        <f>Model!E571+Model!E569+Model!E567+Model!E557+Model!E553+Model!E552+Model!E551+Model!E574+Model!E556+Model!E555+Model!E554</f>
        <v/>
      </c>
      <c r="F72" s="1810">
        <f>Model!F571+Model!F569+Model!F567+Model!F557+Model!F553+Model!F552+Model!F551+Model!F574+Model!F556+Model!F555+Model!F554</f>
        <v/>
      </c>
      <c r="G72" s="1810">
        <f>Model!G571+Model!G569+Model!G567+Model!G557+Model!G553+Model!G552+Model!G551+Model!G574+Model!G556+Model!G555+Model!G554</f>
        <v/>
      </c>
      <c r="H72" s="1971">
        <f>Model!H571+Model!H569+Model!H567+Model!H557+Model!H553+Model!H552+Model!H551+Model!H574+Model!H556+Model!H555+Model!H554</f>
        <v/>
      </c>
      <c r="I72" s="1971">
        <f>Model!I571+Model!I569+Model!I567+Model!I557+Model!I553+Model!I552+Model!I551+Model!I574+Model!I556+Model!I555+Model!I554</f>
        <v/>
      </c>
      <c r="J72" s="1971">
        <f>Model!J571+Model!J569+Model!J567+Model!J557+Model!J553+Model!J552+Model!J551+Model!J574+Model!J556+Model!J555+Model!J554</f>
        <v/>
      </c>
      <c r="K72" s="1971">
        <f>Model!K571+Model!K569+Model!K567+Model!K557+Model!K553+Model!K552+Model!K551+Model!K574+Model!K556+Model!K555+Model!K554</f>
        <v/>
      </c>
      <c r="L72" s="1810">
        <f>Model!L571+Model!L569+Model!L567+Model!L557+Model!L553+Model!L552+Model!L551+Model!L574+Model!L556+Model!L555+Model!L554</f>
        <v/>
      </c>
      <c r="M72" s="1971">
        <f>Model!M571+Model!M569+Model!M567+Model!M557+Model!M553+Model!M552+Model!M551+Model!M574+Model!M556+Model!M555+Model!M554</f>
        <v/>
      </c>
      <c r="N72" s="1971">
        <f>Model!N571+Model!N569+Model!N567+Model!N557+Model!N553+Model!N552+Model!N551+Model!N574+Model!N556+Model!N555+Model!N554</f>
        <v/>
      </c>
      <c r="O72" s="1971">
        <f>Model!O571+Model!O569+Model!O567+Model!O557+Model!O553+Model!O552+Model!O551+Model!O574+Model!O556+Model!O555+Model!O554</f>
        <v/>
      </c>
      <c r="P72" s="1971">
        <f>Model!P571+Model!P569+Model!P567+Model!P557+Model!P553+Model!P552+Model!P551+Model!P574+Model!P556+Model!P555+Model!P554</f>
        <v/>
      </c>
      <c r="Q72" s="1810">
        <f>Model!Q571+Model!Q569+Model!Q567+Model!Q557+Model!Q553+Model!Q552+Model!Q551+Model!Q574+Model!Q556+Model!Q555+Model!Q554</f>
        <v/>
      </c>
      <c r="R72" s="1971">
        <f>Model!R571+Model!R569+Model!R567+Model!R557+Model!R553+Model!R552+Model!R551+Model!R574+Model!R556+Model!R555+Model!R554</f>
        <v/>
      </c>
      <c r="S72" s="1971">
        <f>Model!S571+Model!S569+Model!S567+Model!S557+Model!S553+Model!S552+Model!S551+Model!S574+Model!S556+Model!S555+Model!S554</f>
        <v/>
      </c>
      <c r="T72" s="1971">
        <f>Model!T571+Model!T569+Model!T567+Model!T557+Model!T553+Model!T552+Model!T551+Model!T574+Model!T556+Model!T555+Model!T554</f>
        <v/>
      </c>
      <c r="U72" s="1971">
        <f>Model!U571+Model!U569+Model!U567+Model!U557+Model!U553+Model!U552+Model!U551+Model!U574+Model!U556+Model!U555+Model!U554</f>
        <v/>
      </c>
      <c r="V72" s="1810">
        <f>Model!V571+Model!V569+Model!V567+Model!V557+Model!V553+Model!V552+Model!V551+Model!V574+Model!V556+Model!V555+Model!V554</f>
        <v/>
      </c>
      <c r="W72" s="1971">
        <f>Model!W571+Model!W569+Model!W567+Model!W557+Model!W553+Model!W552+Model!W551+Model!W574+Model!W556+Model!W555+Model!W554</f>
        <v/>
      </c>
      <c r="X72" s="1971">
        <f>Model!X571+Model!X569+Model!X567+Model!X557+Model!X553+Model!X552+Model!X551+Model!X574+Model!X556+Model!X555+Model!X554</f>
        <v/>
      </c>
      <c r="Y72" s="1971">
        <f>Model!Y571+Model!Y569+Model!Y567+Model!Y557+Model!Y553+Model!Y552+Model!Y551+Model!Y574+Model!Y556+Model!Y555+Model!Y554</f>
        <v/>
      </c>
      <c r="Z72" s="1971">
        <f>Model!Z571+Model!Z569+Model!Z567+Model!Z557+Model!Z553+Model!Z552+Model!Z551+Model!Z574+Model!Z556+Model!Z555+Model!Z554</f>
        <v/>
      </c>
      <c r="AA72" s="1810">
        <f>Model!AA571+Model!AA569+Model!AA567+Model!AA557+Model!AA553+Model!AA552+Model!AA551+Model!AA574+Model!AA556+Model!AA555+Model!AA554</f>
        <v/>
      </c>
      <c r="AB72" s="1971">
        <f>Model!AB571+Model!AB569+Model!AB567+Model!AB557+Model!AB553+Model!AB552+Model!AB551+Model!AB574+Model!AB556+Model!AB555+Model!AB554</f>
        <v/>
      </c>
      <c r="AC72" s="1971">
        <f>Model!AC571+Model!AC569+Model!AC567+Model!AC557+Model!AC553+Model!AC552+Model!AC551+Model!AC574+Model!AC556+Model!AC555+Model!AC554</f>
        <v/>
      </c>
      <c r="AD72" s="1971">
        <f>Model!AD571+Model!AD569+Model!AD567+Model!AD557+Model!AD553+Model!AD552+Model!AD551+Model!AD574+Model!AD556+Model!AD555+Model!AD554</f>
        <v/>
      </c>
      <c r="AE72" s="1971">
        <f>Model!AE571+Model!AE569+Model!AE567+Model!AE557+Model!AE553+Model!AE552+Model!AE551+Model!AE574+Model!AE556+Model!AE555+Model!AE554</f>
        <v/>
      </c>
      <c r="AF72" s="1810">
        <f>Model!AF571+Model!AF569+Model!AF567+Model!AF557+Model!AF553+Model!AF552+Model!AF551+Model!AF574+Model!AF556+Model!AF555+Model!AF554</f>
        <v/>
      </c>
      <c r="AG72" s="1971">
        <f>Model!AG571+Model!AG569+Model!AG567+Model!AG557+Model!AG553+Model!AG552+Model!AG551+Model!AG574+Model!AG556+Model!AG555+Model!AG554</f>
        <v/>
      </c>
      <c r="AH72" s="1971">
        <f>Model!AH571+Model!AH569+Model!AH567+Model!AH557+Model!AH553+Model!AH552+Model!AH551+Model!AH574+Model!AH556+Model!AH555+Model!AH554</f>
        <v/>
      </c>
      <c r="AI72" s="1971">
        <f>Model!AI571+Model!AI569+Model!AI567+Model!AI557+Model!AI553+Model!AI552+Model!AI551+Model!AI574+Model!AI556+Model!AI555+Model!AI554</f>
        <v/>
      </c>
      <c r="AJ72" s="1971">
        <f>Model!AJ571+Model!AJ569+Model!AJ567+Model!AJ557+Model!AJ553+Model!AJ552+Model!AJ551+Model!AJ574+Model!AJ556+Model!AJ555+Model!AJ554</f>
        <v/>
      </c>
      <c r="AK72" s="1810">
        <f>Model!AK571+Model!AK569+Model!AK567+Model!AK557+Model!AK553+Model!AK552+Model!AK551+Model!AK574+Model!AK556+Model!AK555+Model!AK554</f>
        <v/>
      </c>
      <c r="AL72" s="1971">
        <f>Model!AL571+Model!AL569+Model!AL567+Model!AL557+Model!AL553+Model!AL552+Model!AL551+Model!AL574+Model!AL556+Model!AL555+Model!AL554</f>
        <v/>
      </c>
      <c r="AM72" s="1971">
        <f>Model!AM571+Model!AM569+Model!AM567+Model!AM557+Model!AM553+Model!AM552+Model!AM551+Model!AM574+Model!AM556+Model!AM555+Model!AM554</f>
        <v/>
      </c>
      <c r="AN72" s="1971">
        <f>Model!AN571+Model!AN569+Model!AN567+Model!AN557+Model!AN553+Model!AN552+Model!AN551+Model!AN574+Model!AN556+Model!AN555+Model!AN554</f>
        <v/>
      </c>
      <c r="AO72" s="1971">
        <f>Model!AO571+Model!AO569+Model!AO567+Model!AO557+Model!AO553+Model!AO552+Model!AO551+Model!AO574+Model!AO556+Model!AO555+Model!AO554</f>
        <v/>
      </c>
      <c r="AP72" s="1810">
        <f>Model!AP571+Model!AP569+Model!AP567+Model!AP557+Model!AP553+Model!AP552+Model!AP551+Model!AP574+Model!AP556+Model!AP555+Model!AP554</f>
        <v/>
      </c>
      <c r="AQ72" s="1971">
        <f>Model!AQ571+Model!AQ569+Model!AQ567+Model!AQ557+Model!AQ553+Model!AQ552+Model!AQ551+Model!AQ574+Model!AQ556+Model!AQ555+Model!AQ554</f>
        <v/>
      </c>
      <c r="AR72" s="1971">
        <f>Model!AR571+Model!AR569+Model!AR567+Model!AR557+Model!AR553+Model!AR552+Model!AR551+Model!AR574+Model!AR556+Model!AR555+Model!AR554</f>
        <v/>
      </c>
      <c r="AS72" s="1971">
        <f>Model!AS571+Model!AS569+Model!AS567+Model!AS557+Model!AS553+Model!AS552+Model!AS551+Model!AS574+Model!AS556+Model!AS555+Model!AS554</f>
        <v/>
      </c>
      <c r="AT72" s="1971">
        <f>Model!AT571+Model!AT569+Model!AT567+Model!AT557+Model!AT553+Model!AT552+Model!AT551+Model!AT574+Model!AT556+Model!AT555+Model!AT554</f>
        <v/>
      </c>
      <c r="AU72" s="1810">
        <f>Model!AU571+Model!AU569+Model!AU567+Model!AU557+Model!AU553+Model!AU552+Model!AU551+Model!AU574+Model!AU556+Model!AU555+Model!AU554</f>
        <v/>
      </c>
      <c r="AV72" s="1971">
        <f>Model!AV571+Model!AV569+Model!AV567+Model!AV557+Model!AV553+Model!AV552+Model!AV551+Model!AV574+Model!AV556+Model!AV555+Model!AV554</f>
        <v/>
      </c>
      <c r="AW72" s="1971">
        <f>Model!AW571+Model!AW569+Model!AW567+Model!AW557+Model!AW553+Model!AW552+Model!AW551+Model!AW574+Model!AW556+Model!AW555+Model!AW554</f>
        <v/>
      </c>
      <c r="AX72" s="1971">
        <f>Model!AX571+Model!AX569+Model!AX567+Model!AX557+Model!AX553+Model!AX552+Model!AX551+Model!AX574+Model!AX556+Model!AX555+Model!AX554</f>
        <v/>
      </c>
      <c r="AY72" s="1971">
        <f>Model!AY571+Model!AY569+Model!AY567+Model!AY557+Model!AY553+Model!AY552+Model!AY551+Model!AY574+Model!AY556+Model!AY555+Model!AY554</f>
        <v/>
      </c>
      <c r="AZ72" s="1810">
        <f>Model!AZ571+Model!AZ569+Model!AZ567+Model!AZ557+Model!AZ553+Model!AZ552+Model!AZ551+Model!AZ574+Model!AZ556+Model!AZ555+Model!AZ554</f>
        <v/>
      </c>
      <c r="BA72" s="1971">
        <f>Model!BA571+Model!BA569+Model!BA567+Model!BA557+Model!BA553+Model!BA552+Model!BA551+Model!BA574+Model!BA556+Model!BA555+Model!BA554</f>
        <v/>
      </c>
      <c r="BB72" s="1971">
        <f>Model!BB571+Model!BB569+Model!BB567+Model!BB557+Model!BB553+Model!BB552+Model!BB551+Model!BB574+Model!BB556+Model!BB555+Model!BB554</f>
        <v/>
      </c>
      <c r="BC72" s="1971">
        <f>Model!BC571+Model!BC569+Model!BC567+Model!BC557+Model!BC553+Model!BC552+Model!BC551+Model!BC574+Model!BC556+Model!BC555+Model!BC554</f>
        <v/>
      </c>
      <c r="BD72" s="1971">
        <f>Model!BD571+Model!BD569+Model!BD567+Model!BD557+Model!BD553+Model!BD552+Model!BD551+Model!BD574+Model!BD556+Model!BD555+Model!BD554</f>
        <v/>
      </c>
      <c r="BE72" s="1810">
        <f>Model!BE571+Model!BE569+Model!BE567+Model!BE557+Model!BE553+Model!BE552+Model!BE551+Model!BE574+Model!BE556+Model!BE555+Model!BE554</f>
        <v/>
      </c>
      <c r="BF72" s="1971">
        <f>Model!BF571+Model!BF569+Model!BF567+Model!BF557+Model!BF553+Model!BF552+Model!BF551+Model!BF574+Model!BF556+Model!BF555+Model!BF554</f>
        <v/>
      </c>
      <c r="BG72" s="1971">
        <f>Model!BG571+Model!BG569+Model!BG567+Model!BG557+Model!BG553+Model!BG552+Model!BG551+Model!BG574+Model!BG556+Model!BG555+Model!BG554</f>
        <v/>
      </c>
      <c r="BH72" s="1971">
        <f>Model!BH571+Model!BH569+Model!BH567+Model!BH557+Model!BH553+Model!BH552+Model!BH551+Model!BH574+Model!BH556+Model!BH555+Model!BH554</f>
        <v/>
      </c>
      <c r="BI72" s="1971">
        <f>Model!BI571+Model!BI569+Model!BI567+Model!BI557+Model!BI553+Model!BI552+Model!BI551+Model!BI574+Model!BI556+Model!BI555+Model!BI554</f>
        <v/>
      </c>
      <c r="BJ72" s="1810">
        <f>Model!BJ571+Model!BJ569+Model!BJ567+Model!BJ557+Model!BJ553+Model!BJ552+Model!BJ551+Model!BJ574+Model!BJ556+Model!BJ555+Model!BJ554</f>
        <v/>
      </c>
      <c r="BK72" s="1971">
        <f>Model!BK571+Model!BK569+Model!BK567+Model!BK557+Model!BK553+Model!BK552+Model!BK551+Model!BK574+Model!BK556+Model!BK555+Model!BK554</f>
        <v/>
      </c>
      <c r="BL72" s="1971">
        <f>Model!BL571+Model!BL569+Model!BL567+Model!BL557+Model!BL553+Model!BL552+Model!BL551+Model!BL574+Model!BL556+Model!BL555+Model!BL554</f>
        <v/>
      </c>
      <c r="BM72" s="1971">
        <f>Model!BM571+Model!BM569+Model!BM567+Model!BM557+Model!BM553+Model!BM552+Model!BM551+Model!BM574+Model!BM556+Model!BM555+Model!BM554</f>
        <v/>
      </c>
      <c r="BN72" s="1971">
        <f>Model!BN571+Model!BN569+Model!BN567+Model!BN557+Model!BN553+Model!BN552+Model!BN551+Model!BN574+Model!BN556+Model!BN555+Model!BN554</f>
        <v/>
      </c>
      <c r="BO72" s="2140">
        <f>Model!BO571+Model!BO569+Model!BO567+Model!BO557+Model!BO553+Model!BO552+Model!BO551+Model!BO574+Model!BO556+Model!BO555+Model!BO554</f>
        <v/>
      </c>
      <c r="BP72" s="1971">
        <f>Model!BP571+Model!BP569+Model!BP567+Model!BP557+Model!BP553+Model!BP552+Model!BP551+Model!BP574+Model!BP556+Model!BP555+Model!BP554</f>
        <v/>
      </c>
      <c r="BQ72" s="1971">
        <f>Model!BQ571+Model!BQ569+Model!BQ567+Model!BQ557+Model!BQ553+Model!BQ552+Model!BQ551+Model!BQ574+Model!BQ556+Model!BQ555+Model!BQ554</f>
        <v/>
      </c>
      <c r="BR72" s="1971">
        <f>Model!BR571+Model!BR569+Model!BR567+Model!BR557+Model!BR553+Model!BR552+Model!BR551+Model!BR574+Model!BR556+Model!BR555+Model!BR554</f>
        <v/>
      </c>
      <c r="BS72" s="1971">
        <f>Model!BS571+Model!BS569+Model!BS567+Model!BS557+Model!BS553+Model!BS552+Model!BS551+Model!BS574+Model!BS556+Model!BS555+Model!BS554</f>
        <v/>
      </c>
      <c r="BT72" s="1810">
        <f>Model!BT571+Model!BT569+Model!BT567+Model!BT557+Model!BT553+Model!BT552+Model!BT551+Model!BT574+Model!BT556+Model!BT555+Model!BT554</f>
        <v/>
      </c>
      <c r="BU72" s="1971">
        <f>Model!BU571+Model!BU569+Model!BU567+Model!BU557+Model!BU553+Model!BU552+Model!BU551+Model!BU574+Model!BU556+Model!BU555+Model!BU554</f>
        <v/>
      </c>
      <c r="BV72" s="1971">
        <f>Model!BV571+Model!BV569+Model!BV567+Model!BV557+Model!BV553+Model!BV552+Model!BV551+Model!BV574+Model!BV556+Model!BV555+Model!BV554</f>
        <v/>
      </c>
      <c r="BW72" s="1971">
        <f>Model!BW571+Model!BW569+Model!BW567+Model!BW557+Model!BW553+Model!BW552+Model!BW551+Model!BW574+Model!BW556+Model!BW555+Model!BW554</f>
        <v/>
      </c>
      <c r="BX72" s="1971">
        <f>Model!BX571+Model!BX569+Model!BX567+Model!BX557+Model!BX553+Model!BX552+Model!BX551+Model!BX574+Model!BX556+Model!BX555+Model!BX554</f>
        <v/>
      </c>
      <c r="BY72" s="1810">
        <f>Model!BY571+Model!BY569+Model!BY567+Model!BY557+Model!BY553+Model!BY552+Model!BY551+Model!BY574+Model!BY556+Model!BY555+Model!BY554</f>
        <v/>
      </c>
      <c r="BZ72" s="1810">
        <f>Model!BZ571+Model!BZ569+Model!BZ567+Model!BZ557+Model!BZ553+Model!BZ552+Model!BZ551+Model!BZ574+Model!BZ556+Model!BZ555+Model!BZ554</f>
        <v/>
      </c>
      <c r="CA72" s="1810">
        <f>Model!CA571+Model!CA569+Model!CA567+Model!CA557+Model!CA553+Model!CA552+Model!CA551+Model!CA574+Model!CA556+Model!CA555+Model!CA554</f>
        <v/>
      </c>
      <c r="CB72" s="1810">
        <f>Model!CB571+Model!CB569+Model!CB567+Model!CB557+Model!CB553+Model!CB552+Model!CB551+Model!CB574+Model!CB556+Model!CB555+Model!CB554</f>
        <v/>
      </c>
      <c r="CC72" s="1970" t="n"/>
    </row>
    <row r="73" ht="15" customFormat="1" customHeight="1" s="2131">
      <c r="A73" s="1639" t="inlineStr">
        <is>
          <t>Change in Cash Position</t>
        </is>
      </c>
      <c r="B73" s="2132" t="n"/>
      <c r="C73" s="2133">
        <f>SUM(C67:C72)</f>
        <v/>
      </c>
      <c r="D73" s="2133">
        <f>SUM(D67:D72)</f>
        <v/>
      </c>
      <c r="E73" s="2133">
        <f>SUM(E67:E72)</f>
        <v/>
      </c>
      <c r="F73" s="2133">
        <f>SUM(F67:F72)</f>
        <v/>
      </c>
      <c r="G73" s="2133">
        <f>SUM(G67:G72)</f>
        <v/>
      </c>
      <c r="H73" s="2134">
        <f>SUM(H67:H72)</f>
        <v/>
      </c>
      <c r="I73" s="2134">
        <f>SUM(I67:I72)</f>
        <v/>
      </c>
      <c r="J73" s="2134">
        <f>SUM(J67:J72)</f>
        <v/>
      </c>
      <c r="K73" s="2134">
        <f>SUM(K67:K72)</f>
        <v/>
      </c>
      <c r="L73" s="2133">
        <f>SUM(L67:L72)</f>
        <v/>
      </c>
      <c r="M73" s="2134">
        <f>SUM(M67:M72)</f>
        <v/>
      </c>
      <c r="N73" s="2134">
        <f>SUM(N67:N72)</f>
        <v/>
      </c>
      <c r="O73" s="2134">
        <f>SUM(O67:O72)</f>
        <v/>
      </c>
      <c r="P73" s="2134">
        <f>SUM(P67:P72)</f>
        <v/>
      </c>
      <c r="Q73" s="2133">
        <f>SUM(Q67:Q72)</f>
        <v/>
      </c>
      <c r="R73" s="2134">
        <f>SUM(R67:R72)</f>
        <v/>
      </c>
      <c r="S73" s="2134">
        <f>SUM(S67:S72)</f>
        <v/>
      </c>
      <c r="T73" s="2134">
        <f>SUM(T67:T72)</f>
        <v/>
      </c>
      <c r="U73" s="2134">
        <f>SUM(U67:U72)</f>
        <v/>
      </c>
      <c r="V73" s="2133">
        <f>SUM(V67:V72)</f>
        <v/>
      </c>
      <c r="W73" s="2134">
        <f>SUM(W67:W72)</f>
        <v/>
      </c>
      <c r="X73" s="2134">
        <f>SUM(X67:X72)</f>
        <v/>
      </c>
      <c r="Y73" s="2134">
        <f>SUM(Y67:Y72)</f>
        <v/>
      </c>
      <c r="Z73" s="2134">
        <f>SUM(Z67:Z72)</f>
        <v/>
      </c>
      <c r="AA73" s="2133">
        <f>SUM(AA67:AA72)</f>
        <v/>
      </c>
      <c r="AB73" s="2134">
        <f>SUM(AB67:AB72)</f>
        <v/>
      </c>
      <c r="AC73" s="2134">
        <f>SUM(AC67:AC72)</f>
        <v/>
      </c>
      <c r="AD73" s="2134">
        <f>SUM(AD67:AD72)</f>
        <v/>
      </c>
      <c r="AE73" s="2134">
        <f>SUM(AE67:AE72)</f>
        <v/>
      </c>
      <c r="AF73" s="2133">
        <f>SUM(AF67:AF72)</f>
        <v/>
      </c>
      <c r="AG73" s="2134">
        <f>SUM(AG67:AG72)</f>
        <v/>
      </c>
      <c r="AH73" s="2134">
        <f>SUM(AH67:AH72)</f>
        <v/>
      </c>
      <c r="AI73" s="2134">
        <f>SUM(AI67:AI72)</f>
        <v/>
      </c>
      <c r="AJ73" s="2134">
        <f>SUM(AJ67:AJ72)</f>
        <v/>
      </c>
      <c r="AK73" s="2133">
        <f>SUM(AK67:AK72)</f>
        <v/>
      </c>
      <c r="AL73" s="2134">
        <f>SUM(AL67:AL72)</f>
        <v/>
      </c>
      <c r="AM73" s="2134">
        <f>SUM(AM67:AM72)</f>
        <v/>
      </c>
      <c r="AN73" s="2134">
        <f>SUM(AN67:AN72)</f>
        <v/>
      </c>
      <c r="AO73" s="2134">
        <f>SUM(AO67:AO72)</f>
        <v/>
      </c>
      <c r="AP73" s="2133">
        <f>SUM(AP67:AP72)</f>
        <v/>
      </c>
      <c r="AQ73" s="2134">
        <f>SUM(AQ67:AQ72)</f>
        <v/>
      </c>
      <c r="AR73" s="2134">
        <f>SUM(AR67:AR72)</f>
        <v/>
      </c>
      <c r="AS73" s="2134">
        <f>SUM(AS67:AS72)</f>
        <v/>
      </c>
      <c r="AT73" s="2134">
        <f>SUM(AT67:AT72)</f>
        <v/>
      </c>
      <c r="AU73" s="2133">
        <f>SUM(AU67:AU72)</f>
        <v/>
      </c>
      <c r="AV73" s="2134">
        <f>SUM(AV67:AV72)</f>
        <v/>
      </c>
      <c r="AW73" s="2134">
        <f>SUM(AW67:AW72)</f>
        <v/>
      </c>
      <c r="AX73" s="2134">
        <f>SUM(AX67:AX72)</f>
        <v/>
      </c>
      <c r="AY73" s="2134">
        <f>SUM(AY67:AY72)</f>
        <v/>
      </c>
      <c r="AZ73" s="2133">
        <f>SUM(AZ67:AZ72)</f>
        <v/>
      </c>
      <c r="BA73" s="2134">
        <f>SUM(BA67:BA72)</f>
        <v/>
      </c>
      <c r="BB73" s="2134">
        <f>SUM(BB67:BB72)</f>
        <v/>
      </c>
      <c r="BC73" s="2134">
        <f>SUM(BC67:BC72)</f>
        <v/>
      </c>
      <c r="BD73" s="2134">
        <f>SUM(BD67:BD72)</f>
        <v/>
      </c>
      <c r="BE73" s="2133">
        <f>SUM(BE67:BE72)</f>
        <v/>
      </c>
      <c r="BF73" s="2134">
        <f>SUM(BF67:BF72)</f>
        <v/>
      </c>
      <c r="BG73" s="2134">
        <f>SUM(BG67:BG72)</f>
        <v/>
      </c>
      <c r="BH73" s="2134">
        <f>SUM(BH67:BH72)</f>
        <v/>
      </c>
      <c r="BI73" s="2134">
        <f>SUM(BI67:BI72)</f>
        <v/>
      </c>
      <c r="BJ73" s="2133">
        <f>SUM(BJ67:BJ72)</f>
        <v/>
      </c>
      <c r="BK73" s="2134">
        <f>SUM(BK67:BK72)</f>
        <v/>
      </c>
      <c r="BL73" s="2134">
        <f>SUM(BL67:BL72)</f>
        <v/>
      </c>
      <c r="BM73" s="2134">
        <f>SUM(BM67:BM72)</f>
        <v/>
      </c>
      <c r="BN73" s="2134">
        <f>SUM(BN67:BN72)</f>
        <v/>
      </c>
      <c r="BO73" s="2135">
        <f>SUM(BO67:BO72)</f>
        <v/>
      </c>
      <c r="BP73" s="2134">
        <f>SUM(BP67:BP72)</f>
        <v/>
      </c>
      <c r="BQ73" s="2134">
        <f>SUM(BQ67:BQ72)</f>
        <v/>
      </c>
      <c r="BR73" s="2134">
        <f>SUM(BR67:BR72)</f>
        <v/>
      </c>
      <c r="BS73" s="2134">
        <f>SUM(BS67:BS72)</f>
        <v/>
      </c>
      <c r="BT73" s="2133">
        <f>SUM(BT67:BT72)</f>
        <v/>
      </c>
      <c r="BU73" s="2134">
        <f>SUM(BU67:BU72)</f>
        <v/>
      </c>
      <c r="BV73" s="2134">
        <f>SUM(BV67:BV72)</f>
        <v/>
      </c>
      <c r="BW73" s="2134">
        <f>SUM(BW67:BW72)</f>
        <v/>
      </c>
      <c r="BX73" s="2134">
        <f>SUM(BX67:BX72)</f>
        <v/>
      </c>
      <c r="BY73" s="2133">
        <f>SUM(BY67:BY72)</f>
        <v/>
      </c>
      <c r="BZ73" s="2133">
        <f>SUM(BZ67:BZ72)</f>
        <v/>
      </c>
      <c r="CA73" s="2133">
        <f>SUM(CA67:CA72)</f>
        <v/>
      </c>
      <c r="CB73" s="2133">
        <f>SUM(CB67:CB72)</f>
        <v/>
      </c>
      <c r="CC73" s="2136" t="n"/>
    </row>
    <row r="74" ht="15" customFormat="1" customHeight="1" s="2131">
      <c r="A74" s="1780" t="n"/>
      <c r="B74" s="2141" t="n"/>
      <c r="C74" s="2142" t="n"/>
      <c r="D74" s="2142" t="n"/>
      <c r="E74" s="2142" t="n"/>
      <c r="F74" s="2142" t="n"/>
      <c r="G74" s="2142" t="n"/>
      <c r="H74" s="2136" t="n"/>
      <c r="I74" s="2136" t="n"/>
      <c r="J74" s="2136" t="n"/>
      <c r="K74" s="2136" t="n"/>
      <c r="L74" s="2142" t="n"/>
      <c r="M74" s="2136" t="n"/>
      <c r="N74" s="2136" t="n"/>
      <c r="O74" s="2136" t="n"/>
      <c r="P74" s="2136" t="n"/>
      <c r="Q74" s="2142" t="n"/>
      <c r="R74" s="2136" t="n"/>
      <c r="S74" s="2136" t="n"/>
      <c r="T74" s="2136" t="n"/>
      <c r="U74" s="2136" t="n"/>
      <c r="V74" s="2142" t="n"/>
      <c r="W74" s="2136" t="n"/>
      <c r="X74" s="2136" t="n"/>
      <c r="Y74" s="2136" t="n"/>
      <c r="Z74" s="2136" t="n"/>
      <c r="AA74" s="2142" t="n"/>
      <c r="AB74" s="2136" t="n"/>
      <c r="AC74" s="2136" t="n"/>
      <c r="AD74" s="2136" t="n"/>
      <c r="AE74" s="2136" t="n"/>
      <c r="AF74" s="2142" t="n"/>
      <c r="AG74" s="2136" t="n"/>
      <c r="AH74" s="2136" t="n"/>
      <c r="AI74" s="2136" t="n"/>
      <c r="AJ74" s="2136" t="n"/>
      <c r="AK74" s="2142" t="n"/>
      <c r="AL74" s="2136" t="n"/>
      <c r="AM74" s="2136" t="n"/>
      <c r="AN74" s="2136" t="n"/>
      <c r="AO74" s="2136" t="n"/>
      <c r="AP74" s="2142" t="n"/>
      <c r="AQ74" s="2136" t="n"/>
      <c r="AR74" s="2136" t="n"/>
      <c r="AS74" s="2136" t="n"/>
      <c r="AT74" s="2136" t="n"/>
      <c r="AU74" s="2142" t="n"/>
      <c r="AV74" s="2136" t="n"/>
      <c r="AW74" s="2136" t="n"/>
      <c r="AX74" s="2136" t="n"/>
      <c r="AY74" s="2136" t="n"/>
      <c r="AZ74" s="2142" t="n"/>
      <c r="BA74" s="2136" t="n"/>
      <c r="BB74" s="2136" t="n"/>
      <c r="BC74" s="2136" t="n"/>
      <c r="BD74" s="2136" t="n"/>
      <c r="BE74" s="2142" t="n"/>
      <c r="BF74" s="2136" t="n"/>
      <c r="BG74" s="2136" t="n"/>
      <c r="BH74" s="2136" t="n"/>
      <c r="BI74" s="2136" t="n"/>
      <c r="BJ74" s="2142" t="n"/>
      <c r="BK74" s="2136" t="n"/>
      <c r="BL74" s="2136" t="n"/>
      <c r="BM74" s="2136" t="n"/>
      <c r="BN74" s="2136" t="n"/>
      <c r="BO74" s="2143" t="n"/>
      <c r="BP74" s="2136" t="n"/>
      <c r="BQ74" s="2136" t="n"/>
      <c r="BR74" s="2136" t="n"/>
      <c r="BS74" s="2136" t="n"/>
      <c r="BT74" s="2142" t="n"/>
      <c r="BU74" s="2136" t="n"/>
      <c r="BV74" s="2136" t="n"/>
      <c r="BW74" s="2136" t="n"/>
      <c r="BX74" s="2136" t="n"/>
      <c r="BY74" s="2142" t="n"/>
      <c r="BZ74" s="2142" t="n"/>
      <c r="CA74" s="2142" t="n"/>
      <c r="CB74" s="2142" t="n"/>
      <c r="CC74" s="2136" t="n"/>
    </row>
    <row r="75" ht="15" customFormat="1" customHeight="1" s="2123">
      <c r="A75" s="2146" t="inlineStr">
        <is>
          <t>Operating Cash Flow Per Share</t>
        </is>
      </c>
      <c r="B75" s="2147" t="n"/>
      <c r="C75" s="2126">
        <f>INDEX(SP_CFA_CFO,0,COLUMN())/INDEX(SP_GF_ShareCount,0,COLUMN())</f>
        <v/>
      </c>
      <c r="D75" s="2126">
        <f>INDEX(SP_CFA_CFO,0,COLUMN())/INDEX(SP_GF_ShareCount,0,COLUMN())</f>
        <v/>
      </c>
      <c r="E75" s="2126">
        <f>INDEX(SP_CFA_CFO,0,COLUMN())/INDEX(SP_GF_ShareCount,0,COLUMN())</f>
        <v/>
      </c>
      <c r="F75" s="2126">
        <f>INDEX(SP_CFA_CFO,0,COLUMN())/INDEX(SP_GF_ShareCount,0,COLUMN())</f>
        <v/>
      </c>
      <c r="G75" s="2126">
        <f>INDEX(SP_CFA_CFO,0,COLUMN())/INDEX(SP_GF_ShareCount,0,COLUMN())</f>
        <v/>
      </c>
      <c r="H75" s="1850">
        <f>INDEX(SP_CFA_CFO,0,COLUMN())/INDEX(SP_GF_ShareCount,0,COLUMN())</f>
        <v/>
      </c>
      <c r="I75" s="1850">
        <f>INDEX(SP_CFA_CFO,0,COLUMN())/INDEX(SP_GF_ShareCount,0,COLUMN())</f>
        <v/>
      </c>
      <c r="J75" s="1850">
        <f>INDEX(SP_CFA_CFO,0,COLUMN())/INDEX(SP_GF_ShareCount,0,COLUMN())</f>
        <v/>
      </c>
      <c r="K75" s="1850">
        <f>INDEX(SP_CFA_CFO,0,COLUMN())/INDEX(SP_GF_ShareCount,0,COLUMN())</f>
        <v/>
      </c>
      <c r="L75" s="2126">
        <f>INDEX(SP_CFA_CFO,0,COLUMN())/INDEX(SP_GF_ShareCount,0,COLUMN())</f>
        <v/>
      </c>
      <c r="M75" s="1850">
        <f>INDEX(SP_CFA_CFO,0,COLUMN())/INDEX(SP_GF_ShareCount,0,COLUMN())</f>
        <v/>
      </c>
      <c r="N75" s="1850">
        <f>INDEX(SP_CFA_CFO,0,COLUMN())/INDEX(SP_GF_ShareCount,0,COLUMN())</f>
        <v/>
      </c>
      <c r="O75" s="1850">
        <f>INDEX(SP_CFA_CFO,0,COLUMN())/INDEX(SP_GF_ShareCount,0,COLUMN())</f>
        <v/>
      </c>
      <c r="P75" s="1850">
        <f>INDEX(SP_CFA_CFO,0,COLUMN())/INDEX(SP_GF_ShareCount,0,COLUMN())</f>
        <v/>
      </c>
      <c r="Q75" s="2126">
        <f>INDEX(SP_CFA_CFO,0,COLUMN())/INDEX(SP_GF_ShareCount,0,COLUMN())</f>
        <v/>
      </c>
      <c r="R75" s="1850">
        <f>INDEX(SP_CFA_CFO,0,COLUMN())/INDEX(SP_GF_ShareCount,0,COLUMN())</f>
        <v/>
      </c>
      <c r="S75" s="1850">
        <f>INDEX(SP_CFA_CFO,0,COLUMN())/INDEX(SP_GF_ShareCount,0,COLUMN())</f>
        <v/>
      </c>
      <c r="T75" s="1850">
        <f>INDEX(SP_CFA_CFO,0,COLUMN())/INDEX(SP_GF_ShareCount,0,COLUMN())</f>
        <v/>
      </c>
      <c r="U75" s="1850">
        <f>INDEX(SP_CFA_CFO,0,COLUMN())/INDEX(SP_GF_ShareCount,0,COLUMN())</f>
        <v/>
      </c>
      <c r="V75" s="2126">
        <f>INDEX(SP_CFA_CFO,0,COLUMN())/INDEX(SP_GF_ShareCount,0,COLUMN())</f>
        <v/>
      </c>
      <c r="W75" s="1850">
        <f>INDEX(SP_CFA_CFO,0,COLUMN())/INDEX(SP_GF_ShareCount,0,COLUMN())</f>
        <v/>
      </c>
      <c r="X75" s="1850">
        <f>INDEX(SP_CFA_CFO,0,COLUMN())/INDEX(SP_GF_ShareCount,0,COLUMN())</f>
        <v/>
      </c>
      <c r="Y75" s="1850">
        <f>INDEX(SP_CFA_CFO,0,COLUMN())/INDEX(SP_GF_ShareCount,0,COLUMN())</f>
        <v/>
      </c>
      <c r="Z75" s="1850">
        <f>INDEX(SP_CFA_CFO,0,COLUMN())/INDEX(SP_GF_ShareCount,0,COLUMN())</f>
        <v/>
      </c>
      <c r="AA75" s="2126">
        <f>INDEX(SP_CFA_CFO,0,COLUMN())/INDEX(SP_GF_ShareCount,0,COLUMN())</f>
        <v/>
      </c>
      <c r="AB75" s="1850">
        <f>INDEX(SP_CFA_CFO,0,COLUMN())/INDEX(SP_GF_ShareCount,0,COLUMN())</f>
        <v/>
      </c>
      <c r="AC75" s="1850">
        <f>INDEX(SP_CFA_CFO,0,COLUMN())/INDEX(SP_GF_ShareCount,0,COLUMN())</f>
        <v/>
      </c>
      <c r="AD75" s="1850">
        <f>INDEX(SP_CFA_CFO,0,COLUMN())/INDEX(SP_GF_ShareCount,0,COLUMN())</f>
        <v/>
      </c>
      <c r="AE75" s="1850">
        <f>INDEX(SP_CFA_CFO,0,COLUMN())/INDEX(SP_GF_ShareCount,0,COLUMN())</f>
        <v/>
      </c>
      <c r="AF75" s="2126">
        <f>INDEX(SP_CFA_CFO,0,COLUMN())/INDEX(SP_GF_ShareCount,0,COLUMN())</f>
        <v/>
      </c>
      <c r="AG75" s="1850">
        <f>INDEX(SP_CFA_CFO,0,COLUMN())/INDEX(SP_GF_ShareCount,0,COLUMN())</f>
        <v/>
      </c>
      <c r="AH75" s="1850">
        <f>INDEX(SP_CFA_CFO,0,COLUMN())/INDEX(SP_GF_ShareCount,0,COLUMN())</f>
        <v/>
      </c>
      <c r="AI75" s="1850">
        <f>INDEX(SP_CFA_CFO,0,COLUMN())/INDEX(SP_GF_ShareCount,0,COLUMN())</f>
        <v/>
      </c>
      <c r="AJ75" s="1850">
        <f>INDEX(SP_CFA_CFO,0,COLUMN())/INDEX(SP_GF_ShareCount,0,COLUMN())</f>
        <v/>
      </c>
      <c r="AK75" s="2126">
        <f>INDEX(SP_CFA_CFO,0,COLUMN())/INDEX(SP_GF_ShareCount,0,COLUMN())</f>
        <v/>
      </c>
      <c r="AL75" s="1850">
        <f>INDEX(SP_CFA_CFO,0,COLUMN())/INDEX(SP_GF_ShareCount,0,COLUMN())</f>
        <v/>
      </c>
      <c r="AM75" s="1850">
        <f>INDEX(SP_CFA_CFO,0,COLUMN())/INDEX(SP_GF_ShareCount,0,COLUMN())</f>
        <v/>
      </c>
      <c r="AN75" s="1850">
        <f>INDEX(SP_CFA_CFO,0,COLUMN())/INDEX(SP_GF_ShareCount,0,COLUMN())</f>
        <v/>
      </c>
      <c r="AO75" s="1850">
        <f>INDEX(SP_CFA_CFO,0,COLUMN())/INDEX(SP_GF_ShareCount,0,COLUMN())</f>
        <v/>
      </c>
      <c r="AP75" s="2126">
        <f>INDEX(SP_CFA_CFO,0,COLUMN())/INDEX(SP_GF_ShareCount,0,COLUMN())</f>
        <v/>
      </c>
      <c r="AQ75" s="1850">
        <f>INDEX(SP_CFA_CFO,0,COLUMN())/INDEX(SP_GF_ShareCount,0,COLUMN())</f>
        <v/>
      </c>
      <c r="AR75" s="1850">
        <f>INDEX(SP_CFA_CFO,0,COLUMN())/INDEX(SP_GF_ShareCount,0,COLUMN())</f>
        <v/>
      </c>
      <c r="AS75" s="1850">
        <f>INDEX(SP_CFA_CFO,0,COLUMN())/INDEX(SP_GF_ShareCount,0,COLUMN())</f>
        <v/>
      </c>
      <c r="AT75" s="1850">
        <f>INDEX(SP_CFA_CFO,0,COLUMN())/INDEX(SP_GF_ShareCount,0,COLUMN())</f>
        <v/>
      </c>
      <c r="AU75" s="2126">
        <f>INDEX(SP_CFA_CFO,0,COLUMN())/INDEX(SP_GF_ShareCount,0,COLUMN())</f>
        <v/>
      </c>
      <c r="AV75" s="1850">
        <f>INDEX(SP_CFA_CFO,0,COLUMN())/INDEX(SP_GF_ShareCount,0,COLUMN())</f>
        <v/>
      </c>
      <c r="AW75" s="1850">
        <f>INDEX(SP_CFA_CFO,0,COLUMN())/INDEX(SP_GF_ShareCount,0,COLUMN())</f>
        <v/>
      </c>
      <c r="AX75" s="1850">
        <f>INDEX(SP_CFA_CFO,0,COLUMN())/INDEX(SP_GF_ShareCount,0,COLUMN())</f>
        <v/>
      </c>
      <c r="AY75" s="1850">
        <f>INDEX(SP_CFA_CFO,0,COLUMN())/INDEX(SP_GF_ShareCount,0,COLUMN())</f>
        <v/>
      </c>
      <c r="AZ75" s="2126">
        <f>INDEX(SP_CFA_CFO,0,COLUMN())/INDEX(SP_GF_ShareCount,0,COLUMN())</f>
        <v/>
      </c>
      <c r="BA75" s="1850">
        <f>INDEX(SP_CFA_CFO,0,COLUMN())/INDEX(SP_GF_ShareCount,0,COLUMN())</f>
        <v/>
      </c>
      <c r="BB75" s="1850">
        <f>INDEX(SP_CFA_CFO,0,COLUMN())/INDEX(SP_GF_ShareCount,0,COLUMN())</f>
        <v/>
      </c>
      <c r="BC75" s="1850">
        <f>INDEX(SP_CFA_CFO,0,COLUMN())/INDEX(SP_GF_ShareCount,0,COLUMN())</f>
        <v/>
      </c>
      <c r="BD75" s="1850">
        <f>INDEX(SP_CFA_CFO,0,COLUMN())/INDEX(SP_GF_ShareCount,0,COLUMN())</f>
        <v/>
      </c>
      <c r="BE75" s="2126">
        <f>INDEX(SP_CFA_CFO,0,COLUMN())/INDEX(SP_GF_ShareCount,0,COLUMN())</f>
        <v/>
      </c>
      <c r="BF75" s="1850">
        <f>INDEX(SP_CFA_CFO,0,COLUMN())/INDEX(SP_GF_ShareCount,0,COLUMN())</f>
        <v/>
      </c>
      <c r="BG75" s="1850">
        <f>INDEX(SP_CFA_CFO,0,COLUMN())/INDEX(SP_GF_ShareCount,0,COLUMN())</f>
        <v/>
      </c>
      <c r="BH75" s="1850">
        <f>INDEX(SP_CFA_CFO,0,COLUMN())/INDEX(SP_GF_ShareCount,0,COLUMN())</f>
        <v/>
      </c>
      <c r="BI75" s="1850">
        <f>INDEX(SP_CFA_CFO,0,COLUMN())/INDEX(SP_GF_ShareCount,0,COLUMN())</f>
        <v/>
      </c>
      <c r="BJ75" s="2126">
        <f>INDEX(SP_CFA_CFO,0,COLUMN())/INDEX(SP_GF_ShareCount,0,COLUMN())</f>
        <v/>
      </c>
      <c r="BK75" s="1850">
        <f>INDEX(SP_CFA_CFO,0,COLUMN())/INDEX(SP_GF_ShareCount,0,COLUMN())</f>
        <v/>
      </c>
      <c r="BL75" s="1850">
        <f>INDEX(SP_CFA_CFO,0,COLUMN())/INDEX(SP_GF_ShareCount,0,COLUMN())</f>
        <v/>
      </c>
      <c r="BM75" s="1850">
        <f>INDEX(SP_CFA_CFO,0,COLUMN())/INDEX(SP_GF_ShareCount,0,COLUMN())</f>
        <v/>
      </c>
      <c r="BN75" s="1850">
        <f>INDEX(SP_CFA_CFO,0,COLUMN())/INDEX(SP_GF_ShareCount,0,COLUMN())</f>
        <v/>
      </c>
      <c r="BO75" s="2127">
        <f>INDEX(SP_CFA_CFO,0,COLUMN())/INDEX(SP_GF_ShareCount,0,COLUMN())</f>
        <v/>
      </c>
      <c r="BP75" s="1850">
        <f>INDEX(SP_CFA_CFO,0,COLUMN())/INDEX(SP_GF_ShareCount,0,COLUMN())</f>
        <v/>
      </c>
      <c r="BQ75" s="1850">
        <f>INDEX(SP_CFA_CFO,0,COLUMN())/INDEX(SP_GF_ShareCount,0,COLUMN())</f>
        <v/>
      </c>
      <c r="BR75" s="1850">
        <f>INDEX(SP_CFA_CFO,0,COLUMN())/INDEX(SP_GF_ShareCount,0,COLUMN())</f>
        <v/>
      </c>
      <c r="BS75" s="1850">
        <f>INDEX(SP_CFA_CFO,0,COLUMN())/INDEX(SP_GF_ShareCount,0,COLUMN())</f>
        <v/>
      </c>
      <c r="BT75" s="2126">
        <f>INDEX(SP_CFA_CFO,0,COLUMN())/INDEX(SP_GF_ShareCount,0,COLUMN())</f>
        <v/>
      </c>
      <c r="BU75" s="1850">
        <f>INDEX(SP_CFA_CFO,0,COLUMN())/INDEX(SP_GF_ShareCount,0,COLUMN())</f>
        <v/>
      </c>
      <c r="BV75" s="1850">
        <f>INDEX(SP_CFA_CFO,0,COLUMN())/INDEX(SP_GF_ShareCount,0,COLUMN())</f>
        <v/>
      </c>
      <c r="BW75" s="1850">
        <f>INDEX(SP_CFA_CFO,0,COLUMN())/INDEX(SP_GF_ShareCount,0,COLUMN())</f>
        <v/>
      </c>
      <c r="BX75" s="1850">
        <f>INDEX(SP_CFA_CFO,0,COLUMN())/INDEX(SP_GF_ShareCount,0,COLUMN())</f>
        <v/>
      </c>
      <c r="BY75" s="2126">
        <f>INDEX(SP_CFA_CFO,0,COLUMN())/INDEX(SP_GF_ShareCount,0,COLUMN())</f>
        <v/>
      </c>
      <c r="BZ75" s="2126">
        <f>INDEX(SP_CFA_CFO,0,COLUMN())/INDEX(SP_GF_ShareCount,0,COLUMN())</f>
        <v/>
      </c>
      <c r="CA75" s="2126">
        <f>INDEX(SP_CFA_CFO,0,COLUMN())/INDEX(SP_GF_ShareCount,0,COLUMN())</f>
        <v/>
      </c>
      <c r="CB75" s="2126">
        <f>INDEX(SP_CFA_CFO,0,COLUMN())/INDEX(SP_GF_ShareCount,0,COLUMN())</f>
        <v/>
      </c>
      <c r="CC75" s="2128" t="n"/>
    </row>
    <row r="76" ht="15" customFormat="1" customHeight="1" s="2123">
      <c r="A76" s="2146" t="inlineStr">
        <is>
          <t>Core Free Cash Flow Per Share, Pre Div</t>
        </is>
      </c>
      <c r="B76" s="2147" t="n"/>
      <c r="C76" s="2126">
        <f>INDEX(SP_CFA_FCF_PreDiv,0,COLUMN())/INDEX(SP_GF_ShareCount,0,COLUMN())</f>
        <v/>
      </c>
      <c r="D76" s="2126">
        <f>INDEX(SP_CFA_FCF_PreDiv,0,COLUMN())/INDEX(SP_GF_ShareCount,0,COLUMN())</f>
        <v/>
      </c>
      <c r="E76" s="2126">
        <f>INDEX(SP_CFA_FCF_PreDiv,0,COLUMN())/INDEX(SP_GF_ShareCount,0,COLUMN())</f>
        <v/>
      </c>
      <c r="F76" s="2126">
        <f>INDEX(SP_CFA_FCF_PreDiv,0,COLUMN())/INDEX(SP_GF_ShareCount,0,COLUMN())</f>
        <v/>
      </c>
      <c r="G76" s="2126">
        <f>INDEX(SP_CFA_FCF_PreDiv,0,COLUMN())/INDEX(SP_GF_ShareCount,0,COLUMN())</f>
        <v/>
      </c>
      <c r="H76" s="1850">
        <f>INDEX(SP_CFA_FCF_PreDiv,0,COLUMN())/INDEX(SP_GF_ShareCount,0,COLUMN())</f>
        <v/>
      </c>
      <c r="I76" s="1850">
        <f>INDEX(SP_CFA_FCF_PreDiv,0,COLUMN())/INDEX(SP_GF_ShareCount,0,COLUMN())</f>
        <v/>
      </c>
      <c r="J76" s="1850">
        <f>INDEX(SP_CFA_FCF_PreDiv,0,COLUMN())/INDEX(SP_GF_ShareCount,0,COLUMN())</f>
        <v/>
      </c>
      <c r="K76" s="1850">
        <f>INDEX(SP_CFA_FCF_PreDiv,0,COLUMN())/INDEX(SP_GF_ShareCount,0,COLUMN())</f>
        <v/>
      </c>
      <c r="L76" s="2126">
        <f>INDEX(SP_CFA_FCF_PreDiv,0,COLUMN())/INDEX(SP_GF_ShareCount,0,COLUMN())</f>
        <v/>
      </c>
      <c r="M76" s="1850">
        <f>INDEX(SP_CFA_FCF_PreDiv,0,COLUMN())/INDEX(SP_GF_ShareCount,0,COLUMN())</f>
        <v/>
      </c>
      <c r="N76" s="1850">
        <f>INDEX(SP_CFA_FCF_PreDiv,0,COLUMN())/INDEX(SP_GF_ShareCount,0,COLUMN())</f>
        <v/>
      </c>
      <c r="O76" s="1850">
        <f>INDEX(SP_CFA_FCF_PreDiv,0,COLUMN())/INDEX(SP_GF_ShareCount,0,COLUMN())</f>
        <v/>
      </c>
      <c r="P76" s="1850">
        <f>INDEX(SP_CFA_FCF_PreDiv,0,COLUMN())/INDEX(SP_GF_ShareCount,0,COLUMN())</f>
        <v/>
      </c>
      <c r="Q76" s="2126">
        <f>INDEX(SP_CFA_FCF_PreDiv,0,COLUMN())/INDEX(SP_GF_ShareCount,0,COLUMN())</f>
        <v/>
      </c>
      <c r="R76" s="1850">
        <f>INDEX(SP_CFA_FCF_PreDiv,0,COLUMN())/INDEX(SP_GF_ShareCount,0,COLUMN())</f>
        <v/>
      </c>
      <c r="S76" s="1850">
        <f>INDEX(SP_CFA_FCF_PreDiv,0,COLUMN())/INDEX(SP_GF_ShareCount,0,COLUMN())</f>
        <v/>
      </c>
      <c r="T76" s="1850">
        <f>INDEX(SP_CFA_FCF_PreDiv,0,COLUMN())/INDEX(SP_GF_ShareCount,0,COLUMN())</f>
        <v/>
      </c>
      <c r="U76" s="1850">
        <f>INDEX(SP_CFA_FCF_PreDiv,0,COLUMN())/INDEX(SP_GF_ShareCount,0,COLUMN())</f>
        <v/>
      </c>
      <c r="V76" s="2126">
        <f>INDEX(SP_CFA_FCF_PreDiv,0,COLUMN())/INDEX(SP_GF_ShareCount,0,COLUMN())</f>
        <v/>
      </c>
      <c r="W76" s="1850">
        <f>INDEX(SP_CFA_FCF_PreDiv,0,COLUMN())/INDEX(SP_GF_ShareCount,0,COLUMN())</f>
        <v/>
      </c>
      <c r="X76" s="1850">
        <f>INDEX(SP_CFA_FCF_PreDiv,0,COLUMN())/INDEX(SP_GF_ShareCount,0,COLUMN())</f>
        <v/>
      </c>
      <c r="Y76" s="1850">
        <f>INDEX(SP_CFA_FCF_PreDiv,0,COLUMN())/INDEX(SP_GF_ShareCount,0,COLUMN())</f>
        <v/>
      </c>
      <c r="Z76" s="1850">
        <f>INDEX(SP_CFA_FCF_PreDiv,0,COLUMN())/INDEX(SP_GF_ShareCount,0,COLUMN())</f>
        <v/>
      </c>
      <c r="AA76" s="2126">
        <f>INDEX(SP_CFA_FCF_PreDiv,0,COLUMN())/INDEX(SP_GF_ShareCount,0,COLUMN())</f>
        <v/>
      </c>
      <c r="AB76" s="1850">
        <f>INDEX(SP_CFA_FCF_PreDiv,0,COLUMN())/INDEX(SP_GF_ShareCount,0,COLUMN())</f>
        <v/>
      </c>
      <c r="AC76" s="1850">
        <f>INDEX(SP_CFA_FCF_PreDiv,0,COLUMN())/INDEX(SP_GF_ShareCount,0,COLUMN())</f>
        <v/>
      </c>
      <c r="AD76" s="1850">
        <f>INDEX(SP_CFA_FCF_PreDiv,0,COLUMN())/INDEX(SP_GF_ShareCount,0,COLUMN())</f>
        <v/>
      </c>
      <c r="AE76" s="1850">
        <f>INDEX(SP_CFA_FCF_PreDiv,0,COLUMN())/INDEX(SP_GF_ShareCount,0,COLUMN())</f>
        <v/>
      </c>
      <c r="AF76" s="2126">
        <f>INDEX(SP_CFA_FCF_PreDiv,0,COLUMN())/INDEX(SP_GF_ShareCount,0,COLUMN())</f>
        <v/>
      </c>
      <c r="AG76" s="1850">
        <f>INDEX(SP_CFA_FCF_PreDiv,0,COLUMN())/INDEX(SP_GF_ShareCount,0,COLUMN())</f>
        <v/>
      </c>
      <c r="AH76" s="1850">
        <f>INDEX(SP_CFA_FCF_PreDiv,0,COLUMN())/INDEX(SP_GF_ShareCount,0,COLUMN())</f>
        <v/>
      </c>
      <c r="AI76" s="1850">
        <f>INDEX(SP_CFA_FCF_PreDiv,0,COLUMN())/INDEX(SP_GF_ShareCount,0,COLUMN())</f>
        <v/>
      </c>
      <c r="AJ76" s="1850">
        <f>INDEX(SP_CFA_FCF_PreDiv,0,COLUMN())/INDEX(SP_GF_ShareCount,0,COLUMN())</f>
        <v/>
      </c>
      <c r="AK76" s="2126">
        <f>INDEX(SP_CFA_FCF_PreDiv,0,COLUMN())/INDEX(SP_GF_ShareCount,0,COLUMN())</f>
        <v/>
      </c>
      <c r="AL76" s="1850">
        <f>INDEX(SP_CFA_FCF_PreDiv,0,COLUMN())/INDEX(SP_GF_ShareCount,0,COLUMN())</f>
        <v/>
      </c>
      <c r="AM76" s="1850">
        <f>INDEX(SP_CFA_FCF_PreDiv,0,COLUMN())/INDEX(SP_GF_ShareCount,0,COLUMN())</f>
        <v/>
      </c>
      <c r="AN76" s="1850">
        <f>INDEX(SP_CFA_FCF_PreDiv,0,COLUMN())/INDEX(SP_GF_ShareCount,0,COLUMN())</f>
        <v/>
      </c>
      <c r="AO76" s="1850">
        <f>INDEX(SP_CFA_FCF_PreDiv,0,COLUMN())/INDEX(SP_GF_ShareCount,0,COLUMN())</f>
        <v/>
      </c>
      <c r="AP76" s="2126">
        <f>INDEX(SP_CFA_FCF_PreDiv,0,COLUMN())/INDEX(SP_GF_ShareCount,0,COLUMN())</f>
        <v/>
      </c>
      <c r="AQ76" s="1850">
        <f>INDEX(SP_CFA_FCF_PreDiv,0,COLUMN())/INDEX(SP_GF_ShareCount,0,COLUMN())</f>
        <v/>
      </c>
      <c r="AR76" s="1850">
        <f>INDEX(SP_CFA_FCF_PreDiv,0,COLUMN())/INDEX(SP_GF_ShareCount,0,COLUMN())</f>
        <v/>
      </c>
      <c r="AS76" s="1850">
        <f>INDEX(SP_CFA_FCF_PreDiv,0,COLUMN())/INDEX(SP_GF_ShareCount,0,COLUMN())</f>
        <v/>
      </c>
      <c r="AT76" s="1850">
        <f>INDEX(SP_CFA_FCF_PreDiv,0,COLUMN())/INDEX(SP_GF_ShareCount,0,COLUMN())</f>
        <v/>
      </c>
      <c r="AU76" s="2126">
        <f>INDEX(SP_CFA_FCF_PreDiv,0,COLUMN())/INDEX(SP_GF_ShareCount,0,COLUMN())</f>
        <v/>
      </c>
      <c r="AV76" s="1850">
        <f>INDEX(SP_CFA_FCF_PreDiv,0,COLUMN())/INDEX(SP_GF_ShareCount,0,COLUMN())</f>
        <v/>
      </c>
      <c r="AW76" s="1850">
        <f>INDEX(SP_CFA_FCF_PreDiv,0,COLUMN())/INDEX(SP_GF_ShareCount,0,COLUMN())</f>
        <v/>
      </c>
      <c r="AX76" s="1850">
        <f>INDEX(SP_CFA_FCF_PreDiv,0,COLUMN())/INDEX(SP_GF_ShareCount,0,COLUMN())</f>
        <v/>
      </c>
      <c r="AY76" s="1850">
        <f>INDEX(SP_CFA_FCF_PreDiv,0,COLUMN())/INDEX(SP_GF_ShareCount,0,COLUMN())</f>
        <v/>
      </c>
      <c r="AZ76" s="2126">
        <f>INDEX(SP_CFA_FCF_PreDiv,0,COLUMN())/INDEX(SP_GF_ShareCount,0,COLUMN())</f>
        <v/>
      </c>
      <c r="BA76" s="1850">
        <f>INDEX(SP_CFA_FCF_PreDiv,0,COLUMN())/INDEX(SP_GF_ShareCount,0,COLUMN())</f>
        <v/>
      </c>
      <c r="BB76" s="1850">
        <f>INDEX(SP_CFA_FCF_PreDiv,0,COLUMN())/INDEX(SP_GF_ShareCount,0,COLUMN())</f>
        <v/>
      </c>
      <c r="BC76" s="1850">
        <f>INDEX(SP_CFA_FCF_PreDiv,0,COLUMN())/INDEX(SP_GF_ShareCount,0,COLUMN())</f>
        <v/>
      </c>
      <c r="BD76" s="1850">
        <f>INDEX(SP_CFA_FCF_PreDiv,0,COLUMN())/INDEX(SP_GF_ShareCount,0,COLUMN())</f>
        <v/>
      </c>
      <c r="BE76" s="2126">
        <f>INDEX(SP_CFA_FCF_PreDiv,0,COLUMN())/INDEX(SP_GF_ShareCount,0,COLUMN())</f>
        <v/>
      </c>
      <c r="BF76" s="1850">
        <f>INDEX(SP_CFA_FCF_PreDiv,0,COLUMN())/INDEX(SP_GF_ShareCount,0,COLUMN())</f>
        <v/>
      </c>
      <c r="BG76" s="1850">
        <f>INDEX(SP_CFA_FCF_PreDiv,0,COLUMN())/INDEX(SP_GF_ShareCount,0,COLUMN())</f>
        <v/>
      </c>
      <c r="BH76" s="1850">
        <f>INDEX(SP_CFA_FCF_PreDiv,0,COLUMN())/INDEX(SP_GF_ShareCount,0,COLUMN())</f>
        <v/>
      </c>
      <c r="BI76" s="1850">
        <f>INDEX(SP_CFA_FCF_PreDiv,0,COLUMN())/INDEX(SP_GF_ShareCount,0,COLUMN())</f>
        <v/>
      </c>
      <c r="BJ76" s="2126">
        <f>INDEX(SP_CFA_FCF_PreDiv,0,COLUMN())/INDEX(SP_GF_ShareCount,0,COLUMN())</f>
        <v/>
      </c>
      <c r="BK76" s="1850">
        <f>INDEX(SP_CFA_FCF_PreDiv,0,COLUMN())/INDEX(SP_GF_ShareCount,0,COLUMN())</f>
        <v/>
      </c>
      <c r="BL76" s="1850">
        <f>INDEX(SP_CFA_FCF_PreDiv,0,COLUMN())/INDEX(SP_GF_ShareCount,0,COLUMN())</f>
        <v/>
      </c>
      <c r="BM76" s="1850">
        <f>INDEX(SP_CFA_FCF_PreDiv,0,COLUMN())/INDEX(SP_GF_ShareCount,0,COLUMN())</f>
        <v/>
      </c>
      <c r="BN76" s="1850">
        <f>INDEX(SP_CFA_FCF_PreDiv,0,COLUMN())/INDEX(SP_GF_ShareCount,0,COLUMN())</f>
        <v/>
      </c>
      <c r="BO76" s="2127">
        <f>INDEX(SP_CFA_FCF_PreDiv,0,COLUMN())/INDEX(SP_GF_ShareCount,0,COLUMN())</f>
        <v/>
      </c>
      <c r="BP76" s="1850">
        <f>INDEX(SP_CFA_FCF_PreDiv,0,COLUMN())/INDEX(SP_GF_ShareCount,0,COLUMN())</f>
        <v/>
      </c>
      <c r="BQ76" s="1850">
        <f>INDEX(SP_CFA_FCF_PreDiv,0,COLUMN())/INDEX(SP_GF_ShareCount,0,COLUMN())</f>
        <v/>
      </c>
      <c r="BR76" s="1850">
        <f>INDEX(SP_CFA_FCF_PreDiv,0,COLUMN())/INDEX(SP_GF_ShareCount,0,COLUMN())</f>
        <v/>
      </c>
      <c r="BS76" s="1850">
        <f>INDEX(SP_CFA_FCF_PreDiv,0,COLUMN())/INDEX(SP_GF_ShareCount,0,COLUMN())</f>
        <v/>
      </c>
      <c r="BT76" s="2126">
        <f>INDEX(SP_CFA_FCF_PreDiv,0,COLUMN())/INDEX(SP_GF_ShareCount,0,COLUMN())</f>
        <v/>
      </c>
      <c r="BU76" s="1850">
        <f>INDEX(SP_CFA_FCF_PreDiv,0,COLUMN())/INDEX(SP_GF_ShareCount,0,COLUMN())</f>
        <v/>
      </c>
      <c r="BV76" s="1850">
        <f>INDEX(SP_CFA_FCF_PreDiv,0,COLUMN())/INDEX(SP_GF_ShareCount,0,COLUMN())</f>
        <v/>
      </c>
      <c r="BW76" s="1850">
        <f>INDEX(SP_CFA_FCF_PreDiv,0,COLUMN())/INDEX(SP_GF_ShareCount,0,COLUMN())</f>
        <v/>
      </c>
      <c r="BX76" s="1850">
        <f>INDEX(SP_CFA_FCF_PreDiv,0,COLUMN())/INDEX(SP_GF_ShareCount,0,COLUMN())</f>
        <v/>
      </c>
      <c r="BY76" s="2126">
        <f>INDEX(SP_CFA_FCF_PreDiv,0,COLUMN())/INDEX(SP_GF_ShareCount,0,COLUMN())</f>
        <v/>
      </c>
      <c r="BZ76" s="2126">
        <f>INDEX(SP_CFA_FCF_PreDiv,0,COLUMN())/INDEX(SP_GF_ShareCount,0,COLUMN())</f>
        <v/>
      </c>
      <c r="CA76" s="2126">
        <f>INDEX(SP_CFA_FCF_PreDiv,0,COLUMN())/INDEX(SP_GF_ShareCount,0,COLUMN())</f>
        <v/>
      </c>
      <c r="CB76" s="2126">
        <f>INDEX(SP_CFA_FCF_PreDiv,0,COLUMN())/INDEX(SP_GF_ShareCount,0,COLUMN())</f>
        <v/>
      </c>
      <c r="CC76" s="2128" t="n"/>
    </row>
    <row r="77" ht="15" customFormat="1" customHeight="1" s="2123">
      <c r="A77" s="2146" t="inlineStr">
        <is>
          <t>Dividend Per Share</t>
        </is>
      </c>
      <c r="B77" s="2147" t="n"/>
      <c r="C77" s="2126">
        <f>INDEX(MO_CFSum_DPS,0,COLUMN())</f>
        <v/>
      </c>
      <c r="D77" s="2126">
        <f>INDEX(MO_CFSum_DPS,0,COLUMN())</f>
        <v/>
      </c>
      <c r="E77" s="2126">
        <f>INDEX(MO_CFSum_DPS,0,COLUMN())</f>
        <v/>
      </c>
      <c r="F77" s="2126">
        <f>INDEX(MO_CFSum_DPS,0,COLUMN())</f>
        <v/>
      </c>
      <c r="G77" s="2126">
        <f>INDEX(MO_CFSum_DPS,0,COLUMN())</f>
        <v/>
      </c>
      <c r="H77" s="1850">
        <f>INDEX(MO_CFSum_DPS,0,COLUMN())</f>
        <v/>
      </c>
      <c r="I77" s="1850">
        <f>INDEX(MO_CFSum_DPS,0,COLUMN())</f>
        <v/>
      </c>
      <c r="J77" s="1850">
        <f>INDEX(MO_CFSum_DPS,0,COLUMN())</f>
        <v/>
      </c>
      <c r="K77" s="1850">
        <f>INDEX(MO_CFSum_DPS,0,COLUMN())</f>
        <v/>
      </c>
      <c r="L77" s="2126">
        <f>INDEX(MO_CFSum_DPS,0,COLUMN())</f>
        <v/>
      </c>
      <c r="M77" s="1850">
        <f>INDEX(MO_CFSum_DPS,0,COLUMN())</f>
        <v/>
      </c>
      <c r="N77" s="1850">
        <f>INDEX(MO_CFSum_DPS,0,COLUMN())</f>
        <v/>
      </c>
      <c r="O77" s="1850">
        <f>INDEX(MO_CFSum_DPS,0,COLUMN())</f>
        <v/>
      </c>
      <c r="P77" s="1850">
        <f>INDEX(MO_CFSum_DPS,0,COLUMN())</f>
        <v/>
      </c>
      <c r="Q77" s="2126">
        <f>INDEX(MO_CFSum_DPS,0,COLUMN())</f>
        <v/>
      </c>
      <c r="R77" s="1850">
        <f>INDEX(MO_CFSum_DPS,0,COLUMN())</f>
        <v/>
      </c>
      <c r="S77" s="1850">
        <f>INDEX(MO_CFSum_DPS,0,COLUMN())</f>
        <v/>
      </c>
      <c r="T77" s="1850">
        <f>INDEX(MO_CFSum_DPS,0,COLUMN())</f>
        <v/>
      </c>
      <c r="U77" s="1850">
        <f>INDEX(MO_CFSum_DPS,0,COLUMN())</f>
        <v/>
      </c>
      <c r="V77" s="2126">
        <f>INDEX(MO_CFSum_DPS,0,COLUMN())</f>
        <v/>
      </c>
      <c r="W77" s="1850">
        <f>INDEX(MO_CFSum_DPS,0,COLUMN())</f>
        <v/>
      </c>
      <c r="X77" s="1850">
        <f>INDEX(MO_CFSum_DPS,0,COLUMN())</f>
        <v/>
      </c>
      <c r="Y77" s="1850">
        <f>INDEX(MO_CFSum_DPS,0,COLUMN())</f>
        <v/>
      </c>
      <c r="Z77" s="1850">
        <f>INDEX(MO_CFSum_DPS,0,COLUMN())</f>
        <v/>
      </c>
      <c r="AA77" s="2126">
        <f>INDEX(MO_CFSum_DPS,0,COLUMN())</f>
        <v/>
      </c>
      <c r="AB77" s="1850">
        <f>INDEX(MO_CFSum_DPS,0,COLUMN())</f>
        <v/>
      </c>
      <c r="AC77" s="1850">
        <f>INDEX(MO_CFSum_DPS,0,COLUMN())</f>
        <v/>
      </c>
      <c r="AD77" s="1850">
        <f>INDEX(MO_CFSum_DPS,0,COLUMN())</f>
        <v/>
      </c>
      <c r="AE77" s="1850">
        <f>INDEX(MO_CFSum_DPS,0,COLUMN())</f>
        <v/>
      </c>
      <c r="AF77" s="2126">
        <f>INDEX(MO_CFSum_DPS,0,COLUMN())</f>
        <v/>
      </c>
      <c r="AG77" s="1850">
        <f>INDEX(MO_CFSum_DPS,0,COLUMN())</f>
        <v/>
      </c>
      <c r="AH77" s="1850">
        <f>INDEX(MO_CFSum_DPS,0,COLUMN())</f>
        <v/>
      </c>
      <c r="AI77" s="1850">
        <f>INDEX(MO_CFSum_DPS,0,COLUMN())</f>
        <v/>
      </c>
      <c r="AJ77" s="1850">
        <f>INDEX(MO_CFSum_DPS,0,COLUMN())</f>
        <v/>
      </c>
      <c r="AK77" s="2126">
        <f>INDEX(MO_CFSum_DPS,0,COLUMN())</f>
        <v/>
      </c>
      <c r="AL77" s="1850">
        <f>INDEX(MO_CFSum_DPS,0,COLUMN())</f>
        <v/>
      </c>
      <c r="AM77" s="1850">
        <f>INDEX(MO_CFSum_DPS,0,COLUMN())</f>
        <v/>
      </c>
      <c r="AN77" s="1850">
        <f>INDEX(MO_CFSum_DPS,0,COLUMN())</f>
        <v/>
      </c>
      <c r="AO77" s="1850">
        <f>INDEX(MO_CFSum_DPS,0,COLUMN())</f>
        <v/>
      </c>
      <c r="AP77" s="2126">
        <f>INDEX(MO_CFSum_DPS,0,COLUMN())</f>
        <v/>
      </c>
      <c r="AQ77" s="1850">
        <f>INDEX(MO_CFSum_DPS,0,COLUMN())</f>
        <v/>
      </c>
      <c r="AR77" s="1850">
        <f>INDEX(MO_CFSum_DPS,0,COLUMN())</f>
        <v/>
      </c>
      <c r="AS77" s="1850">
        <f>INDEX(MO_CFSum_DPS,0,COLUMN())</f>
        <v/>
      </c>
      <c r="AT77" s="1850">
        <f>INDEX(MO_CFSum_DPS,0,COLUMN())</f>
        <v/>
      </c>
      <c r="AU77" s="2126">
        <f>INDEX(MO_CFSum_DPS,0,COLUMN())</f>
        <v/>
      </c>
      <c r="AV77" s="1850">
        <f>INDEX(MO_CFSum_DPS,0,COLUMN())</f>
        <v/>
      </c>
      <c r="AW77" s="1850">
        <f>INDEX(MO_CFSum_DPS,0,COLUMN())</f>
        <v/>
      </c>
      <c r="AX77" s="1850">
        <f>INDEX(MO_CFSum_DPS,0,COLUMN())</f>
        <v/>
      </c>
      <c r="AY77" s="1850">
        <f>INDEX(MO_CFSum_DPS,0,COLUMN())</f>
        <v/>
      </c>
      <c r="AZ77" s="2126">
        <f>INDEX(MO_CFSum_DPS,0,COLUMN())</f>
        <v/>
      </c>
      <c r="BA77" s="1850">
        <f>INDEX(MO_CFSum_DPS,0,COLUMN())</f>
        <v/>
      </c>
      <c r="BB77" s="1850">
        <f>INDEX(MO_CFSum_DPS,0,COLUMN())</f>
        <v/>
      </c>
      <c r="BC77" s="1850">
        <f>INDEX(MO_CFSum_DPS,0,COLUMN())</f>
        <v/>
      </c>
      <c r="BD77" s="1850">
        <f>INDEX(MO_CFSum_DPS,0,COLUMN())</f>
        <v/>
      </c>
      <c r="BE77" s="2126">
        <f>INDEX(MO_CFSum_DPS,0,COLUMN())</f>
        <v/>
      </c>
      <c r="BF77" s="1850">
        <f>INDEX(MO_CFSum_DPS,0,COLUMN())</f>
        <v/>
      </c>
      <c r="BG77" s="1850">
        <f>INDEX(MO_CFSum_DPS,0,COLUMN())</f>
        <v/>
      </c>
      <c r="BH77" s="1850">
        <f>INDEX(MO_CFSum_DPS,0,COLUMN())</f>
        <v/>
      </c>
      <c r="BI77" s="1850">
        <f>INDEX(MO_CFSum_DPS,0,COLUMN())</f>
        <v/>
      </c>
      <c r="BJ77" s="2126">
        <f>INDEX(MO_CFSum_DPS,0,COLUMN())</f>
        <v/>
      </c>
      <c r="BK77" s="1850">
        <f>INDEX(MO_CFSum_DPS,0,COLUMN())</f>
        <v/>
      </c>
      <c r="BL77" s="1850">
        <f>INDEX(MO_CFSum_DPS,0,COLUMN())</f>
        <v/>
      </c>
      <c r="BM77" s="1850">
        <f>INDEX(MO_CFSum_DPS,0,COLUMN())</f>
        <v/>
      </c>
      <c r="BN77" s="1850">
        <f>INDEX(MO_CFSum_DPS,0,COLUMN())</f>
        <v/>
      </c>
      <c r="BO77" s="2127">
        <f>INDEX(MO_CFSum_DPS,0,COLUMN())</f>
        <v/>
      </c>
      <c r="BP77" s="1850">
        <f>INDEX(MO_CFSum_DPS,0,COLUMN())</f>
        <v/>
      </c>
      <c r="BQ77" s="1850">
        <f>INDEX(MO_CFSum_DPS,0,COLUMN())</f>
        <v/>
      </c>
      <c r="BR77" s="1850">
        <f>INDEX(MO_CFSum_DPS,0,COLUMN())</f>
        <v/>
      </c>
      <c r="BS77" s="1850">
        <f>INDEX(MO_CFSum_DPS,0,COLUMN())</f>
        <v/>
      </c>
      <c r="BT77" s="2126">
        <f>INDEX(MO_CFSum_DPS,0,COLUMN())</f>
        <v/>
      </c>
      <c r="BU77" s="1850">
        <f>INDEX(MO_CFSum_DPS,0,COLUMN())</f>
        <v/>
      </c>
      <c r="BV77" s="1850">
        <f>INDEX(MO_CFSum_DPS,0,COLUMN())</f>
        <v/>
      </c>
      <c r="BW77" s="1850">
        <f>INDEX(MO_CFSum_DPS,0,COLUMN())</f>
        <v/>
      </c>
      <c r="BX77" s="1850">
        <f>INDEX(MO_CFSum_DPS,0,COLUMN())</f>
        <v/>
      </c>
      <c r="BY77" s="2126">
        <f>INDEX(MO_CFSum_DPS,0,COLUMN())</f>
        <v/>
      </c>
      <c r="BZ77" s="2126">
        <f>INDEX(MO_CFSum_DPS,0,COLUMN())</f>
        <v/>
      </c>
      <c r="CA77" s="2126">
        <f>INDEX(MO_CFSum_DPS,0,COLUMN())</f>
        <v/>
      </c>
      <c r="CB77" s="2126">
        <f>INDEX(MO_CFSum_DPS,0,COLUMN())</f>
        <v/>
      </c>
      <c r="CC77" s="2128" t="n"/>
    </row>
    <row r="78" ht="15" customFormat="1" customHeight="1" s="2154">
      <c r="A78" s="2155" t="inlineStr">
        <is>
          <t>Dividend Payout Ratio vs Core FCF, Pre Div</t>
        </is>
      </c>
      <c r="B78" s="2156" t="n"/>
      <c r="C78" s="2157">
        <f>C77/C76</f>
        <v/>
      </c>
      <c r="D78" s="2157">
        <f>D77/D76</f>
        <v/>
      </c>
      <c r="E78" s="2157">
        <f>E77/E76</f>
        <v/>
      </c>
      <c r="F78" s="2157">
        <f>F77/F76</f>
        <v/>
      </c>
      <c r="G78" s="2157">
        <f>G77/G76</f>
        <v/>
      </c>
      <c r="H78" s="2158">
        <f>H77/H76</f>
        <v/>
      </c>
      <c r="I78" s="2158">
        <f>I77/I76</f>
        <v/>
      </c>
      <c r="J78" s="2158">
        <f>J77/J76</f>
        <v/>
      </c>
      <c r="K78" s="2158">
        <f>K77/K76</f>
        <v/>
      </c>
      <c r="L78" s="2157">
        <f>L77/L76</f>
        <v/>
      </c>
      <c r="M78" s="2158">
        <f>M77/M76</f>
        <v/>
      </c>
      <c r="N78" s="2158">
        <f>N77/N76</f>
        <v/>
      </c>
      <c r="O78" s="2158">
        <f>O77/O76</f>
        <v/>
      </c>
      <c r="P78" s="2158">
        <f>P77/P76</f>
        <v/>
      </c>
      <c r="Q78" s="2157">
        <f>Q77/Q76</f>
        <v/>
      </c>
      <c r="R78" s="2158">
        <f>R77/R76</f>
        <v/>
      </c>
      <c r="S78" s="2158">
        <f>S77/S76</f>
        <v/>
      </c>
      <c r="T78" s="2158">
        <f>T77/T76</f>
        <v/>
      </c>
      <c r="U78" s="2158">
        <f>U77/U76</f>
        <v/>
      </c>
      <c r="V78" s="2157">
        <f>V77/V76</f>
        <v/>
      </c>
      <c r="W78" s="2158">
        <f>W77/W76</f>
        <v/>
      </c>
      <c r="X78" s="2158">
        <f>X77/X76</f>
        <v/>
      </c>
      <c r="Y78" s="2158">
        <f>Y77/Y76</f>
        <v/>
      </c>
      <c r="Z78" s="2158">
        <f>Z77/Z76</f>
        <v/>
      </c>
      <c r="AA78" s="2157">
        <f>AA77/AA76</f>
        <v/>
      </c>
      <c r="AB78" s="2158">
        <f>AB77/AB76</f>
        <v/>
      </c>
      <c r="AC78" s="2158">
        <f>AC77/AC76</f>
        <v/>
      </c>
      <c r="AD78" s="2158">
        <f>AD77/AD76</f>
        <v/>
      </c>
      <c r="AE78" s="2158">
        <f>AE77/AE76</f>
        <v/>
      </c>
      <c r="AF78" s="2157">
        <f>AF77/AF76</f>
        <v/>
      </c>
      <c r="AG78" s="2158">
        <f>AG77/AG76</f>
        <v/>
      </c>
      <c r="AH78" s="2158">
        <f>AH77/AH76</f>
        <v/>
      </c>
      <c r="AI78" s="2158">
        <f>AI77/AI76</f>
        <v/>
      </c>
      <c r="AJ78" s="2158">
        <f>AJ77/AJ76</f>
        <v/>
      </c>
      <c r="AK78" s="2157">
        <f>AK77/AK76</f>
        <v/>
      </c>
      <c r="AL78" s="2158">
        <f>AL77/AL76</f>
        <v/>
      </c>
      <c r="AM78" s="2158">
        <f>AM77/AM76</f>
        <v/>
      </c>
      <c r="AN78" s="2158">
        <f>AN77/AN76</f>
        <v/>
      </c>
      <c r="AO78" s="2158">
        <f>AO77/AO76</f>
        <v/>
      </c>
      <c r="AP78" s="2157">
        <f>AP77/AP76</f>
        <v/>
      </c>
      <c r="AQ78" s="2158">
        <f>AQ77/AQ76</f>
        <v/>
      </c>
      <c r="AR78" s="2158">
        <f>AR77/AR76</f>
        <v/>
      </c>
      <c r="AS78" s="2158">
        <f>AS77/AS76</f>
        <v/>
      </c>
      <c r="AT78" s="2158">
        <f>AT77/AT76</f>
        <v/>
      </c>
      <c r="AU78" s="2157">
        <f>AU77/AU76</f>
        <v/>
      </c>
      <c r="AV78" s="2158">
        <f>AV77/AV76</f>
        <v/>
      </c>
      <c r="AW78" s="2158">
        <f>AW77/AW76</f>
        <v/>
      </c>
      <c r="AX78" s="2158">
        <f>AX77/AX76</f>
        <v/>
      </c>
      <c r="AY78" s="2158">
        <f>AY77/AY76</f>
        <v/>
      </c>
      <c r="AZ78" s="2157">
        <f>AZ77/AZ76</f>
        <v/>
      </c>
      <c r="BA78" s="2158">
        <f>BA77/BA76</f>
        <v/>
      </c>
      <c r="BB78" s="2158">
        <f>BB77/BB76</f>
        <v/>
      </c>
      <c r="BC78" s="2158">
        <f>BC77/BC76</f>
        <v/>
      </c>
      <c r="BD78" s="2158">
        <f>BD77/BD76</f>
        <v/>
      </c>
      <c r="BE78" s="2157">
        <f>BE77/BE76</f>
        <v/>
      </c>
      <c r="BF78" s="2158">
        <f>BF77/BF76</f>
        <v/>
      </c>
      <c r="BG78" s="2158">
        <f>BG77/BG76</f>
        <v/>
      </c>
      <c r="BH78" s="2158">
        <f>BH77/BH76</f>
        <v/>
      </c>
      <c r="BI78" s="2158">
        <f>BI77/BI76</f>
        <v/>
      </c>
      <c r="BJ78" s="2157">
        <f>BJ77/BJ76</f>
        <v/>
      </c>
      <c r="BK78" s="2158">
        <f>BK77/BK76</f>
        <v/>
      </c>
      <c r="BL78" s="2158">
        <f>BL77/BL76</f>
        <v/>
      </c>
      <c r="BM78" s="2158">
        <f>BM77/BM76</f>
        <v/>
      </c>
      <c r="BN78" s="2158">
        <f>BN77/BN76</f>
        <v/>
      </c>
      <c r="BO78" s="2159">
        <f>BO77/BO76</f>
        <v/>
      </c>
      <c r="BP78" s="2158">
        <f>BP77/BP76</f>
        <v/>
      </c>
      <c r="BQ78" s="2158">
        <f>BQ77/BQ76</f>
        <v/>
      </c>
      <c r="BR78" s="2158">
        <f>BR77/BR76</f>
        <v/>
      </c>
      <c r="BS78" s="2158">
        <f>BS77/BS76</f>
        <v/>
      </c>
      <c r="BT78" s="2157">
        <f>BT77/BT76</f>
        <v/>
      </c>
      <c r="BU78" s="2158">
        <f>BU77/BU76</f>
        <v/>
      </c>
      <c r="BV78" s="2158">
        <f>BV77/BV76</f>
        <v/>
      </c>
      <c r="BW78" s="2158">
        <f>BW77/BW76</f>
        <v/>
      </c>
      <c r="BX78" s="2158">
        <f>BX77/BX76</f>
        <v/>
      </c>
      <c r="BY78" s="2157">
        <f>BY77/BY76</f>
        <v/>
      </c>
      <c r="BZ78" s="2157">
        <f>BZ77/BZ76</f>
        <v/>
      </c>
      <c r="CA78" s="2157">
        <f>CA77/CA76</f>
        <v/>
      </c>
      <c r="CB78" s="2157">
        <f>CB77/CB76</f>
        <v/>
      </c>
      <c r="CC78" s="2160" t="n"/>
    </row>
    <row r="79" ht="15" customFormat="1" customHeight="1" s="2154">
      <c r="A79" s="2155" t="inlineStr">
        <is>
          <t>Dividend Payout Ratio vs Earnings Per Share</t>
        </is>
      </c>
      <c r="B79" s="2156" t="n"/>
      <c r="C79" s="2157">
        <f>C77/C49</f>
        <v/>
      </c>
      <c r="D79" s="2157">
        <f>D77/D49</f>
        <v/>
      </c>
      <c r="E79" s="2157">
        <f>E77/E49</f>
        <v/>
      </c>
      <c r="F79" s="2157">
        <f>F77/F49</f>
        <v/>
      </c>
      <c r="G79" s="2157">
        <f>G77/G49</f>
        <v/>
      </c>
      <c r="H79" s="2158">
        <f>H77/H49</f>
        <v/>
      </c>
      <c r="I79" s="2158">
        <f>I77/I49</f>
        <v/>
      </c>
      <c r="J79" s="2158">
        <f>J77/J49</f>
        <v/>
      </c>
      <c r="K79" s="2158">
        <f>K77/K49</f>
        <v/>
      </c>
      <c r="L79" s="2157">
        <f>L77/L49</f>
        <v/>
      </c>
      <c r="M79" s="2158">
        <f>M77/M49</f>
        <v/>
      </c>
      <c r="N79" s="2158">
        <f>N77/N49</f>
        <v/>
      </c>
      <c r="O79" s="2158">
        <f>O77/O49</f>
        <v/>
      </c>
      <c r="P79" s="2158">
        <f>P77/P49</f>
        <v/>
      </c>
      <c r="Q79" s="2157">
        <f>Q77/Q49</f>
        <v/>
      </c>
      <c r="R79" s="2158">
        <f>R77/R49</f>
        <v/>
      </c>
      <c r="S79" s="2158">
        <f>S77/S49</f>
        <v/>
      </c>
      <c r="T79" s="2158">
        <f>T77/T49</f>
        <v/>
      </c>
      <c r="U79" s="2158">
        <f>U77/U49</f>
        <v/>
      </c>
      <c r="V79" s="2157">
        <f>V77/V49</f>
        <v/>
      </c>
      <c r="W79" s="2158">
        <f>W77/W49</f>
        <v/>
      </c>
      <c r="X79" s="2158">
        <f>X77/X49</f>
        <v/>
      </c>
      <c r="Y79" s="2158">
        <f>Y77/Y49</f>
        <v/>
      </c>
      <c r="Z79" s="2158">
        <f>Z77/Z49</f>
        <v/>
      </c>
      <c r="AA79" s="2157">
        <f>AA77/AA49</f>
        <v/>
      </c>
      <c r="AB79" s="2158">
        <f>AB77/AB49</f>
        <v/>
      </c>
      <c r="AC79" s="2158">
        <f>AC77/AC49</f>
        <v/>
      </c>
      <c r="AD79" s="2158">
        <f>AD77/AD49</f>
        <v/>
      </c>
      <c r="AE79" s="2158">
        <f>AE77/AE49</f>
        <v/>
      </c>
      <c r="AF79" s="2157">
        <f>AF77/AF49</f>
        <v/>
      </c>
      <c r="AG79" s="2158">
        <f>AG77/AG49</f>
        <v/>
      </c>
      <c r="AH79" s="2158">
        <f>AH77/AH49</f>
        <v/>
      </c>
      <c r="AI79" s="2158">
        <f>AI77/AI49</f>
        <v/>
      </c>
      <c r="AJ79" s="2158">
        <f>AJ77/AJ49</f>
        <v/>
      </c>
      <c r="AK79" s="2157">
        <f>AK77/AK49</f>
        <v/>
      </c>
      <c r="AL79" s="2158">
        <f>AL77/AL49</f>
        <v/>
      </c>
      <c r="AM79" s="2158">
        <f>AM77/AM49</f>
        <v/>
      </c>
      <c r="AN79" s="2158">
        <f>AN77/AN49</f>
        <v/>
      </c>
      <c r="AO79" s="2158">
        <f>AO77/AO49</f>
        <v/>
      </c>
      <c r="AP79" s="2157">
        <f>AP77/AP49</f>
        <v/>
      </c>
      <c r="AQ79" s="2158">
        <f>AQ77/AQ49</f>
        <v/>
      </c>
      <c r="AR79" s="2158">
        <f>AR77/AR49</f>
        <v/>
      </c>
      <c r="AS79" s="2158">
        <f>AS77/AS49</f>
        <v/>
      </c>
      <c r="AT79" s="2158">
        <f>AT77/AT49</f>
        <v/>
      </c>
      <c r="AU79" s="2157">
        <f>AU77/AU49</f>
        <v/>
      </c>
      <c r="AV79" s="2158">
        <f>AV77/AV49</f>
        <v/>
      </c>
      <c r="AW79" s="2158">
        <f>AW77/AW49</f>
        <v/>
      </c>
      <c r="AX79" s="2158">
        <f>AX77/AX49</f>
        <v/>
      </c>
      <c r="AY79" s="2158">
        <f>AY77/AY49</f>
        <v/>
      </c>
      <c r="AZ79" s="2157">
        <f>AZ77/AZ49</f>
        <v/>
      </c>
      <c r="BA79" s="2158">
        <f>BA77/BA49</f>
        <v/>
      </c>
      <c r="BB79" s="2158">
        <f>BB77/BB49</f>
        <v/>
      </c>
      <c r="BC79" s="2158">
        <f>BC77/BC49</f>
        <v/>
      </c>
      <c r="BD79" s="2158">
        <f>BD77/BD49</f>
        <v/>
      </c>
      <c r="BE79" s="2157">
        <f>BE77/BE49</f>
        <v/>
      </c>
      <c r="BF79" s="2158">
        <f>BF77/BF49</f>
        <v/>
      </c>
      <c r="BG79" s="2158">
        <f>BG77/BG49</f>
        <v/>
      </c>
      <c r="BH79" s="2158">
        <f>BH77/BH49</f>
        <v/>
      </c>
      <c r="BI79" s="2158">
        <f>BI77/BI49</f>
        <v/>
      </c>
      <c r="BJ79" s="2157">
        <f>BJ77/BJ49</f>
        <v/>
      </c>
      <c r="BK79" s="2158">
        <f>BK77/BK49</f>
        <v/>
      </c>
      <c r="BL79" s="2158">
        <f>BL77/BL49</f>
        <v/>
      </c>
      <c r="BM79" s="2158">
        <f>BM77/BM49</f>
        <v/>
      </c>
      <c r="BN79" s="2158">
        <f>BN77/BN49</f>
        <v/>
      </c>
      <c r="BO79" s="2159">
        <f>BO77/BO49</f>
        <v/>
      </c>
      <c r="BP79" s="2158">
        <f>BP77/BP49</f>
        <v/>
      </c>
      <c r="BQ79" s="2158">
        <f>BQ77/BQ49</f>
        <v/>
      </c>
      <c r="BR79" s="2158">
        <f>BR77/BR49</f>
        <v/>
      </c>
      <c r="BS79" s="2158">
        <f>BS77/BS49</f>
        <v/>
      </c>
      <c r="BT79" s="2157">
        <f>BT77/BT49</f>
        <v/>
      </c>
      <c r="BU79" s="2158">
        <f>BU77/BU49</f>
        <v/>
      </c>
      <c r="BV79" s="2158">
        <f>BV77/BV49</f>
        <v/>
      </c>
      <c r="BW79" s="2158">
        <f>BW77/BW49</f>
        <v/>
      </c>
      <c r="BX79" s="2158">
        <f>BX77/BX49</f>
        <v/>
      </c>
      <c r="BY79" s="2157">
        <f>BY77/BY49</f>
        <v/>
      </c>
      <c r="BZ79" s="2157">
        <f>BZ77/BZ49</f>
        <v/>
      </c>
      <c r="CA79" s="2157">
        <f>CA77/CA49</f>
        <v/>
      </c>
      <c r="CB79" s="2157">
        <f>CB77/CB49</f>
        <v/>
      </c>
      <c r="CC79" s="2160" t="n"/>
    </row>
    <row r="80" ht="15" customFormat="1" customHeight="1" s="639">
      <c r="A80" s="169" t="n"/>
      <c r="B80" s="172" t="n"/>
      <c r="C80" s="1533" t="n"/>
      <c r="D80" s="1533" t="n"/>
      <c r="E80" s="1533" t="n"/>
      <c r="F80" s="1533" t="n"/>
      <c r="G80" s="1533" t="n"/>
      <c r="H80" s="789" t="n"/>
      <c r="I80" s="789" t="n"/>
      <c r="J80" s="789" t="n"/>
      <c r="K80" s="789" t="n"/>
      <c r="L80" s="1533" t="n"/>
      <c r="M80" s="789" t="n"/>
      <c r="N80" s="789" t="n"/>
      <c r="O80" s="789" t="n"/>
      <c r="P80" s="789" t="n"/>
      <c r="Q80" s="1533" t="n"/>
      <c r="R80" s="789" t="n"/>
      <c r="S80" s="789" t="n"/>
      <c r="T80" s="789" t="n"/>
      <c r="U80" s="789" t="n"/>
      <c r="V80" s="1533" t="n"/>
      <c r="W80" s="789" t="n"/>
      <c r="X80" s="789" t="n"/>
      <c r="Y80" s="789" t="n"/>
      <c r="Z80" s="789" t="n"/>
      <c r="AA80" s="1533" t="n"/>
      <c r="AB80" s="789" t="n"/>
      <c r="AC80" s="789" t="n"/>
      <c r="AD80" s="789" t="n"/>
      <c r="AE80" s="789" t="n"/>
      <c r="AF80" s="1533" t="n"/>
      <c r="AG80" s="789" t="n"/>
      <c r="AH80" s="789" t="n"/>
      <c r="AI80" s="789" t="n"/>
      <c r="AJ80" s="789" t="n"/>
      <c r="AK80" s="1533" t="n"/>
      <c r="AL80" s="789" t="n"/>
      <c r="AM80" s="789" t="n"/>
      <c r="AN80" s="789" t="n"/>
      <c r="AO80" s="789" t="n"/>
      <c r="AP80" s="1533" t="n"/>
      <c r="AQ80" s="789" t="n"/>
      <c r="AR80" s="789" t="n"/>
      <c r="AS80" s="789" t="n"/>
      <c r="AT80" s="789" t="n"/>
      <c r="AU80" s="1533" t="n"/>
      <c r="AV80" s="789" t="n"/>
      <c r="AW80" s="789" t="n"/>
      <c r="AX80" s="789" t="n"/>
      <c r="AY80" s="789" t="n"/>
      <c r="AZ80" s="1533" t="n"/>
      <c r="BA80" s="789" t="n"/>
      <c r="BB80" s="789" t="n"/>
      <c r="BC80" s="789" t="n"/>
      <c r="BD80" s="789" t="n"/>
      <c r="BE80" s="1533" t="n"/>
      <c r="BF80" s="789" t="n"/>
      <c r="BG80" s="789" t="n"/>
      <c r="BH80" s="789" t="n"/>
      <c r="BI80" s="789" t="n"/>
      <c r="BJ80" s="1533" t="n"/>
      <c r="BK80" s="789" t="n"/>
      <c r="BL80" s="789" t="n"/>
      <c r="BM80" s="789" t="n"/>
      <c r="BN80" s="789" t="n"/>
      <c r="BO80" s="1532" t="n"/>
      <c r="BP80" s="789" t="n"/>
      <c r="BQ80" s="789" t="n"/>
      <c r="BR80" s="789" t="n"/>
      <c r="BS80" s="789" t="n"/>
      <c r="BT80" s="1533" t="n"/>
      <c r="BU80" s="789" t="n"/>
      <c r="BV80" s="789" t="n"/>
      <c r="BW80" s="789" t="n"/>
      <c r="BX80" s="789" t="n"/>
      <c r="BY80" s="1533" t="n"/>
      <c r="BZ80" s="1533" t="n"/>
      <c r="CA80" s="1533" t="n"/>
      <c r="CB80" s="1533" t="n"/>
      <c r="CC80" s="789" t="n"/>
    </row>
    <row r="81" ht="15" customHeight="1" s="595">
      <c r="A81" s="1679" t="inlineStr">
        <is>
          <t>Balance Sheet Ratios</t>
        </is>
      </c>
      <c r="B81" s="2144" t="n"/>
      <c r="C81" s="2144" t="n"/>
      <c r="D81" s="2144" t="n"/>
      <c r="E81" s="2144" t="n"/>
      <c r="F81" s="2144" t="n"/>
      <c r="G81" s="2144" t="n"/>
      <c r="H81" s="2144" t="n"/>
      <c r="I81" s="2144" t="n"/>
      <c r="J81" s="2144" t="n"/>
      <c r="K81" s="2144" t="n"/>
      <c r="L81" s="2144" t="n"/>
      <c r="M81" s="2144" t="n"/>
      <c r="N81" s="2144" t="n"/>
      <c r="O81" s="2144" t="n"/>
      <c r="P81" s="2144" t="n"/>
      <c r="Q81" s="2144" t="n"/>
      <c r="R81" s="2144" t="n"/>
      <c r="S81" s="2144" t="n"/>
      <c r="T81" s="2144" t="n"/>
      <c r="U81" s="2144" t="n"/>
      <c r="V81" s="2144" t="n"/>
      <c r="W81" s="2144" t="n"/>
      <c r="X81" s="2144" t="n"/>
      <c r="Y81" s="2144" t="n"/>
      <c r="Z81" s="2144" t="n"/>
      <c r="AA81" s="2144" t="n"/>
      <c r="AB81" s="2144" t="n"/>
      <c r="AC81" s="2144" t="n"/>
      <c r="AD81" s="2144" t="n"/>
      <c r="AE81" s="2144" t="n"/>
      <c r="AF81" s="2144" t="n"/>
      <c r="AG81" s="2144" t="n"/>
      <c r="AH81" s="2144" t="n"/>
      <c r="AI81" s="2144" t="n"/>
      <c r="AJ81" s="2144" t="n"/>
      <c r="AK81" s="2144" t="n"/>
      <c r="AL81" s="2144" t="n"/>
      <c r="AM81" s="2144" t="n"/>
      <c r="AN81" s="2144" t="n"/>
      <c r="AO81" s="2144" t="n"/>
      <c r="AP81" s="2144" t="n"/>
      <c r="AQ81" s="2144" t="n"/>
      <c r="AR81" s="2144" t="n"/>
      <c r="AS81" s="2144" t="n"/>
      <c r="AT81" s="2144" t="n"/>
      <c r="AU81" s="2144" t="n"/>
      <c r="AV81" s="2144" t="n"/>
      <c r="AW81" s="2144" t="n"/>
      <c r="AX81" s="2144" t="n"/>
      <c r="AY81" s="2144" t="n"/>
      <c r="AZ81" s="2144" t="n"/>
      <c r="BA81" s="2144" t="n"/>
      <c r="BB81" s="2144" t="n"/>
      <c r="BC81" s="2144" t="n"/>
      <c r="BD81" s="2144" t="n"/>
      <c r="BE81" s="2144" t="n"/>
      <c r="BF81" s="2144" t="n"/>
      <c r="BG81" s="2144" t="n"/>
      <c r="BH81" s="2144" t="n"/>
      <c r="BI81" s="2144" t="n"/>
      <c r="BJ81" s="2144" t="n"/>
      <c r="BK81" s="2144" t="n"/>
      <c r="BL81" s="2144" t="n"/>
      <c r="BM81" s="2144" t="n"/>
      <c r="BN81" s="2144" t="n"/>
      <c r="BO81" s="2145" t="n"/>
      <c r="BP81" s="2144" t="n"/>
      <c r="BQ81" s="2144" t="n"/>
      <c r="BR81" s="2144" t="n"/>
      <c r="BS81" s="2144" t="n"/>
      <c r="BT81" s="2144" t="n"/>
      <c r="BU81" s="2144" t="n"/>
      <c r="BV81" s="2144" t="n"/>
      <c r="BW81" s="2144" t="n"/>
      <c r="BX81" s="2144" t="n"/>
      <c r="BY81" s="2144" t="n"/>
      <c r="BZ81" s="2144" t="n"/>
      <c r="CA81" s="2144" t="n"/>
      <c r="CB81" s="2144" t="n"/>
      <c r="CC81" s="1970" t="n"/>
    </row>
    <row r="82" ht="15" customFormat="1" customHeight="1" s="2161">
      <c r="A82" s="2162" t="inlineStr">
        <is>
          <t>Net Debt / EBITDA</t>
        </is>
      </c>
      <c r="B82" s="2163" t="n"/>
      <c r="C82" s="2164">
        <f>INDEX(MO_BSS_Debt_Net,0,COLUMN())/INDEX(SP_BSR_EBITDA_LTM,0,COLUMN())</f>
        <v/>
      </c>
      <c r="D82" s="2164">
        <f>INDEX(MO_BSS_Debt_Net,0,COLUMN())/INDEX(SP_BSR_EBITDA_LTM,0,COLUMN())</f>
        <v/>
      </c>
      <c r="E82" s="2164">
        <f>INDEX(MO_BSS_Debt_Net,0,COLUMN())/INDEX(SP_BSR_EBITDA_LTM,0,COLUMN())</f>
        <v/>
      </c>
      <c r="F82" s="2164">
        <f>INDEX(MO_BSS_Debt_Net,0,COLUMN())/INDEX(SP_BSR_EBITDA_LTM,0,COLUMN())</f>
        <v/>
      </c>
      <c r="G82" s="2164">
        <f>INDEX(MO_BSS_Debt_Net,0,COLUMN())/INDEX(SP_BSR_EBITDA_LTM,0,COLUMN())</f>
        <v/>
      </c>
      <c r="H82" s="2165" t="n"/>
      <c r="I82" s="2165" t="n"/>
      <c r="J82" s="2165" t="n"/>
      <c r="K82" s="2165">
        <f>INDEX(MO_BSS_Debt_Net,0,COLUMN())/INDEX(SP_BSR_EBITDA_LTM,0,COLUMN())</f>
        <v/>
      </c>
      <c r="L82" s="2164">
        <f>INDEX(MO_BSS_Debt_Net,0,COLUMN())/INDEX(SP_BSR_EBITDA_LTM,0,COLUMN())</f>
        <v/>
      </c>
      <c r="M82" s="2165">
        <f>INDEX(MO_BSS_Debt_Net,0,COLUMN())/INDEX(SP_BSR_EBITDA_LTM,0,COLUMN())</f>
        <v/>
      </c>
      <c r="N82" s="2165">
        <f>INDEX(MO_BSS_Debt_Net,0,COLUMN())/INDEX(SP_BSR_EBITDA_LTM,0,COLUMN())</f>
        <v/>
      </c>
      <c r="O82" s="2165">
        <f>INDEX(MO_BSS_Debt_Net,0,COLUMN())/INDEX(SP_BSR_EBITDA_LTM,0,COLUMN())</f>
        <v/>
      </c>
      <c r="P82" s="2165">
        <f>INDEX(MO_BSS_Debt_Net,0,COLUMN())/INDEX(SP_BSR_EBITDA_LTM,0,COLUMN())</f>
        <v/>
      </c>
      <c r="Q82" s="2164">
        <f>INDEX(MO_BSS_Debt_Net,0,COLUMN())/INDEX(SP_BSR_EBITDA_LTM,0,COLUMN())</f>
        <v/>
      </c>
      <c r="R82" s="2165">
        <f>INDEX(MO_BSS_Debt_Net,0,COLUMN())/INDEX(SP_BSR_EBITDA_LTM,0,COLUMN())</f>
        <v/>
      </c>
      <c r="S82" s="2165">
        <f>INDEX(MO_BSS_Debt_Net,0,COLUMN())/INDEX(SP_BSR_EBITDA_LTM,0,COLUMN())</f>
        <v/>
      </c>
      <c r="T82" s="2165">
        <f>INDEX(MO_BSS_Debt_Net,0,COLUMN())/INDEX(SP_BSR_EBITDA_LTM,0,COLUMN())</f>
        <v/>
      </c>
      <c r="U82" s="2165">
        <f>INDEX(MO_BSS_Debt_Net,0,COLUMN())/INDEX(SP_BSR_EBITDA_LTM,0,COLUMN())</f>
        <v/>
      </c>
      <c r="V82" s="2164">
        <f>INDEX(MO_BSS_Debt_Net,0,COLUMN())/INDEX(SP_BSR_EBITDA_LTM,0,COLUMN())</f>
        <v/>
      </c>
      <c r="W82" s="2166">
        <f>INDEX(MO_BSS_Debt_Net,0,COLUMN())/INDEX(SP_BSR_EBITDA_LTM,0,COLUMN())</f>
        <v/>
      </c>
      <c r="X82" s="2166">
        <f>INDEX(MO_BSS_Debt_Net,0,COLUMN())/INDEX(SP_BSR_EBITDA_LTM,0,COLUMN())</f>
        <v/>
      </c>
      <c r="Y82" s="2166">
        <f>INDEX(MO_BSS_Debt_Net,0,COLUMN())/INDEX(SP_BSR_EBITDA_LTM,0,COLUMN())</f>
        <v/>
      </c>
      <c r="Z82" s="2166">
        <f>INDEX(MO_BSS_Debt_Net,0,COLUMN())/INDEX(SP_BSR_EBITDA_LTM,0,COLUMN())</f>
        <v/>
      </c>
      <c r="AA82" s="2164">
        <f>INDEX(MO_BSS_Debt_Net,0,COLUMN())/INDEX(SP_BSR_EBITDA_LTM,0,COLUMN())</f>
        <v/>
      </c>
      <c r="AB82" s="2166">
        <f>INDEX(MO_BSS_Debt_Net,0,COLUMN())/INDEX(SP_BSR_EBITDA_LTM,0,COLUMN())</f>
        <v/>
      </c>
      <c r="AC82" s="2166">
        <f>INDEX(MO_BSS_Debt_Net,0,COLUMN())/INDEX(SP_BSR_EBITDA_LTM,0,COLUMN())</f>
        <v/>
      </c>
      <c r="AD82" s="2166">
        <f>INDEX(MO_BSS_Debt_Net,0,COLUMN())/INDEX(SP_BSR_EBITDA_LTM,0,COLUMN())</f>
        <v/>
      </c>
      <c r="AE82" s="2166">
        <f>INDEX(MO_BSS_Debt_Net,0,COLUMN())/INDEX(SP_BSR_EBITDA_LTM,0,COLUMN())</f>
        <v/>
      </c>
      <c r="AF82" s="2164">
        <f>INDEX(MO_BSS_Debt_Net,0,COLUMN())/INDEX(SP_BSR_EBITDA_LTM,0,COLUMN())</f>
        <v/>
      </c>
      <c r="AG82" s="2166">
        <f>INDEX(MO_BSS_Debt_Net,0,COLUMN())/INDEX(SP_BSR_EBITDA_LTM,0,COLUMN())</f>
        <v/>
      </c>
      <c r="AH82" s="2166">
        <f>INDEX(MO_BSS_Debt_Net,0,COLUMN())/INDEX(SP_BSR_EBITDA_LTM,0,COLUMN())</f>
        <v/>
      </c>
      <c r="AI82" s="2166">
        <f>INDEX(MO_BSS_Debt_Net,0,COLUMN())/INDEX(SP_BSR_EBITDA_LTM,0,COLUMN())</f>
        <v/>
      </c>
      <c r="AJ82" s="2166">
        <f>INDEX(MO_BSS_Debt_Net,0,COLUMN())/INDEX(SP_BSR_EBITDA_LTM,0,COLUMN())</f>
        <v/>
      </c>
      <c r="AK82" s="2164">
        <f>INDEX(MO_BSS_Debt_Net,0,COLUMN())/INDEX(SP_BSR_EBITDA_LTM,0,COLUMN())</f>
        <v/>
      </c>
      <c r="AL82" s="2166">
        <f>INDEX(MO_BSS_Debt_Net,0,COLUMN())/INDEX(SP_BSR_EBITDA_LTM,0,COLUMN())</f>
        <v/>
      </c>
      <c r="AM82" s="2166">
        <f>INDEX(MO_BSS_Debt_Net,0,COLUMN())/INDEX(SP_BSR_EBITDA_LTM,0,COLUMN())</f>
        <v/>
      </c>
      <c r="AN82" s="2166">
        <f>INDEX(MO_BSS_Debt_Net,0,COLUMN())/INDEX(SP_BSR_EBITDA_LTM,0,COLUMN())</f>
        <v/>
      </c>
      <c r="AO82" s="2166">
        <f>INDEX(MO_BSS_Debt_Net,0,COLUMN())/INDEX(SP_BSR_EBITDA_LTM,0,COLUMN())</f>
        <v/>
      </c>
      <c r="AP82" s="2164">
        <f>INDEX(MO_BSS_Debt_Net,0,COLUMN())/INDEX(SP_BSR_EBITDA_LTM,0,COLUMN())</f>
        <v/>
      </c>
      <c r="AQ82" s="2166">
        <f>INDEX(MO_BSS_Debt_Net,0,COLUMN())/INDEX(SP_BSR_EBITDA_LTM,0,COLUMN())</f>
        <v/>
      </c>
      <c r="AR82" s="2166">
        <f>INDEX(MO_BSS_Debt_Net,0,COLUMN())/INDEX(SP_BSR_EBITDA_LTM,0,COLUMN())</f>
        <v/>
      </c>
      <c r="AS82" s="2166">
        <f>INDEX(MO_BSS_Debt_Net,0,COLUMN())/INDEX(SP_BSR_EBITDA_LTM,0,COLUMN())</f>
        <v/>
      </c>
      <c r="AT82" s="2166">
        <f>INDEX(MO_BSS_Debt_Net,0,COLUMN())/INDEX(SP_BSR_EBITDA_LTM,0,COLUMN())</f>
        <v/>
      </c>
      <c r="AU82" s="2164">
        <f>INDEX(MO_BSS_Debt_Net,0,COLUMN())/INDEX(SP_BSR_EBITDA_LTM,0,COLUMN())</f>
        <v/>
      </c>
      <c r="AV82" s="2166">
        <f>INDEX(MO_BSS_Debt_Net,0,COLUMN())/INDEX(SP_BSR_EBITDA_LTM,0,COLUMN())</f>
        <v/>
      </c>
      <c r="AW82" s="2166">
        <f>INDEX(MO_BSS_Debt_Net,0,COLUMN())/INDEX(SP_BSR_EBITDA_LTM,0,COLUMN())</f>
        <v/>
      </c>
      <c r="AX82" s="2166">
        <f>INDEX(MO_BSS_Debt_Net,0,COLUMN())/INDEX(SP_BSR_EBITDA_LTM,0,COLUMN())</f>
        <v/>
      </c>
      <c r="AY82" s="2166">
        <f>INDEX(MO_BSS_Debt_Net,0,COLUMN())/INDEX(SP_BSR_EBITDA_LTM,0,COLUMN())</f>
        <v/>
      </c>
      <c r="AZ82" s="2164">
        <f>INDEX(MO_BSS_Debt_Net,0,COLUMN())/INDEX(SP_BSR_EBITDA_LTM,0,COLUMN())</f>
        <v/>
      </c>
      <c r="BA82" s="2166">
        <f>INDEX(MO_BSS_Debt_Net,0,COLUMN())/INDEX(SP_BSR_EBITDA_LTM,0,COLUMN())</f>
        <v/>
      </c>
      <c r="BB82" s="2166">
        <f>INDEX(MO_BSS_Debt_Net,0,COLUMN())/INDEX(SP_BSR_EBITDA_LTM,0,COLUMN())</f>
        <v/>
      </c>
      <c r="BC82" s="2166">
        <f>INDEX(MO_BSS_Debt_Net,0,COLUMN())/INDEX(SP_BSR_EBITDA_LTM,0,COLUMN())</f>
        <v/>
      </c>
      <c r="BD82" s="2166">
        <f>INDEX(MO_BSS_Debt_Net,0,COLUMN())/INDEX(SP_BSR_EBITDA_LTM,0,COLUMN())</f>
        <v/>
      </c>
      <c r="BE82" s="2164">
        <f>INDEX(MO_BSS_Debt_Net,0,COLUMN())/INDEX(SP_BSR_EBITDA_LTM,0,COLUMN())</f>
        <v/>
      </c>
      <c r="BF82" s="2166">
        <f>INDEX(MO_BSS_Debt_Net,0,COLUMN())/INDEX(SP_BSR_EBITDA_LTM,0,COLUMN())</f>
        <v/>
      </c>
      <c r="BG82" s="2166">
        <f>INDEX(MO_BSS_Debt_Net,0,COLUMN())/INDEX(SP_BSR_EBITDA_LTM,0,COLUMN())</f>
        <v/>
      </c>
      <c r="BH82" s="2166">
        <f>INDEX(MO_BSS_Debt_Net,0,COLUMN())/INDEX(SP_BSR_EBITDA_LTM,0,COLUMN())</f>
        <v/>
      </c>
      <c r="BI82" s="2166">
        <f>INDEX(MO_BSS_Debt_Net,0,COLUMN())/INDEX(SP_BSR_EBITDA_LTM,0,COLUMN())</f>
        <v/>
      </c>
      <c r="BJ82" s="2164">
        <f>INDEX(MO_BSS_Debt_Net,0,COLUMN())/INDEX(SP_BSR_EBITDA_LTM,0,COLUMN())</f>
        <v/>
      </c>
      <c r="BK82" s="2166">
        <f>INDEX(MO_BSS_Debt_Net,0,COLUMN())/INDEX(SP_BSR_EBITDA_LTM,0,COLUMN())</f>
        <v/>
      </c>
      <c r="BL82" s="2166">
        <f>INDEX(MO_BSS_Debt_Net,0,COLUMN())/INDEX(SP_BSR_EBITDA_LTM,0,COLUMN())</f>
        <v/>
      </c>
      <c r="BM82" s="2166">
        <f>INDEX(MO_BSS_Debt_Net,0,COLUMN())/INDEX(SP_BSR_EBITDA_LTM,0,COLUMN())</f>
        <v/>
      </c>
      <c r="BN82" s="2166">
        <f>INDEX(MO_BSS_Debt_Net,0,COLUMN())/INDEX(SP_BSR_EBITDA_LTM,0,COLUMN())</f>
        <v/>
      </c>
      <c r="BO82" s="2167">
        <f>INDEX(MO_BSS_Debt_Net,0,COLUMN())/INDEX(SP_BSR_EBITDA_LTM,0,COLUMN())</f>
        <v/>
      </c>
      <c r="BP82" s="2166">
        <f>INDEX(MO_BSS_Debt_Net,0,COLUMN())/INDEX(SP_BSR_EBITDA_LTM,0,COLUMN())</f>
        <v/>
      </c>
      <c r="BQ82" s="2166">
        <f>INDEX(MO_BSS_Debt_Net,0,COLUMN())/INDEX(SP_BSR_EBITDA_LTM,0,COLUMN())</f>
        <v/>
      </c>
      <c r="BR82" s="2166">
        <f>INDEX(MO_BSS_Debt_Net,0,COLUMN())/INDEX(SP_BSR_EBITDA_LTM,0,COLUMN())</f>
        <v/>
      </c>
      <c r="BS82" s="2166">
        <f>INDEX(MO_BSS_Debt_Net,0,COLUMN())/INDEX(SP_BSR_EBITDA_LTM,0,COLUMN())</f>
        <v/>
      </c>
      <c r="BT82" s="2164">
        <f>INDEX(MO_BSS_Debt_Net,0,COLUMN())/INDEX(SP_BSR_EBITDA_LTM,0,COLUMN())</f>
        <v/>
      </c>
      <c r="BU82" s="2166">
        <f>INDEX(MO_BSS_Debt_Net,0,COLUMN())/INDEX(SP_BSR_EBITDA_LTM,0,COLUMN())</f>
        <v/>
      </c>
      <c r="BV82" s="2166">
        <f>INDEX(MO_BSS_Debt_Net,0,COLUMN())/INDEX(SP_BSR_EBITDA_LTM,0,COLUMN())</f>
        <v/>
      </c>
      <c r="BW82" s="2166">
        <f>INDEX(MO_BSS_Debt_Net,0,COLUMN())/INDEX(SP_BSR_EBITDA_LTM,0,COLUMN())</f>
        <v/>
      </c>
      <c r="BX82" s="2166">
        <f>INDEX(MO_BSS_Debt_Net,0,COLUMN())/INDEX(SP_BSR_EBITDA_LTM,0,COLUMN())</f>
        <v/>
      </c>
      <c r="BY82" s="2164">
        <f>INDEX(MO_BSS_Debt_Net,0,COLUMN())/INDEX(SP_BSR_EBITDA_LTM,0,COLUMN())</f>
        <v/>
      </c>
      <c r="BZ82" s="2164">
        <f>INDEX(MO_BSS_Debt_Net,0,COLUMN())/INDEX(SP_BSR_EBITDA_LTM,0,COLUMN())</f>
        <v/>
      </c>
      <c r="CA82" s="2164">
        <f>INDEX(MO_BSS_Debt_Net,0,COLUMN())/INDEX(SP_BSR_EBITDA_LTM,0,COLUMN())</f>
        <v/>
      </c>
      <c r="CB82" s="2164">
        <f>INDEX(MO_BSS_Debt_Net,0,COLUMN())/INDEX(SP_BSR_EBITDA_LTM,0,COLUMN())</f>
        <v/>
      </c>
      <c r="CC82" s="2166" t="n"/>
    </row>
    <row r="83" ht="15" customFormat="1" customHeight="1" s="2161">
      <c r="A83" s="2162" t="inlineStr">
        <is>
          <t>Net Debt / Cash Flow</t>
        </is>
      </c>
      <c r="B83" s="2163" t="n"/>
      <c r="C83" s="2164">
        <f>INDEX(MO_BSS_Debt_Net,0,COLUMN())/INDEX(SP_BSR_CashFlow_LTM,0,COLUMN())</f>
        <v/>
      </c>
      <c r="D83" s="2164">
        <f>INDEX(MO_BSS_Debt_Net,0,COLUMN())/INDEX(SP_BSR_CashFlow_LTM,0,COLUMN())</f>
        <v/>
      </c>
      <c r="E83" s="2164">
        <f>INDEX(MO_BSS_Debt_Net,0,COLUMN())/INDEX(SP_BSR_CashFlow_LTM,0,COLUMN())</f>
        <v/>
      </c>
      <c r="F83" s="2164">
        <f>INDEX(MO_BSS_Debt_Net,0,COLUMN())/INDEX(SP_BSR_CashFlow_LTM,0,COLUMN())</f>
        <v/>
      </c>
      <c r="G83" s="2164">
        <f>INDEX(MO_BSS_Debt_Net,0,COLUMN())/INDEX(SP_BSR_CashFlow_LTM,0,COLUMN())</f>
        <v/>
      </c>
      <c r="H83" s="2165" t="n"/>
      <c r="I83" s="2165" t="n"/>
      <c r="J83" s="2165" t="n"/>
      <c r="K83" s="2165">
        <f>INDEX(MO_BSS_Debt_Net,0,COLUMN())/INDEX(SP_BSR_CashFlow_LTM,0,COLUMN())</f>
        <v/>
      </c>
      <c r="L83" s="2164">
        <f>INDEX(MO_BSS_Debt_Net,0,COLUMN())/INDEX(SP_BSR_CashFlow_LTM,0,COLUMN())</f>
        <v/>
      </c>
      <c r="M83" s="2165">
        <f>INDEX(MO_BSS_Debt_Net,0,COLUMN())/INDEX(SP_BSR_CashFlow_LTM,0,COLUMN())</f>
        <v/>
      </c>
      <c r="N83" s="2165">
        <f>INDEX(MO_BSS_Debt_Net,0,COLUMN())/INDEX(SP_BSR_CashFlow_LTM,0,COLUMN())</f>
        <v/>
      </c>
      <c r="O83" s="2165">
        <f>INDEX(MO_BSS_Debt_Net,0,COLUMN())/INDEX(SP_BSR_CashFlow_LTM,0,COLUMN())</f>
        <v/>
      </c>
      <c r="P83" s="2165">
        <f>INDEX(MO_BSS_Debt_Net,0,COLUMN())/INDEX(SP_BSR_CashFlow_LTM,0,COLUMN())</f>
        <v/>
      </c>
      <c r="Q83" s="2164">
        <f>INDEX(MO_BSS_Debt_Net,0,COLUMN())/INDEX(SP_BSR_CashFlow_LTM,0,COLUMN())</f>
        <v/>
      </c>
      <c r="R83" s="2165">
        <f>INDEX(MO_BSS_Debt_Net,0,COLUMN())/INDEX(SP_BSR_CashFlow_LTM,0,COLUMN())</f>
        <v/>
      </c>
      <c r="S83" s="2165">
        <f>INDEX(MO_BSS_Debt_Net,0,COLUMN())/INDEX(SP_BSR_CashFlow_LTM,0,COLUMN())</f>
        <v/>
      </c>
      <c r="T83" s="2165">
        <f>INDEX(MO_BSS_Debt_Net,0,COLUMN())/INDEX(SP_BSR_CashFlow_LTM,0,COLUMN())</f>
        <v/>
      </c>
      <c r="U83" s="2165">
        <f>INDEX(MO_BSS_Debt_Net,0,COLUMN())/INDEX(SP_BSR_CashFlow_LTM,0,COLUMN())</f>
        <v/>
      </c>
      <c r="V83" s="2164">
        <f>INDEX(MO_BSS_Debt_Net,0,COLUMN())/INDEX(SP_BSR_CashFlow_LTM,0,COLUMN())</f>
        <v/>
      </c>
      <c r="W83" s="2166">
        <f>INDEX(MO_BSS_Debt_Net,0,COLUMN())/INDEX(SP_BSR_CashFlow_LTM,0,COLUMN())</f>
        <v/>
      </c>
      <c r="X83" s="2166">
        <f>INDEX(MO_BSS_Debt_Net,0,COLUMN())/INDEX(SP_BSR_CashFlow_LTM,0,COLUMN())</f>
        <v/>
      </c>
      <c r="Y83" s="2166">
        <f>INDEX(MO_BSS_Debt_Net,0,COLUMN())/INDEX(SP_BSR_CashFlow_LTM,0,COLUMN())</f>
        <v/>
      </c>
      <c r="Z83" s="2166">
        <f>INDEX(MO_BSS_Debt_Net,0,COLUMN())/INDEX(SP_BSR_CashFlow_LTM,0,COLUMN())</f>
        <v/>
      </c>
      <c r="AA83" s="2164">
        <f>INDEX(MO_BSS_Debt_Net,0,COLUMN())/INDEX(SP_BSR_CashFlow_LTM,0,COLUMN())</f>
        <v/>
      </c>
      <c r="AB83" s="2166">
        <f>INDEX(MO_BSS_Debt_Net,0,COLUMN())/INDEX(SP_BSR_CashFlow_LTM,0,COLUMN())</f>
        <v/>
      </c>
      <c r="AC83" s="2166">
        <f>INDEX(MO_BSS_Debt_Net,0,COLUMN())/INDEX(SP_BSR_CashFlow_LTM,0,COLUMN())</f>
        <v/>
      </c>
      <c r="AD83" s="2166">
        <f>INDEX(MO_BSS_Debt_Net,0,COLUMN())/INDEX(SP_BSR_CashFlow_LTM,0,COLUMN())</f>
        <v/>
      </c>
      <c r="AE83" s="2166">
        <f>INDEX(MO_BSS_Debt_Net,0,COLUMN())/INDEX(SP_BSR_CashFlow_LTM,0,COLUMN())</f>
        <v/>
      </c>
      <c r="AF83" s="2164">
        <f>INDEX(MO_BSS_Debt_Net,0,COLUMN())/INDEX(SP_BSR_CashFlow_LTM,0,COLUMN())</f>
        <v/>
      </c>
      <c r="AG83" s="2166">
        <f>INDEX(MO_BSS_Debt_Net,0,COLUMN())/INDEX(SP_BSR_CashFlow_LTM,0,COLUMN())</f>
        <v/>
      </c>
      <c r="AH83" s="2166">
        <f>INDEX(MO_BSS_Debt_Net,0,COLUMN())/INDEX(SP_BSR_CashFlow_LTM,0,COLUMN())</f>
        <v/>
      </c>
      <c r="AI83" s="2166">
        <f>INDEX(MO_BSS_Debt_Net,0,COLUMN())/INDEX(SP_BSR_CashFlow_LTM,0,COLUMN())</f>
        <v/>
      </c>
      <c r="AJ83" s="2166">
        <f>INDEX(MO_BSS_Debt_Net,0,COLUMN())/INDEX(SP_BSR_CashFlow_LTM,0,COLUMN())</f>
        <v/>
      </c>
      <c r="AK83" s="2164">
        <f>INDEX(MO_BSS_Debt_Net,0,COLUMN())/INDEX(SP_BSR_CashFlow_LTM,0,COLUMN())</f>
        <v/>
      </c>
      <c r="AL83" s="2166">
        <f>INDEX(MO_BSS_Debt_Net,0,COLUMN())/INDEX(SP_BSR_CashFlow_LTM,0,COLUMN())</f>
        <v/>
      </c>
      <c r="AM83" s="2166">
        <f>INDEX(MO_BSS_Debt_Net,0,COLUMN())/INDEX(SP_BSR_CashFlow_LTM,0,COLUMN())</f>
        <v/>
      </c>
      <c r="AN83" s="2166">
        <f>INDEX(MO_BSS_Debt_Net,0,COLUMN())/INDEX(SP_BSR_CashFlow_LTM,0,COLUMN())</f>
        <v/>
      </c>
      <c r="AO83" s="2166">
        <f>INDEX(MO_BSS_Debt_Net,0,COLUMN())/INDEX(SP_BSR_CashFlow_LTM,0,COLUMN())</f>
        <v/>
      </c>
      <c r="AP83" s="2164">
        <f>INDEX(MO_BSS_Debt_Net,0,COLUMN())/INDEX(SP_BSR_CashFlow_LTM,0,COLUMN())</f>
        <v/>
      </c>
      <c r="AQ83" s="2166">
        <f>INDEX(MO_BSS_Debt_Net,0,COLUMN())/INDEX(SP_BSR_CashFlow_LTM,0,COLUMN())</f>
        <v/>
      </c>
      <c r="AR83" s="2166">
        <f>INDEX(MO_BSS_Debt_Net,0,COLUMN())/INDEX(SP_BSR_CashFlow_LTM,0,COLUMN())</f>
        <v/>
      </c>
      <c r="AS83" s="2166">
        <f>INDEX(MO_BSS_Debt_Net,0,COLUMN())/INDEX(SP_BSR_CashFlow_LTM,0,COLUMN())</f>
        <v/>
      </c>
      <c r="AT83" s="2166">
        <f>INDEX(MO_BSS_Debt_Net,0,COLUMN())/INDEX(SP_BSR_CashFlow_LTM,0,COLUMN())</f>
        <v/>
      </c>
      <c r="AU83" s="2164">
        <f>INDEX(MO_BSS_Debt_Net,0,COLUMN())/INDEX(SP_BSR_CashFlow_LTM,0,COLUMN())</f>
        <v/>
      </c>
      <c r="AV83" s="2166">
        <f>INDEX(MO_BSS_Debt_Net,0,COLUMN())/INDEX(SP_BSR_CashFlow_LTM,0,COLUMN())</f>
        <v/>
      </c>
      <c r="AW83" s="2166">
        <f>INDEX(MO_BSS_Debt_Net,0,COLUMN())/INDEX(SP_BSR_CashFlow_LTM,0,COLUMN())</f>
        <v/>
      </c>
      <c r="AX83" s="2166">
        <f>INDEX(MO_BSS_Debt_Net,0,COLUMN())/INDEX(SP_BSR_CashFlow_LTM,0,COLUMN())</f>
        <v/>
      </c>
      <c r="AY83" s="2166">
        <f>INDEX(MO_BSS_Debt_Net,0,COLUMN())/INDEX(SP_BSR_CashFlow_LTM,0,COLUMN())</f>
        <v/>
      </c>
      <c r="AZ83" s="2164">
        <f>INDEX(MO_BSS_Debt_Net,0,COLUMN())/INDEX(SP_BSR_CashFlow_LTM,0,COLUMN())</f>
        <v/>
      </c>
      <c r="BA83" s="2166">
        <f>INDEX(MO_BSS_Debt_Net,0,COLUMN())/INDEX(SP_BSR_CashFlow_LTM,0,COLUMN())</f>
        <v/>
      </c>
      <c r="BB83" s="2166">
        <f>INDEX(MO_BSS_Debt_Net,0,COLUMN())/INDEX(SP_BSR_CashFlow_LTM,0,COLUMN())</f>
        <v/>
      </c>
      <c r="BC83" s="2166">
        <f>INDEX(MO_BSS_Debt_Net,0,COLUMN())/INDEX(SP_BSR_CashFlow_LTM,0,COLUMN())</f>
        <v/>
      </c>
      <c r="BD83" s="2166">
        <f>INDEX(MO_BSS_Debt_Net,0,COLUMN())/INDEX(SP_BSR_CashFlow_LTM,0,COLUMN())</f>
        <v/>
      </c>
      <c r="BE83" s="2164">
        <f>INDEX(MO_BSS_Debt_Net,0,COLUMN())/INDEX(SP_BSR_CashFlow_LTM,0,COLUMN())</f>
        <v/>
      </c>
      <c r="BF83" s="2166">
        <f>INDEX(MO_BSS_Debt_Net,0,COLUMN())/INDEX(SP_BSR_CashFlow_LTM,0,COLUMN())</f>
        <v/>
      </c>
      <c r="BG83" s="2166">
        <f>INDEX(MO_BSS_Debt_Net,0,COLUMN())/INDEX(SP_BSR_CashFlow_LTM,0,COLUMN())</f>
        <v/>
      </c>
      <c r="BH83" s="2166">
        <f>INDEX(MO_BSS_Debt_Net,0,COLUMN())/INDEX(SP_BSR_CashFlow_LTM,0,COLUMN())</f>
        <v/>
      </c>
      <c r="BI83" s="2166">
        <f>INDEX(MO_BSS_Debt_Net,0,COLUMN())/INDEX(SP_BSR_CashFlow_LTM,0,COLUMN())</f>
        <v/>
      </c>
      <c r="BJ83" s="2164">
        <f>INDEX(MO_BSS_Debt_Net,0,COLUMN())/INDEX(SP_BSR_CashFlow_LTM,0,COLUMN())</f>
        <v/>
      </c>
      <c r="BK83" s="2166">
        <f>INDEX(MO_BSS_Debt_Net,0,COLUMN())/INDEX(SP_BSR_CashFlow_LTM,0,COLUMN())</f>
        <v/>
      </c>
      <c r="BL83" s="2166">
        <f>INDEX(MO_BSS_Debt_Net,0,COLUMN())/INDEX(SP_BSR_CashFlow_LTM,0,COLUMN())</f>
        <v/>
      </c>
      <c r="BM83" s="2166">
        <f>INDEX(MO_BSS_Debt_Net,0,COLUMN())/INDEX(SP_BSR_CashFlow_LTM,0,COLUMN())</f>
        <v/>
      </c>
      <c r="BN83" s="2166">
        <f>INDEX(MO_BSS_Debt_Net,0,COLUMN())/INDEX(SP_BSR_CashFlow_LTM,0,COLUMN())</f>
        <v/>
      </c>
      <c r="BO83" s="2167">
        <f>INDEX(MO_BSS_Debt_Net,0,COLUMN())/INDEX(SP_BSR_CashFlow_LTM,0,COLUMN())</f>
        <v/>
      </c>
      <c r="BP83" s="2166">
        <f>INDEX(MO_BSS_Debt_Net,0,COLUMN())/INDEX(SP_BSR_CashFlow_LTM,0,COLUMN())</f>
        <v/>
      </c>
      <c r="BQ83" s="2166">
        <f>INDEX(MO_BSS_Debt_Net,0,COLUMN())/INDEX(SP_BSR_CashFlow_LTM,0,COLUMN())</f>
        <v/>
      </c>
      <c r="BR83" s="2166">
        <f>INDEX(MO_BSS_Debt_Net,0,COLUMN())/INDEX(SP_BSR_CashFlow_LTM,0,COLUMN())</f>
        <v/>
      </c>
      <c r="BS83" s="2166">
        <f>INDEX(MO_BSS_Debt_Net,0,COLUMN())/INDEX(SP_BSR_CashFlow_LTM,0,COLUMN())</f>
        <v/>
      </c>
      <c r="BT83" s="2164">
        <f>INDEX(MO_BSS_Debt_Net,0,COLUMN())/INDEX(SP_BSR_CashFlow_LTM,0,COLUMN())</f>
        <v/>
      </c>
      <c r="BU83" s="2166">
        <f>INDEX(MO_BSS_Debt_Net,0,COLUMN())/INDEX(SP_BSR_CashFlow_LTM,0,COLUMN())</f>
        <v/>
      </c>
      <c r="BV83" s="2166">
        <f>INDEX(MO_BSS_Debt_Net,0,COLUMN())/INDEX(SP_BSR_CashFlow_LTM,0,COLUMN())</f>
        <v/>
      </c>
      <c r="BW83" s="2166">
        <f>INDEX(MO_BSS_Debt_Net,0,COLUMN())/INDEX(SP_BSR_CashFlow_LTM,0,COLUMN())</f>
        <v/>
      </c>
      <c r="BX83" s="2166">
        <f>INDEX(MO_BSS_Debt_Net,0,COLUMN())/INDEX(SP_BSR_CashFlow_LTM,0,COLUMN())</f>
        <v/>
      </c>
      <c r="BY83" s="2164">
        <f>INDEX(MO_BSS_Debt_Net,0,COLUMN())/INDEX(SP_BSR_CashFlow_LTM,0,COLUMN())</f>
        <v/>
      </c>
      <c r="BZ83" s="2164">
        <f>INDEX(MO_BSS_Debt_Net,0,COLUMN())/INDEX(SP_BSR_CashFlow_LTM,0,COLUMN())</f>
        <v/>
      </c>
      <c r="CA83" s="2164">
        <f>INDEX(MO_BSS_Debt_Net,0,COLUMN())/INDEX(SP_BSR_CashFlow_LTM,0,COLUMN())</f>
        <v/>
      </c>
      <c r="CB83" s="2164">
        <f>INDEX(MO_BSS_Debt_Net,0,COLUMN())/INDEX(SP_BSR_CashFlow_LTM,0,COLUMN())</f>
        <v/>
      </c>
      <c r="CC83" s="2166" t="n"/>
    </row>
    <row r="84" ht="15" customFormat="1" customHeight="1" s="2168">
      <c r="A84" s="2169" t="inlineStr">
        <is>
          <t>Net Debt / Capital</t>
        </is>
      </c>
      <c r="B84" s="2170" t="n"/>
      <c r="C84" s="2171">
        <f>INDEX(MO_BSS_Debt_Net,0,COLUMN())/SUM(INDEX(MO_BS_SE,0,COLUMN()),INDEX(MO_BSS_Debt,0,COLUMN()),IFERROR(INDEX(MO_BSS_OL,0,COLUMN()),0))</f>
        <v/>
      </c>
      <c r="D84" s="2171">
        <f>INDEX(MO_BSS_Debt_Net,0,COLUMN())/SUM(INDEX(MO_BS_SE,0,COLUMN()),INDEX(MO_BSS_Debt,0,COLUMN()),IFERROR(INDEX(MO_BSS_OL,0,COLUMN()),0))</f>
        <v/>
      </c>
      <c r="E84" s="2171">
        <f>INDEX(MO_BSS_Debt_Net,0,COLUMN())/SUM(INDEX(MO_BS_SE,0,COLUMN()),INDEX(MO_BSS_Debt,0,COLUMN()),IFERROR(INDEX(MO_BSS_OL,0,COLUMN()),0))</f>
        <v/>
      </c>
      <c r="F84" s="2171">
        <f>INDEX(MO_BSS_Debt_Net,0,COLUMN())/SUM(INDEX(MO_BS_SE,0,COLUMN()),INDEX(MO_BSS_Debt,0,COLUMN()),IFERROR(INDEX(MO_BSS_OL,0,COLUMN()),0))</f>
        <v/>
      </c>
      <c r="G84" s="2171">
        <f>INDEX(MO_BSS_Debt_Net,0,COLUMN())/SUM(INDEX(MO_BS_SE,0,COLUMN()),INDEX(MO_BSS_Debt,0,COLUMN()),IFERROR(INDEX(MO_BSS_OL,0,COLUMN()),0))</f>
        <v/>
      </c>
      <c r="H84" s="2172" t="n"/>
      <c r="I84" s="2172" t="n"/>
      <c r="J84" s="2172" t="n"/>
      <c r="K84" s="2172">
        <f>INDEX(MO_BSS_Debt_Net,0,COLUMN())/SUM(INDEX(MO_BS_SE,0,COLUMN()),INDEX(MO_BSS_Debt,0,COLUMN()),IFERROR(INDEX(MO_BSS_OL,0,COLUMN()),0))</f>
        <v/>
      </c>
      <c r="L84" s="2171">
        <f>INDEX(MO_BSS_Debt_Net,0,COLUMN())/SUM(INDEX(MO_BS_SE,0,COLUMN()),INDEX(MO_BSS_Debt,0,COLUMN()),IFERROR(INDEX(MO_BSS_OL,0,COLUMN()),0))</f>
        <v/>
      </c>
      <c r="M84" s="2172">
        <f>INDEX(MO_BSS_Debt_Net,0,COLUMN())/SUM(INDEX(MO_BS_SE,0,COLUMN()),INDEX(MO_BSS_Debt,0,COLUMN()),IFERROR(INDEX(MO_BSS_OL,0,COLUMN()),0))</f>
        <v/>
      </c>
      <c r="N84" s="2172">
        <f>INDEX(MO_BSS_Debt_Net,0,COLUMN())/SUM(INDEX(MO_BS_SE,0,COLUMN()),INDEX(MO_BSS_Debt,0,COLUMN()),IFERROR(INDEX(MO_BSS_OL,0,COLUMN()),0))</f>
        <v/>
      </c>
      <c r="O84" s="2172">
        <f>INDEX(MO_BSS_Debt_Net,0,COLUMN())/SUM(INDEX(MO_BS_SE,0,COLUMN()),INDEX(MO_BSS_Debt,0,COLUMN()),IFERROR(INDEX(MO_BSS_OL,0,COLUMN()),0))</f>
        <v/>
      </c>
      <c r="P84" s="2172">
        <f>INDEX(MO_BSS_Debt_Net,0,COLUMN())/SUM(INDEX(MO_BS_SE,0,COLUMN()),INDEX(MO_BSS_Debt,0,COLUMN()),IFERROR(INDEX(MO_BSS_OL,0,COLUMN()),0))</f>
        <v/>
      </c>
      <c r="Q84" s="2171">
        <f>INDEX(MO_BSS_Debt_Net,0,COLUMN())/SUM(INDEX(MO_BS_SE,0,COLUMN()),INDEX(MO_BSS_Debt,0,COLUMN()),IFERROR(INDEX(MO_BSS_OL,0,COLUMN()),0))</f>
        <v/>
      </c>
      <c r="R84" s="2172">
        <f>INDEX(MO_BSS_Debt_Net,0,COLUMN())/SUM(INDEX(MO_BS_SE,0,COLUMN()),INDEX(MO_BSS_Debt,0,COLUMN()),IFERROR(INDEX(MO_BSS_OL,0,COLUMN()),0))</f>
        <v/>
      </c>
      <c r="S84" s="2172">
        <f>INDEX(MO_BSS_Debt_Net,0,COLUMN())/SUM(INDEX(MO_BS_SE,0,COLUMN()),INDEX(MO_BSS_Debt,0,COLUMN()),IFERROR(INDEX(MO_BSS_OL,0,COLUMN()),0))</f>
        <v/>
      </c>
      <c r="T84" s="2172">
        <f>INDEX(MO_BSS_Debt_Net,0,COLUMN())/SUM(INDEX(MO_BS_SE,0,COLUMN()),INDEX(MO_BSS_Debt,0,COLUMN()),IFERROR(INDEX(MO_BSS_OL,0,COLUMN()),0))</f>
        <v/>
      </c>
      <c r="U84" s="2172">
        <f>INDEX(MO_BSS_Debt_Net,0,COLUMN())/SUM(INDEX(MO_BS_SE,0,COLUMN()),INDEX(MO_BSS_Debt,0,COLUMN()),IFERROR(INDEX(MO_BSS_OL,0,COLUMN()),0))</f>
        <v/>
      </c>
      <c r="V84" s="2171">
        <f>INDEX(MO_BSS_Debt_Net,0,COLUMN())/SUM(INDEX(MO_BS_SE,0,COLUMN()),INDEX(MO_BSS_Debt,0,COLUMN()),IFERROR(INDEX(MO_BSS_OL,0,COLUMN()),0))</f>
        <v/>
      </c>
      <c r="W84" s="2172">
        <f>INDEX(MO_BSS_Debt_Net,0,COLUMN())/SUM(INDEX(MO_BS_SE,0,COLUMN()),INDEX(MO_BSS_Debt,0,COLUMN()),IFERROR(INDEX(MO_BSS_OL,0,COLUMN()),0))</f>
        <v/>
      </c>
      <c r="X84" s="2172">
        <f>INDEX(MO_BSS_Debt_Net,0,COLUMN())/SUM(INDEX(MO_BS_SE,0,COLUMN()),INDEX(MO_BSS_Debt,0,COLUMN()),IFERROR(INDEX(MO_BSS_OL,0,COLUMN()),0))</f>
        <v/>
      </c>
      <c r="Y84" s="2172">
        <f>INDEX(MO_BSS_Debt_Net,0,COLUMN())/SUM(INDEX(MO_BS_SE,0,COLUMN()),INDEX(MO_BSS_Debt,0,COLUMN()),IFERROR(INDEX(MO_BSS_OL,0,COLUMN()),0))</f>
        <v/>
      </c>
      <c r="Z84" s="2172">
        <f>INDEX(MO_BSS_Debt_Net,0,COLUMN())/SUM(INDEX(MO_BS_SE,0,COLUMN()),INDEX(MO_BSS_Debt,0,COLUMN()),IFERROR(INDEX(MO_BSS_OL,0,COLUMN()),0))</f>
        <v/>
      </c>
      <c r="AA84" s="2171">
        <f>INDEX(MO_BSS_Debt_Net,0,COLUMN())/SUM(INDEX(MO_BS_SE,0,COLUMN()),INDEX(MO_BSS_Debt,0,COLUMN()),IFERROR(INDEX(MO_BSS_OL,0,COLUMN()),0))</f>
        <v/>
      </c>
      <c r="AB84" s="2172">
        <f>INDEX(MO_BSS_Debt_Net,0,COLUMN())/SUM(INDEX(MO_BS_SE,0,COLUMN()),INDEX(MO_BSS_Debt,0,COLUMN()),IFERROR(INDEX(MO_BSS_OL,0,COLUMN()),0))</f>
        <v/>
      </c>
      <c r="AC84" s="2172">
        <f>INDEX(MO_BSS_Debt_Net,0,COLUMN())/SUM(INDEX(MO_BS_SE,0,COLUMN()),INDEX(MO_BSS_Debt,0,COLUMN()),IFERROR(INDEX(MO_BSS_OL,0,COLUMN()),0))</f>
        <v/>
      </c>
      <c r="AD84" s="2172">
        <f>INDEX(MO_BSS_Debt_Net,0,COLUMN())/SUM(INDEX(MO_BS_SE,0,COLUMN()),INDEX(MO_BSS_Debt,0,COLUMN()),IFERROR(INDEX(MO_BSS_OL,0,COLUMN()),0))</f>
        <v/>
      </c>
      <c r="AE84" s="2172">
        <f>INDEX(MO_BSS_Debt_Net,0,COLUMN())/SUM(INDEX(MO_BS_SE,0,COLUMN()),INDEX(MO_BSS_Debt,0,COLUMN()),IFERROR(INDEX(MO_BSS_OL,0,COLUMN()),0))</f>
        <v/>
      </c>
      <c r="AF84" s="2171">
        <f>INDEX(MO_BSS_Debt_Net,0,COLUMN())/SUM(INDEX(MO_BS_SE,0,COLUMN()),INDEX(MO_BSS_Debt,0,COLUMN()),IFERROR(INDEX(MO_BSS_OL,0,COLUMN()),0))</f>
        <v/>
      </c>
      <c r="AG84" s="2172">
        <f>INDEX(MO_BSS_Debt_Net,0,COLUMN())/SUM(INDEX(MO_BS_SE,0,COLUMN()),INDEX(MO_BSS_Debt,0,COLUMN()),IFERROR(INDEX(MO_BSS_OL,0,COLUMN()),0))</f>
        <v/>
      </c>
      <c r="AH84" s="2172">
        <f>INDEX(MO_BSS_Debt_Net,0,COLUMN())/SUM(INDEX(MO_BS_SE,0,COLUMN()),INDEX(MO_BSS_Debt,0,COLUMN()),IFERROR(INDEX(MO_BSS_OL,0,COLUMN()),0))</f>
        <v/>
      </c>
      <c r="AI84" s="2172">
        <f>INDEX(MO_BSS_Debt_Net,0,COLUMN())/SUM(INDEX(MO_BS_SE,0,COLUMN()),INDEX(MO_BSS_Debt,0,COLUMN()),IFERROR(INDEX(MO_BSS_OL,0,COLUMN()),0))</f>
        <v/>
      </c>
      <c r="AJ84" s="2172">
        <f>INDEX(MO_BSS_Debt_Net,0,COLUMN())/SUM(INDEX(MO_BS_SE,0,COLUMN()),INDEX(MO_BSS_Debt,0,COLUMN()),IFERROR(INDEX(MO_BSS_OL,0,COLUMN()),0))</f>
        <v/>
      </c>
      <c r="AK84" s="2171">
        <f>INDEX(MO_BSS_Debt_Net,0,COLUMN())/SUM(INDEX(MO_BS_SE,0,COLUMN()),INDEX(MO_BSS_Debt,0,COLUMN()),IFERROR(INDEX(MO_BSS_OL,0,COLUMN()),0))</f>
        <v/>
      </c>
      <c r="AL84" s="2172">
        <f>INDEX(MO_BSS_Debt_Net,0,COLUMN())/SUM(INDEX(MO_BS_SE,0,COLUMN()),INDEX(MO_BSS_Debt,0,COLUMN()),IFERROR(INDEX(MO_BSS_OL,0,COLUMN()),0))</f>
        <v/>
      </c>
      <c r="AM84" s="2172">
        <f>INDEX(MO_BSS_Debt_Net,0,COLUMN())/SUM(INDEX(MO_BS_SE,0,COLUMN()),INDEX(MO_BSS_Debt,0,COLUMN()),IFERROR(INDEX(MO_BSS_OL,0,COLUMN()),0))</f>
        <v/>
      </c>
      <c r="AN84" s="2172">
        <f>INDEX(MO_BSS_Debt_Net,0,COLUMN())/SUM(INDEX(MO_BS_SE,0,COLUMN()),INDEX(MO_BSS_Debt,0,COLUMN()),IFERROR(INDEX(MO_BSS_OL,0,COLUMN()),0))</f>
        <v/>
      </c>
      <c r="AO84" s="2172">
        <f>INDEX(MO_BSS_Debt_Net,0,COLUMN())/SUM(INDEX(MO_BS_SE,0,COLUMN()),INDEX(MO_BSS_Debt,0,COLUMN()),IFERROR(INDEX(MO_BSS_OL,0,COLUMN()),0))</f>
        <v/>
      </c>
      <c r="AP84" s="2171">
        <f>INDEX(MO_BSS_Debt_Net,0,COLUMN())/SUM(INDEX(MO_BS_SE,0,COLUMN()),INDEX(MO_BSS_Debt,0,COLUMN()),IFERROR(INDEX(MO_BSS_OL,0,COLUMN()),0))</f>
        <v/>
      </c>
      <c r="AQ84" s="2172">
        <f>INDEX(MO_BSS_Debt_Net,0,COLUMN())/SUM(INDEX(MO_BS_SE,0,COLUMN()),INDEX(MO_BSS_Debt,0,COLUMN()),IFERROR(INDEX(MO_BSS_OL,0,COLUMN()),0))</f>
        <v/>
      </c>
      <c r="AR84" s="2172">
        <f>INDEX(MO_BSS_Debt_Net,0,COLUMN())/SUM(INDEX(MO_BS_SE,0,COLUMN()),INDEX(MO_BSS_Debt,0,COLUMN()),IFERROR(INDEX(MO_BSS_OL,0,COLUMN()),0))</f>
        <v/>
      </c>
      <c r="AS84" s="2172">
        <f>INDEX(MO_BSS_Debt_Net,0,COLUMN())/SUM(INDEX(MO_BS_SE,0,COLUMN()),INDEX(MO_BSS_Debt,0,COLUMN()),IFERROR(INDEX(MO_BSS_OL,0,COLUMN()),0))</f>
        <v/>
      </c>
      <c r="AT84" s="2172">
        <f>INDEX(MO_BSS_Debt_Net,0,COLUMN())/SUM(INDEX(MO_BS_SE,0,COLUMN()),INDEX(MO_BSS_Debt,0,COLUMN()),IFERROR(INDEX(MO_BSS_OL,0,COLUMN()),0))</f>
        <v/>
      </c>
      <c r="AU84" s="2171">
        <f>INDEX(MO_BSS_Debt_Net,0,COLUMN())/SUM(INDEX(MO_BS_SE,0,COLUMN()),INDEX(MO_BSS_Debt,0,COLUMN()),IFERROR(INDEX(MO_BSS_OL,0,COLUMN()),0))</f>
        <v/>
      </c>
      <c r="AV84" s="2172">
        <f>INDEX(MO_BSS_Debt_Net,0,COLUMN())/SUM(INDEX(MO_BS_SE,0,COLUMN()),INDEX(MO_BSS_Debt,0,COLUMN()),IFERROR(INDEX(MO_BSS_OL,0,COLUMN()),0))</f>
        <v/>
      </c>
      <c r="AW84" s="2172">
        <f>INDEX(MO_BSS_Debt_Net,0,COLUMN())/SUM(INDEX(MO_BS_SE,0,COLUMN()),INDEX(MO_BSS_Debt,0,COLUMN()),IFERROR(INDEX(MO_BSS_OL,0,COLUMN()),0))</f>
        <v/>
      </c>
      <c r="AX84" s="2172">
        <f>INDEX(MO_BSS_Debt_Net,0,COLUMN())/SUM(INDEX(MO_BS_SE,0,COLUMN()),INDEX(MO_BSS_Debt,0,COLUMN()),IFERROR(INDEX(MO_BSS_OL,0,COLUMN()),0))</f>
        <v/>
      </c>
      <c r="AY84" s="2172">
        <f>INDEX(MO_BSS_Debt_Net,0,COLUMN())/SUM(INDEX(MO_BS_SE,0,COLUMN()),INDEX(MO_BSS_Debt,0,COLUMN()),IFERROR(INDEX(MO_BSS_OL,0,COLUMN()),0))</f>
        <v/>
      </c>
      <c r="AZ84" s="2171">
        <f>INDEX(MO_BSS_Debt_Net,0,COLUMN())/SUM(INDEX(MO_BS_SE,0,COLUMN()),INDEX(MO_BSS_Debt,0,COLUMN()),IFERROR(INDEX(MO_BSS_OL,0,COLUMN()),0))</f>
        <v/>
      </c>
      <c r="BA84" s="2172">
        <f>INDEX(MO_BSS_Debt_Net,0,COLUMN())/SUM(INDEX(MO_BS_SE,0,COLUMN()),INDEX(MO_BSS_Debt,0,COLUMN()),IFERROR(INDEX(MO_BSS_OL,0,COLUMN()),0))</f>
        <v/>
      </c>
      <c r="BB84" s="2172">
        <f>INDEX(MO_BSS_Debt_Net,0,COLUMN())/SUM(INDEX(MO_BS_SE,0,COLUMN()),INDEX(MO_BSS_Debt,0,COLUMN()),IFERROR(INDEX(MO_BSS_OL,0,COLUMN()),0))</f>
        <v/>
      </c>
      <c r="BC84" s="2172">
        <f>INDEX(MO_BSS_Debt_Net,0,COLUMN())/SUM(INDEX(MO_BS_SE,0,COLUMN()),INDEX(MO_BSS_Debt,0,COLUMN()),IFERROR(INDEX(MO_BSS_OL,0,COLUMN()),0))</f>
        <v/>
      </c>
      <c r="BD84" s="2172">
        <f>INDEX(MO_BSS_Debt_Net,0,COLUMN())/SUM(INDEX(MO_BS_SE,0,COLUMN()),INDEX(MO_BSS_Debt,0,COLUMN()),IFERROR(INDEX(MO_BSS_OL,0,COLUMN()),0))</f>
        <v/>
      </c>
      <c r="BE84" s="2171">
        <f>INDEX(MO_BSS_Debt_Net,0,COLUMN())/SUM(INDEX(MO_BS_SE,0,COLUMN()),INDEX(MO_BSS_Debt,0,COLUMN()),IFERROR(INDEX(MO_BSS_OL,0,COLUMN()),0))</f>
        <v/>
      </c>
      <c r="BF84" s="2172">
        <f>INDEX(MO_BSS_Debt_Net,0,COLUMN())/SUM(INDEX(MO_BS_SE,0,COLUMN()),INDEX(MO_BSS_Debt,0,COLUMN()),IFERROR(INDEX(MO_BSS_OL,0,COLUMN()),0))</f>
        <v/>
      </c>
      <c r="BG84" s="2172">
        <f>INDEX(MO_BSS_Debt_Net,0,COLUMN())/SUM(INDEX(MO_BS_SE,0,COLUMN()),INDEX(MO_BSS_Debt,0,COLUMN()),IFERROR(INDEX(MO_BSS_OL,0,COLUMN()),0))</f>
        <v/>
      </c>
      <c r="BH84" s="2172">
        <f>INDEX(MO_BSS_Debt_Net,0,COLUMN())/SUM(INDEX(MO_BS_SE,0,COLUMN()),INDEX(MO_BSS_Debt,0,COLUMN()),IFERROR(INDEX(MO_BSS_OL,0,COLUMN()),0))</f>
        <v/>
      </c>
      <c r="BI84" s="2172">
        <f>INDEX(MO_BSS_Debt_Net,0,COLUMN())/SUM(INDEX(MO_BS_SE,0,COLUMN()),INDEX(MO_BSS_Debt,0,COLUMN()),IFERROR(INDEX(MO_BSS_OL,0,COLUMN()),0))</f>
        <v/>
      </c>
      <c r="BJ84" s="2171">
        <f>INDEX(MO_BSS_Debt_Net,0,COLUMN())/SUM(INDEX(MO_BS_SE,0,COLUMN()),INDEX(MO_BSS_Debt,0,COLUMN()),IFERROR(INDEX(MO_BSS_OL,0,COLUMN()),0))</f>
        <v/>
      </c>
      <c r="BK84" s="2172">
        <f>INDEX(MO_BSS_Debt_Net,0,COLUMN())/SUM(INDEX(MO_BS_SE,0,COLUMN()),INDEX(MO_BSS_Debt,0,COLUMN()),IFERROR(INDEX(MO_BSS_OL,0,COLUMN()),0))</f>
        <v/>
      </c>
      <c r="BL84" s="2172">
        <f>INDEX(MO_BSS_Debt_Net,0,COLUMN())/SUM(INDEX(MO_BS_SE,0,COLUMN()),INDEX(MO_BSS_Debt,0,COLUMN()),IFERROR(INDEX(MO_BSS_OL,0,COLUMN()),0))</f>
        <v/>
      </c>
      <c r="BM84" s="2172">
        <f>INDEX(MO_BSS_Debt_Net,0,COLUMN())/SUM(INDEX(MO_BS_SE,0,COLUMN()),INDEX(MO_BSS_Debt,0,COLUMN()),IFERROR(INDEX(MO_BSS_OL,0,COLUMN()),0))</f>
        <v/>
      </c>
      <c r="BN84" s="2172">
        <f>INDEX(MO_BSS_Debt_Net,0,COLUMN())/SUM(INDEX(MO_BS_SE,0,COLUMN()),INDEX(MO_BSS_Debt,0,COLUMN()),IFERROR(INDEX(MO_BSS_OL,0,COLUMN()),0))</f>
        <v/>
      </c>
      <c r="BO84" s="2173">
        <f>INDEX(MO_BSS_Debt_Net,0,COLUMN())/SUM(INDEX(MO_BS_SE,0,COLUMN()),INDEX(MO_BSS_Debt,0,COLUMN()),IFERROR(INDEX(MO_BSS_OL,0,COLUMN()),0))</f>
        <v/>
      </c>
      <c r="BP84" s="2172">
        <f>INDEX(MO_BSS_Debt_Net,0,COLUMN())/SUM(INDEX(MO_BS_SE,0,COLUMN()),INDEX(MO_BSS_Debt,0,COLUMN()),IFERROR(INDEX(MO_BSS_OL,0,COLUMN()),0))</f>
        <v/>
      </c>
      <c r="BQ84" s="2172">
        <f>INDEX(MO_BSS_Debt_Net,0,COLUMN())/SUM(INDEX(MO_BS_SE,0,COLUMN()),INDEX(MO_BSS_Debt,0,COLUMN()),IFERROR(INDEX(MO_BSS_OL,0,COLUMN()),0))</f>
        <v/>
      </c>
      <c r="BR84" s="2172">
        <f>INDEX(MO_BSS_Debt_Net,0,COLUMN())/SUM(INDEX(MO_BS_SE,0,COLUMN()),INDEX(MO_BSS_Debt,0,COLUMN()),IFERROR(INDEX(MO_BSS_OL,0,COLUMN()),0))</f>
        <v/>
      </c>
      <c r="BS84" s="2172">
        <f>INDEX(MO_BSS_Debt_Net,0,COLUMN())/SUM(INDEX(MO_BS_SE,0,COLUMN()),INDEX(MO_BSS_Debt,0,COLUMN()),IFERROR(INDEX(MO_BSS_OL,0,COLUMN()),0))</f>
        <v/>
      </c>
      <c r="BT84" s="2171">
        <f>INDEX(MO_BSS_Debt_Net,0,COLUMN())/SUM(INDEX(MO_BS_SE,0,COLUMN()),INDEX(MO_BSS_Debt,0,COLUMN()),IFERROR(INDEX(MO_BSS_OL,0,COLUMN()),0))</f>
        <v/>
      </c>
      <c r="BU84" s="2172">
        <f>INDEX(MO_BSS_Debt_Net,0,COLUMN())/SUM(INDEX(MO_BS_SE,0,COLUMN()),INDEX(MO_BSS_Debt,0,COLUMN()),IFERROR(INDEX(MO_BSS_OL,0,COLUMN()),0))</f>
        <v/>
      </c>
      <c r="BV84" s="2172">
        <f>INDEX(MO_BSS_Debt_Net,0,COLUMN())/SUM(INDEX(MO_BS_SE,0,COLUMN()),INDEX(MO_BSS_Debt,0,COLUMN()),IFERROR(INDEX(MO_BSS_OL,0,COLUMN()),0))</f>
        <v/>
      </c>
      <c r="BW84" s="2172">
        <f>INDEX(MO_BSS_Debt_Net,0,COLUMN())/SUM(INDEX(MO_BS_SE,0,COLUMN()),INDEX(MO_BSS_Debt,0,COLUMN()),IFERROR(INDEX(MO_BSS_OL,0,COLUMN()),0))</f>
        <v/>
      </c>
      <c r="BX84" s="2172">
        <f>INDEX(MO_BSS_Debt_Net,0,COLUMN())/SUM(INDEX(MO_BS_SE,0,COLUMN()),INDEX(MO_BSS_Debt,0,COLUMN()),IFERROR(INDEX(MO_BSS_OL,0,COLUMN()),0))</f>
        <v/>
      </c>
      <c r="BY84" s="2171">
        <f>INDEX(MO_BSS_Debt_Net,0,COLUMN())/SUM(INDEX(MO_BS_SE,0,COLUMN()),INDEX(MO_BSS_Debt,0,COLUMN()),IFERROR(INDEX(MO_BSS_OL,0,COLUMN()),0))</f>
        <v/>
      </c>
      <c r="BZ84" s="2171">
        <f>INDEX(MO_BSS_Debt_Net,0,COLUMN())/SUM(INDEX(MO_BS_SE,0,COLUMN()),INDEX(MO_BSS_Debt,0,COLUMN()),IFERROR(INDEX(MO_BSS_OL,0,COLUMN()),0))</f>
        <v/>
      </c>
      <c r="CA84" s="2171">
        <f>INDEX(MO_BSS_Debt_Net,0,COLUMN())/SUM(INDEX(MO_BS_SE,0,COLUMN()),INDEX(MO_BSS_Debt,0,COLUMN()),IFERROR(INDEX(MO_BSS_OL,0,COLUMN()),0))</f>
        <v/>
      </c>
      <c r="CB84" s="2171">
        <f>INDEX(MO_BSS_Debt_Net,0,COLUMN())/SUM(INDEX(MO_BS_SE,0,COLUMN()),INDEX(MO_BSS_Debt,0,COLUMN()),IFERROR(INDEX(MO_BSS_OL,0,COLUMN()),0))</f>
        <v/>
      </c>
      <c r="CC84" s="2174" t="n"/>
    </row>
    <row r="85" hidden="1" outlineLevel="1" ht="15" customFormat="1" customHeight="1" s="637">
      <c r="A85" s="167" t="inlineStr">
        <is>
          <t>LTM EBITDA</t>
        </is>
      </c>
      <c r="B85" s="168" t="n"/>
      <c r="C85" s="2175">
        <f>C46</f>
        <v/>
      </c>
      <c r="D85" s="2175">
        <f>D46</f>
        <v/>
      </c>
      <c r="E85" s="2175">
        <f>E46</f>
        <v/>
      </c>
      <c r="F85" s="2175">
        <f>F46</f>
        <v/>
      </c>
      <c r="G85" s="2175">
        <f>G46</f>
        <v/>
      </c>
      <c r="H85" s="2176" t="n"/>
      <c r="I85" s="2176" t="n"/>
      <c r="J85" s="2176" t="n"/>
      <c r="K85" s="2176">
        <f>SUM(K46,J46,I46,H46)</f>
        <v/>
      </c>
      <c r="L85" s="2175">
        <f>L46</f>
        <v/>
      </c>
      <c r="M85" s="2176">
        <f>SUM(M46,K46,J46,I46)</f>
        <v/>
      </c>
      <c r="N85" s="2176">
        <f>SUM(N46,M46,K46,J46)</f>
        <v/>
      </c>
      <c r="O85" s="2176">
        <f>SUM(O46,N46,M46,K46)</f>
        <v/>
      </c>
      <c r="P85" s="2176">
        <f>SUM(P46,O46,N46,M46)</f>
        <v/>
      </c>
      <c r="Q85" s="2175">
        <f>Q46</f>
        <v/>
      </c>
      <c r="R85" s="2176">
        <f>SUM(R46,P46,O46,N46)</f>
        <v/>
      </c>
      <c r="S85" s="2176">
        <f>SUM(S46,R46,P46,O46)</f>
        <v/>
      </c>
      <c r="T85" s="2176">
        <f>SUM(T46,S46,R46,P46)</f>
        <v/>
      </c>
      <c r="U85" s="2176">
        <f>SUM(U46,T46,S46,R46)</f>
        <v/>
      </c>
      <c r="V85" s="2175">
        <f>V46</f>
        <v/>
      </c>
      <c r="W85" s="2176">
        <f>SUM(W46,U46,T46,S46)</f>
        <v/>
      </c>
      <c r="X85" s="2176">
        <f>SUM(X46,W46,U46,T46)</f>
        <v/>
      </c>
      <c r="Y85" s="2176">
        <f>SUM(Y46,X46,W46,U46)</f>
        <v/>
      </c>
      <c r="Z85" s="2176">
        <f>SUM(Z46,Y46,X46,W46)</f>
        <v/>
      </c>
      <c r="AA85" s="2175">
        <f>AA46</f>
        <v/>
      </c>
      <c r="AB85" s="2176">
        <f>SUM(AB46,Z46,Y46,X46)</f>
        <v/>
      </c>
      <c r="AC85" s="2176">
        <f>SUM(AC46,AB46,Z46,Y46)</f>
        <v/>
      </c>
      <c r="AD85" s="2176">
        <f>SUM(AD46,AC46,AB46,Z46)</f>
        <v/>
      </c>
      <c r="AE85" s="2176">
        <f>SUM(AE46,AD46,AC46,AB46)</f>
        <v/>
      </c>
      <c r="AF85" s="2175">
        <f>AF46</f>
        <v/>
      </c>
      <c r="AG85" s="2176">
        <f>SUM(AG46,AE46,AD46,AC46)</f>
        <v/>
      </c>
      <c r="AH85" s="2176">
        <f>SUM(AH46,AG46,AE46,AD46)</f>
        <v/>
      </c>
      <c r="AI85" s="2176">
        <f>SUM(AI46,AH46,AG46,AE46)</f>
        <v/>
      </c>
      <c r="AJ85" s="2176">
        <f>SUM(AJ46,AI46,AH46,AG46)</f>
        <v/>
      </c>
      <c r="AK85" s="2175">
        <f>AK46</f>
        <v/>
      </c>
      <c r="AL85" s="2176">
        <f>SUM(AL46,AJ46,AI46,AH46)</f>
        <v/>
      </c>
      <c r="AM85" s="2176">
        <f>SUM(AM46,AL46,AJ46,AI46)</f>
        <v/>
      </c>
      <c r="AN85" s="2176">
        <f>SUM(AN46,AM46,AL46,AJ46)</f>
        <v/>
      </c>
      <c r="AO85" s="2176">
        <f>SUM(AO46,AN46,AM46,AL46)</f>
        <v/>
      </c>
      <c r="AP85" s="2175">
        <f>AP46</f>
        <v/>
      </c>
      <c r="AQ85" s="2176">
        <f>SUM(AQ46,AO46,AN46,AM46)</f>
        <v/>
      </c>
      <c r="AR85" s="2176">
        <f>SUM(AR46,AQ46,AO46,AN46)</f>
        <v/>
      </c>
      <c r="AS85" s="2176">
        <f>SUM(AS46,AR46,AQ46,AO46)</f>
        <v/>
      </c>
      <c r="AT85" s="2176">
        <f>SUM(AT46,AS46,AR46,AQ46)</f>
        <v/>
      </c>
      <c r="AU85" s="2175">
        <f>AU46</f>
        <v/>
      </c>
      <c r="AV85" s="2176">
        <f>SUM(AV46,AT46,AS46,AR46)</f>
        <v/>
      </c>
      <c r="AW85" s="2176">
        <f>SUM(AW46,AV46,AT46,AS46)</f>
        <v/>
      </c>
      <c r="AX85" s="2176">
        <f>SUM(AX46,AW46,AV46,AT46)</f>
        <v/>
      </c>
      <c r="AY85" s="2176">
        <f>SUM(AY46,AX46,AW46,AV46)</f>
        <v/>
      </c>
      <c r="AZ85" s="2175">
        <f>AZ46</f>
        <v/>
      </c>
      <c r="BA85" s="2176">
        <f>SUM(BA46,AY46,AX46,AW46)</f>
        <v/>
      </c>
      <c r="BB85" s="2176">
        <f>SUM(BB46,BA46,AY46,AX46)</f>
        <v/>
      </c>
      <c r="BC85" s="2176">
        <f>SUM(BC46,BB46,BA46,AY46)</f>
        <v/>
      </c>
      <c r="BD85" s="2176">
        <f>SUM(BD46,BC46,BB46,BA46)</f>
        <v/>
      </c>
      <c r="BE85" s="2175">
        <f>BE46</f>
        <v/>
      </c>
      <c r="BF85" s="2176">
        <f>SUM(BF46,BD46,BC46,BB46)</f>
        <v/>
      </c>
      <c r="BG85" s="2176">
        <f>SUM(BG46,BF46,BD46,BC46)</f>
        <v/>
      </c>
      <c r="BH85" s="2176">
        <f>SUM(BH46,BG46,BF46,BD46)</f>
        <v/>
      </c>
      <c r="BI85" s="2176">
        <f>SUM(BI46,BH46,BG46,BF46)</f>
        <v/>
      </c>
      <c r="BJ85" s="2175">
        <f>BJ46</f>
        <v/>
      </c>
      <c r="BK85" s="2176">
        <f>SUM(BK46,BI46,BH46,BG46)</f>
        <v/>
      </c>
      <c r="BL85" s="2176">
        <f>SUM(BL46,BK46,BI46,BH46)</f>
        <v/>
      </c>
      <c r="BM85" s="2176">
        <f>SUM(BM46,BL46,BK46,BI46)</f>
        <v/>
      </c>
      <c r="BN85" s="2176">
        <f>SUM(BN46,BM46,BL46,BK46)</f>
        <v/>
      </c>
      <c r="BO85" s="2177">
        <f>BO46</f>
        <v/>
      </c>
      <c r="BP85" s="2176">
        <f>SUM(BP46,BN46,BM46,BL46)</f>
        <v/>
      </c>
      <c r="BQ85" s="2176">
        <f>SUM(BQ46,BP46,BN46,BM46)</f>
        <v/>
      </c>
      <c r="BR85" s="2176">
        <f>SUM(BR46,BQ46,BP46,BN46)</f>
        <v/>
      </c>
      <c r="BS85" s="2176">
        <f>SUM(BS46,BR46,BQ46,BP46)</f>
        <v/>
      </c>
      <c r="BT85" s="2175">
        <f>BT46</f>
        <v/>
      </c>
      <c r="BU85" s="2176">
        <f>SUM(BU46,BS46,BR46,BQ46)</f>
        <v/>
      </c>
      <c r="BV85" s="2176">
        <f>SUM(BV46,BU46,BS46,BR46)</f>
        <v/>
      </c>
      <c r="BW85" s="2176">
        <f>SUM(BW46,BV46,BU46,BS46)</f>
        <v/>
      </c>
      <c r="BX85" s="2176">
        <f>SUM(BX46,BW46,BV46,BU46)</f>
        <v/>
      </c>
      <c r="BY85" s="2175">
        <f>BY46</f>
        <v/>
      </c>
      <c r="BZ85" s="2175">
        <f>BZ46</f>
        <v/>
      </c>
      <c r="CA85" s="2175">
        <f>CA46</f>
        <v/>
      </c>
      <c r="CB85" s="2175">
        <f>CB46</f>
        <v/>
      </c>
      <c r="CC85" s="188" t="n"/>
    </row>
    <row r="86" hidden="1" outlineLevel="1" ht="15" customFormat="1" customHeight="1" s="637">
      <c r="A86" s="167" t="inlineStr">
        <is>
          <t>LTM Cash Flow</t>
        </is>
      </c>
      <c r="B86" s="168" t="n"/>
      <c r="C86" s="2175">
        <f>C63</f>
        <v/>
      </c>
      <c r="D86" s="2175">
        <f>D63</f>
        <v/>
      </c>
      <c r="E86" s="2175">
        <f>E63</f>
        <v/>
      </c>
      <c r="F86" s="2175">
        <f>F63</f>
        <v/>
      </c>
      <c r="G86" s="2175">
        <f>G63</f>
        <v/>
      </c>
      <c r="H86" s="2176" t="n"/>
      <c r="I86" s="2176" t="n"/>
      <c r="J86" s="2176" t="n"/>
      <c r="K86" s="2176">
        <f>SUM(K63,J63,I63,H63)</f>
        <v/>
      </c>
      <c r="L86" s="2175">
        <f>L63</f>
        <v/>
      </c>
      <c r="M86" s="2176">
        <f>SUM(M63,K63,J63,I63)</f>
        <v/>
      </c>
      <c r="N86" s="2176">
        <f>SUM(N63,M63,K63,J63)</f>
        <v/>
      </c>
      <c r="O86" s="2176">
        <f>SUM(O63,N63,M63,K63)</f>
        <v/>
      </c>
      <c r="P86" s="2176">
        <f>SUM(P63,O63,N63,M63)</f>
        <v/>
      </c>
      <c r="Q86" s="2175">
        <f>Q63</f>
        <v/>
      </c>
      <c r="R86" s="2176">
        <f>SUM(R63,P63,O63,N63)</f>
        <v/>
      </c>
      <c r="S86" s="2176">
        <f>SUM(S63,R63,P63,O63)</f>
        <v/>
      </c>
      <c r="T86" s="2176">
        <f>SUM(T63,S63,R63,P63)</f>
        <v/>
      </c>
      <c r="U86" s="2176">
        <f>SUM(U63,T63,S63,R63)</f>
        <v/>
      </c>
      <c r="V86" s="2175">
        <f>V63</f>
        <v/>
      </c>
      <c r="W86" s="2176">
        <f>SUM(W63,U63,T63,S63)</f>
        <v/>
      </c>
      <c r="X86" s="2176">
        <f>SUM(X63,W63,U63,T63)</f>
        <v/>
      </c>
      <c r="Y86" s="2176">
        <f>SUM(Y63,X63,W63,U63)</f>
        <v/>
      </c>
      <c r="Z86" s="2176">
        <f>SUM(Z63,Y63,X63,W63)</f>
        <v/>
      </c>
      <c r="AA86" s="2175">
        <f>AA63</f>
        <v/>
      </c>
      <c r="AB86" s="2176">
        <f>SUM(AB63,Z63,Y63,X63)</f>
        <v/>
      </c>
      <c r="AC86" s="2176">
        <f>SUM(AC63,AB63,Z63,Y63)</f>
        <v/>
      </c>
      <c r="AD86" s="2176">
        <f>SUM(AD63,AC63,AB63,Z63)</f>
        <v/>
      </c>
      <c r="AE86" s="2176">
        <f>SUM(AE63,AD63,AC63,AB63)</f>
        <v/>
      </c>
      <c r="AF86" s="2175">
        <f>AF63</f>
        <v/>
      </c>
      <c r="AG86" s="2176">
        <f>SUM(AG63,AE63,AD63,AC63)</f>
        <v/>
      </c>
      <c r="AH86" s="2176">
        <f>SUM(AH63,AG63,AE63,AD63)</f>
        <v/>
      </c>
      <c r="AI86" s="2176">
        <f>SUM(AI63,AH63,AG63,AE63)</f>
        <v/>
      </c>
      <c r="AJ86" s="2176">
        <f>SUM(AJ63,AI63,AH63,AG63)</f>
        <v/>
      </c>
      <c r="AK86" s="2175">
        <f>AK63</f>
        <v/>
      </c>
      <c r="AL86" s="2176">
        <f>SUM(AL63,AJ63,AI63,AH63)</f>
        <v/>
      </c>
      <c r="AM86" s="2176">
        <f>SUM(AM63,AL63,AJ63,AI63)</f>
        <v/>
      </c>
      <c r="AN86" s="2176">
        <f>SUM(AN63,AM63,AL63,AJ63)</f>
        <v/>
      </c>
      <c r="AO86" s="2176">
        <f>SUM(AO63,AN63,AM63,AL63)</f>
        <v/>
      </c>
      <c r="AP86" s="2175">
        <f>AP63</f>
        <v/>
      </c>
      <c r="AQ86" s="2176">
        <f>SUM(AQ63,AO63,AN63,AM63)</f>
        <v/>
      </c>
      <c r="AR86" s="2176">
        <f>SUM(AR63,AQ63,AO63,AN63)</f>
        <v/>
      </c>
      <c r="AS86" s="2176">
        <f>SUM(AS63,AR63,AQ63,AO63)</f>
        <v/>
      </c>
      <c r="AT86" s="2176">
        <f>SUM(AT63,AS63,AR63,AQ63)</f>
        <v/>
      </c>
      <c r="AU86" s="2175">
        <f>AU63</f>
        <v/>
      </c>
      <c r="AV86" s="2176">
        <f>SUM(AV63,AT63,AS63,AR63)</f>
        <v/>
      </c>
      <c r="AW86" s="2176">
        <f>SUM(AW63,AV63,AT63,AS63)</f>
        <v/>
      </c>
      <c r="AX86" s="2176">
        <f>SUM(AX63,AW63,AV63,AT63)</f>
        <v/>
      </c>
      <c r="AY86" s="2176">
        <f>SUM(AY63,AX63,AW63,AV63)</f>
        <v/>
      </c>
      <c r="AZ86" s="2175">
        <f>AZ63</f>
        <v/>
      </c>
      <c r="BA86" s="2176">
        <f>SUM(BA63,AY63,AX63,AW63)</f>
        <v/>
      </c>
      <c r="BB86" s="2176">
        <f>SUM(BB63,BA63,AY63,AX63)</f>
        <v/>
      </c>
      <c r="BC86" s="2176">
        <f>SUM(BC63,BB63,BA63,AY63)</f>
        <v/>
      </c>
      <c r="BD86" s="2176">
        <f>SUM(BD63,BC63,BB63,BA63)</f>
        <v/>
      </c>
      <c r="BE86" s="2175">
        <f>BE63</f>
        <v/>
      </c>
      <c r="BF86" s="2176">
        <f>SUM(BF63,BD63,BC63,BB63)</f>
        <v/>
      </c>
      <c r="BG86" s="2176">
        <f>SUM(BG63,BF63,BD63,BC63)</f>
        <v/>
      </c>
      <c r="BH86" s="2176">
        <f>SUM(BH63,BG63,BF63,BD63)</f>
        <v/>
      </c>
      <c r="BI86" s="2176">
        <f>SUM(BI63,BH63,BG63,BF63)</f>
        <v/>
      </c>
      <c r="BJ86" s="2175">
        <f>BJ63</f>
        <v/>
      </c>
      <c r="BK86" s="2176">
        <f>SUM(BK63,BI63,BH63,BG63)</f>
        <v/>
      </c>
      <c r="BL86" s="2176">
        <f>SUM(BL63,BK63,BI63,BH63)</f>
        <v/>
      </c>
      <c r="BM86" s="2176">
        <f>SUM(BM63,BL63,BK63,BI63)</f>
        <v/>
      </c>
      <c r="BN86" s="2176">
        <f>SUM(BN63,BM63,BL63,BK63)</f>
        <v/>
      </c>
      <c r="BO86" s="2177">
        <f>BO63</f>
        <v/>
      </c>
      <c r="BP86" s="2176">
        <f>SUM(BP63,BN63,BM63,BL63)</f>
        <v/>
      </c>
      <c r="BQ86" s="2176">
        <f>SUM(BQ63,BP63,BN63,BM63)</f>
        <v/>
      </c>
      <c r="BR86" s="2176">
        <f>SUM(BR63,BQ63,BP63,BN63)</f>
        <v/>
      </c>
      <c r="BS86" s="2176">
        <f>SUM(BS63,BR63,BQ63,BP63)</f>
        <v/>
      </c>
      <c r="BT86" s="2175">
        <f>BT63</f>
        <v/>
      </c>
      <c r="BU86" s="2176">
        <f>SUM(BU63,BS63,BR63,BQ63)</f>
        <v/>
      </c>
      <c r="BV86" s="2176">
        <f>SUM(BV63,BU63,BS63,BR63)</f>
        <v/>
      </c>
      <c r="BW86" s="2176">
        <f>SUM(BW63,BV63,BU63,BS63)</f>
        <v/>
      </c>
      <c r="BX86" s="2176">
        <f>SUM(BX63,BW63,BV63,BU63)</f>
        <v/>
      </c>
      <c r="BY86" s="2175">
        <f>BY63</f>
        <v/>
      </c>
      <c r="BZ86" s="2175">
        <f>BZ63</f>
        <v/>
      </c>
      <c r="CA86" s="2175">
        <f>CA63</f>
        <v/>
      </c>
      <c r="CB86" s="2175">
        <f>CB63</f>
        <v/>
      </c>
      <c r="CC86" s="188" t="n"/>
    </row>
    <row r="87" collapsed="1" ht="15" customHeight="1" s="595">
      <c r="A87" s="1780" t="n"/>
      <c r="B87" s="2141" t="n"/>
      <c r="C87" s="2142" t="n"/>
      <c r="D87" s="2142" t="n"/>
      <c r="E87" s="2142" t="n"/>
      <c r="F87" s="2142" t="n"/>
      <c r="G87" s="2142" t="n"/>
      <c r="H87" s="2136" t="n"/>
      <c r="I87" s="2136" t="n"/>
      <c r="J87" s="2136" t="n"/>
      <c r="K87" s="2136" t="n"/>
      <c r="L87" s="2142" t="n"/>
      <c r="M87" s="2136" t="n"/>
      <c r="N87" s="2136" t="n"/>
      <c r="O87" s="2136" t="n"/>
      <c r="P87" s="2136" t="n"/>
      <c r="Q87" s="2142" t="n"/>
      <c r="R87" s="2136" t="n"/>
      <c r="S87" s="2136" t="n"/>
      <c r="T87" s="2136" t="n"/>
      <c r="U87" s="2136" t="n"/>
      <c r="V87" s="2142" t="n"/>
      <c r="W87" s="2136" t="n"/>
      <c r="X87" s="2136" t="n"/>
      <c r="Y87" s="2136" t="n"/>
      <c r="Z87" s="2136" t="n"/>
      <c r="AA87" s="2142" t="n"/>
      <c r="AB87" s="2136" t="n"/>
      <c r="AC87" s="2136" t="n"/>
      <c r="AD87" s="2136" t="n"/>
      <c r="AE87" s="2136" t="n"/>
      <c r="AF87" s="2142" t="n"/>
      <c r="AG87" s="2136" t="n"/>
      <c r="AH87" s="2136" t="n"/>
      <c r="AI87" s="2136" t="n"/>
      <c r="AJ87" s="2136" t="n"/>
      <c r="AK87" s="2142" t="n"/>
      <c r="AL87" s="2136" t="n"/>
      <c r="AM87" s="2136" t="n"/>
      <c r="AN87" s="2136" t="n"/>
      <c r="AO87" s="2136" t="n"/>
      <c r="AP87" s="2142" t="n"/>
      <c r="AQ87" s="2136" t="n"/>
      <c r="AR87" s="2136" t="n"/>
      <c r="AS87" s="2136" t="n"/>
      <c r="AT87" s="2136" t="n"/>
      <c r="AU87" s="2142" t="n"/>
      <c r="AV87" s="2136" t="n"/>
      <c r="AW87" s="2136" t="n"/>
      <c r="AX87" s="2136" t="n"/>
      <c r="AY87" s="2136" t="n"/>
      <c r="AZ87" s="2142" t="n"/>
      <c r="BA87" s="2136" t="n"/>
      <c r="BB87" s="2136" t="n"/>
      <c r="BC87" s="2136" t="n"/>
      <c r="BD87" s="2136" t="n"/>
      <c r="BE87" s="2142" t="n"/>
      <c r="BF87" s="2136" t="n"/>
      <c r="BG87" s="2136" t="n"/>
      <c r="BH87" s="2136" t="n"/>
      <c r="BI87" s="2136" t="n"/>
      <c r="BJ87" s="2142" t="n"/>
      <c r="BK87" s="2136" t="n"/>
      <c r="BL87" s="2136" t="n"/>
      <c r="BM87" s="2136" t="n"/>
      <c r="BN87" s="2136" t="n"/>
      <c r="BO87" s="2143" t="n"/>
      <c r="BP87" s="2136" t="n"/>
      <c r="BQ87" s="2136" t="n"/>
      <c r="BR87" s="2136" t="n"/>
      <c r="BS87" s="2136" t="n"/>
      <c r="BT87" s="2142" t="n"/>
      <c r="BU87" s="2136" t="n"/>
      <c r="BV87" s="2136" t="n"/>
      <c r="BW87" s="2136" t="n"/>
      <c r="BX87" s="2136" t="n"/>
      <c r="BY87" s="2142" t="n"/>
      <c r="BZ87" s="2142" t="n"/>
      <c r="CA87" s="2142" t="n"/>
      <c r="CB87" s="2142" t="n"/>
      <c r="CC87" s="2136" t="n"/>
    </row>
    <row r="88" ht="15" customHeight="1" s="595">
      <c r="A88" s="1679" t="inlineStr">
        <is>
          <t>Profitability Ratios</t>
        </is>
      </c>
      <c r="B88" s="2144" t="n"/>
      <c r="C88" s="2144" t="n"/>
      <c r="D88" s="2144" t="n"/>
      <c r="E88" s="2144" t="n"/>
      <c r="F88" s="2144" t="n"/>
      <c r="G88" s="2144" t="n"/>
      <c r="H88" s="2144" t="n"/>
      <c r="I88" s="2144" t="n"/>
      <c r="J88" s="2144" t="n"/>
      <c r="K88" s="2144" t="n"/>
      <c r="L88" s="2144" t="n"/>
      <c r="M88" s="2144" t="n"/>
      <c r="N88" s="2144" t="n"/>
      <c r="O88" s="2144" t="n"/>
      <c r="P88" s="2144" t="n"/>
      <c r="Q88" s="2144" t="n"/>
      <c r="R88" s="2144" t="n"/>
      <c r="S88" s="2144" t="n"/>
      <c r="T88" s="2144" t="n"/>
      <c r="U88" s="2144" t="n"/>
      <c r="V88" s="2144" t="n"/>
      <c r="W88" s="2144" t="n"/>
      <c r="X88" s="2144" t="n"/>
      <c r="Y88" s="2144" t="n"/>
      <c r="Z88" s="2144" t="n"/>
      <c r="AA88" s="2144" t="n"/>
      <c r="AB88" s="2144" t="n"/>
      <c r="AC88" s="2144" t="n"/>
      <c r="AD88" s="2144" t="n"/>
      <c r="AE88" s="2144" t="n"/>
      <c r="AF88" s="2144" t="n"/>
      <c r="AG88" s="2144" t="n"/>
      <c r="AH88" s="2144" t="n"/>
      <c r="AI88" s="2144" t="n"/>
      <c r="AJ88" s="2144" t="n"/>
      <c r="AK88" s="2144" t="n"/>
      <c r="AL88" s="2144" t="n"/>
      <c r="AM88" s="2144" t="n"/>
      <c r="AN88" s="2144" t="n"/>
      <c r="AO88" s="2144" t="n"/>
      <c r="AP88" s="2144" t="n"/>
      <c r="AQ88" s="2144" t="n"/>
      <c r="AR88" s="2144" t="n"/>
      <c r="AS88" s="2144" t="n"/>
      <c r="AT88" s="2144" t="n"/>
      <c r="AU88" s="2144" t="n"/>
      <c r="AV88" s="2144" t="n"/>
      <c r="AW88" s="2144" t="n"/>
      <c r="AX88" s="2144" t="n"/>
      <c r="AY88" s="2144" t="n"/>
      <c r="AZ88" s="2144" t="n"/>
      <c r="BA88" s="2144" t="n"/>
      <c r="BB88" s="2144" t="n"/>
      <c r="BC88" s="2144" t="n"/>
      <c r="BD88" s="2144" t="n"/>
      <c r="BE88" s="2144" t="n"/>
      <c r="BF88" s="2144" t="n"/>
      <c r="BG88" s="2144" t="n"/>
      <c r="BH88" s="2144" t="n"/>
      <c r="BI88" s="2144" t="n"/>
      <c r="BJ88" s="2144" t="n"/>
      <c r="BK88" s="2144" t="n"/>
      <c r="BL88" s="2144" t="n"/>
      <c r="BM88" s="2144" t="n"/>
      <c r="BN88" s="2144" t="n"/>
      <c r="BO88" s="2145" t="n"/>
      <c r="BP88" s="2144" t="n"/>
      <c r="BQ88" s="2144" t="n"/>
      <c r="BR88" s="2144" t="n"/>
      <c r="BS88" s="2144" t="n"/>
      <c r="BT88" s="2144" t="n"/>
      <c r="BU88" s="2144" t="n"/>
      <c r="BV88" s="2144" t="n"/>
      <c r="BW88" s="2144" t="n"/>
      <c r="BX88" s="2144" t="n"/>
      <c r="BY88" s="2144" t="n"/>
      <c r="BZ88" s="2144" t="n"/>
      <c r="CA88" s="2144" t="n"/>
      <c r="CB88" s="2144" t="n"/>
      <c r="CC88" s="1970" t="n"/>
    </row>
    <row r="89" hidden="1" outlineLevel="1" ht="15" customHeight="1" s="595">
      <c r="A89" s="1635" t="inlineStr">
        <is>
          <t>Net Income</t>
        </is>
      </c>
      <c r="B89" s="2137" t="n"/>
      <c r="C89" s="2175">
        <f>INDEX(SP_NGF_NI,0,COLUMN())</f>
        <v/>
      </c>
      <c r="D89" s="2175">
        <f>INDEX(SP_NGF_NI,0,COLUMN())</f>
        <v/>
      </c>
      <c r="E89" s="2175">
        <f>INDEX(SP_NGF_NI,0,COLUMN())</f>
        <v/>
      </c>
      <c r="F89" s="2175">
        <f>INDEX(SP_NGF_NI,0,COLUMN())</f>
        <v/>
      </c>
      <c r="G89" s="2175">
        <f>INDEX(SP_NGF_NI,0,COLUMN())</f>
        <v/>
      </c>
      <c r="H89" s="2176">
        <f>INDEX(SP_NGF_NI,0,COLUMN())</f>
        <v/>
      </c>
      <c r="I89" s="2176">
        <f>INDEX(SP_NGF_NI,0,COLUMN())</f>
        <v/>
      </c>
      <c r="J89" s="2176">
        <f>INDEX(SP_NGF_NI,0,COLUMN())</f>
        <v/>
      </c>
      <c r="K89" s="2176">
        <f>INDEX(SP_NGF_NI,0,COLUMN())</f>
        <v/>
      </c>
      <c r="L89" s="2175">
        <f>INDEX(SP_NGF_NI,0,COLUMN())</f>
        <v/>
      </c>
      <c r="M89" s="2176">
        <f>INDEX(SP_NGF_NI,0,COLUMN())</f>
        <v/>
      </c>
      <c r="N89" s="2176">
        <f>INDEX(SP_NGF_NI,0,COLUMN())</f>
        <v/>
      </c>
      <c r="O89" s="2176">
        <f>INDEX(SP_NGF_NI,0,COLUMN())</f>
        <v/>
      </c>
      <c r="P89" s="2176">
        <f>INDEX(SP_NGF_NI,0,COLUMN())</f>
        <v/>
      </c>
      <c r="Q89" s="2175">
        <f>INDEX(SP_NGF_NI,0,COLUMN())</f>
        <v/>
      </c>
      <c r="R89" s="2176">
        <f>INDEX(SP_NGF_NI,0,COLUMN())</f>
        <v/>
      </c>
      <c r="S89" s="2176">
        <f>INDEX(SP_NGF_NI,0,COLUMN())</f>
        <v/>
      </c>
      <c r="T89" s="2176">
        <f>INDEX(SP_NGF_NI,0,COLUMN())</f>
        <v/>
      </c>
      <c r="U89" s="2176">
        <f>INDEX(SP_NGF_NI,0,COLUMN())</f>
        <v/>
      </c>
      <c r="V89" s="2175">
        <f>INDEX(SP_NGF_NI,0,COLUMN())</f>
        <v/>
      </c>
      <c r="W89" s="2176">
        <f>INDEX(SP_NGF_NI,0,COLUMN())</f>
        <v/>
      </c>
      <c r="X89" s="2176">
        <f>INDEX(SP_NGF_NI,0,COLUMN())</f>
        <v/>
      </c>
      <c r="Y89" s="2176">
        <f>INDEX(SP_NGF_NI,0,COLUMN())</f>
        <v/>
      </c>
      <c r="Z89" s="2176">
        <f>INDEX(SP_NGF_NI,0,COLUMN())</f>
        <v/>
      </c>
      <c r="AA89" s="2175">
        <f>INDEX(SP_NGF_NI,0,COLUMN())</f>
        <v/>
      </c>
      <c r="AB89" s="2176">
        <f>INDEX(SP_NGF_NI,0,COLUMN())</f>
        <v/>
      </c>
      <c r="AC89" s="2176">
        <f>INDEX(SP_NGF_NI,0,COLUMN())</f>
        <v/>
      </c>
      <c r="AD89" s="2176">
        <f>INDEX(SP_NGF_NI,0,COLUMN())</f>
        <v/>
      </c>
      <c r="AE89" s="2176">
        <f>INDEX(SP_NGF_NI,0,COLUMN())</f>
        <v/>
      </c>
      <c r="AF89" s="2175">
        <f>INDEX(SP_NGF_NI,0,COLUMN())</f>
        <v/>
      </c>
      <c r="AG89" s="2176">
        <f>INDEX(SP_NGF_NI,0,COLUMN())</f>
        <v/>
      </c>
      <c r="AH89" s="2176">
        <f>INDEX(SP_NGF_NI,0,COLUMN())</f>
        <v/>
      </c>
      <c r="AI89" s="2176">
        <f>INDEX(SP_NGF_NI,0,COLUMN())</f>
        <v/>
      </c>
      <c r="AJ89" s="2176">
        <f>INDEX(SP_NGF_NI,0,COLUMN())</f>
        <v/>
      </c>
      <c r="AK89" s="2175">
        <f>INDEX(SP_NGF_NI,0,COLUMN())</f>
        <v/>
      </c>
      <c r="AL89" s="2176">
        <f>INDEX(SP_NGF_NI,0,COLUMN())</f>
        <v/>
      </c>
      <c r="AM89" s="2176">
        <f>INDEX(SP_NGF_NI,0,COLUMN())</f>
        <v/>
      </c>
      <c r="AN89" s="2176">
        <f>INDEX(SP_NGF_NI,0,COLUMN())</f>
        <v/>
      </c>
      <c r="AO89" s="2176">
        <f>INDEX(SP_NGF_NI,0,COLUMN())</f>
        <v/>
      </c>
      <c r="AP89" s="2175">
        <f>INDEX(SP_NGF_NI,0,COLUMN())</f>
        <v/>
      </c>
      <c r="AQ89" s="2176">
        <f>INDEX(SP_NGF_NI,0,COLUMN())</f>
        <v/>
      </c>
      <c r="AR89" s="2176">
        <f>INDEX(SP_NGF_NI,0,COLUMN())</f>
        <v/>
      </c>
      <c r="AS89" s="2176">
        <f>INDEX(SP_NGF_NI,0,COLUMN())</f>
        <v/>
      </c>
      <c r="AT89" s="2176">
        <f>INDEX(SP_NGF_NI,0,COLUMN())</f>
        <v/>
      </c>
      <c r="AU89" s="2175">
        <f>INDEX(SP_NGF_NI,0,COLUMN())</f>
        <v/>
      </c>
      <c r="AV89" s="2176">
        <f>INDEX(SP_NGF_NI,0,COLUMN())</f>
        <v/>
      </c>
      <c r="AW89" s="2176">
        <f>INDEX(SP_NGF_NI,0,COLUMN())</f>
        <v/>
      </c>
      <c r="AX89" s="2176">
        <f>INDEX(SP_NGF_NI,0,COLUMN())</f>
        <v/>
      </c>
      <c r="AY89" s="2176">
        <f>INDEX(SP_NGF_NI,0,COLUMN())</f>
        <v/>
      </c>
      <c r="AZ89" s="2175">
        <f>INDEX(SP_NGF_NI,0,COLUMN())</f>
        <v/>
      </c>
      <c r="BA89" s="2176">
        <f>INDEX(SP_NGF_NI,0,COLUMN())</f>
        <v/>
      </c>
      <c r="BB89" s="2176">
        <f>INDEX(SP_NGF_NI,0,COLUMN())</f>
        <v/>
      </c>
      <c r="BC89" s="2176">
        <f>INDEX(SP_NGF_NI,0,COLUMN())</f>
        <v/>
      </c>
      <c r="BD89" s="2176">
        <f>INDEX(SP_NGF_NI,0,COLUMN())</f>
        <v/>
      </c>
      <c r="BE89" s="2175">
        <f>INDEX(SP_NGF_NI,0,COLUMN())</f>
        <v/>
      </c>
      <c r="BF89" s="2176">
        <f>INDEX(SP_NGF_NI,0,COLUMN())</f>
        <v/>
      </c>
      <c r="BG89" s="2176">
        <f>INDEX(SP_NGF_NI,0,COLUMN())</f>
        <v/>
      </c>
      <c r="BH89" s="2176">
        <f>INDEX(SP_NGF_NI,0,COLUMN())</f>
        <v/>
      </c>
      <c r="BI89" s="2176">
        <f>INDEX(SP_NGF_NI,0,COLUMN())</f>
        <v/>
      </c>
      <c r="BJ89" s="2175">
        <f>INDEX(SP_NGF_NI,0,COLUMN())</f>
        <v/>
      </c>
      <c r="BK89" s="2176">
        <f>INDEX(SP_NGF_NI,0,COLUMN())</f>
        <v/>
      </c>
      <c r="BL89" s="2176">
        <f>INDEX(SP_NGF_NI,0,COLUMN())</f>
        <v/>
      </c>
      <c r="BM89" s="2176">
        <f>INDEX(SP_NGF_NI,0,COLUMN())</f>
        <v/>
      </c>
      <c r="BN89" s="2176">
        <f>INDEX(SP_NGF_NI,0,COLUMN())</f>
        <v/>
      </c>
      <c r="BO89" s="2177">
        <f>INDEX(SP_NGF_NI,0,COLUMN())</f>
        <v/>
      </c>
      <c r="BP89" s="2176">
        <f>INDEX(SP_NGF_NI,0,COLUMN())</f>
        <v/>
      </c>
      <c r="BQ89" s="2176">
        <f>INDEX(SP_NGF_NI,0,COLUMN())</f>
        <v/>
      </c>
      <c r="BR89" s="2176">
        <f>INDEX(SP_NGF_NI,0,COLUMN())</f>
        <v/>
      </c>
      <c r="BS89" s="2176">
        <f>INDEX(SP_NGF_NI,0,COLUMN())</f>
        <v/>
      </c>
      <c r="BT89" s="2175">
        <f>INDEX(SP_NGF_NI,0,COLUMN())</f>
        <v/>
      </c>
      <c r="BU89" s="2176">
        <f>INDEX(SP_NGF_NI,0,COLUMN())</f>
        <v/>
      </c>
      <c r="BV89" s="2176">
        <f>INDEX(SP_NGF_NI,0,COLUMN())</f>
        <v/>
      </c>
      <c r="BW89" s="2176">
        <f>INDEX(SP_NGF_NI,0,COLUMN())</f>
        <v/>
      </c>
      <c r="BX89" s="2176">
        <f>INDEX(SP_NGF_NI,0,COLUMN())</f>
        <v/>
      </c>
      <c r="BY89" s="2175">
        <f>INDEX(SP_NGF_NI,0,COLUMN())</f>
        <v/>
      </c>
      <c r="BZ89" s="2175">
        <f>INDEX(SP_NGF_NI,0,COLUMN())</f>
        <v/>
      </c>
      <c r="CA89" s="2175">
        <f>INDEX(SP_NGF_NI,0,COLUMN())</f>
        <v/>
      </c>
      <c r="CB89" s="2175">
        <f>INDEX(SP_NGF_NI,0,COLUMN())</f>
        <v/>
      </c>
      <c r="CC89" s="1970" t="n"/>
    </row>
    <row r="90" hidden="1" outlineLevel="1" ht="15" customHeight="1" s="595">
      <c r="A90" s="1635" t="inlineStr">
        <is>
          <t>LTM Net Income</t>
        </is>
      </c>
      <c r="B90" s="2137" t="n"/>
      <c r="C90" s="2175">
        <f>C89</f>
        <v/>
      </c>
      <c r="D90" s="2175">
        <f>D89</f>
        <v/>
      </c>
      <c r="E90" s="2175">
        <f>E89</f>
        <v/>
      </c>
      <c r="F90" s="2175">
        <f>F89</f>
        <v/>
      </c>
      <c r="G90" s="2175">
        <f>G89</f>
        <v/>
      </c>
      <c r="H90" s="2176" t="n"/>
      <c r="I90" s="2176" t="n"/>
      <c r="J90" s="2176" t="n"/>
      <c r="K90" s="2176">
        <f>SUM(K89,J89,I89,H89)</f>
        <v/>
      </c>
      <c r="L90" s="2175">
        <f>L89</f>
        <v/>
      </c>
      <c r="M90" s="2176">
        <f>SUM(M89,K89,J89,I89)</f>
        <v/>
      </c>
      <c r="N90" s="2176">
        <f>SUM(N89,M89,K89,J89)</f>
        <v/>
      </c>
      <c r="O90" s="2176">
        <f>SUM(O89,N89,M89,K89)</f>
        <v/>
      </c>
      <c r="P90" s="2176">
        <f>SUM(P89,O89,N89,M89)</f>
        <v/>
      </c>
      <c r="Q90" s="2175">
        <f>Q89</f>
        <v/>
      </c>
      <c r="R90" s="2176">
        <f>SUM(R89,P89,O89,N89)</f>
        <v/>
      </c>
      <c r="S90" s="2176">
        <f>SUM(S89,R89,P89,O89)</f>
        <v/>
      </c>
      <c r="T90" s="2176">
        <f>SUM(T89,S89,R89,P89)</f>
        <v/>
      </c>
      <c r="U90" s="2176">
        <f>SUM(U89,T89,S89,R89)</f>
        <v/>
      </c>
      <c r="V90" s="2175">
        <f>V89</f>
        <v/>
      </c>
      <c r="W90" s="2176">
        <f>SUM(W89,U89,T89,S89)</f>
        <v/>
      </c>
      <c r="X90" s="2176">
        <f>SUM(X89,W89,U89,T89)</f>
        <v/>
      </c>
      <c r="Y90" s="2176">
        <f>SUM(Y89,X89,W89,U89)</f>
        <v/>
      </c>
      <c r="Z90" s="2176">
        <f>SUM(Z89,Y89,X89,W89)</f>
        <v/>
      </c>
      <c r="AA90" s="2175">
        <f>AA89</f>
        <v/>
      </c>
      <c r="AB90" s="2176">
        <f>SUM(AB89,Z89,Y89,X89)</f>
        <v/>
      </c>
      <c r="AC90" s="2176">
        <f>SUM(AC89,AB89,Z89,Y89)</f>
        <v/>
      </c>
      <c r="AD90" s="2176">
        <f>SUM(AD89,AC89,AB89,Z89)</f>
        <v/>
      </c>
      <c r="AE90" s="2176">
        <f>SUM(AE89,AD89,AC89,AB89)</f>
        <v/>
      </c>
      <c r="AF90" s="2175">
        <f>AF89</f>
        <v/>
      </c>
      <c r="AG90" s="2176">
        <f>SUM(AG89,AE89,AD89,AC89)</f>
        <v/>
      </c>
      <c r="AH90" s="2176">
        <f>SUM(AH89,AG89,AE89,AD89)</f>
        <v/>
      </c>
      <c r="AI90" s="2176">
        <f>SUM(AI89,AH89,AG89,AE89)</f>
        <v/>
      </c>
      <c r="AJ90" s="2176">
        <f>SUM(AJ89,AI89,AH89,AG89)</f>
        <v/>
      </c>
      <c r="AK90" s="2175">
        <f>AK89</f>
        <v/>
      </c>
      <c r="AL90" s="2176">
        <f>SUM(AL89,AJ89,AI89,AH89)</f>
        <v/>
      </c>
      <c r="AM90" s="2176">
        <f>SUM(AM89,AL89,AJ89,AI89)</f>
        <v/>
      </c>
      <c r="AN90" s="2176">
        <f>SUM(AN89,AM89,AL89,AJ89)</f>
        <v/>
      </c>
      <c r="AO90" s="2176">
        <f>SUM(AO89,AN89,AM89,AL89)</f>
        <v/>
      </c>
      <c r="AP90" s="2175">
        <f>AP89</f>
        <v/>
      </c>
      <c r="AQ90" s="2176">
        <f>SUM(AQ89,AO89,AN89,AM89)</f>
        <v/>
      </c>
      <c r="AR90" s="2176">
        <f>SUM(AR89,AQ89,AO89,AN89)</f>
        <v/>
      </c>
      <c r="AS90" s="2176">
        <f>SUM(AS89,AR89,AQ89,AO89)</f>
        <v/>
      </c>
      <c r="AT90" s="2176">
        <f>SUM(AT89,AS89,AR89,AQ89)</f>
        <v/>
      </c>
      <c r="AU90" s="2175">
        <f>AU89</f>
        <v/>
      </c>
      <c r="AV90" s="2176">
        <f>SUM(AV89,AT89,AS89,AR89)</f>
        <v/>
      </c>
      <c r="AW90" s="2176">
        <f>SUM(AW89,AV89,AT89,AS89)</f>
        <v/>
      </c>
      <c r="AX90" s="2176">
        <f>SUM(AX89,AW89,AV89,AT89)</f>
        <v/>
      </c>
      <c r="AY90" s="2176">
        <f>SUM(AY89,AX89,AW89,AV89)</f>
        <v/>
      </c>
      <c r="AZ90" s="2175">
        <f>AZ89</f>
        <v/>
      </c>
      <c r="BA90" s="2176">
        <f>SUM(BA89,AY89,AX89,AW89)</f>
        <v/>
      </c>
      <c r="BB90" s="2176">
        <f>SUM(BB89,BA89,AY89,AX89)</f>
        <v/>
      </c>
      <c r="BC90" s="2176">
        <f>SUM(BC89,BB89,BA89,AY89)</f>
        <v/>
      </c>
      <c r="BD90" s="2176">
        <f>SUM(BD89,BC89,BB89,BA89)</f>
        <v/>
      </c>
      <c r="BE90" s="2175">
        <f>BE89</f>
        <v/>
      </c>
      <c r="BF90" s="2176">
        <f>SUM(BF89,BD89,BC89,BB89)</f>
        <v/>
      </c>
      <c r="BG90" s="2176">
        <f>SUM(BG89,BF89,BD89,BC89)</f>
        <v/>
      </c>
      <c r="BH90" s="2176">
        <f>SUM(BH89,BG89,BF89,BD89)</f>
        <v/>
      </c>
      <c r="BI90" s="2176">
        <f>SUM(BI89,BH89,BG89,BF89)</f>
        <v/>
      </c>
      <c r="BJ90" s="2175">
        <f>BJ89</f>
        <v/>
      </c>
      <c r="BK90" s="2176">
        <f>SUM(BK89,BI89,BH89,BG89)</f>
        <v/>
      </c>
      <c r="BL90" s="2176">
        <f>SUM(BL89,BK89,BI89,BH89)</f>
        <v/>
      </c>
      <c r="BM90" s="2176">
        <f>SUM(BM89,BL89,BK89,BI89)</f>
        <v/>
      </c>
      <c r="BN90" s="2176">
        <f>SUM(BN89,BM89,BL89,BK89)</f>
        <v/>
      </c>
      <c r="BO90" s="2177">
        <f>BO89</f>
        <v/>
      </c>
      <c r="BP90" s="2176">
        <f>SUM(BP89,BN89,BM89,BL89)</f>
        <v/>
      </c>
      <c r="BQ90" s="2176">
        <f>SUM(BQ89,BP89,BN89,BM89)</f>
        <v/>
      </c>
      <c r="BR90" s="2176">
        <f>SUM(BR89,BQ89,BP89,BN89)</f>
        <v/>
      </c>
      <c r="BS90" s="2176">
        <f>SUM(BS89,BR89,BQ89,BP89)</f>
        <v/>
      </c>
      <c r="BT90" s="2175">
        <f>BT89</f>
        <v/>
      </c>
      <c r="BU90" s="2176">
        <f>SUM(BU89,BS89,BR89,BQ89)</f>
        <v/>
      </c>
      <c r="BV90" s="2176">
        <f>SUM(BV89,BU89,BS89,BR89)</f>
        <v/>
      </c>
      <c r="BW90" s="2176">
        <f>SUM(BW89,BV89,BU89,BS89)</f>
        <v/>
      </c>
      <c r="BX90" s="2176">
        <f>SUM(BX89,BW89,BV89,BU89)</f>
        <v/>
      </c>
      <c r="BY90" s="2175">
        <f>BY89</f>
        <v/>
      </c>
      <c r="BZ90" s="2175">
        <f>BZ89</f>
        <v/>
      </c>
      <c r="CA90" s="2175">
        <f>CA89</f>
        <v/>
      </c>
      <c r="CB90" s="2175">
        <f>CB89</f>
        <v/>
      </c>
      <c r="CC90" s="1970" t="n"/>
    </row>
    <row r="91" hidden="1" outlineLevel="1" ht="15" customHeight="1" s="595">
      <c r="A91" s="1635" t="inlineStr">
        <is>
          <t>Shareholder's Equity</t>
        </is>
      </c>
      <c r="B91" s="2137" t="n"/>
      <c r="C91" s="2175">
        <f>INDEX(MO_BS_SE,0,COLUMN())</f>
        <v/>
      </c>
      <c r="D91" s="2175">
        <f>INDEX(MO_BS_SE,0,COLUMN())</f>
        <v/>
      </c>
      <c r="E91" s="2175">
        <f>INDEX(MO_BS_SE,0,COLUMN())</f>
        <v/>
      </c>
      <c r="F91" s="2175">
        <f>INDEX(MO_BS_SE,0,COLUMN())</f>
        <v/>
      </c>
      <c r="G91" s="2175">
        <f>INDEX(MO_BS_SE,0,COLUMN())</f>
        <v/>
      </c>
      <c r="H91" s="2176">
        <f>INDEX(MO_BS_SE,0,COLUMN())</f>
        <v/>
      </c>
      <c r="I91" s="2176">
        <f>INDEX(MO_BS_SE,0,COLUMN())</f>
        <v/>
      </c>
      <c r="J91" s="2176">
        <f>INDEX(MO_BS_SE,0,COLUMN())</f>
        <v/>
      </c>
      <c r="K91" s="2176">
        <f>INDEX(MO_BS_SE,0,COLUMN())</f>
        <v/>
      </c>
      <c r="L91" s="2175">
        <f>INDEX(MO_BS_SE,0,COLUMN())</f>
        <v/>
      </c>
      <c r="M91" s="2176">
        <f>INDEX(MO_BS_SE,0,COLUMN())</f>
        <v/>
      </c>
      <c r="N91" s="2176">
        <f>INDEX(MO_BS_SE,0,COLUMN())</f>
        <v/>
      </c>
      <c r="O91" s="2176">
        <f>INDEX(MO_BS_SE,0,COLUMN())</f>
        <v/>
      </c>
      <c r="P91" s="2176">
        <f>INDEX(MO_BS_SE,0,COLUMN())</f>
        <v/>
      </c>
      <c r="Q91" s="2175">
        <f>INDEX(MO_BS_SE,0,COLUMN())</f>
        <v/>
      </c>
      <c r="R91" s="2176">
        <f>INDEX(MO_BS_SE,0,COLUMN())</f>
        <v/>
      </c>
      <c r="S91" s="2176">
        <f>INDEX(MO_BS_SE,0,COLUMN())</f>
        <v/>
      </c>
      <c r="T91" s="2176">
        <f>INDEX(MO_BS_SE,0,COLUMN())</f>
        <v/>
      </c>
      <c r="U91" s="2176">
        <f>INDEX(MO_BS_SE,0,COLUMN())</f>
        <v/>
      </c>
      <c r="V91" s="2175">
        <f>INDEX(MO_BS_SE,0,COLUMN())</f>
        <v/>
      </c>
      <c r="W91" s="2176">
        <f>INDEX(MO_BS_SE,0,COLUMN())</f>
        <v/>
      </c>
      <c r="X91" s="2176">
        <f>INDEX(MO_BS_SE,0,COLUMN())</f>
        <v/>
      </c>
      <c r="Y91" s="2176">
        <f>INDEX(MO_BS_SE,0,COLUMN())</f>
        <v/>
      </c>
      <c r="Z91" s="2176">
        <f>INDEX(MO_BS_SE,0,COLUMN())</f>
        <v/>
      </c>
      <c r="AA91" s="2175">
        <f>INDEX(MO_BS_SE,0,COLUMN())</f>
        <v/>
      </c>
      <c r="AB91" s="2176">
        <f>INDEX(MO_BS_SE,0,COLUMN())</f>
        <v/>
      </c>
      <c r="AC91" s="2176">
        <f>INDEX(MO_BS_SE,0,COLUMN())</f>
        <v/>
      </c>
      <c r="AD91" s="2176">
        <f>INDEX(MO_BS_SE,0,COLUMN())</f>
        <v/>
      </c>
      <c r="AE91" s="2176">
        <f>INDEX(MO_BS_SE,0,COLUMN())</f>
        <v/>
      </c>
      <c r="AF91" s="2175">
        <f>INDEX(MO_BS_SE,0,COLUMN())</f>
        <v/>
      </c>
      <c r="AG91" s="2176">
        <f>INDEX(MO_BS_SE,0,COLUMN())</f>
        <v/>
      </c>
      <c r="AH91" s="2176">
        <f>INDEX(MO_BS_SE,0,COLUMN())</f>
        <v/>
      </c>
      <c r="AI91" s="2176">
        <f>INDEX(MO_BS_SE,0,COLUMN())</f>
        <v/>
      </c>
      <c r="AJ91" s="2176">
        <f>INDEX(MO_BS_SE,0,COLUMN())</f>
        <v/>
      </c>
      <c r="AK91" s="2175">
        <f>INDEX(MO_BS_SE,0,COLUMN())</f>
        <v/>
      </c>
      <c r="AL91" s="2176">
        <f>INDEX(MO_BS_SE,0,COLUMN())</f>
        <v/>
      </c>
      <c r="AM91" s="2176">
        <f>INDEX(MO_BS_SE,0,COLUMN())</f>
        <v/>
      </c>
      <c r="AN91" s="2176">
        <f>INDEX(MO_BS_SE,0,COLUMN())</f>
        <v/>
      </c>
      <c r="AO91" s="2176">
        <f>INDEX(MO_BS_SE,0,COLUMN())</f>
        <v/>
      </c>
      <c r="AP91" s="2175">
        <f>INDEX(MO_BS_SE,0,COLUMN())</f>
        <v/>
      </c>
      <c r="AQ91" s="2176">
        <f>INDEX(MO_BS_SE,0,COLUMN())</f>
        <v/>
      </c>
      <c r="AR91" s="2176">
        <f>INDEX(MO_BS_SE,0,COLUMN())</f>
        <v/>
      </c>
      <c r="AS91" s="2176">
        <f>INDEX(MO_BS_SE,0,COLUMN())</f>
        <v/>
      </c>
      <c r="AT91" s="2176">
        <f>INDEX(MO_BS_SE,0,COLUMN())</f>
        <v/>
      </c>
      <c r="AU91" s="2175">
        <f>INDEX(MO_BS_SE,0,COLUMN())</f>
        <v/>
      </c>
      <c r="AV91" s="2176">
        <f>INDEX(MO_BS_SE,0,COLUMN())</f>
        <v/>
      </c>
      <c r="AW91" s="2176">
        <f>INDEX(MO_BS_SE,0,COLUMN())</f>
        <v/>
      </c>
      <c r="AX91" s="2176">
        <f>INDEX(MO_BS_SE,0,COLUMN())</f>
        <v/>
      </c>
      <c r="AY91" s="2176">
        <f>INDEX(MO_BS_SE,0,COLUMN())</f>
        <v/>
      </c>
      <c r="AZ91" s="2175">
        <f>INDEX(MO_BS_SE,0,COLUMN())</f>
        <v/>
      </c>
      <c r="BA91" s="2176">
        <f>INDEX(MO_BS_SE,0,COLUMN())</f>
        <v/>
      </c>
      <c r="BB91" s="2176">
        <f>INDEX(MO_BS_SE,0,COLUMN())</f>
        <v/>
      </c>
      <c r="BC91" s="2176">
        <f>INDEX(MO_BS_SE,0,COLUMN())</f>
        <v/>
      </c>
      <c r="BD91" s="2176">
        <f>INDEX(MO_BS_SE,0,COLUMN())</f>
        <v/>
      </c>
      <c r="BE91" s="2175">
        <f>INDEX(MO_BS_SE,0,COLUMN())</f>
        <v/>
      </c>
      <c r="BF91" s="2176">
        <f>INDEX(MO_BS_SE,0,COLUMN())</f>
        <v/>
      </c>
      <c r="BG91" s="2176">
        <f>INDEX(MO_BS_SE,0,COLUMN())</f>
        <v/>
      </c>
      <c r="BH91" s="2176">
        <f>INDEX(MO_BS_SE,0,COLUMN())</f>
        <v/>
      </c>
      <c r="BI91" s="2176">
        <f>INDEX(MO_BS_SE,0,COLUMN())</f>
        <v/>
      </c>
      <c r="BJ91" s="2175">
        <f>INDEX(MO_BS_SE,0,COLUMN())</f>
        <v/>
      </c>
      <c r="BK91" s="2176">
        <f>INDEX(MO_BS_SE,0,COLUMN())</f>
        <v/>
      </c>
      <c r="BL91" s="2176">
        <f>INDEX(MO_BS_SE,0,COLUMN())</f>
        <v/>
      </c>
      <c r="BM91" s="2176">
        <f>INDEX(MO_BS_SE,0,COLUMN())</f>
        <v/>
      </c>
      <c r="BN91" s="2176">
        <f>INDEX(MO_BS_SE,0,COLUMN())</f>
        <v/>
      </c>
      <c r="BO91" s="2177">
        <f>INDEX(MO_BS_SE,0,COLUMN())</f>
        <v/>
      </c>
      <c r="BP91" s="2176">
        <f>INDEX(MO_BS_SE,0,COLUMN())</f>
        <v/>
      </c>
      <c r="BQ91" s="2176">
        <f>INDEX(MO_BS_SE,0,COLUMN())</f>
        <v/>
      </c>
      <c r="BR91" s="2176">
        <f>INDEX(MO_BS_SE,0,COLUMN())</f>
        <v/>
      </c>
      <c r="BS91" s="2176">
        <f>INDEX(MO_BS_SE,0,COLUMN())</f>
        <v/>
      </c>
      <c r="BT91" s="2175">
        <f>INDEX(MO_BS_SE,0,COLUMN())</f>
        <v/>
      </c>
      <c r="BU91" s="2176">
        <f>INDEX(MO_BS_SE,0,COLUMN())</f>
        <v/>
      </c>
      <c r="BV91" s="2176">
        <f>INDEX(MO_BS_SE,0,COLUMN())</f>
        <v/>
      </c>
      <c r="BW91" s="2176">
        <f>INDEX(MO_BS_SE,0,COLUMN())</f>
        <v/>
      </c>
      <c r="BX91" s="2176">
        <f>INDEX(MO_BS_SE,0,COLUMN())</f>
        <v/>
      </c>
      <c r="BY91" s="2175">
        <f>INDEX(MO_BS_SE,0,COLUMN())</f>
        <v/>
      </c>
      <c r="BZ91" s="2175">
        <f>INDEX(MO_BS_SE,0,COLUMN())</f>
        <v/>
      </c>
      <c r="CA91" s="2175">
        <f>INDEX(MO_BS_SE,0,COLUMN())</f>
        <v/>
      </c>
      <c r="CB91" s="2175">
        <f>INDEX(MO_BS_SE,0,COLUMN())</f>
        <v/>
      </c>
      <c r="CC91" s="1970" t="n"/>
    </row>
    <row r="92" hidden="1" outlineLevel="1" ht="15" customHeight="1" s="595">
      <c r="A92" s="1635" t="inlineStr">
        <is>
          <t>Average Shareholder's Equity</t>
        </is>
      </c>
      <c r="B92" s="2137" t="n"/>
      <c r="C92" s="2175">
        <f>C91</f>
        <v/>
      </c>
      <c r="D92" s="2175">
        <f>AVERAGE(D91,C91)</f>
        <v/>
      </c>
      <c r="E92" s="2175">
        <f>AVERAGE(E91,D91)</f>
        <v/>
      </c>
      <c r="F92" s="2175">
        <f>AVERAGE(F91,E91)</f>
        <v/>
      </c>
      <c r="G92" s="2175">
        <f>AVERAGE(G91,F91)</f>
        <v/>
      </c>
      <c r="H92" s="2176" t="n"/>
      <c r="I92" s="2176" t="n"/>
      <c r="J92" s="2176" t="n"/>
      <c r="K92" s="2176">
        <f>AVERAGE(K91,J91,I91,H91)</f>
        <v/>
      </c>
      <c r="L92" s="2175">
        <f>AVERAGE(L91,G91)</f>
        <v/>
      </c>
      <c r="M92" s="2176">
        <f>AVERAGE(M91,K91,J91,I91)</f>
        <v/>
      </c>
      <c r="N92" s="2176">
        <f>AVERAGE(N91,M91,K91,J91)</f>
        <v/>
      </c>
      <c r="O92" s="2176">
        <f>AVERAGE(O91,N91,M91,K91)</f>
        <v/>
      </c>
      <c r="P92" s="2176">
        <f>AVERAGE(P91,O91,N91,M91)</f>
        <v/>
      </c>
      <c r="Q92" s="2175">
        <f>AVERAGE(Q91,L91)</f>
        <v/>
      </c>
      <c r="R92" s="2176">
        <f>AVERAGE(R91,P91,O91,N91)</f>
        <v/>
      </c>
      <c r="S92" s="2176">
        <f>AVERAGE(S91,R91,P91,O91)</f>
        <v/>
      </c>
      <c r="T92" s="2176">
        <f>AVERAGE(T91,S91,R91,P91)</f>
        <v/>
      </c>
      <c r="U92" s="2176">
        <f>AVERAGE(U91,T91,S91,R91)</f>
        <v/>
      </c>
      <c r="V92" s="2175">
        <f>AVERAGE(V91,Q91)</f>
        <v/>
      </c>
      <c r="W92" s="2176">
        <f>AVERAGE(W91,U91,T91,S91)</f>
        <v/>
      </c>
      <c r="X92" s="2176">
        <f>AVERAGE(X91,W91,U91,T91)</f>
        <v/>
      </c>
      <c r="Y92" s="2176">
        <f>AVERAGE(Y91,X91,W91,U91)</f>
        <v/>
      </c>
      <c r="Z92" s="2176">
        <f>AVERAGE(Z91,Y91,X91,W91)</f>
        <v/>
      </c>
      <c r="AA92" s="2175">
        <f>AVERAGE(AA91,V91)</f>
        <v/>
      </c>
      <c r="AB92" s="2176">
        <f>AVERAGE(AB91,Z91,Y91,X91)</f>
        <v/>
      </c>
      <c r="AC92" s="2176">
        <f>AVERAGE(AC91,AB91,Z91,Y91)</f>
        <v/>
      </c>
      <c r="AD92" s="2176">
        <f>AVERAGE(AD91,AC91,AB91,Z91)</f>
        <v/>
      </c>
      <c r="AE92" s="2176">
        <f>AVERAGE(AE91,AD91,AC91,AB91)</f>
        <v/>
      </c>
      <c r="AF92" s="2175">
        <f>AVERAGE(AF91,AA91)</f>
        <v/>
      </c>
      <c r="AG92" s="2176">
        <f>AVERAGE(AG91,AE91,AD91,AC91)</f>
        <v/>
      </c>
      <c r="AH92" s="2176">
        <f>AVERAGE(AH91,AG91,AE91,AD91)</f>
        <v/>
      </c>
      <c r="AI92" s="2176">
        <f>AVERAGE(AI91,AH91,AG91,AE91)</f>
        <v/>
      </c>
      <c r="AJ92" s="2176">
        <f>AVERAGE(AJ91,AI91,AH91,AG91)</f>
        <v/>
      </c>
      <c r="AK92" s="2175">
        <f>AVERAGE(AK91,AF91)</f>
        <v/>
      </c>
      <c r="AL92" s="2176">
        <f>AVERAGE(AL91,AJ91,AI91,AH91)</f>
        <v/>
      </c>
      <c r="AM92" s="2176">
        <f>AVERAGE(AM91,AL91,AJ91,AI91)</f>
        <v/>
      </c>
      <c r="AN92" s="2176">
        <f>AVERAGE(AN91,AM91,AL91,AJ91)</f>
        <v/>
      </c>
      <c r="AO92" s="2176">
        <f>AVERAGE(AO91,AN91,AM91,AL91)</f>
        <v/>
      </c>
      <c r="AP92" s="2175">
        <f>AVERAGE(AP91,AK91)</f>
        <v/>
      </c>
      <c r="AQ92" s="2176">
        <f>AVERAGE(AQ91,AO91,AN91,AM91)</f>
        <v/>
      </c>
      <c r="AR92" s="2176">
        <f>AVERAGE(AR91,AQ91,AO91,AN91)</f>
        <v/>
      </c>
      <c r="AS92" s="2176">
        <f>AVERAGE(AS91,AR91,AQ91,AO91)</f>
        <v/>
      </c>
      <c r="AT92" s="2176">
        <f>AVERAGE(AT91,AS91,AR91,AQ91)</f>
        <v/>
      </c>
      <c r="AU92" s="2175">
        <f>AVERAGE(AU91,AP91)</f>
        <v/>
      </c>
      <c r="AV92" s="2176">
        <f>AVERAGE(AV91,AT91,AS91,AR91)</f>
        <v/>
      </c>
      <c r="AW92" s="2176">
        <f>AVERAGE(AW91,AV91,AT91,AS91)</f>
        <v/>
      </c>
      <c r="AX92" s="2176">
        <f>AVERAGE(AX91,AW91,AV91,AT91)</f>
        <v/>
      </c>
      <c r="AY92" s="2176">
        <f>AVERAGE(AY91,AX91,AW91,AV91)</f>
        <v/>
      </c>
      <c r="AZ92" s="2175">
        <f>AVERAGE(AZ91,AU91)</f>
        <v/>
      </c>
      <c r="BA92" s="2176">
        <f>AVERAGE(BA91,AY91,AX91,AW91)</f>
        <v/>
      </c>
      <c r="BB92" s="2176">
        <f>AVERAGE(BB91,BA91,AY91,AX91)</f>
        <v/>
      </c>
      <c r="BC92" s="2176">
        <f>AVERAGE(BC91,BB91,BA91,AY91)</f>
        <v/>
      </c>
      <c r="BD92" s="2176">
        <f>AVERAGE(BD91,BC91,BB91,BA91)</f>
        <v/>
      </c>
      <c r="BE92" s="2175">
        <f>AVERAGE(BE91,AZ91)</f>
        <v/>
      </c>
      <c r="BF92" s="2176">
        <f>AVERAGE(BF91,BD91,BC91,BB91)</f>
        <v/>
      </c>
      <c r="BG92" s="2176">
        <f>AVERAGE(BG91,BF91,BD91,BC91)</f>
        <v/>
      </c>
      <c r="BH92" s="2176">
        <f>AVERAGE(BH91,BG91,BF91,BD91)</f>
        <v/>
      </c>
      <c r="BI92" s="2176">
        <f>AVERAGE(BI91,BH91,BG91,BF91)</f>
        <v/>
      </c>
      <c r="BJ92" s="2175">
        <f>AVERAGE(BJ91,BE91)</f>
        <v/>
      </c>
      <c r="BK92" s="2176">
        <f>AVERAGE(BK91,BI91,BH91,BG91)</f>
        <v/>
      </c>
      <c r="BL92" s="2176">
        <f>AVERAGE(BL91,BK91,BI91,BH91)</f>
        <v/>
      </c>
      <c r="BM92" s="2176">
        <f>AVERAGE(BM91,BL91,BK91,BI91)</f>
        <v/>
      </c>
      <c r="BN92" s="2176">
        <f>AVERAGE(BN91,BM91,BL91,BK91)</f>
        <v/>
      </c>
      <c r="BO92" s="2177">
        <f>AVERAGE(BO91,BJ91)</f>
        <v/>
      </c>
      <c r="BP92" s="2176">
        <f>AVERAGE(BP91,BN91,BM91,BL91)</f>
        <v/>
      </c>
      <c r="BQ92" s="2176">
        <f>AVERAGE(BQ91,BP91,BN91,BM91)</f>
        <v/>
      </c>
      <c r="BR92" s="2176">
        <f>AVERAGE(BR91,BQ91,BP91,BN91)</f>
        <v/>
      </c>
      <c r="BS92" s="2176">
        <f>AVERAGE(BS91,BR91,BQ91,BP91)</f>
        <v/>
      </c>
      <c r="BT92" s="2175">
        <f>AVERAGE(BT91,BO91)</f>
        <v/>
      </c>
      <c r="BU92" s="2176">
        <f>AVERAGE(BU91,BS91,BR91,BQ91)</f>
        <v/>
      </c>
      <c r="BV92" s="2176">
        <f>AVERAGE(BV91,BU91,BS91,BR91)</f>
        <v/>
      </c>
      <c r="BW92" s="2176">
        <f>AVERAGE(BW91,BV91,BU91,BS91)</f>
        <v/>
      </c>
      <c r="BX92" s="2176">
        <f>AVERAGE(BX91,BW91,BV91,BU91)</f>
        <v/>
      </c>
      <c r="BY92" s="2175">
        <f>AVERAGE(BY91,BT91)</f>
        <v/>
      </c>
      <c r="BZ92" s="2175">
        <f>AVERAGE(BZ91,BY91)</f>
        <v/>
      </c>
      <c r="CA92" s="2175">
        <f>AVERAGE(CA91,BZ91)</f>
        <v/>
      </c>
      <c r="CB92" s="2175">
        <f>AVERAGE(CB91,CA91)</f>
        <v/>
      </c>
      <c r="CC92" s="1970" t="n"/>
    </row>
    <row r="93" collapsed="1" ht="15" customFormat="1" customHeight="1" s="637">
      <c r="A93" s="167" t="inlineStr">
        <is>
          <t>ROE</t>
        </is>
      </c>
      <c r="B93" s="168" t="n"/>
      <c r="C93" s="1520">
        <f>IF(C92&lt;0,"NMF",IF(ABS(C90/C92)&gt;1,"NMF",C90/C92))</f>
        <v/>
      </c>
      <c r="D93" s="1520">
        <f>IF(D92&lt;0,"NMF",IF(ABS(D90/D92)&gt;1,"NMF",D90/D92))</f>
        <v/>
      </c>
      <c r="E93" s="1520">
        <f>IF(E92&lt;0,"NMF",IF(ABS(E90/E92)&gt;1,"NMF",E90/E92))</f>
        <v/>
      </c>
      <c r="F93" s="1520">
        <f>IF(F92&lt;0,"NMF",IF(ABS(F90/F92)&gt;1,"NMF",F90/F92))</f>
        <v/>
      </c>
      <c r="G93" s="1520">
        <f>IF(G92&lt;0,"NMF",IF(ABS(G90/G92)&gt;1,"NMF",G90/G92))</f>
        <v/>
      </c>
      <c r="H93" s="780" t="n"/>
      <c r="I93" s="780" t="n"/>
      <c r="J93" s="780" t="n"/>
      <c r="K93" s="780">
        <f>IF(K92&lt;0,"NMF",IF(ABS(K90/K92)&gt;1,"NMF",K90/K92))</f>
        <v/>
      </c>
      <c r="L93" s="1520">
        <f>IF(L92&lt;0,"NMF",IF(ABS(L90/L92)&gt;1,"NMF",L90/L92))</f>
        <v/>
      </c>
      <c r="M93" s="780">
        <f>IF(M92&lt;0,"NMF",IF(ABS(M90/M92)&gt;1,"NMF",M90/M92))</f>
        <v/>
      </c>
      <c r="N93" s="780">
        <f>IF(N92&lt;0,"NMF",IF(ABS(N90/N92)&gt;1,"NMF",N90/N92))</f>
        <v/>
      </c>
      <c r="O93" s="780">
        <f>IF(O92&lt;0,"NMF",IF(ABS(O90/O92)&gt;1,"NMF",O90/O92))</f>
        <v/>
      </c>
      <c r="P93" s="780">
        <f>IF(P92&lt;0,"NMF",IF(ABS(P90/P92)&gt;1,"NMF",P90/P92))</f>
        <v/>
      </c>
      <c r="Q93" s="1520">
        <f>IF(Q92&lt;0,"NMF",IF(ABS(Q90/Q92)&gt;1,"NMF",Q90/Q92))</f>
        <v/>
      </c>
      <c r="R93" s="780">
        <f>IF(R92&lt;0,"NMF",IF(ABS(R90/R92)&gt;1,"NMF",R90/R92))</f>
        <v/>
      </c>
      <c r="S93" s="780">
        <f>IF(S92&lt;0,"NMF",IF(ABS(S90/S92)&gt;1,"NMF",S90/S92))</f>
        <v/>
      </c>
      <c r="T93" s="780">
        <f>IF(T92&lt;0,"NMF",IF(ABS(T90/T92)&gt;1,"NMF",T90/T92))</f>
        <v/>
      </c>
      <c r="U93" s="780">
        <f>IF(U92&lt;0,"NMF",IF(ABS(U90/U92)&gt;1,"NMF",U90/U92))</f>
        <v/>
      </c>
      <c r="V93" s="1520">
        <f>IF(V92&lt;0,"NMF",IF(ABS(V90/V92)&gt;1,"NMF",V90/V92))</f>
        <v/>
      </c>
      <c r="W93" s="780">
        <f>IF(W92&lt;0,"NMF",IF(ABS(W90/W92)&gt;1,"NMF",W90/W92))</f>
        <v/>
      </c>
      <c r="X93" s="780">
        <f>IF(X92&lt;0,"NMF",IF(ABS(X90/X92)&gt;1,"NMF",X90/X92))</f>
        <v/>
      </c>
      <c r="Y93" s="780">
        <f>IF(Y92&lt;0,"NMF",IF(ABS(Y90/Y92)&gt;1,"NMF",Y90/Y92))</f>
        <v/>
      </c>
      <c r="Z93" s="780">
        <f>IF(Z92&lt;0,"NMF",IF(ABS(Z90/Z92)&gt;1,"NMF",Z90/Z92))</f>
        <v/>
      </c>
      <c r="AA93" s="1520">
        <f>IF(AA92&lt;0,"NMF",IF(ABS(AA90/AA92)&gt;1,"NMF",AA90/AA92))</f>
        <v/>
      </c>
      <c r="AB93" s="780">
        <f>IF(AB92&lt;0,"NMF",IF(ABS(AB90/AB92)&gt;1,"NMF",AB90/AB92))</f>
        <v/>
      </c>
      <c r="AC93" s="780">
        <f>IF(AC92&lt;0,"NMF",IF(ABS(AC90/AC92)&gt;1,"NMF",AC90/AC92))</f>
        <v/>
      </c>
      <c r="AD93" s="780">
        <f>IF(AD92&lt;0,"NMF",IF(ABS(AD90/AD92)&gt;1,"NMF",AD90/AD92))</f>
        <v/>
      </c>
      <c r="AE93" s="780">
        <f>IF(AE92&lt;0,"NMF",IF(ABS(AE90/AE92)&gt;1,"NMF",AE90/AE92))</f>
        <v/>
      </c>
      <c r="AF93" s="1520">
        <f>IF(AF92&lt;0,"NMF",IF(ABS(AF90/AF92)&gt;1,"NMF",AF90/AF92))</f>
        <v/>
      </c>
      <c r="AG93" s="780">
        <f>IF(AG92&lt;0,"NMF",IF(ABS(AG90/AG92)&gt;1,"NMF",AG90/AG92))</f>
        <v/>
      </c>
      <c r="AH93" s="780">
        <f>IF(AH92&lt;0,"NMF",IF(ABS(AH90/AH92)&gt;1,"NMF",AH90/AH92))</f>
        <v/>
      </c>
      <c r="AI93" s="780">
        <f>IF(AI92&lt;0,"NMF",IF(ABS(AI90/AI92)&gt;1,"NMF",AI90/AI92))</f>
        <v/>
      </c>
      <c r="AJ93" s="780">
        <f>IF(AJ92&lt;0,"NMF",IF(ABS(AJ90/AJ92)&gt;1,"NMF",AJ90/AJ92))</f>
        <v/>
      </c>
      <c r="AK93" s="1520">
        <f>IF(AK92&lt;0,"NMF",IF(ABS(AK90/AK92)&gt;1,"NMF",AK90/AK92))</f>
        <v/>
      </c>
      <c r="AL93" s="780">
        <f>IF(AL92&lt;0,"NMF",IF(ABS(AL90/AL92)&gt;1,"NMF",AL90/AL92))</f>
        <v/>
      </c>
      <c r="AM93" s="780">
        <f>IF(AM92&lt;0,"NMF",IF(ABS(AM90/AM92)&gt;1,"NMF",AM90/AM92))</f>
        <v/>
      </c>
      <c r="AN93" s="780">
        <f>IF(AN92&lt;0,"NMF",IF(ABS(AN90/AN92)&gt;1,"NMF",AN90/AN92))</f>
        <v/>
      </c>
      <c r="AO93" s="780">
        <f>IF(AO92&lt;0,"NMF",IF(ABS(AO90/AO92)&gt;1,"NMF",AO90/AO92))</f>
        <v/>
      </c>
      <c r="AP93" s="1520">
        <f>IF(AP92&lt;0,"NMF",IF(ABS(AP90/AP92)&gt;1,"NMF",AP90/AP92))</f>
        <v/>
      </c>
      <c r="AQ93" s="780">
        <f>IF(AQ92&lt;0,"NMF",IF(ABS(AQ90/AQ92)&gt;1,"NMF",AQ90/AQ92))</f>
        <v/>
      </c>
      <c r="AR93" s="780">
        <f>IF(AR92&lt;0,"NMF",IF(ABS(AR90/AR92)&gt;1,"NMF",AR90/AR92))</f>
        <v/>
      </c>
      <c r="AS93" s="780">
        <f>IF(AS92&lt;0,"NMF",IF(ABS(AS90/AS92)&gt;1,"NMF",AS90/AS92))</f>
        <v/>
      </c>
      <c r="AT93" s="780">
        <f>IF(AT92&lt;0,"NMF",IF(ABS(AT90/AT92)&gt;1,"NMF",AT90/AT92))</f>
        <v/>
      </c>
      <c r="AU93" s="1520">
        <f>IF(AU92&lt;0,"NMF",IF(ABS(AU90/AU92)&gt;1,"NMF",AU90/AU92))</f>
        <v/>
      </c>
      <c r="AV93" s="780">
        <f>IF(AV92&lt;0,"NMF",IF(ABS(AV90/AV92)&gt;1,"NMF",AV90/AV92))</f>
        <v/>
      </c>
      <c r="AW93" s="780">
        <f>IF(AW92&lt;0,"NMF",IF(ABS(AW90/AW92)&gt;1,"NMF",AW90/AW92))</f>
        <v/>
      </c>
      <c r="AX93" s="780">
        <f>IF(AX92&lt;0,"NMF",IF(ABS(AX90/AX92)&gt;1,"NMF",AX90/AX92))</f>
        <v/>
      </c>
      <c r="AY93" s="780">
        <f>IF(AY92&lt;0,"NMF",IF(ABS(AY90/AY92)&gt;1,"NMF",AY90/AY92))</f>
        <v/>
      </c>
      <c r="AZ93" s="1520">
        <f>IF(AZ92&lt;0,"NMF",IF(ABS(AZ90/AZ92)&gt;1,"NMF",AZ90/AZ92))</f>
        <v/>
      </c>
      <c r="BA93" s="780">
        <f>IF(BA92&lt;0,"NMF",IF(ABS(BA90/BA92)&gt;1,"NMF",BA90/BA92))</f>
        <v/>
      </c>
      <c r="BB93" s="780">
        <f>IF(BB92&lt;0,"NMF",IF(ABS(BB90/BB92)&gt;1,"NMF",BB90/BB92))</f>
        <v/>
      </c>
      <c r="BC93" s="780">
        <f>IF(BC92&lt;0,"NMF",IF(ABS(BC90/BC92)&gt;1,"NMF",BC90/BC92))</f>
        <v/>
      </c>
      <c r="BD93" s="780">
        <f>IF(BD92&lt;0,"NMF",IF(ABS(BD90/BD92)&gt;1,"NMF",BD90/BD92))</f>
        <v/>
      </c>
      <c r="BE93" s="1520">
        <f>IF(BE92&lt;0,"NMF",IF(ABS(BE90/BE92)&gt;1,"NMF",BE90/BE92))</f>
        <v/>
      </c>
      <c r="BF93" s="780">
        <f>IF(BF92&lt;0,"NMF",IF(ABS(BF90/BF92)&gt;1,"NMF",BF90/BF92))</f>
        <v/>
      </c>
      <c r="BG93" s="780">
        <f>IF(BG92&lt;0,"NMF",IF(ABS(BG90/BG92)&gt;1,"NMF",BG90/BG92))</f>
        <v/>
      </c>
      <c r="BH93" s="780">
        <f>IF(BH92&lt;0,"NMF",IF(ABS(BH90/BH92)&gt;1,"NMF",BH90/BH92))</f>
        <v/>
      </c>
      <c r="BI93" s="780">
        <f>IF(BI92&lt;0,"NMF",IF(ABS(BI90/BI92)&gt;1,"NMF",BI90/BI92))</f>
        <v/>
      </c>
      <c r="BJ93" s="1520">
        <f>IF(BJ92&lt;0,"NMF",IF(ABS(BJ90/BJ92)&gt;1,"NMF",BJ90/BJ92))</f>
        <v/>
      </c>
      <c r="BK93" s="780">
        <f>IF(BK92&lt;0,"NMF",IF(ABS(BK90/BK92)&gt;1,"NMF",BK90/BK92))</f>
        <v/>
      </c>
      <c r="BL93" s="780">
        <f>IF(BL92&lt;0,"NMF",IF(ABS(BL90/BL92)&gt;1,"NMF",BL90/BL92))</f>
        <v/>
      </c>
      <c r="BM93" s="780">
        <f>IF(BM92&lt;0,"NMF",IF(ABS(BM90/BM92)&gt;1,"NMF",BM90/BM92))</f>
        <v/>
      </c>
      <c r="BN93" s="780">
        <f>IF(BN92&lt;0,"NMF",IF(ABS(BN90/BN92)&gt;1,"NMF",BN90/BN92))</f>
        <v/>
      </c>
      <c r="BO93" s="1519">
        <f>IF(BO92&lt;0,"NMF",IF(ABS(BO90/BO92)&gt;1,"NMF",BO90/BO92))</f>
        <v/>
      </c>
      <c r="BP93" s="780">
        <f>IF(BP92&lt;0,"NMF",IF(ABS(BP90/BP92)&gt;1,"NMF",BP90/BP92))</f>
        <v/>
      </c>
      <c r="BQ93" s="780">
        <f>IF(BQ92&lt;0,"NMF",IF(ABS(BQ90/BQ92)&gt;1,"NMF",BQ90/BQ92))</f>
        <v/>
      </c>
      <c r="BR93" s="780">
        <f>IF(BR92&lt;0,"NMF",IF(ABS(BR90/BR92)&gt;1,"NMF",BR90/BR92))</f>
        <v/>
      </c>
      <c r="BS93" s="780">
        <f>IF(BS92&lt;0,"NMF",IF(ABS(BS90/BS92)&gt;1,"NMF",BS90/BS92))</f>
        <v/>
      </c>
      <c r="BT93" s="1520">
        <f>IF(BT92&lt;0,"NMF",IF(ABS(BT90/BT92)&gt;1,"NMF",BT90/BT92))</f>
        <v/>
      </c>
      <c r="BU93" s="780">
        <f>IF(BU92&lt;0,"NMF",IF(ABS(BU90/BU92)&gt;1,"NMF",BU90/BU92))</f>
        <v/>
      </c>
      <c r="BV93" s="780">
        <f>IF(BV92&lt;0,"NMF",IF(ABS(BV90/BV92)&gt;1,"NMF",BV90/BV92))</f>
        <v/>
      </c>
      <c r="BW93" s="780">
        <f>IF(BW92&lt;0,"NMF",IF(ABS(BW90/BW92)&gt;1,"NMF",BW90/BW92))</f>
        <v/>
      </c>
      <c r="BX93" s="780">
        <f>IF(BX92&lt;0,"NMF",IF(ABS(BX90/BX92)&gt;1,"NMF",BX90/BX92))</f>
        <v/>
      </c>
      <c r="BY93" s="1520">
        <f>IF(BY92&lt;0,"NMF",IF(ABS(BY90/BY92)&gt;1,"NMF",BY90/BY92))</f>
        <v/>
      </c>
      <c r="BZ93" s="1520">
        <f>IF(BZ92&lt;0,"NMF",IF(ABS(BZ90/BZ92)&gt;1,"NMF",BZ90/BZ92))</f>
        <v/>
      </c>
      <c r="CA93" s="1520">
        <f>IF(CA92&lt;0,"NMF",IF(ABS(CA90/CA92)&gt;1,"NMF",CA90/CA92))</f>
        <v/>
      </c>
      <c r="CB93" s="1520">
        <f>IF(CB92&lt;0,"NMF",IF(ABS(CB90/CB92)&gt;1,"NMF",CB90/CB92))</f>
        <v/>
      </c>
      <c r="CC93" s="188" t="n"/>
    </row>
    <row r="94" hidden="1" outlineLevel="1" ht="15" customHeight="1" s="595">
      <c r="A94" s="1635" t="inlineStr">
        <is>
          <t>NOPAT</t>
        </is>
      </c>
      <c r="B94" s="2137" t="n"/>
      <c r="C94" s="2175">
        <f>INDEX(SP_GF_NI,0,COLUMN())+INDEX(SP_GF_IE,0,COLUMN())*(1-INDEX(SP_GF_Tax,0,COLUMN())/INDEX(SP_GF_EBT,0,COLUMN()))+INDEX(SP_GF_NCI,0,COLUMN())</f>
        <v/>
      </c>
      <c r="D94" s="2175">
        <f>INDEX(SP_GF_NI,0,COLUMN())+INDEX(SP_GF_IE,0,COLUMN())*(1-INDEX(SP_GF_Tax,0,COLUMN())/INDEX(SP_GF_EBT,0,COLUMN()))+INDEX(SP_GF_NCI,0,COLUMN())</f>
        <v/>
      </c>
      <c r="E94" s="2175">
        <f>INDEX(SP_GF_NI,0,COLUMN())+INDEX(SP_GF_IE,0,COLUMN())*(1-INDEX(SP_GF_Tax,0,COLUMN())/INDEX(SP_GF_EBT,0,COLUMN()))+INDEX(SP_GF_NCI,0,COLUMN())</f>
        <v/>
      </c>
      <c r="F94" s="2175">
        <f>INDEX(SP_GF_NI,0,COLUMN())+INDEX(SP_GF_IE,0,COLUMN())*(1-INDEX(SP_GF_Tax,0,COLUMN())/INDEX(SP_GF_EBT,0,COLUMN()))+INDEX(SP_GF_NCI,0,COLUMN())</f>
        <v/>
      </c>
      <c r="G94" s="2175">
        <f>INDEX(SP_GF_NI,0,COLUMN())+INDEX(SP_GF_IE,0,COLUMN())*(1-INDEX(SP_GF_Tax,0,COLUMN())/INDEX(SP_GF_EBT,0,COLUMN()))+INDEX(SP_GF_NCI,0,COLUMN())</f>
        <v/>
      </c>
      <c r="H94" s="2176">
        <f>INDEX(SP_GF_NI,0,COLUMN())+INDEX(SP_GF_IE,0,COLUMN())*(1-INDEX(SP_GF_Tax,0,COLUMN())/INDEX(SP_GF_EBT,0,COLUMN()))+INDEX(SP_GF_NCI,0,COLUMN())</f>
        <v/>
      </c>
      <c r="I94" s="2176">
        <f>INDEX(SP_GF_NI,0,COLUMN())+INDEX(SP_GF_IE,0,COLUMN())*(1-INDEX(SP_GF_Tax,0,COLUMN())/INDEX(SP_GF_EBT,0,COLUMN()))+INDEX(SP_GF_NCI,0,COLUMN())</f>
        <v/>
      </c>
      <c r="J94" s="2176">
        <f>INDEX(SP_GF_NI,0,COLUMN())+INDEX(SP_GF_IE,0,COLUMN())*(1-INDEX(SP_GF_Tax,0,COLUMN())/INDEX(SP_GF_EBT,0,COLUMN()))+INDEX(SP_GF_NCI,0,COLUMN())</f>
        <v/>
      </c>
      <c r="K94" s="2176">
        <f>INDEX(SP_GF_NI,0,COLUMN())+INDEX(SP_GF_IE,0,COLUMN())*(1-INDEX(SP_GF_Tax,0,COLUMN())/INDEX(SP_GF_EBT,0,COLUMN()))+INDEX(SP_GF_NCI,0,COLUMN())</f>
        <v/>
      </c>
      <c r="L94" s="2175">
        <f>INDEX(SP_GF_NI,0,COLUMN())+INDEX(SP_GF_IE,0,COLUMN())*(1-INDEX(SP_GF_Tax,0,COLUMN())/INDEX(SP_GF_EBT,0,COLUMN()))+INDEX(SP_GF_NCI,0,COLUMN())</f>
        <v/>
      </c>
      <c r="M94" s="2176">
        <f>INDEX(SP_GF_NI,0,COLUMN())+INDEX(SP_GF_IE,0,COLUMN())*(1-INDEX(SP_GF_Tax,0,COLUMN())/INDEX(SP_GF_EBT,0,COLUMN()))+INDEX(SP_GF_NCI,0,COLUMN())</f>
        <v/>
      </c>
      <c r="N94" s="2176">
        <f>INDEX(SP_GF_NI,0,COLUMN())+INDEX(SP_GF_IE,0,COLUMN())*(1-INDEX(SP_GF_Tax,0,COLUMN())/INDEX(SP_GF_EBT,0,COLUMN()))+INDEX(SP_GF_NCI,0,COLUMN())</f>
        <v/>
      </c>
      <c r="O94" s="2176">
        <f>INDEX(SP_GF_NI,0,COLUMN())+INDEX(SP_GF_IE,0,COLUMN())*(1-INDEX(SP_GF_Tax,0,COLUMN())/INDEX(SP_GF_EBT,0,COLUMN()))+INDEX(SP_GF_NCI,0,COLUMN())</f>
        <v/>
      </c>
      <c r="P94" s="2176">
        <f>INDEX(SP_GF_NI,0,COLUMN())+INDEX(SP_GF_IE,0,COLUMN())*(1-INDEX(SP_GF_Tax,0,COLUMN())/INDEX(SP_GF_EBT,0,COLUMN()))+INDEX(SP_GF_NCI,0,COLUMN())</f>
        <v/>
      </c>
      <c r="Q94" s="2175">
        <f>INDEX(SP_GF_NI,0,COLUMN())+INDEX(SP_GF_IE,0,COLUMN())*(1-INDEX(SP_GF_Tax,0,COLUMN())/INDEX(SP_GF_EBT,0,COLUMN()))+INDEX(SP_GF_NCI,0,COLUMN())</f>
        <v/>
      </c>
      <c r="R94" s="2176">
        <f>INDEX(SP_GF_NI,0,COLUMN())+INDEX(SP_GF_IE,0,COLUMN())*(1-INDEX(SP_GF_Tax,0,COLUMN())/INDEX(SP_GF_EBT,0,COLUMN()))+INDEX(SP_GF_NCI,0,COLUMN())</f>
        <v/>
      </c>
      <c r="S94" s="2176">
        <f>INDEX(SP_GF_NI,0,COLUMN())+INDEX(SP_GF_IE,0,COLUMN())*(1-INDEX(SP_GF_Tax,0,COLUMN())/INDEX(SP_GF_EBT,0,COLUMN()))+INDEX(SP_GF_NCI,0,COLUMN())</f>
        <v/>
      </c>
      <c r="T94" s="2176">
        <f>INDEX(SP_GF_NI,0,COLUMN())+INDEX(SP_GF_IE,0,COLUMN())*(1-INDEX(SP_GF_Tax,0,COLUMN())/INDEX(SP_GF_EBT,0,COLUMN()))+INDEX(SP_GF_NCI,0,COLUMN())</f>
        <v/>
      </c>
      <c r="U94" s="2176">
        <f>INDEX(SP_GF_NI,0,COLUMN())+INDEX(SP_GF_IE,0,COLUMN())*(1-INDEX(SP_GF_Tax,0,COLUMN())/INDEX(SP_GF_EBT,0,COLUMN()))+INDEX(SP_GF_NCI,0,COLUMN())</f>
        <v/>
      </c>
      <c r="V94" s="2175">
        <f>INDEX(SP_GF_NI,0,COLUMN())+INDEX(SP_GF_IE,0,COLUMN())*(1-INDEX(SP_GF_Tax,0,COLUMN())/INDEX(SP_GF_EBT,0,COLUMN()))+INDEX(SP_GF_NCI,0,COLUMN())</f>
        <v/>
      </c>
      <c r="W94" s="2176">
        <f>INDEX(SP_GF_NI,0,COLUMN())+INDEX(SP_GF_IE,0,COLUMN())*(1-INDEX(SP_GF_Tax,0,COLUMN())/INDEX(SP_GF_EBT,0,COLUMN()))+INDEX(SP_GF_NCI,0,COLUMN())</f>
        <v/>
      </c>
      <c r="X94" s="2176">
        <f>INDEX(SP_GF_NI,0,COLUMN())+INDEX(SP_GF_IE,0,COLUMN())*(1-INDEX(SP_GF_Tax,0,COLUMN())/INDEX(SP_GF_EBT,0,COLUMN()))+INDEX(SP_GF_NCI,0,COLUMN())</f>
        <v/>
      </c>
      <c r="Y94" s="2176">
        <f>INDEX(SP_GF_NI,0,COLUMN())+INDEX(SP_GF_IE,0,COLUMN())*(1-INDEX(SP_GF_Tax,0,COLUMN())/INDEX(SP_GF_EBT,0,COLUMN()))+INDEX(SP_GF_NCI,0,COLUMN())</f>
        <v/>
      </c>
      <c r="Z94" s="2176">
        <f>INDEX(SP_GF_NI,0,COLUMN())+INDEX(SP_GF_IE,0,COLUMN())*(1-INDEX(SP_GF_Tax,0,COLUMN())/INDEX(SP_GF_EBT,0,COLUMN()))+INDEX(SP_GF_NCI,0,COLUMN())</f>
        <v/>
      </c>
      <c r="AA94" s="2175">
        <f>INDEX(SP_GF_NI,0,COLUMN())+INDEX(SP_GF_IE,0,COLUMN())*(1-INDEX(SP_GF_Tax,0,COLUMN())/INDEX(SP_GF_EBT,0,COLUMN()))+INDEX(SP_GF_NCI,0,COLUMN())</f>
        <v/>
      </c>
      <c r="AB94" s="2176">
        <f>INDEX(SP_GF_NI,0,COLUMN())+INDEX(SP_GF_IE,0,COLUMN())*(1-INDEX(SP_GF_Tax,0,COLUMN())/INDEX(SP_GF_EBT,0,COLUMN()))+INDEX(SP_GF_NCI,0,COLUMN())</f>
        <v/>
      </c>
      <c r="AC94" s="2176">
        <f>INDEX(SP_GF_NI,0,COLUMN())+INDEX(SP_GF_IE,0,COLUMN())*(1-INDEX(SP_GF_Tax,0,COLUMN())/INDEX(SP_GF_EBT,0,COLUMN()))+INDEX(SP_GF_NCI,0,COLUMN())</f>
        <v/>
      </c>
      <c r="AD94" s="2176">
        <f>INDEX(SP_GF_NI,0,COLUMN())+INDEX(SP_GF_IE,0,COLUMN())*(1-INDEX(SP_GF_Tax,0,COLUMN())/INDEX(SP_GF_EBT,0,COLUMN()))+INDEX(SP_GF_NCI,0,COLUMN())</f>
        <v/>
      </c>
      <c r="AE94" s="2176">
        <f>INDEX(SP_GF_NI,0,COLUMN())+INDEX(SP_GF_IE,0,COLUMN())*(1-INDEX(SP_GF_Tax,0,COLUMN())/INDEX(SP_GF_EBT,0,COLUMN()))+INDEX(SP_GF_NCI,0,COLUMN())</f>
        <v/>
      </c>
      <c r="AF94" s="2175">
        <f>INDEX(SP_GF_NI,0,COLUMN())+INDEX(SP_GF_IE,0,COLUMN())*(1-INDEX(SP_GF_Tax,0,COLUMN())/INDEX(SP_GF_EBT,0,COLUMN()))+INDEX(SP_GF_NCI,0,COLUMN())</f>
        <v/>
      </c>
      <c r="AG94" s="2176">
        <f>INDEX(SP_GF_NI,0,COLUMN())+INDEX(SP_GF_IE,0,COLUMN())*(1-INDEX(SP_GF_Tax,0,COLUMN())/INDEX(SP_GF_EBT,0,COLUMN()))+INDEX(SP_GF_NCI,0,COLUMN())</f>
        <v/>
      </c>
      <c r="AH94" s="2176">
        <f>INDEX(SP_GF_NI,0,COLUMN())+INDEX(SP_GF_IE,0,COLUMN())*(1-INDEX(SP_GF_Tax,0,COLUMN())/INDEX(SP_GF_EBT,0,COLUMN()))+INDEX(SP_GF_NCI,0,COLUMN())</f>
        <v/>
      </c>
      <c r="AI94" s="2176">
        <f>INDEX(SP_GF_NI,0,COLUMN())+INDEX(SP_GF_IE,0,COLUMN())*(1-INDEX(SP_GF_Tax,0,COLUMN())/INDEX(SP_GF_EBT,0,COLUMN()))+INDEX(SP_GF_NCI,0,COLUMN())</f>
        <v/>
      </c>
      <c r="AJ94" s="2176">
        <f>INDEX(SP_GF_NI,0,COLUMN())+INDEX(SP_GF_IE,0,COLUMN())*(1-INDEX(SP_GF_Tax,0,COLUMN())/INDEX(SP_GF_EBT,0,COLUMN()))+INDEX(SP_GF_NCI,0,COLUMN())</f>
        <v/>
      </c>
      <c r="AK94" s="2175">
        <f>INDEX(SP_GF_NI,0,COLUMN())+INDEX(SP_GF_IE,0,COLUMN())*(1-INDEX(SP_GF_Tax,0,COLUMN())/INDEX(SP_GF_EBT,0,COLUMN()))+INDEX(SP_GF_NCI,0,COLUMN())</f>
        <v/>
      </c>
      <c r="AL94" s="2176">
        <f>INDEX(SP_GF_NI,0,COLUMN())+INDEX(SP_GF_IE,0,COLUMN())*(1-INDEX(SP_GF_Tax,0,COLUMN())/INDEX(SP_GF_EBT,0,COLUMN()))+INDEX(SP_GF_NCI,0,COLUMN())</f>
        <v/>
      </c>
      <c r="AM94" s="2176">
        <f>INDEX(SP_GF_NI,0,COLUMN())+INDEX(SP_GF_IE,0,COLUMN())*(1-INDEX(SP_GF_Tax,0,COLUMN())/INDEX(SP_GF_EBT,0,COLUMN()))+INDEX(SP_GF_NCI,0,COLUMN())</f>
        <v/>
      </c>
      <c r="AN94" s="2176">
        <f>INDEX(SP_GF_NI,0,COLUMN())+INDEX(SP_GF_IE,0,COLUMN())*(1-INDEX(SP_GF_Tax,0,COLUMN())/INDEX(SP_GF_EBT,0,COLUMN()))+INDEX(SP_GF_NCI,0,COLUMN())</f>
        <v/>
      </c>
      <c r="AO94" s="2176">
        <f>INDEX(SP_GF_NI,0,COLUMN())+INDEX(SP_GF_IE,0,COLUMN())*(1-INDEX(SP_GF_Tax,0,COLUMN())/INDEX(SP_GF_EBT,0,COLUMN()))+INDEX(SP_GF_NCI,0,COLUMN())</f>
        <v/>
      </c>
      <c r="AP94" s="2175">
        <f>INDEX(SP_GF_NI,0,COLUMN())+INDEX(SP_GF_IE,0,COLUMN())*(1-INDEX(SP_GF_Tax,0,COLUMN())/INDEX(SP_GF_EBT,0,COLUMN()))+INDEX(SP_GF_NCI,0,COLUMN())</f>
        <v/>
      </c>
      <c r="AQ94" s="2176">
        <f>INDEX(SP_GF_NI,0,COLUMN())+INDEX(SP_GF_IE,0,COLUMN())*(1-INDEX(SP_GF_Tax,0,COLUMN())/INDEX(SP_GF_EBT,0,COLUMN()))+INDEX(SP_GF_NCI,0,COLUMN())</f>
        <v/>
      </c>
      <c r="AR94" s="2176">
        <f>INDEX(SP_GF_NI,0,COLUMN())+INDEX(SP_GF_IE,0,COLUMN())*(1-INDEX(SP_GF_Tax,0,COLUMN())/INDEX(SP_GF_EBT,0,COLUMN()))+INDEX(SP_GF_NCI,0,COLUMN())</f>
        <v/>
      </c>
      <c r="AS94" s="2176">
        <f>INDEX(SP_GF_NI,0,COLUMN())+INDEX(SP_GF_IE,0,COLUMN())*(1-INDEX(SP_GF_Tax,0,COLUMN())/INDEX(SP_GF_EBT,0,COLUMN()))+INDEX(SP_GF_NCI,0,COLUMN())</f>
        <v/>
      </c>
      <c r="AT94" s="2176">
        <f>INDEX(SP_GF_NI,0,COLUMN())+INDEX(SP_GF_IE,0,COLUMN())*(1-INDEX(SP_GF_Tax,0,COLUMN())/INDEX(SP_GF_EBT,0,COLUMN()))+INDEX(SP_GF_NCI,0,COLUMN())</f>
        <v/>
      </c>
      <c r="AU94" s="2175">
        <f>INDEX(SP_GF_NI,0,COLUMN())+INDEX(SP_GF_IE,0,COLUMN())*(1-INDEX(SP_GF_Tax,0,COLUMN())/INDEX(SP_GF_EBT,0,COLUMN()))+INDEX(SP_GF_NCI,0,COLUMN())</f>
        <v/>
      </c>
      <c r="AV94" s="2176">
        <f>INDEX(SP_GF_NI,0,COLUMN())+INDEX(SP_GF_IE,0,COLUMN())*(1-INDEX(SP_GF_Tax,0,COLUMN())/INDEX(SP_GF_EBT,0,COLUMN()))+INDEX(SP_GF_NCI,0,COLUMN())</f>
        <v/>
      </c>
      <c r="AW94" s="2176">
        <f>INDEX(SP_GF_NI,0,COLUMN())+INDEX(SP_GF_IE,0,COLUMN())*(1-INDEX(SP_GF_Tax,0,COLUMN())/INDEX(SP_GF_EBT,0,COLUMN()))+INDEX(SP_GF_NCI,0,COLUMN())</f>
        <v/>
      </c>
      <c r="AX94" s="2176">
        <f>INDEX(SP_GF_NI,0,COLUMN())+INDEX(SP_GF_IE,0,COLUMN())*(1-INDEX(SP_GF_Tax,0,COLUMN())/INDEX(SP_GF_EBT,0,COLUMN()))+INDEX(SP_GF_NCI,0,COLUMN())</f>
        <v/>
      </c>
      <c r="AY94" s="2176">
        <f>INDEX(SP_GF_NI,0,COLUMN())+INDEX(SP_GF_IE,0,COLUMN())*(1-INDEX(SP_GF_Tax,0,COLUMN())/INDEX(SP_GF_EBT,0,COLUMN()))+INDEX(SP_GF_NCI,0,COLUMN())</f>
        <v/>
      </c>
      <c r="AZ94" s="2175">
        <f>INDEX(SP_GF_NI,0,COLUMN())+INDEX(SP_GF_IE,0,COLUMN())*(1-INDEX(SP_GF_Tax,0,COLUMN())/INDEX(SP_GF_EBT,0,COLUMN()))+INDEX(SP_GF_NCI,0,COLUMN())</f>
        <v/>
      </c>
      <c r="BA94" s="2176">
        <f>INDEX(SP_GF_NI,0,COLUMN())+INDEX(SP_GF_IE,0,COLUMN())*(1-INDEX(SP_GF_Tax,0,COLUMN())/INDEX(SP_GF_EBT,0,COLUMN()))+INDEX(SP_GF_NCI,0,COLUMN())</f>
        <v/>
      </c>
      <c r="BB94" s="2176">
        <f>INDEX(SP_GF_NI,0,COLUMN())+INDEX(SP_GF_IE,0,COLUMN())*(1-INDEX(SP_GF_Tax,0,COLUMN())/INDEX(SP_GF_EBT,0,COLUMN()))+INDEX(SP_GF_NCI,0,COLUMN())</f>
        <v/>
      </c>
      <c r="BC94" s="2176">
        <f>INDEX(SP_GF_NI,0,COLUMN())+INDEX(SP_GF_IE,0,COLUMN())*(1-INDEX(SP_GF_Tax,0,COLUMN())/INDEX(SP_GF_EBT,0,COLUMN()))+INDEX(SP_GF_NCI,0,COLUMN())</f>
        <v/>
      </c>
      <c r="BD94" s="2176">
        <f>INDEX(SP_GF_NI,0,COLUMN())+INDEX(SP_GF_IE,0,COLUMN())*(1-INDEX(SP_GF_Tax,0,COLUMN())/INDEX(SP_GF_EBT,0,COLUMN()))+INDEX(SP_GF_NCI,0,COLUMN())</f>
        <v/>
      </c>
      <c r="BE94" s="2175">
        <f>INDEX(SP_GF_NI,0,COLUMN())+INDEX(SP_GF_IE,0,COLUMN())*(1-INDEX(SP_GF_Tax,0,COLUMN())/INDEX(SP_GF_EBT,0,COLUMN()))+INDEX(SP_GF_NCI,0,COLUMN())</f>
        <v/>
      </c>
      <c r="BF94" s="2176">
        <f>INDEX(SP_GF_NI,0,COLUMN())+INDEX(SP_GF_IE,0,COLUMN())*(1-INDEX(SP_GF_Tax,0,COLUMN())/INDEX(SP_GF_EBT,0,COLUMN()))+INDEX(SP_GF_NCI,0,COLUMN())</f>
        <v/>
      </c>
      <c r="BG94" s="2176">
        <f>INDEX(SP_GF_NI,0,COLUMN())+INDEX(SP_GF_IE,0,COLUMN())*(1-INDEX(SP_GF_Tax,0,COLUMN())/INDEX(SP_GF_EBT,0,COLUMN()))+INDEX(SP_GF_NCI,0,COLUMN())</f>
        <v/>
      </c>
      <c r="BH94" s="2176">
        <f>INDEX(SP_GF_NI,0,COLUMN())+INDEX(SP_GF_IE,0,COLUMN())*(1-INDEX(SP_GF_Tax,0,COLUMN())/INDEX(SP_GF_EBT,0,COLUMN()))+INDEX(SP_GF_NCI,0,COLUMN())</f>
        <v/>
      </c>
      <c r="BI94" s="2176">
        <f>INDEX(SP_GF_NI,0,COLUMN())+INDEX(SP_GF_IE,0,COLUMN())*(1-INDEX(SP_GF_Tax,0,COLUMN())/INDEX(SP_GF_EBT,0,COLUMN()))+INDEX(SP_GF_NCI,0,COLUMN())</f>
        <v/>
      </c>
      <c r="BJ94" s="2175">
        <f>INDEX(SP_GF_NI,0,COLUMN())+INDEX(SP_GF_IE,0,COLUMN())*(1-INDEX(SP_GF_Tax,0,COLUMN())/INDEX(SP_GF_EBT,0,COLUMN()))+INDEX(SP_GF_NCI,0,COLUMN())</f>
        <v/>
      </c>
      <c r="BK94" s="2176">
        <f>INDEX(SP_GF_NI,0,COLUMN())+INDEX(SP_GF_IE,0,COLUMN())*(1-INDEX(SP_GF_Tax,0,COLUMN())/INDEX(SP_GF_EBT,0,COLUMN()))+INDEX(SP_GF_NCI,0,COLUMN())</f>
        <v/>
      </c>
      <c r="BL94" s="2176">
        <f>INDEX(SP_GF_NI,0,COLUMN())+INDEX(SP_GF_IE,0,COLUMN())*(1-INDEX(SP_GF_Tax,0,COLUMN())/INDEX(SP_GF_EBT,0,COLUMN()))+INDEX(SP_GF_NCI,0,COLUMN())</f>
        <v/>
      </c>
      <c r="BM94" s="2176">
        <f>INDEX(SP_GF_NI,0,COLUMN())+INDEX(SP_GF_IE,0,COLUMN())*(1-INDEX(SP_GF_Tax,0,COLUMN())/INDEX(SP_GF_EBT,0,COLUMN()))+INDEX(SP_GF_NCI,0,COLUMN())</f>
        <v/>
      </c>
      <c r="BN94" s="2176">
        <f>INDEX(SP_GF_NI,0,COLUMN())+INDEX(SP_GF_IE,0,COLUMN())*(1-INDEX(SP_GF_Tax,0,COLUMN())/INDEX(SP_GF_EBT,0,COLUMN()))+INDEX(SP_GF_NCI,0,COLUMN())</f>
        <v/>
      </c>
      <c r="BO94" s="2177">
        <f>INDEX(SP_GF_NI,0,COLUMN())+INDEX(SP_GF_IE,0,COLUMN())*(1-INDEX(SP_GF_Tax,0,COLUMN())/INDEX(SP_GF_EBT,0,COLUMN()))+INDEX(SP_GF_NCI,0,COLUMN())</f>
        <v/>
      </c>
      <c r="BP94" s="2176">
        <f>INDEX(SP_GF_NI,0,COLUMN())+INDEX(SP_GF_IE,0,COLUMN())*(1-INDEX(SP_GF_Tax,0,COLUMN())/INDEX(SP_GF_EBT,0,COLUMN()))+INDEX(SP_GF_NCI,0,COLUMN())</f>
        <v/>
      </c>
      <c r="BQ94" s="2176">
        <f>INDEX(SP_GF_NI,0,COLUMN())+INDEX(SP_GF_IE,0,COLUMN())*(1-INDEX(SP_GF_Tax,0,COLUMN())/INDEX(SP_GF_EBT,0,COLUMN()))+INDEX(SP_GF_NCI,0,COLUMN())</f>
        <v/>
      </c>
      <c r="BR94" s="2176">
        <f>INDEX(SP_GF_NI,0,COLUMN())+INDEX(SP_GF_IE,0,COLUMN())*(1-INDEX(SP_GF_Tax,0,COLUMN())/INDEX(SP_GF_EBT,0,COLUMN()))+INDEX(SP_GF_NCI,0,COLUMN())</f>
        <v/>
      </c>
      <c r="BS94" s="2176">
        <f>INDEX(SP_GF_NI,0,COLUMN())+INDEX(SP_GF_IE,0,COLUMN())*(1-INDEX(SP_GF_Tax,0,COLUMN())/INDEX(SP_GF_EBT,0,COLUMN()))+INDEX(SP_GF_NCI,0,COLUMN())</f>
        <v/>
      </c>
      <c r="BT94" s="2175">
        <f>INDEX(SP_GF_NI,0,COLUMN())+INDEX(SP_GF_IE,0,COLUMN())*(1-INDEX(SP_GF_Tax,0,COLUMN())/INDEX(SP_GF_EBT,0,COLUMN()))+INDEX(SP_GF_NCI,0,COLUMN())</f>
        <v/>
      </c>
      <c r="BU94" s="2176">
        <f>INDEX(SP_GF_NI,0,COLUMN())+INDEX(SP_GF_IE,0,COLUMN())*(1-INDEX(SP_GF_Tax,0,COLUMN())/INDEX(SP_GF_EBT,0,COLUMN()))+INDEX(SP_GF_NCI,0,COLUMN())</f>
        <v/>
      </c>
      <c r="BV94" s="2176">
        <f>INDEX(SP_GF_NI,0,COLUMN())+INDEX(SP_GF_IE,0,COLUMN())*(1-INDEX(SP_GF_Tax,0,COLUMN())/INDEX(SP_GF_EBT,0,COLUMN()))+INDEX(SP_GF_NCI,0,COLUMN())</f>
        <v/>
      </c>
      <c r="BW94" s="2176">
        <f>INDEX(SP_GF_NI,0,COLUMN())+INDEX(SP_GF_IE,0,COLUMN())*(1-INDEX(SP_GF_Tax,0,COLUMN())/INDEX(SP_GF_EBT,0,COLUMN()))+INDEX(SP_GF_NCI,0,COLUMN())</f>
        <v/>
      </c>
      <c r="BX94" s="2176">
        <f>INDEX(SP_GF_NI,0,COLUMN())+INDEX(SP_GF_IE,0,COLUMN())*(1-INDEX(SP_GF_Tax,0,COLUMN())/INDEX(SP_GF_EBT,0,COLUMN()))+INDEX(SP_GF_NCI,0,COLUMN())</f>
        <v/>
      </c>
      <c r="BY94" s="2175">
        <f>INDEX(SP_GF_NI,0,COLUMN())+INDEX(SP_GF_IE,0,COLUMN())*(1-INDEX(SP_GF_Tax,0,COLUMN())/INDEX(SP_GF_EBT,0,COLUMN()))+INDEX(SP_GF_NCI,0,COLUMN())</f>
        <v/>
      </c>
      <c r="BZ94" s="2175">
        <f>INDEX(SP_GF_NI,0,COLUMN())+INDEX(SP_GF_IE,0,COLUMN())*(1-INDEX(SP_GF_Tax,0,COLUMN())/INDEX(SP_GF_EBT,0,COLUMN()))+INDEX(SP_GF_NCI,0,COLUMN())</f>
        <v/>
      </c>
      <c r="CA94" s="2175">
        <f>INDEX(SP_GF_NI,0,COLUMN())+INDEX(SP_GF_IE,0,COLUMN())*(1-INDEX(SP_GF_Tax,0,COLUMN())/INDEX(SP_GF_EBT,0,COLUMN()))+INDEX(SP_GF_NCI,0,COLUMN())</f>
        <v/>
      </c>
      <c r="CB94" s="2175">
        <f>INDEX(SP_GF_NI,0,COLUMN())+INDEX(SP_GF_IE,0,COLUMN())*(1-INDEX(SP_GF_Tax,0,COLUMN())/INDEX(SP_GF_EBT,0,COLUMN()))+INDEX(SP_GF_NCI,0,COLUMN())</f>
        <v/>
      </c>
      <c r="CC94" s="1970" t="n"/>
    </row>
    <row r="95" hidden="1" outlineLevel="1" ht="15" customHeight="1" s="595">
      <c r="A95" s="1635" t="inlineStr">
        <is>
          <t>LTM Net Operating Profit</t>
        </is>
      </c>
      <c r="B95" s="2137" t="n"/>
      <c r="C95" s="2175">
        <f>C94</f>
        <v/>
      </c>
      <c r="D95" s="2175">
        <f>D94</f>
        <v/>
      </c>
      <c r="E95" s="2175">
        <f>E94</f>
        <v/>
      </c>
      <c r="F95" s="2175">
        <f>F94</f>
        <v/>
      </c>
      <c r="G95" s="2175">
        <f>G94</f>
        <v/>
      </c>
      <c r="H95" s="2176" t="n"/>
      <c r="I95" s="2176" t="n"/>
      <c r="J95" s="2176" t="n"/>
      <c r="K95" s="2176">
        <f>SUM(K94,J94,I94,H94)</f>
        <v/>
      </c>
      <c r="L95" s="2175">
        <f>L94</f>
        <v/>
      </c>
      <c r="M95" s="2176">
        <f>SUM(M94,K94,J94,I94)</f>
        <v/>
      </c>
      <c r="N95" s="2176">
        <f>SUM(N94,M94,K94,J94)</f>
        <v/>
      </c>
      <c r="O95" s="2176">
        <f>SUM(O94,N94,M94,K94)</f>
        <v/>
      </c>
      <c r="P95" s="2176">
        <f>SUM(P94,O94,N94,M94)</f>
        <v/>
      </c>
      <c r="Q95" s="2175">
        <f>Q94</f>
        <v/>
      </c>
      <c r="R95" s="2176">
        <f>SUM(R94,P94,O94,N94)</f>
        <v/>
      </c>
      <c r="S95" s="2176">
        <f>SUM(S94,R94,P94,O94)</f>
        <v/>
      </c>
      <c r="T95" s="2176">
        <f>SUM(T94,S94,R94,P94)</f>
        <v/>
      </c>
      <c r="U95" s="2176">
        <f>SUM(U94,T94,S94,R94)</f>
        <v/>
      </c>
      <c r="V95" s="2175">
        <f>V94</f>
        <v/>
      </c>
      <c r="W95" s="2176">
        <f>SUM(W94,U94,T94,S94)</f>
        <v/>
      </c>
      <c r="X95" s="2176">
        <f>SUM(X94,W94,U94,T94)</f>
        <v/>
      </c>
      <c r="Y95" s="2176">
        <f>SUM(Y94,X94,W94,U94)</f>
        <v/>
      </c>
      <c r="Z95" s="2176">
        <f>SUM(Z94,Y94,X94,W94)</f>
        <v/>
      </c>
      <c r="AA95" s="2175">
        <f>AA94</f>
        <v/>
      </c>
      <c r="AB95" s="2176">
        <f>SUM(AB94,Z94,Y94,X94)</f>
        <v/>
      </c>
      <c r="AC95" s="2176">
        <f>SUM(AC94,AB94,Z94,Y94)</f>
        <v/>
      </c>
      <c r="AD95" s="2176">
        <f>SUM(AD94,AC94,AB94,Z94)</f>
        <v/>
      </c>
      <c r="AE95" s="2176">
        <f>SUM(AE94,AD94,AC94,AB94)</f>
        <v/>
      </c>
      <c r="AF95" s="2175">
        <f>AF94</f>
        <v/>
      </c>
      <c r="AG95" s="2176">
        <f>SUM(AG94,AE94,AD94,AC94)</f>
        <v/>
      </c>
      <c r="AH95" s="2176">
        <f>SUM(AH94,AG94,AE94,AD94)</f>
        <v/>
      </c>
      <c r="AI95" s="2176">
        <f>SUM(AI94,AH94,AG94,AE94)</f>
        <v/>
      </c>
      <c r="AJ95" s="2176">
        <f>SUM(AJ94,AI94,AH94,AG94)</f>
        <v/>
      </c>
      <c r="AK95" s="2175">
        <f>AK94</f>
        <v/>
      </c>
      <c r="AL95" s="2176">
        <f>SUM(AL94,AJ94,AI94,AH94)</f>
        <v/>
      </c>
      <c r="AM95" s="2176">
        <f>SUM(AM94,AL94,AJ94,AI94)</f>
        <v/>
      </c>
      <c r="AN95" s="2176">
        <f>SUM(AN94,AM94,AL94,AJ94)</f>
        <v/>
      </c>
      <c r="AO95" s="2176">
        <f>SUM(AO94,AN94,AM94,AL94)</f>
        <v/>
      </c>
      <c r="AP95" s="2175">
        <f>AP94</f>
        <v/>
      </c>
      <c r="AQ95" s="2176">
        <f>SUM(AQ94,AO94,AN94,AM94)</f>
        <v/>
      </c>
      <c r="AR95" s="2176">
        <f>SUM(AR94,AQ94,AO94,AN94)</f>
        <v/>
      </c>
      <c r="AS95" s="2176">
        <f>SUM(AS94,AR94,AQ94,AO94)</f>
        <v/>
      </c>
      <c r="AT95" s="2176">
        <f>SUM(AT94,AS94,AR94,AQ94)</f>
        <v/>
      </c>
      <c r="AU95" s="2175">
        <f>AU94</f>
        <v/>
      </c>
      <c r="AV95" s="2176">
        <f>SUM(AV94,AT94,AS94,AR94)</f>
        <v/>
      </c>
      <c r="AW95" s="2176">
        <f>SUM(AW94,AV94,AT94,AS94)</f>
        <v/>
      </c>
      <c r="AX95" s="2176">
        <f>SUM(AX94,AW94,AV94,AT94)</f>
        <v/>
      </c>
      <c r="AY95" s="2176">
        <f>SUM(AY94,AX94,AW94,AV94)</f>
        <v/>
      </c>
      <c r="AZ95" s="2175">
        <f>AZ94</f>
        <v/>
      </c>
      <c r="BA95" s="2176">
        <f>SUM(BA94,AY94,AX94,AW94)</f>
        <v/>
      </c>
      <c r="BB95" s="2176">
        <f>SUM(BB94,BA94,AY94,AX94)</f>
        <v/>
      </c>
      <c r="BC95" s="2176">
        <f>SUM(BC94,BB94,BA94,AY94)</f>
        <v/>
      </c>
      <c r="BD95" s="2176">
        <f>SUM(BD94,BC94,BB94,BA94)</f>
        <v/>
      </c>
      <c r="BE95" s="2175">
        <f>BE94</f>
        <v/>
      </c>
      <c r="BF95" s="2176">
        <f>SUM(BF94,BD94,BC94,BB94)</f>
        <v/>
      </c>
      <c r="BG95" s="2176">
        <f>SUM(BG94,BF94,BD94,BC94)</f>
        <v/>
      </c>
      <c r="BH95" s="2176">
        <f>SUM(BH94,BG94,BF94,BD94)</f>
        <v/>
      </c>
      <c r="BI95" s="2176">
        <f>SUM(BI94,BH94,BG94,BF94)</f>
        <v/>
      </c>
      <c r="BJ95" s="2175">
        <f>BJ94</f>
        <v/>
      </c>
      <c r="BK95" s="2176">
        <f>SUM(BK94,BI94,BH94,BG94)</f>
        <v/>
      </c>
      <c r="BL95" s="2176">
        <f>SUM(BL94,BK94,BI94,BH94)</f>
        <v/>
      </c>
      <c r="BM95" s="2176">
        <f>SUM(BM94,BL94,BK94,BI94)</f>
        <v/>
      </c>
      <c r="BN95" s="2176">
        <f>SUM(BN94,BM94,BL94,BK94)</f>
        <v/>
      </c>
      <c r="BO95" s="2177">
        <f>BO94</f>
        <v/>
      </c>
      <c r="BP95" s="2176">
        <f>SUM(BP94,BN94,BM94,BL94)</f>
        <v/>
      </c>
      <c r="BQ95" s="2176">
        <f>SUM(BQ94,BP94,BN94,BM94)</f>
        <v/>
      </c>
      <c r="BR95" s="2176">
        <f>SUM(BR94,BQ94,BP94,BN94)</f>
        <v/>
      </c>
      <c r="BS95" s="2176">
        <f>SUM(BS94,BR94,BQ94,BP94)</f>
        <v/>
      </c>
      <c r="BT95" s="2175">
        <f>BT94</f>
        <v/>
      </c>
      <c r="BU95" s="2176">
        <f>SUM(BU94,BS94,BR94,BQ94)</f>
        <v/>
      </c>
      <c r="BV95" s="2176">
        <f>SUM(BV94,BU94,BS94,BR94)</f>
        <v/>
      </c>
      <c r="BW95" s="2176">
        <f>SUM(BW94,BV94,BU94,BS94)</f>
        <v/>
      </c>
      <c r="BX95" s="2176">
        <f>SUM(BX94,BW94,BV94,BU94)</f>
        <v/>
      </c>
      <c r="BY95" s="2175">
        <f>BY94</f>
        <v/>
      </c>
      <c r="BZ95" s="2175">
        <f>BZ94</f>
        <v/>
      </c>
      <c r="CA95" s="2175">
        <f>CA94</f>
        <v/>
      </c>
      <c r="CB95" s="2175">
        <f>CB94</f>
        <v/>
      </c>
      <c r="CC95" s="1970" t="n"/>
    </row>
    <row r="96" hidden="1" outlineLevel="1" ht="15" customHeight="1" s="595">
      <c r="A96" s="1635" t="inlineStr">
        <is>
          <t>Total Assets</t>
        </is>
      </c>
      <c r="B96" s="2137" t="n"/>
      <c r="C96" s="2175">
        <f>INDEX(MO_BS_TA,0,COLUMN())</f>
        <v/>
      </c>
      <c r="D96" s="2175">
        <f>INDEX(MO_BS_TA,0,COLUMN())</f>
        <v/>
      </c>
      <c r="E96" s="2175">
        <f>INDEX(MO_BS_TA,0,COLUMN())</f>
        <v/>
      </c>
      <c r="F96" s="2175">
        <f>INDEX(MO_BS_TA,0,COLUMN())</f>
        <v/>
      </c>
      <c r="G96" s="2175">
        <f>INDEX(MO_BS_TA,0,COLUMN())</f>
        <v/>
      </c>
      <c r="H96" s="2176">
        <f>INDEX(MO_BS_TA,0,COLUMN())</f>
        <v/>
      </c>
      <c r="I96" s="2176">
        <f>INDEX(MO_BS_TA,0,COLUMN())</f>
        <v/>
      </c>
      <c r="J96" s="2176">
        <f>INDEX(MO_BS_TA,0,COLUMN())</f>
        <v/>
      </c>
      <c r="K96" s="2176">
        <f>INDEX(MO_BS_TA,0,COLUMN())</f>
        <v/>
      </c>
      <c r="L96" s="2175">
        <f>INDEX(MO_BS_TA,0,COLUMN())</f>
        <v/>
      </c>
      <c r="M96" s="2176">
        <f>INDEX(MO_BS_TA,0,COLUMN())</f>
        <v/>
      </c>
      <c r="N96" s="2176">
        <f>INDEX(MO_BS_TA,0,COLUMN())</f>
        <v/>
      </c>
      <c r="O96" s="2176">
        <f>INDEX(MO_BS_TA,0,COLUMN())</f>
        <v/>
      </c>
      <c r="P96" s="2176">
        <f>INDEX(MO_BS_TA,0,COLUMN())</f>
        <v/>
      </c>
      <c r="Q96" s="2175">
        <f>INDEX(MO_BS_TA,0,COLUMN())</f>
        <v/>
      </c>
      <c r="R96" s="2176">
        <f>INDEX(MO_BS_TA,0,COLUMN())</f>
        <v/>
      </c>
      <c r="S96" s="2176">
        <f>INDEX(MO_BS_TA,0,COLUMN())</f>
        <v/>
      </c>
      <c r="T96" s="2176">
        <f>INDEX(MO_BS_TA,0,COLUMN())</f>
        <v/>
      </c>
      <c r="U96" s="2176">
        <f>INDEX(MO_BS_TA,0,COLUMN())</f>
        <v/>
      </c>
      <c r="V96" s="2175">
        <f>INDEX(MO_BS_TA,0,COLUMN())</f>
        <v/>
      </c>
      <c r="W96" s="2176">
        <f>INDEX(MO_BS_TA,0,COLUMN())</f>
        <v/>
      </c>
      <c r="X96" s="2176">
        <f>INDEX(MO_BS_TA,0,COLUMN())</f>
        <v/>
      </c>
      <c r="Y96" s="2176">
        <f>INDEX(MO_BS_TA,0,COLUMN())</f>
        <v/>
      </c>
      <c r="Z96" s="2176">
        <f>INDEX(MO_BS_TA,0,COLUMN())</f>
        <v/>
      </c>
      <c r="AA96" s="2175">
        <f>INDEX(MO_BS_TA,0,COLUMN())</f>
        <v/>
      </c>
      <c r="AB96" s="2176">
        <f>INDEX(MO_BS_TA,0,COLUMN())</f>
        <v/>
      </c>
      <c r="AC96" s="2176">
        <f>INDEX(MO_BS_TA,0,COLUMN())</f>
        <v/>
      </c>
      <c r="AD96" s="2176">
        <f>INDEX(MO_BS_TA,0,COLUMN())</f>
        <v/>
      </c>
      <c r="AE96" s="2176">
        <f>INDEX(MO_BS_TA,0,COLUMN())</f>
        <v/>
      </c>
      <c r="AF96" s="2175">
        <f>INDEX(MO_BS_TA,0,COLUMN())</f>
        <v/>
      </c>
      <c r="AG96" s="2176">
        <f>INDEX(MO_BS_TA,0,COLUMN())</f>
        <v/>
      </c>
      <c r="AH96" s="2176">
        <f>INDEX(MO_BS_TA,0,COLUMN())</f>
        <v/>
      </c>
      <c r="AI96" s="2176">
        <f>INDEX(MO_BS_TA,0,COLUMN())</f>
        <v/>
      </c>
      <c r="AJ96" s="2176">
        <f>INDEX(MO_BS_TA,0,COLUMN())</f>
        <v/>
      </c>
      <c r="AK96" s="2175">
        <f>INDEX(MO_BS_TA,0,COLUMN())</f>
        <v/>
      </c>
      <c r="AL96" s="2176">
        <f>INDEX(MO_BS_TA,0,COLUMN())</f>
        <v/>
      </c>
      <c r="AM96" s="2176">
        <f>INDEX(MO_BS_TA,0,COLUMN())</f>
        <v/>
      </c>
      <c r="AN96" s="2176">
        <f>INDEX(MO_BS_TA,0,COLUMN())</f>
        <v/>
      </c>
      <c r="AO96" s="2176">
        <f>INDEX(MO_BS_TA,0,COLUMN())</f>
        <v/>
      </c>
      <c r="AP96" s="2175">
        <f>INDEX(MO_BS_TA,0,COLUMN())</f>
        <v/>
      </c>
      <c r="AQ96" s="2176">
        <f>INDEX(MO_BS_TA,0,COLUMN())</f>
        <v/>
      </c>
      <c r="AR96" s="2176">
        <f>INDEX(MO_BS_TA,0,COLUMN())</f>
        <v/>
      </c>
      <c r="AS96" s="2176">
        <f>INDEX(MO_BS_TA,0,COLUMN())</f>
        <v/>
      </c>
      <c r="AT96" s="2176">
        <f>INDEX(MO_BS_TA,0,COLUMN())</f>
        <v/>
      </c>
      <c r="AU96" s="2175">
        <f>INDEX(MO_BS_TA,0,COLUMN())</f>
        <v/>
      </c>
      <c r="AV96" s="2176">
        <f>INDEX(MO_BS_TA,0,COLUMN())</f>
        <v/>
      </c>
      <c r="AW96" s="2176">
        <f>INDEX(MO_BS_TA,0,COLUMN())</f>
        <v/>
      </c>
      <c r="AX96" s="2176">
        <f>INDEX(MO_BS_TA,0,COLUMN())</f>
        <v/>
      </c>
      <c r="AY96" s="2176">
        <f>INDEX(MO_BS_TA,0,COLUMN())</f>
        <v/>
      </c>
      <c r="AZ96" s="2175">
        <f>INDEX(MO_BS_TA,0,COLUMN())</f>
        <v/>
      </c>
      <c r="BA96" s="2176">
        <f>INDEX(MO_BS_TA,0,COLUMN())</f>
        <v/>
      </c>
      <c r="BB96" s="2176">
        <f>INDEX(MO_BS_TA,0,COLUMN())</f>
        <v/>
      </c>
      <c r="BC96" s="2176">
        <f>INDEX(MO_BS_TA,0,COLUMN())</f>
        <v/>
      </c>
      <c r="BD96" s="2176">
        <f>INDEX(MO_BS_TA,0,COLUMN())</f>
        <v/>
      </c>
      <c r="BE96" s="2175">
        <f>INDEX(MO_BS_TA,0,COLUMN())</f>
        <v/>
      </c>
      <c r="BF96" s="2176">
        <f>INDEX(MO_BS_TA,0,COLUMN())</f>
        <v/>
      </c>
      <c r="BG96" s="2176">
        <f>INDEX(MO_BS_TA,0,COLUMN())</f>
        <v/>
      </c>
      <c r="BH96" s="2176">
        <f>INDEX(MO_BS_TA,0,COLUMN())</f>
        <v/>
      </c>
      <c r="BI96" s="2176">
        <f>INDEX(MO_BS_TA,0,COLUMN())</f>
        <v/>
      </c>
      <c r="BJ96" s="2175">
        <f>INDEX(MO_BS_TA,0,COLUMN())</f>
        <v/>
      </c>
      <c r="BK96" s="2176">
        <f>INDEX(MO_BS_TA,0,COLUMN())</f>
        <v/>
      </c>
      <c r="BL96" s="2176">
        <f>INDEX(MO_BS_TA,0,COLUMN())</f>
        <v/>
      </c>
      <c r="BM96" s="2176">
        <f>INDEX(MO_BS_TA,0,COLUMN())</f>
        <v/>
      </c>
      <c r="BN96" s="2176">
        <f>INDEX(MO_BS_TA,0,COLUMN())</f>
        <v/>
      </c>
      <c r="BO96" s="2177">
        <f>INDEX(MO_BS_TA,0,COLUMN())</f>
        <v/>
      </c>
      <c r="BP96" s="2176">
        <f>INDEX(MO_BS_TA,0,COLUMN())</f>
        <v/>
      </c>
      <c r="BQ96" s="2176">
        <f>INDEX(MO_BS_TA,0,COLUMN())</f>
        <v/>
      </c>
      <c r="BR96" s="2176">
        <f>INDEX(MO_BS_TA,0,COLUMN())</f>
        <v/>
      </c>
      <c r="BS96" s="2176">
        <f>INDEX(MO_BS_TA,0,COLUMN())</f>
        <v/>
      </c>
      <c r="BT96" s="2175">
        <f>INDEX(MO_BS_TA,0,COLUMN())</f>
        <v/>
      </c>
      <c r="BU96" s="2176">
        <f>INDEX(MO_BS_TA,0,COLUMN())</f>
        <v/>
      </c>
      <c r="BV96" s="2176">
        <f>INDEX(MO_BS_TA,0,COLUMN())</f>
        <v/>
      </c>
      <c r="BW96" s="2176">
        <f>INDEX(MO_BS_TA,0,COLUMN())</f>
        <v/>
      </c>
      <c r="BX96" s="2176">
        <f>INDEX(MO_BS_TA,0,COLUMN())</f>
        <v/>
      </c>
      <c r="BY96" s="2175">
        <f>INDEX(MO_BS_TA,0,COLUMN())</f>
        <v/>
      </c>
      <c r="BZ96" s="2175">
        <f>INDEX(MO_BS_TA,0,COLUMN())</f>
        <v/>
      </c>
      <c r="CA96" s="2175">
        <f>INDEX(MO_BS_TA,0,COLUMN())</f>
        <v/>
      </c>
      <c r="CB96" s="2175">
        <f>INDEX(MO_BS_TA,0,COLUMN())</f>
        <v/>
      </c>
      <c r="CC96" s="1970" t="n"/>
    </row>
    <row r="97" hidden="1" outlineLevel="1" ht="15" customHeight="1" s="595">
      <c r="A97" s="1635" t="inlineStr">
        <is>
          <t>Average Total Assets</t>
        </is>
      </c>
      <c r="B97" s="2137" t="n"/>
      <c r="C97" s="2175">
        <f>C96</f>
        <v/>
      </c>
      <c r="D97" s="2175">
        <f>AVERAGE(D96,C96)</f>
        <v/>
      </c>
      <c r="E97" s="2175">
        <f>AVERAGE(E96,D96)</f>
        <v/>
      </c>
      <c r="F97" s="2175">
        <f>AVERAGE(F96,E96)</f>
        <v/>
      </c>
      <c r="G97" s="2175">
        <f>AVERAGE(G96,F96)</f>
        <v/>
      </c>
      <c r="H97" s="2176" t="n"/>
      <c r="I97" s="2176" t="n"/>
      <c r="J97" s="2176" t="n"/>
      <c r="K97" s="2176">
        <f>AVERAGE(K96,J96,I96,H96)</f>
        <v/>
      </c>
      <c r="L97" s="2175">
        <f>AVERAGE(L96,G96)</f>
        <v/>
      </c>
      <c r="M97" s="2176">
        <f>AVERAGE(M96,K96,J96,I96)</f>
        <v/>
      </c>
      <c r="N97" s="2176">
        <f>AVERAGE(N96,M96,K96,J96)</f>
        <v/>
      </c>
      <c r="O97" s="2176">
        <f>AVERAGE(O96,N96,M96,K96)</f>
        <v/>
      </c>
      <c r="P97" s="2176">
        <f>AVERAGE(P96,O96,N96,M96)</f>
        <v/>
      </c>
      <c r="Q97" s="2175">
        <f>AVERAGE(Q96,L96)</f>
        <v/>
      </c>
      <c r="R97" s="2176">
        <f>AVERAGE(R96,P96,O96,N96)</f>
        <v/>
      </c>
      <c r="S97" s="2176">
        <f>AVERAGE(S96,R96,P96,O96)</f>
        <v/>
      </c>
      <c r="T97" s="2176">
        <f>AVERAGE(T96,S96,R96,P96)</f>
        <v/>
      </c>
      <c r="U97" s="2176">
        <f>AVERAGE(U96,T96,S96,R96)</f>
        <v/>
      </c>
      <c r="V97" s="2175">
        <f>AVERAGE(V96,Q96)</f>
        <v/>
      </c>
      <c r="W97" s="2176">
        <f>AVERAGE(W96,U96,T96,S96)</f>
        <v/>
      </c>
      <c r="X97" s="2176">
        <f>AVERAGE(X96,W96,U96,T96)</f>
        <v/>
      </c>
      <c r="Y97" s="2176">
        <f>AVERAGE(Y96,X96,W96,U96)</f>
        <v/>
      </c>
      <c r="Z97" s="2176">
        <f>AVERAGE(Z96,Y96,X96,W96)</f>
        <v/>
      </c>
      <c r="AA97" s="2175">
        <f>AVERAGE(AA96,V96)</f>
        <v/>
      </c>
      <c r="AB97" s="2176">
        <f>AVERAGE(AB96,Z96,Y96,X96)</f>
        <v/>
      </c>
      <c r="AC97" s="2176">
        <f>AVERAGE(AC96,AB96,Z96,Y96)</f>
        <v/>
      </c>
      <c r="AD97" s="2176">
        <f>AVERAGE(AD96,AC96,AB96,Z96)</f>
        <v/>
      </c>
      <c r="AE97" s="2176">
        <f>AVERAGE(AE96,AD96,AC96,AB96)</f>
        <v/>
      </c>
      <c r="AF97" s="2175">
        <f>AVERAGE(AF96,AA96)</f>
        <v/>
      </c>
      <c r="AG97" s="2176">
        <f>AVERAGE(AG96,AE96,AD96,AC96)</f>
        <v/>
      </c>
      <c r="AH97" s="2176">
        <f>AVERAGE(AH96,AG96,AE96,AD96)</f>
        <v/>
      </c>
      <c r="AI97" s="2176">
        <f>AVERAGE(AI96,AH96,AG96,AE96)</f>
        <v/>
      </c>
      <c r="AJ97" s="2176">
        <f>AVERAGE(AJ96,AI96,AH96,AG96)</f>
        <v/>
      </c>
      <c r="AK97" s="2175">
        <f>AVERAGE(AK96,AF96)</f>
        <v/>
      </c>
      <c r="AL97" s="2176">
        <f>AVERAGE(AL96,AJ96,AI96,AH96)</f>
        <v/>
      </c>
      <c r="AM97" s="2176">
        <f>AVERAGE(AM96,AL96,AJ96,AI96)</f>
        <v/>
      </c>
      <c r="AN97" s="2176">
        <f>AVERAGE(AN96,AM96,AL96,AJ96)</f>
        <v/>
      </c>
      <c r="AO97" s="2176">
        <f>AVERAGE(AO96,AN96,AM96,AL96)</f>
        <v/>
      </c>
      <c r="AP97" s="2175">
        <f>AVERAGE(AP96,AK96)</f>
        <v/>
      </c>
      <c r="AQ97" s="2176">
        <f>AVERAGE(AQ96,AO96,AN96,AM96)</f>
        <v/>
      </c>
      <c r="AR97" s="2176">
        <f>AVERAGE(AR96,AQ96,AO96,AN96)</f>
        <v/>
      </c>
      <c r="AS97" s="2176">
        <f>AVERAGE(AS96,AR96,AQ96,AO96)</f>
        <v/>
      </c>
      <c r="AT97" s="2176">
        <f>AVERAGE(AT96,AS96,AR96,AQ96)</f>
        <v/>
      </c>
      <c r="AU97" s="2175">
        <f>AVERAGE(AU96,AP96)</f>
        <v/>
      </c>
      <c r="AV97" s="2176">
        <f>AVERAGE(AV96,AT96,AS96,AR96)</f>
        <v/>
      </c>
      <c r="AW97" s="2176">
        <f>AVERAGE(AW96,AV96,AT96,AS96)</f>
        <v/>
      </c>
      <c r="AX97" s="2176">
        <f>AVERAGE(AX96,AW96,AV96,AT96)</f>
        <v/>
      </c>
      <c r="AY97" s="2176">
        <f>AVERAGE(AY96,AX96,AW96,AV96)</f>
        <v/>
      </c>
      <c r="AZ97" s="2175">
        <f>AVERAGE(AZ96,AU96)</f>
        <v/>
      </c>
      <c r="BA97" s="2176">
        <f>AVERAGE(BA96,AY96,AX96,AW96)</f>
        <v/>
      </c>
      <c r="BB97" s="2176">
        <f>AVERAGE(BB96,BA96,AY96,AX96)</f>
        <v/>
      </c>
      <c r="BC97" s="2176">
        <f>AVERAGE(BC96,BB96,BA96,AY96)</f>
        <v/>
      </c>
      <c r="BD97" s="2176">
        <f>AVERAGE(BD96,BC96,BB96,BA96)</f>
        <v/>
      </c>
      <c r="BE97" s="2175">
        <f>AVERAGE(BE96,AZ96)</f>
        <v/>
      </c>
      <c r="BF97" s="2176">
        <f>AVERAGE(BF96,BD96,BC96,BB96)</f>
        <v/>
      </c>
      <c r="BG97" s="2176">
        <f>AVERAGE(BG96,BF96,BD96,BC96)</f>
        <v/>
      </c>
      <c r="BH97" s="2176">
        <f>AVERAGE(BH96,BG96,BF96,BD96)</f>
        <v/>
      </c>
      <c r="BI97" s="2176">
        <f>AVERAGE(BI96,BH96,BG96,BF96)</f>
        <v/>
      </c>
      <c r="BJ97" s="2175">
        <f>AVERAGE(BJ96,BE96)</f>
        <v/>
      </c>
      <c r="BK97" s="2176">
        <f>AVERAGE(BK96,BI96,BH96,BG96)</f>
        <v/>
      </c>
      <c r="BL97" s="2176">
        <f>AVERAGE(BL96,BK96,BI96,BH96)</f>
        <v/>
      </c>
      <c r="BM97" s="2176">
        <f>AVERAGE(BM96,BL96,BK96,BI96)</f>
        <v/>
      </c>
      <c r="BN97" s="2176">
        <f>AVERAGE(BN96,BM96,BL96,BK96)</f>
        <v/>
      </c>
      <c r="BO97" s="2177">
        <f>AVERAGE(BO96,BJ96)</f>
        <v/>
      </c>
      <c r="BP97" s="2176">
        <f>AVERAGE(BP96,BN96,BM96,BL96)</f>
        <v/>
      </c>
      <c r="BQ97" s="2176">
        <f>AVERAGE(BQ96,BP96,BN96,BM96)</f>
        <v/>
      </c>
      <c r="BR97" s="2176">
        <f>AVERAGE(BR96,BQ96,BP96,BN96)</f>
        <v/>
      </c>
      <c r="BS97" s="2176">
        <f>AVERAGE(BS96,BR96,BQ96,BP96)</f>
        <v/>
      </c>
      <c r="BT97" s="2175">
        <f>AVERAGE(BT96,BO96)</f>
        <v/>
      </c>
      <c r="BU97" s="2176">
        <f>AVERAGE(BU96,BS96,BR96,BQ96)</f>
        <v/>
      </c>
      <c r="BV97" s="2176">
        <f>AVERAGE(BV96,BU96,BS96,BR96)</f>
        <v/>
      </c>
      <c r="BW97" s="2176">
        <f>AVERAGE(BW96,BV96,BU96,BS96)</f>
        <v/>
      </c>
      <c r="BX97" s="2176">
        <f>AVERAGE(BX96,BW96,BV96,BU96)</f>
        <v/>
      </c>
      <c r="BY97" s="2175">
        <f>AVERAGE(BY96,BT96)</f>
        <v/>
      </c>
      <c r="BZ97" s="2175">
        <f>AVERAGE(BZ96,BY96)</f>
        <v/>
      </c>
      <c r="CA97" s="2175">
        <f>AVERAGE(CA96,BZ96)</f>
        <v/>
      </c>
      <c r="CB97" s="2175">
        <f>AVERAGE(CB96,CA96)</f>
        <v/>
      </c>
      <c r="CC97" s="1970" t="n"/>
    </row>
    <row r="98" collapsed="1" ht="15" customFormat="1" customHeight="1" s="637">
      <c r="A98" s="167" t="inlineStr">
        <is>
          <t>After-tax ROA</t>
        </is>
      </c>
      <c r="B98" s="168" t="n"/>
      <c r="C98" s="1520">
        <f>IF(C97&lt;0,"NMF",IF(ABS(C95/C97)&gt;1,"NMF",C95/C97))</f>
        <v/>
      </c>
      <c r="D98" s="1520">
        <f>IF(D97&lt;0,"NMF",IF(ABS(D95/D97)&gt;1,"NMF",D95/D97))</f>
        <v/>
      </c>
      <c r="E98" s="1520">
        <f>IF(E97&lt;0,"NMF",IF(ABS(E95/E97)&gt;1,"NMF",E95/E97))</f>
        <v/>
      </c>
      <c r="F98" s="1520">
        <f>IF(F97&lt;0,"NMF",IF(ABS(F95/F97)&gt;1,"NMF",F95/F97))</f>
        <v/>
      </c>
      <c r="G98" s="1520">
        <f>IF(G97&lt;0,"NMF",IF(ABS(G95/G97)&gt;1,"NMF",G95/G97))</f>
        <v/>
      </c>
      <c r="H98" s="780" t="n"/>
      <c r="I98" s="780" t="n"/>
      <c r="J98" s="780" t="n"/>
      <c r="K98" s="780">
        <f>IF(K97&lt;0,"NMF",IF(ABS(K95/K97)&gt;1,"NMF",K95/K97))</f>
        <v/>
      </c>
      <c r="L98" s="1520">
        <f>IF(L97&lt;0,"NMF",IF(ABS(L95/L97)&gt;1,"NMF",L95/L97))</f>
        <v/>
      </c>
      <c r="M98" s="780">
        <f>IF(M97&lt;0,"NMF",IF(ABS(M95/M97)&gt;1,"NMF",M95/M97))</f>
        <v/>
      </c>
      <c r="N98" s="780">
        <f>IF(N97&lt;0,"NMF",IF(ABS(N95/N97)&gt;1,"NMF",N95/N97))</f>
        <v/>
      </c>
      <c r="O98" s="780">
        <f>IF(O97&lt;0,"NMF",IF(ABS(O95/O97)&gt;1,"NMF",O95/O97))</f>
        <v/>
      </c>
      <c r="P98" s="780">
        <f>IF(P97&lt;0,"NMF",IF(ABS(P95/P97)&gt;1,"NMF",P95/P97))</f>
        <v/>
      </c>
      <c r="Q98" s="1520">
        <f>IF(Q97&lt;0,"NMF",IF(ABS(Q95/Q97)&gt;1,"NMF",Q95/Q97))</f>
        <v/>
      </c>
      <c r="R98" s="780">
        <f>IF(R97&lt;0,"NMF",IF(ABS(R95/R97)&gt;1,"NMF",R95/R97))</f>
        <v/>
      </c>
      <c r="S98" s="780">
        <f>IF(S97&lt;0,"NMF",IF(ABS(S95/S97)&gt;1,"NMF",S95/S97))</f>
        <v/>
      </c>
      <c r="T98" s="780">
        <f>IF(T97&lt;0,"NMF",IF(ABS(T95/T97)&gt;1,"NMF",T95/T97))</f>
        <v/>
      </c>
      <c r="U98" s="780">
        <f>IF(U97&lt;0,"NMF",IF(ABS(U95/U97)&gt;1,"NMF",U95/U97))</f>
        <v/>
      </c>
      <c r="V98" s="1520">
        <f>IF(V97&lt;0,"NMF",IF(ABS(V95/V97)&gt;1,"NMF",V95/V97))</f>
        <v/>
      </c>
      <c r="W98" s="780">
        <f>IF(W97&lt;0,"NMF",IF(ABS(W95/W97)&gt;1,"NMF",W95/W97))</f>
        <v/>
      </c>
      <c r="X98" s="780">
        <f>IF(X97&lt;0,"NMF",IF(ABS(X95/X97)&gt;1,"NMF",X95/X97))</f>
        <v/>
      </c>
      <c r="Y98" s="780">
        <f>IF(Y97&lt;0,"NMF",IF(ABS(Y95/Y97)&gt;1,"NMF",Y95/Y97))</f>
        <v/>
      </c>
      <c r="Z98" s="780">
        <f>IF(Z97&lt;0,"NMF",IF(ABS(Z95/Z97)&gt;1,"NMF",Z95/Z97))</f>
        <v/>
      </c>
      <c r="AA98" s="1520">
        <f>IF(AA97&lt;0,"NMF",IF(ABS(AA95/AA97)&gt;1,"NMF",AA95/AA97))</f>
        <v/>
      </c>
      <c r="AB98" s="780">
        <f>IF(AB97&lt;0,"NMF",IF(ABS(AB95/AB97)&gt;1,"NMF",AB95/AB97))</f>
        <v/>
      </c>
      <c r="AC98" s="780">
        <f>IF(AC97&lt;0,"NMF",IF(ABS(AC95/AC97)&gt;1,"NMF",AC95/AC97))</f>
        <v/>
      </c>
      <c r="AD98" s="780">
        <f>IF(AD97&lt;0,"NMF",IF(ABS(AD95/AD97)&gt;1,"NMF",AD95/AD97))</f>
        <v/>
      </c>
      <c r="AE98" s="780">
        <f>IF(AE97&lt;0,"NMF",IF(ABS(AE95/AE97)&gt;1,"NMF",AE95/AE97))</f>
        <v/>
      </c>
      <c r="AF98" s="1520">
        <f>IF(AF97&lt;0,"NMF",IF(ABS(AF95/AF97)&gt;1,"NMF",AF95/AF97))</f>
        <v/>
      </c>
      <c r="AG98" s="780">
        <f>IF(AG97&lt;0,"NMF",IF(ABS(AG95/AG97)&gt;1,"NMF",AG95/AG97))</f>
        <v/>
      </c>
      <c r="AH98" s="780">
        <f>IF(AH97&lt;0,"NMF",IF(ABS(AH95/AH97)&gt;1,"NMF",AH95/AH97))</f>
        <v/>
      </c>
      <c r="AI98" s="780">
        <f>IF(AI97&lt;0,"NMF",IF(ABS(AI95/AI97)&gt;1,"NMF",AI95/AI97))</f>
        <v/>
      </c>
      <c r="AJ98" s="780">
        <f>IF(AJ97&lt;0,"NMF",IF(ABS(AJ95/AJ97)&gt;1,"NMF",AJ95/AJ97))</f>
        <v/>
      </c>
      <c r="AK98" s="1520">
        <f>IF(AK97&lt;0,"NMF",IF(ABS(AK95/AK97)&gt;1,"NMF",AK95/AK97))</f>
        <v/>
      </c>
      <c r="AL98" s="780">
        <f>IF(AL97&lt;0,"NMF",IF(ABS(AL95/AL97)&gt;1,"NMF",AL95/AL97))</f>
        <v/>
      </c>
      <c r="AM98" s="780">
        <f>IF(AM97&lt;0,"NMF",IF(ABS(AM95/AM97)&gt;1,"NMF",AM95/AM97))</f>
        <v/>
      </c>
      <c r="AN98" s="780">
        <f>IF(AN97&lt;0,"NMF",IF(ABS(AN95/AN97)&gt;1,"NMF",AN95/AN97))</f>
        <v/>
      </c>
      <c r="AO98" s="780">
        <f>IF(AO97&lt;0,"NMF",IF(ABS(AO95/AO97)&gt;1,"NMF",AO95/AO97))</f>
        <v/>
      </c>
      <c r="AP98" s="1520">
        <f>IF(AP97&lt;0,"NMF",IF(ABS(AP95/AP97)&gt;1,"NMF",AP95/AP97))</f>
        <v/>
      </c>
      <c r="AQ98" s="780">
        <f>IF(AQ97&lt;0,"NMF",IF(ABS(AQ95/AQ97)&gt;1,"NMF",AQ95/AQ97))</f>
        <v/>
      </c>
      <c r="AR98" s="780">
        <f>IF(AR97&lt;0,"NMF",IF(ABS(AR95/AR97)&gt;1,"NMF",AR95/AR97))</f>
        <v/>
      </c>
      <c r="AS98" s="780">
        <f>IF(AS97&lt;0,"NMF",IF(ABS(AS95/AS97)&gt;1,"NMF",AS95/AS97))</f>
        <v/>
      </c>
      <c r="AT98" s="780">
        <f>IF(AT97&lt;0,"NMF",IF(ABS(AT95/AT97)&gt;1,"NMF",AT95/AT97))</f>
        <v/>
      </c>
      <c r="AU98" s="1520">
        <f>IF(AU97&lt;0,"NMF",IF(ABS(AU95/AU97)&gt;1,"NMF",AU95/AU97))</f>
        <v/>
      </c>
      <c r="AV98" s="780">
        <f>IF(AV97&lt;0,"NMF",IF(ABS(AV95/AV97)&gt;1,"NMF",AV95/AV97))</f>
        <v/>
      </c>
      <c r="AW98" s="780">
        <f>IF(AW97&lt;0,"NMF",IF(ABS(AW95/AW97)&gt;1,"NMF",AW95/AW97))</f>
        <v/>
      </c>
      <c r="AX98" s="780">
        <f>IF(AX97&lt;0,"NMF",IF(ABS(AX95/AX97)&gt;1,"NMF",AX95/AX97))</f>
        <v/>
      </c>
      <c r="AY98" s="780">
        <f>IF(AY97&lt;0,"NMF",IF(ABS(AY95/AY97)&gt;1,"NMF",AY95/AY97))</f>
        <v/>
      </c>
      <c r="AZ98" s="1520">
        <f>IF(AZ97&lt;0,"NMF",IF(ABS(AZ95/AZ97)&gt;1,"NMF",AZ95/AZ97))</f>
        <v/>
      </c>
      <c r="BA98" s="780">
        <f>IF(BA97&lt;0,"NMF",IF(ABS(BA95/BA97)&gt;1,"NMF",BA95/BA97))</f>
        <v/>
      </c>
      <c r="BB98" s="780">
        <f>IF(BB97&lt;0,"NMF",IF(ABS(BB95/BB97)&gt;1,"NMF",BB95/BB97))</f>
        <v/>
      </c>
      <c r="BC98" s="780">
        <f>IF(BC97&lt;0,"NMF",IF(ABS(BC95/BC97)&gt;1,"NMF",BC95/BC97))</f>
        <v/>
      </c>
      <c r="BD98" s="780">
        <f>IF(BD97&lt;0,"NMF",IF(ABS(BD95/BD97)&gt;1,"NMF",BD95/BD97))</f>
        <v/>
      </c>
      <c r="BE98" s="1520">
        <f>IF(BE97&lt;0,"NMF",IF(ABS(BE95/BE97)&gt;1,"NMF",BE95/BE97))</f>
        <v/>
      </c>
      <c r="BF98" s="780">
        <f>IF(BF97&lt;0,"NMF",IF(ABS(BF95/BF97)&gt;1,"NMF",BF95/BF97))</f>
        <v/>
      </c>
      <c r="BG98" s="780">
        <f>IF(BG97&lt;0,"NMF",IF(ABS(BG95/BG97)&gt;1,"NMF",BG95/BG97))</f>
        <v/>
      </c>
      <c r="BH98" s="780">
        <f>IF(BH97&lt;0,"NMF",IF(ABS(BH95/BH97)&gt;1,"NMF",BH95/BH97))</f>
        <v/>
      </c>
      <c r="BI98" s="780">
        <f>IF(BI97&lt;0,"NMF",IF(ABS(BI95/BI97)&gt;1,"NMF",BI95/BI97))</f>
        <v/>
      </c>
      <c r="BJ98" s="1520">
        <f>IF(BJ97&lt;0,"NMF",IF(ABS(BJ95/BJ97)&gt;1,"NMF",BJ95/BJ97))</f>
        <v/>
      </c>
      <c r="BK98" s="780">
        <f>IF(BK97&lt;0,"NMF",IF(ABS(BK95/BK97)&gt;1,"NMF",BK95/BK97))</f>
        <v/>
      </c>
      <c r="BL98" s="780">
        <f>IF(BL97&lt;0,"NMF",IF(ABS(BL95/BL97)&gt;1,"NMF",BL95/BL97))</f>
        <v/>
      </c>
      <c r="BM98" s="780">
        <f>IF(BM97&lt;0,"NMF",IF(ABS(BM95/BM97)&gt;1,"NMF",BM95/BM97))</f>
        <v/>
      </c>
      <c r="BN98" s="780">
        <f>IF(BN97&lt;0,"NMF",IF(ABS(BN95/BN97)&gt;1,"NMF",BN95/BN97))</f>
        <v/>
      </c>
      <c r="BO98" s="1519">
        <f>IF(BO97&lt;0,"NMF",IF(ABS(BO95/BO97)&gt;1,"NMF",BO95/BO97))</f>
        <v/>
      </c>
      <c r="BP98" s="780">
        <f>IF(BP97&lt;0,"NMF",IF(ABS(BP95/BP97)&gt;1,"NMF",BP95/BP97))</f>
        <v/>
      </c>
      <c r="BQ98" s="780">
        <f>IF(BQ97&lt;0,"NMF",IF(ABS(BQ95/BQ97)&gt;1,"NMF",BQ95/BQ97))</f>
        <v/>
      </c>
      <c r="BR98" s="780">
        <f>IF(BR97&lt;0,"NMF",IF(ABS(BR95/BR97)&gt;1,"NMF",BR95/BR97))</f>
        <v/>
      </c>
      <c r="BS98" s="780">
        <f>IF(BS97&lt;0,"NMF",IF(ABS(BS95/BS97)&gt;1,"NMF",BS95/BS97))</f>
        <v/>
      </c>
      <c r="BT98" s="1520">
        <f>IF(BT97&lt;0,"NMF",IF(ABS(BT95/BT97)&gt;1,"NMF",BT95/BT97))</f>
        <v/>
      </c>
      <c r="BU98" s="780">
        <f>IF(BU97&lt;0,"NMF",IF(ABS(BU95/BU97)&gt;1,"NMF",BU95/BU97))</f>
        <v/>
      </c>
      <c r="BV98" s="780">
        <f>IF(BV97&lt;0,"NMF",IF(ABS(BV95/BV97)&gt;1,"NMF",BV95/BV97))</f>
        <v/>
      </c>
      <c r="BW98" s="780">
        <f>IF(BW97&lt;0,"NMF",IF(ABS(BW95/BW97)&gt;1,"NMF",BW95/BW97))</f>
        <v/>
      </c>
      <c r="BX98" s="780">
        <f>IF(BX97&lt;0,"NMF",IF(ABS(BX95/BX97)&gt;1,"NMF",BX95/BX97))</f>
        <v/>
      </c>
      <c r="BY98" s="1520">
        <f>IF(BY97&lt;0,"NMF",IF(ABS(BY95/BY97)&gt;1,"NMF",BY95/BY97))</f>
        <v/>
      </c>
      <c r="BZ98" s="1520">
        <f>IF(BZ97&lt;0,"NMF",IF(ABS(BZ95/BZ97)&gt;1,"NMF",BZ95/BZ97))</f>
        <v/>
      </c>
      <c r="CA98" s="1520">
        <f>IF(CA97&lt;0,"NMF",IF(ABS(CA95/CA97)&gt;1,"NMF",CA95/CA97))</f>
        <v/>
      </c>
      <c r="CB98" s="1520">
        <f>IF(CB97&lt;0,"NMF",IF(ABS(CB95/CB97)&gt;1,"NMF",CB95/CB97))</f>
        <v/>
      </c>
      <c r="CC98" s="188" t="n"/>
    </row>
    <row r="99" hidden="1" outlineLevel="1" ht="15" customHeight="1" s="595">
      <c r="A99" s="1635" t="inlineStr">
        <is>
          <t>Total Debt</t>
        </is>
      </c>
      <c r="B99" s="2137" t="n"/>
      <c r="C99" s="2175">
        <f>INDEX(MO_BSS_Debt_Net,0,COLUMN())+INDEX(MO_BSS_Cash,0,COLUMN())</f>
        <v/>
      </c>
      <c r="D99" s="2175">
        <f>INDEX(MO_BSS_Debt_Net,0,COLUMN())+INDEX(MO_BSS_Cash,0,COLUMN())</f>
        <v/>
      </c>
      <c r="E99" s="2175">
        <f>INDEX(MO_BSS_Debt_Net,0,COLUMN())+INDEX(MO_BSS_Cash,0,COLUMN())</f>
        <v/>
      </c>
      <c r="F99" s="2175">
        <f>INDEX(MO_BSS_Debt_Net,0,COLUMN())+INDEX(MO_BSS_Cash,0,COLUMN())</f>
        <v/>
      </c>
      <c r="G99" s="2175">
        <f>INDEX(MO_BSS_Debt_Net,0,COLUMN())+INDEX(MO_BSS_Cash,0,COLUMN())</f>
        <v/>
      </c>
      <c r="H99" s="2176">
        <f>INDEX(MO_BSS_Debt_Net,0,COLUMN())+INDEX(MO_BSS_Cash,0,COLUMN())</f>
        <v/>
      </c>
      <c r="I99" s="2176">
        <f>INDEX(MO_BSS_Debt_Net,0,COLUMN())+INDEX(MO_BSS_Cash,0,COLUMN())</f>
        <v/>
      </c>
      <c r="J99" s="2176">
        <f>INDEX(MO_BSS_Debt_Net,0,COLUMN())+INDEX(MO_BSS_Cash,0,COLUMN())</f>
        <v/>
      </c>
      <c r="K99" s="2176">
        <f>INDEX(MO_BSS_Debt_Net,0,COLUMN())+INDEX(MO_BSS_Cash,0,COLUMN())</f>
        <v/>
      </c>
      <c r="L99" s="2175">
        <f>INDEX(MO_BSS_Debt_Net,0,COLUMN())+INDEX(MO_BSS_Cash,0,COLUMN())</f>
        <v/>
      </c>
      <c r="M99" s="2176">
        <f>INDEX(MO_BSS_Debt_Net,0,COLUMN())+INDEX(MO_BSS_Cash,0,COLUMN())</f>
        <v/>
      </c>
      <c r="N99" s="2176">
        <f>INDEX(MO_BSS_Debt_Net,0,COLUMN())+INDEX(MO_BSS_Cash,0,COLUMN())</f>
        <v/>
      </c>
      <c r="O99" s="2176">
        <f>INDEX(MO_BSS_Debt_Net,0,COLUMN())+INDEX(MO_BSS_Cash,0,COLUMN())</f>
        <v/>
      </c>
      <c r="P99" s="2176">
        <f>INDEX(MO_BSS_Debt_Net,0,COLUMN())+INDEX(MO_BSS_Cash,0,COLUMN())</f>
        <v/>
      </c>
      <c r="Q99" s="2175">
        <f>INDEX(MO_BSS_Debt_Net,0,COLUMN())+INDEX(MO_BSS_Cash,0,COLUMN())</f>
        <v/>
      </c>
      <c r="R99" s="2176">
        <f>INDEX(MO_BSS_Debt_Net,0,COLUMN())+INDEX(MO_BSS_Cash,0,COLUMN())</f>
        <v/>
      </c>
      <c r="S99" s="2176">
        <f>INDEX(MO_BSS_Debt_Net,0,COLUMN())+INDEX(MO_BSS_Cash,0,COLUMN())</f>
        <v/>
      </c>
      <c r="T99" s="2176">
        <f>INDEX(MO_BSS_Debt_Net,0,COLUMN())+INDEX(MO_BSS_Cash,0,COLUMN())</f>
        <v/>
      </c>
      <c r="U99" s="2176">
        <f>INDEX(MO_BSS_Debt_Net,0,COLUMN())+INDEX(MO_BSS_Cash,0,COLUMN())</f>
        <v/>
      </c>
      <c r="V99" s="2175">
        <f>INDEX(MO_BSS_Debt_Net,0,COLUMN())+INDEX(MO_BSS_Cash,0,COLUMN())</f>
        <v/>
      </c>
      <c r="W99" s="2176">
        <f>INDEX(MO_BSS_Debt_Net,0,COLUMN())+INDEX(MO_BSS_Cash,0,COLUMN())</f>
        <v/>
      </c>
      <c r="X99" s="2176">
        <f>INDEX(MO_BSS_Debt_Net,0,COLUMN())+INDEX(MO_BSS_Cash,0,COLUMN())</f>
        <v/>
      </c>
      <c r="Y99" s="2176">
        <f>INDEX(MO_BSS_Debt_Net,0,COLUMN())+INDEX(MO_BSS_Cash,0,COLUMN())</f>
        <v/>
      </c>
      <c r="Z99" s="2176">
        <f>INDEX(MO_BSS_Debt_Net,0,COLUMN())+INDEX(MO_BSS_Cash,0,COLUMN())</f>
        <v/>
      </c>
      <c r="AA99" s="2175">
        <f>INDEX(MO_BSS_Debt_Net,0,COLUMN())+INDEX(MO_BSS_Cash,0,COLUMN())</f>
        <v/>
      </c>
      <c r="AB99" s="2176">
        <f>INDEX(MO_BSS_Debt_Net,0,COLUMN())+INDEX(MO_BSS_Cash,0,COLUMN())</f>
        <v/>
      </c>
      <c r="AC99" s="2176">
        <f>INDEX(MO_BSS_Debt_Net,0,COLUMN())+INDEX(MO_BSS_Cash,0,COLUMN())</f>
        <v/>
      </c>
      <c r="AD99" s="2176">
        <f>INDEX(MO_BSS_Debt_Net,0,COLUMN())+INDEX(MO_BSS_Cash,0,COLUMN())</f>
        <v/>
      </c>
      <c r="AE99" s="2176">
        <f>INDEX(MO_BSS_Debt_Net,0,COLUMN())+INDEX(MO_BSS_Cash,0,COLUMN())</f>
        <v/>
      </c>
      <c r="AF99" s="2175">
        <f>INDEX(MO_BSS_Debt_Net,0,COLUMN())+INDEX(MO_BSS_Cash,0,COLUMN())</f>
        <v/>
      </c>
      <c r="AG99" s="2176">
        <f>INDEX(MO_BSS_Debt_Net,0,COLUMN())+INDEX(MO_BSS_Cash,0,COLUMN())</f>
        <v/>
      </c>
      <c r="AH99" s="2176">
        <f>INDEX(MO_BSS_Debt_Net,0,COLUMN())+INDEX(MO_BSS_Cash,0,COLUMN())</f>
        <v/>
      </c>
      <c r="AI99" s="2176">
        <f>INDEX(MO_BSS_Debt_Net,0,COLUMN())+INDEX(MO_BSS_Cash,0,COLUMN())</f>
        <v/>
      </c>
      <c r="AJ99" s="2176">
        <f>INDEX(MO_BSS_Debt_Net,0,COLUMN())+INDEX(MO_BSS_Cash,0,COLUMN())</f>
        <v/>
      </c>
      <c r="AK99" s="2175">
        <f>INDEX(MO_BSS_Debt_Net,0,COLUMN())+INDEX(MO_BSS_Cash,0,COLUMN())</f>
        <v/>
      </c>
      <c r="AL99" s="2176">
        <f>INDEX(MO_BSS_Debt_Net,0,COLUMN())+INDEX(MO_BSS_Cash,0,COLUMN())</f>
        <v/>
      </c>
      <c r="AM99" s="2176">
        <f>INDEX(MO_BSS_Debt_Net,0,COLUMN())+INDEX(MO_BSS_Cash,0,COLUMN())</f>
        <v/>
      </c>
      <c r="AN99" s="2176">
        <f>INDEX(MO_BSS_Debt_Net,0,COLUMN())+INDEX(MO_BSS_Cash,0,COLUMN())</f>
        <v/>
      </c>
      <c r="AO99" s="2176">
        <f>INDEX(MO_BSS_Debt_Net,0,COLUMN())+INDEX(MO_BSS_Cash,0,COLUMN())</f>
        <v/>
      </c>
      <c r="AP99" s="2175">
        <f>INDEX(MO_BSS_Debt_Net,0,COLUMN())+INDEX(MO_BSS_Cash,0,COLUMN())</f>
        <v/>
      </c>
      <c r="AQ99" s="2176">
        <f>INDEX(MO_BSS_Debt_Net,0,COLUMN())+INDEX(MO_BSS_Cash,0,COLUMN())</f>
        <v/>
      </c>
      <c r="AR99" s="2176">
        <f>INDEX(MO_BSS_Debt_Net,0,COLUMN())+INDEX(MO_BSS_Cash,0,COLUMN())</f>
        <v/>
      </c>
      <c r="AS99" s="2176">
        <f>INDEX(MO_BSS_Debt_Net,0,COLUMN())+INDEX(MO_BSS_Cash,0,COLUMN())</f>
        <v/>
      </c>
      <c r="AT99" s="2176">
        <f>INDEX(MO_BSS_Debt_Net,0,COLUMN())+INDEX(MO_BSS_Cash,0,COLUMN())</f>
        <v/>
      </c>
      <c r="AU99" s="2175">
        <f>INDEX(MO_BSS_Debt_Net,0,COLUMN())+INDEX(MO_BSS_Cash,0,COLUMN())</f>
        <v/>
      </c>
      <c r="AV99" s="2176">
        <f>INDEX(MO_BSS_Debt_Net,0,COLUMN())+INDEX(MO_BSS_Cash,0,COLUMN())</f>
        <v/>
      </c>
      <c r="AW99" s="2176">
        <f>INDEX(MO_BSS_Debt_Net,0,COLUMN())+INDEX(MO_BSS_Cash,0,COLUMN())</f>
        <v/>
      </c>
      <c r="AX99" s="2176">
        <f>INDEX(MO_BSS_Debt_Net,0,COLUMN())+INDEX(MO_BSS_Cash,0,COLUMN())</f>
        <v/>
      </c>
      <c r="AY99" s="2176">
        <f>INDEX(MO_BSS_Debt_Net,0,COLUMN())+INDEX(MO_BSS_Cash,0,COLUMN())</f>
        <v/>
      </c>
      <c r="AZ99" s="2175">
        <f>INDEX(MO_BSS_Debt_Net,0,COLUMN())+INDEX(MO_BSS_Cash,0,COLUMN())</f>
        <v/>
      </c>
      <c r="BA99" s="2176">
        <f>INDEX(MO_BSS_Debt_Net,0,COLUMN())+INDEX(MO_BSS_Cash,0,COLUMN())</f>
        <v/>
      </c>
      <c r="BB99" s="2176">
        <f>INDEX(MO_BSS_Debt_Net,0,COLUMN())+INDEX(MO_BSS_Cash,0,COLUMN())</f>
        <v/>
      </c>
      <c r="BC99" s="2176">
        <f>INDEX(MO_BSS_Debt_Net,0,COLUMN())+INDEX(MO_BSS_Cash,0,COLUMN())</f>
        <v/>
      </c>
      <c r="BD99" s="2176">
        <f>INDEX(MO_BSS_Debt_Net,0,COLUMN())+INDEX(MO_BSS_Cash,0,COLUMN())</f>
        <v/>
      </c>
      <c r="BE99" s="2175">
        <f>INDEX(MO_BSS_Debt_Net,0,COLUMN())+INDEX(MO_BSS_Cash,0,COLUMN())</f>
        <v/>
      </c>
      <c r="BF99" s="2176">
        <f>INDEX(MO_BSS_Debt_Net,0,COLUMN())+INDEX(MO_BSS_Cash,0,COLUMN())</f>
        <v/>
      </c>
      <c r="BG99" s="2176">
        <f>INDEX(MO_BSS_Debt_Net,0,COLUMN())+INDEX(MO_BSS_Cash,0,COLUMN())</f>
        <v/>
      </c>
      <c r="BH99" s="2176">
        <f>INDEX(MO_BSS_Debt_Net,0,COLUMN())+INDEX(MO_BSS_Cash,0,COLUMN())</f>
        <v/>
      </c>
      <c r="BI99" s="2176">
        <f>INDEX(MO_BSS_Debt_Net,0,COLUMN())+INDEX(MO_BSS_Cash,0,COLUMN())</f>
        <v/>
      </c>
      <c r="BJ99" s="2175">
        <f>INDEX(MO_BSS_Debt_Net,0,COLUMN())+INDEX(MO_BSS_Cash,0,COLUMN())</f>
        <v/>
      </c>
      <c r="BK99" s="2176">
        <f>INDEX(MO_BSS_Debt_Net,0,COLUMN())+INDEX(MO_BSS_Cash,0,COLUMN())</f>
        <v/>
      </c>
      <c r="BL99" s="2176">
        <f>INDEX(MO_BSS_Debt_Net,0,COLUMN())+INDEX(MO_BSS_Cash,0,COLUMN())</f>
        <v/>
      </c>
      <c r="BM99" s="2176">
        <f>INDEX(MO_BSS_Debt_Net,0,COLUMN())+INDEX(MO_BSS_Cash,0,COLUMN())</f>
        <v/>
      </c>
      <c r="BN99" s="2176">
        <f>INDEX(MO_BSS_Debt_Net,0,COLUMN())+INDEX(MO_BSS_Cash,0,COLUMN())</f>
        <v/>
      </c>
      <c r="BO99" s="2177">
        <f>INDEX(MO_BSS_Debt_Net,0,COLUMN())+INDEX(MO_BSS_Cash,0,COLUMN())</f>
        <v/>
      </c>
      <c r="BP99" s="2176">
        <f>INDEX(MO_BSS_Debt_Net,0,COLUMN())+INDEX(MO_BSS_Cash,0,COLUMN())</f>
        <v/>
      </c>
      <c r="BQ99" s="2176">
        <f>INDEX(MO_BSS_Debt_Net,0,COLUMN())+INDEX(MO_BSS_Cash,0,COLUMN())</f>
        <v/>
      </c>
      <c r="BR99" s="2176">
        <f>INDEX(MO_BSS_Debt_Net,0,COLUMN())+INDEX(MO_BSS_Cash,0,COLUMN())</f>
        <v/>
      </c>
      <c r="BS99" s="2176">
        <f>INDEX(MO_BSS_Debt_Net,0,COLUMN())+INDEX(MO_BSS_Cash,0,COLUMN())</f>
        <v/>
      </c>
      <c r="BT99" s="2175">
        <f>INDEX(MO_BSS_Debt_Net,0,COLUMN())+INDEX(MO_BSS_Cash,0,COLUMN())</f>
        <v/>
      </c>
      <c r="BU99" s="2176">
        <f>INDEX(MO_BSS_Debt_Net,0,COLUMN())+INDEX(MO_BSS_Cash,0,COLUMN())</f>
        <v/>
      </c>
      <c r="BV99" s="2176">
        <f>INDEX(MO_BSS_Debt_Net,0,COLUMN())+INDEX(MO_BSS_Cash,0,COLUMN())</f>
        <v/>
      </c>
      <c r="BW99" s="2176">
        <f>INDEX(MO_BSS_Debt_Net,0,COLUMN())+INDEX(MO_BSS_Cash,0,COLUMN())</f>
        <v/>
      </c>
      <c r="BX99" s="2176">
        <f>INDEX(MO_BSS_Debt_Net,0,COLUMN())+INDEX(MO_BSS_Cash,0,COLUMN())</f>
        <v/>
      </c>
      <c r="BY99" s="2175">
        <f>INDEX(MO_BSS_Debt_Net,0,COLUMN())+INDEX(MO_BSS_Cash,0,COLUMN())</f>
        <v/>
      </c>
      <c r="BZ99" s="2175">
        <f>INDEX(MO_BSS_Debt_Net,0,COLUMN())+INDEX(MO_BSS_Cash,0,COLUMN())</f>
        <v/>
      </c>
      <c r="CA99" s="2175">
        <f>INDEX(MO_BSS_Debt_Net,0,COLUMN())+INDEX(MO_BSS_Cash,0,COLUMN())</f>
        <v/>
      </c>
      <c r="CB99" s="2175">
        <f>INDEX(MO_BSS_Debt_Net,0,COLUMN())+INDEX(MO_BSS_Cash,0,COLUMN())</f>
        <v/>
      </c>
      <c r="CC99" s="1970" t="n"/>
    </row>
    <row r="100" hidden="1" outlineLevel="1" ht="15" customHeight="1" s="595">
      <c r="A100" s="1635" t="inlineStr">
        <is>
          <t>Average Book Value of Debt</t>
        </is>
      </c>
      <c r="B100" s="2137" t="n"/>
      <c r="C100" s="2175">
        <f>C99</f>
        <v/>
      </c>
      <c r="D100" s="2175">
        <f>AVERAGE(D99,C99)</f>
        <v/>
      </c>
      <c r="E100" s="2175">
        <f>AVERAGE(E99,D99)</f>
        <v/>
      </c>
      <c r="F100" s="2175">
        <f>AVERAGE(F99,E99)</f>
        <v/>
      </c>
      <c r="G100" s="2175">
        <f>AVERAGE(G99,F99)</f>
        <v/>
      </c>
      <c r="H100" s="2176" t="n"/>
      <c r="I100" s="2176" t="n"/>
      <c r="J100" s="2176" t="n"/>
      <c r="K100" s="2176">
        <f>AVERAGE(K99,J99,I99,H99)</f>
        <v/>
      </c>
      <c r="L100" s="2175">
        <f>AVERAGE(L99,G99)</f>
        <v/>
      </c>
      <c r="M100" s="2176">
        <f>AVERAGE(M99,K99,J99,I99)</f>
        <v/>
      </c>
      <c r="N100" s="2176">
        <f>AVERAGE(N99,M99,K99,J99)</f>
        <v/>
      </c>
      <c r="O100" s="2176">
        <f>AVERAGE(O99,N99,M99,K99)</f>
        <v/>
      </c>
      <c r="P100" s="2176">
        <f>AVERAGE(P99,O99,N99,M99)</f>
        <v/>
      </c>
      <c r="Q100" s="2175">
        <f>AVERAGE(Q99,L99)</f>
        <v/>
      </c>
      <c r="R100" s="2176">
        <f>AVERAGE(R99,P99,O99,N99)</f>
        <v/>
      </c>
      <c r="S100" s="2176">
        <f>AVERAGE(S99,R99,P99,O99)</f>
        <v/>
      </c>
      <c r="T100" s="2176">
        <f>AVERAGE(T99,S99,R99,P99)</f>
        <v/>
      </c>
      <c r="U100" s="2176">
        <f>AVERAGE(U99,T99,S99,R99)</f>
        <v/>
      </c>
      <c r="V100" s="2175">
        <f>AVERAGE(V99,Q99)</f>
        <v/>
      </c>
      <c r="W100" s="2176">
        <f>AVERAGE(W99,U99,T99,S99)</f>
        <v/>
      </c>
      <c r="X100" s="2176">
        <f>AVERAGE(X99,W99,U99,T99)</f>
        <v/>
      </c>
      <c r="Y100" s="2176">
        <f>AVERAGE(Y99,X99,W99,U99)</f>
        <v/>
      </c>
      <c r="Z100" s="2176">
        <f>AVERAGE(Z99,Y99,X99,W99)</f>
        <v/>
      </c>
      <c r="AA100" s="2175">
        <f>AVERAGE(AA99,V99)</f>
        <v/>
      </c>
      <c r="AB100" s="2176">
        <f>AVERAGE(AB99,Z99,Y99,X99)</f>
        <v/>
      </c>
      <c r="AC100" s="2176">
        <f>AVERAGE(AC99,AB99,Z99,Y99)</f>
        <v/>
      </c>
      <c r="AD100" s="2176">
        <f>AVERAGE(AD99,AC99,AB99,Z99)</f>
        <v/>
      </c>
      <c r="AE100" s="2176">
        <f>AVERAGE(AE99,AD99,AC99,AB99)</f>
        <v/>
      </c>
      <c r="AF100" s="2175">
        <f>AVERAGE(AF99,AA99)</f>
        <v/>
      </c>
      <c r="AG100" s="2176">
        <f>AVERAGE(AG99,AE99,AD99,AC99)</f>
        <v/>
      </c>
      <c r="AH100" s="2176">
        <f>AVERAGE(AH99,AG99,AE99,AD99)</f>
        <v/>
      </c>
      <c r="AI100" s="2176">
        <f>AVERAGE(AI99,AH99,AG99,AE99)</f>
        <v/>
      </c>
      <c r="AJ100" s="2176">
        <f>AVERAGE(AJ99,AI99,AH99,AG99)</f>
        <v/>
      </c>
      <c r="AK100" s="2175">
        <f>AVERAGE(AK99,AF99)</f>
        <v/>
      </c>
      <c r="AL100" s="2176">
        <f>AVERAGE(AL99,AJ99,AI99,AH99)</f>
        <v/>
      </c>
      <c r="AM100" s="2176">
        <f>AVERAGE(AM99,AL99,AJ99,AI99)</f>
        <v/>
      </c>
      <c r="AN100" s="2176">
        <f>AVERAGE(AN99,AM99,AL99,AJ99)</f>
        <v/>
      </c>
      <c r="AO100" s="2176">
        <f>AVERAGE(AO99,AN99,AM99,AL99)</f>
        <v/>
      </c>
      <c r="AP100" s="2175">
        <f>AVERAGE(AP99,AK99)</f>
        <v/>
      </c>
      <c r="AQ100" s="2176">
        <f>AVERAGE(AQ99,AO99,AN99,AM99)</f>
        <v/>
      </c>
      <c r="AR100" s="2176">
        <f>AVERAGE(AR99,AQ99,AO99,AN99)</f>
        <v/>
      </c>
      <c r="AS100" s="2176">
        <f>AVERAGE(AS99,AR99,AQ99,AO99)</f>
        <v/>
      </c>
      <c r="AT100" s="2176">
        <f>AVERAGE(AT99,AS99,AR99,AQ99)</f>
        <v/>
      </c>
      <c r="AU100" s="2175">
        <f>AVERAGE(AU99,AP99)</f>
        <v/>
      </c>
      <c r="AV100" s="2176">
        <f>AVERAGE(AV99,AT99,AS99,AR99)</f>
        <v/>
      </c>
      <c r="AW100" s="2176">
        <f>AVERAGE(AW99,AV99,AT99,AS99)</f>
        <v/>
      </c>
      <c r="AX100" s="2176">
        <f>AVERAGE(AX99,AW99,AV99,AT99)</f>
        <v/>
      </c>
      <c r="AY100" s="2176">
        <f>AVERAGE(AY99,AX99,AW99,AV99)</f>
        <v/>
      </c>
      <c r="AZ100" s="2175">
        <f>AVERAGE(AZ99,AU99)</f>
        <v/>
      </c>
      <c r="BA100" s="2176">
        <f>AVERAGE(BA99,AY99,AX99,AW99)</f>
        <v/>
      </c>
      <c r="BB100" s="2176">
        <f>AVERAGE(BB99,BA99,AY99,AX99)</f>
        <v/>
      </c>
      <c r="BC100" s="2176">
        <f>AVERAGE(BC99,BB99,BA99,AY99)</f>
        <v/>
      </c>
      <c r="BD100" s="2176">
        <f>AVERAGE(BD99,BC99,BB99,BA99)</f>
        <v/>
      </c>
      <c r="BE100" s="2175">
        <f>AVERAGE(BE99,AZ99)</f>
        <v/>
      </c>
      <c r="BF100" s="2176">
        <f>AVERAGE(BF99,BD99,BC99,BB99)</f>
        <v/>
      </c>
      <c r="BG100" s="2176">
        <f>AVERAGE(BG99,BF99,BD99,BC99)</f>
        <v/>
      </c>
      <c r="BH100" s="2176">
        <f>AVERAGE(BH99,BG99,BF99,BD99)</f>
        <v/>
      </c>
      <c r="BI100" s="2176">
        <f>AVERAGE(BI99,BH99,BG99,BF99)</f>
        <v/>
      </c>
      <c r="BJ100" s="2175">
        <f>AVERAGE(BJ99,BE99)</f>
        <v/>
      </c>
      <c r="BK100" s="2176">
        <f>AVERAGE(BK99,BI99,BH99,BG99)</f>
        <v/>
      </c>
      <c r="BL100" s="2176">
        <f>AVERAGE(BL99,BK99,BI99,BH99)</f>
        <v/>
      </c>
      <c r="BM100" s="2176">
        <f>AVERAGE(BM99,BL99,BK99,BI99)</f>
        <v/>
      </c>
      <c r="BN100" s="2176">
        <f>AVERAGE(BN99,BM99,BL99,BK99)</f>
        <v/>
      </c>
      <c r="BO100" s="2177">
        <f>AVERAGE(BO99,BJ99)</f>
        <v/>
      </c>
      <c r="BP100" s="2176">
        <f>AVERAGE(BP99,BN99,BM99,BL99)</f>
        <v/>
      </c>
      <c r="BQ100" s="2176">
        <f>AVERAGE(BQ99,BP99,BN99,BM99)</f>
        <v/>
      </c>
      <c r="BR100" s="2176">
        <f>AVERAGE(BR99,BQ99,BP99,BN99)</f>
        <v/>
      </c>
      <c r="BS100" s="2176">
        <f>AVERAGE(BS99,BR99,BQ99,BP99)</f>
        <v/>
      </c>
      <c r="BT100" s="2175">
        <f>AVERAGE(BT99,BO99)</f>
        <v/>
      </c>
      <c r="BU100" s="2176">
        <f>AVERAGE(BU99,BS99,BR99,BQ99)</f>
        <v/>
      </c>
      <c r="BV100" s="2176">
        <f>AVERAGE(BV99,BU99,BS99,BR99)</f>
        <v/>
      </c>
      <c r="BW100" s="2176">
        <f>AVERAGE(BW99,BV99,BU99,BS99)</f>
        <v/>
      </c>
      <c r="BX100" s="2176">
        <f>AVERAGE(BX99,BW99,BV99,BU99)</f>
        <v/>
      </c>
      <c r="BY100" s="2175">
        <f>AVERAGE(BY99,BT99)</f>
        <v/>
      </c>
      <c r="BZ100" s="2175">
        <f>AVERAGE(BZ99,BY99)</f>
        <v/>
      </c>
      <c r="CA100" s="2175">
        <f>AVERAGE(CA99,BZ99)</f>
        <v/>
      </c>
      <c r="CB100" s="2175">
        <f>AVERAGE(CB99,CA99)</f>
        <v/>
      </c>
      <c r="CC100" s="1970" t="n"/>
    </row>
    <row r="101" hidden="1" outlineLevel="1" ht="15" customHeight="1" s="595">
      <c r="A101" s="1635" t="inlineStr">
        <is>
          <t>Average Invested Capital</t>
        </is>
      </c>
      <c r="B101" s="2137" t="n"/>
      <c r="C101" s="2175">
        <f>SUM(INDEX(SP_BSR_Debt_Avg,0,COLUMN()),INDEX(SP_BSR_SE_Avg,0,COLUMN()))</f>
        <v/>
      </c>
      <c r="D101" s="2175">
        <f>SUM(INDEX(SP_BSR_Debt_Avg,0,COLUMN()),INDEX(SP_BSR_SE_Avg,0,COLUMN()))</f>
        <v/>
      </c>
      <c r="E101" s="2175">
        <f>SUM(INDEX(SP_BSR_Debt_Avg,0,COLUMN()),INDEX(SP_BSR_SE_Avg,0,COLUMN()))</f>
        <v/>
      </c>
      <c r="F101" s="2175">
        <f>SUM(INDEX(SP_BSR_Debt_Avg,0,COLUMN()),INDEX(SP_BSR_SE_Avg,0,COLUMN()))</f>
        <v/>
      </c>
      <c r="G101" s="2175">
        <f>SUM(INDEX(SP_BSR_Debt_Avg,0,COLUMN()),INDEX(SP_BSR_SE_Avg,0,COLUMN()))</f>
        <v/>
      </c>
      <c r="H101" s="2176" t="n"/>
      <c r="I101" s="2176" t="n"/>
      <c r="J101" s="2176" t="n"/>
      <c r="K101" s="2176">
        <f>SUM(INDEX(SP_BSR_Debt_Avg,0,COLUMN()),INDEX(SP_BSR_SE_Avg,0,COLUMN()))</f>
        <v/>
      </c>
      <c r="L101" s="2175">
        <f>SUM(INDEX(SP_BSR_Debt_Avg,0,COLUMN()),INDEX(SP_BSR_SE_Avg,0,COLUMN()))</f>
        <v/>
      </c>
      <c r="M101" s="2176">
        <f>SUM(INDEX(SP_BSR_Debt_Avg,0,COLUMN()),INDEX(SP_BSR_SE_Avg,0,COLUMN()))</f>
        <v/>
      </c>
      <c r="N101" s="2176">
        <f>SUM(INDEX(SP_BSR_Debt_Avg,0,COLUMN()),INDEX(SP_BSR_SE_Avg,0,COLUMN()))</f>
        <v/>
      </c>
      <c r="O101" s="2176">
        <f>SUM(INDEX(SP_BSR_Debt_Avg,0,COLUMN()),INDEX(SP_BSR_SE_Avg,0,COLUMN()))</f>
        <v/>
      </c>
      <c r="P101" s="2176">
        <f>SUM(INDEX(SP_BSR_Debt_Avg,0,COLUMN()),INDEX(SP_BSR_SE_Avg,0,COLUMN()))</f>
        <v/>
      </c>
      <c r="Q101" s="2175">
        <f>SUM(INDEX(SP_BSR_Debt_Avg,0,COLUMN()),INDEX(SP_BSR_SE_Avg,0,COLUMN()))</f>
        <v/>
      </c>
      <c r="R101" s="2176">
        <f>SUM(INDEX(SP_BSR_Debt_Avg,0,COLUMN()),INDEX(SP_BSR_SE_Avg,0,COLUMN()))</f>
        <v/>
      </c>
      <c r="S101" s="2176">
        <f>SUM(INDEX(SP_BSR_Debt_Avg,0,COLUMN()),INDEX(SP_BSR_SE_Avg,0,COLUMN()))</f>
        <v/>
      </c>
      <c r="T101" s="2176">
        <f>SUM(INDEX(SP_BSR_Debt_Avg,0,COLUMN()),INDEX(SP_BSR_SE_Avg,0,COLUMN()))</f>
        <v/>
      </c>
      <c r="U101" s="2176">
        <f>SUM(INDEX(SP_BSR_Debt_Avg,0,COLUMN()),INDEX(SP_BSR_SE_Avg,0,COLUMN()))</f>
        <v/>
      </c>
      <c r="V101" s="2175">
        <f>SUM(INDEX(SP_BSR_Debt_Avg,0,COLUMN()),INDEX(SP_BSR_SE_Avg,0,COLUMN()))</f>
        <v/>
      </c>
      <c r="W101" s="2176">
        <f>SUM(INDEX(SP_BSR_Debt_Avg,0,COLUMN()),INDEX(SP_BSR_SE_Avg,0,COLUMN()))</f>
        <v/>
      </c>
      <c r="X101" s="2176">
        <f>SUM(INDEX(SP_BSR_Debt_Avg,0,COLUMN()),INDEX(SP_BSR_SE_Avg,0,COLUMN()))</f>
        <v/>
      </c>
      <c r="Y101" s="2176">
        <f>SUM(INDEX(SP_BSR_Debt_Avg,0,COLUMN()),INDEX(SP_BSR_SE_Avg,0,COLUMN()))</f>
        <v/>
      </c>
      <c r="Z101" s="2176">
        <f>SUM(INDEX(SP_BSR_Debt_Avg,0,COLUMN()),INDEX(SP_BSR_SE_Avg,0,COLUMN()))</f>
        <v/>
      </c>
      <c r="AA101" s="2175">
        <f>SUM(INDEX(SP_BSR_Debt_Avg,0,COLUMN()),INDEX(SP_BSR_SE_Avg,0,COLUMN()))</f>
        <v/>
      </c>
      <c r="AB101" s="2176">
        <f>SUM(INDEX(SP_BSR_Debt_Avg,0,COLUMN()),INDEX(SP_BSR_SE_Avg,0,COLUMN()))</f>
        <v/>
      </c>
      <c r="AC101" s="2176">
        <f>SUM(INDEX(SP_BSR_Debt_Avg,0,COLUMN()),INDEX(SP_BSR_SE_Avg,0,COLUMN()))</f>
        <v/>
      </c>
      <c r="AD101" s="2176">
        <f>SUM(INDEX(SP_BSR_Debt_Avg,0,COLUMN()),INDEX(SP_BSR_SE_Avg,0,COLUMN()))</f>
        <v/>
      </c>
      <c r="AE101" s="2176">
        <f>SUM(INDEX(SP_BSR_Debt_Avg,0,COLUMN()),INDEX(SP_BSR_SE_Avg,0,COLUMN()))</f>
        <v/>
      </c>
      <c r="AF101" s="2175">
        <f>SUM(INDEX(SP_BSR_Debt_Avg,0,COLUMN()),INDEX(SP_BSR_SE_Avg,0,COLUMN()))</f>
        <v/>
      </c>
      <c r="AG101" s="2176">
        <f>SUM(INDEX(SP_BSR_Debt_Avg,0,COLUMN()),INDEX(SP_BSR_SE_Avg,0,COLUMN()))</f>
        <v/>
      </c>
      <c r="AH101" s="2176">
        <f>SUM(INDEX(SP_BSR_Debt_Avg,0,COLUMN()),INDEX(SP_BSR_SE_Avg,0,COLUMN()))</f>
        <v/>
      </c>
      <c r="AI101" s="2176">
        <f>SUM(INDEX(SP_BSR_Debt_Avg,0,COLUMN()),INDEX(SP_BSR_SE_Avg,0,COLUMN()))</f>
        <v/>
      </c>
      <c r="AJ101" s="2176">
        <f>SUM(INDEX(SP_BSR_Debt_Avg,0,COLUMN()),INDEX(SP_BSR_SE_Avg,0,COLUMN()))</f>
        <v/>
      </c>
      <c r="AK101" s="2175">
        <f>SUM(INDEX(SP_BSR_Debt_Avg,0,COLUMN()),INDEX(SP_BSR_SE_Avg,0,COLUMN()))</f>
        <v/>
      </c>
      <c r="AL101" s="2176">
        <f>SUM(INDEX(SP_BSR_Debt_Avg,0,COLUMN()),INDEX(SP_BSR_SE_Avg,0,COLUMN()))</f>
        <v/>
      </c>
      <c r="AM101" s="2176">
        <f>SUM(INDEX(SP_BSR_Debt_Avg,0,COLUMN()),INDEX(SP_BSR_SE_Avg,0,COLUMN()))</f>
        <v/>
      </c>
      <c r="AN101" s="2176">
        <f>SUM(INDEX(SP_BSR_Debt_Avg,0,COLUMN()),INDEX(SP_BSR_SE_Avg,0,COLUMN()))</f>
        <v/>
      </c>
      <c r="AO101" s="2176">
        <f>SUM(INDEX(SP_BSR_Debt_Avg,0,COLUMN()),INDEX(SP_BSR_SE_Avg,0,COLUMN()))</f>
        <v/>
      </c>
      <c r="AP101" s="2175">
        <f>SUM(INDEX(SP_BSR_Debt_Avg,0,COLUMN()),INDEX(SP_BSR_SE_Avg,0,COLUMN()))</f>
        <v/>
      </c>
      <c r="AQ101" s="2176">
        <f>SUM(INDEX(SP_BSR_Debt_Avg,0,COLUMN()),INDEX(SP_BSR_SE_Avg,0,COLUMN()))</f>
        <v/>
      </c>
      <c r="AR101" s="2176">
        <f>SUM(INDEX(SP_BSR_Debt_Avg,0,COLUMN()),INDEX(SP_BSR_SE_Avg,0,COLUMN()))</f>
        <v/>
      </c>
      <c r="AS101" s="2176">
        <f>SUM(INDEX(SP_BSR_Debt_Avg,0,COLUMN()),INDEX(SP_BSR_SE_Avg,0,COLUMN()))</f>
        <v/>
      </c>
      <c r="AT101" s="2176">
        <f>SUM(INDEX(SP_BSR_Debt_Avg,0,COLUMN()),INDEX(SP_BSR_SE_Avg,0,COLUMN()))</f>
        <v/>
      </c>
      <c r="AU101" s="2175">
        <f>SUM(INDEX(SP_BSR_Debt_Avg,0,COLUMN()),INDEX(SP_BSR_SE_Avg,0,COLUMN()))</f>
        <v/>
      </c>
      <c r="AV101" s="2176">
        <f>SUM(INDEX(SP_BSR_Debt_Avg,0,COLUMN()),INDEX(SP_BSR_SE_Avg,0,COLUMN()))</f>
        <v/>
      </c>
      <c r="AW101" s="2176">
        <f>SUM(INDEX(SP_BSR_Debt_Avg,0,COLUMN()),INDEX(SP_BSR_SE_Avg,0,COLUMN()))</f>
        <v/>
      </c>
      <c r="AX101" s="2176">
        <f>SUM(INDEX(SP_BSR_Debt_Avg,0,COLUMN()),INDEX(SP_BSR_SE_Avg,0,COLUMN()))</f>
        <v/>
      </c>
      <c r="AY101" s="2176">
        <f>SUM(INDEX(SP_BSR_Debt_Avg,0,COLUMN()),INDEX(SP_BSR_SE_Avg,0,COLUMN()))</f>
        <v/>
      </c>
      <c r="AZ101" s="2175">
        <f>SUM(INDEX(SP_BSR_Debt_Avg,0,COLUMN()),INDEX(SP_BSR_SE_Avg,0,COLUMN()))</f>
        <v/>
      </c>
      <c r="BA101" s="2176">
        <f>SUM(INDEX(SP_BSR_Debt_Avg,0,COLUMN()),INDEX(SP_BSR_SE_Avg,0,COLUMN()))</f>
        <v/>
      </c>
      <c r="BB101" s="2176">
        <f>SUM(INDEX(SP_BSR_Debt_Avg,0,COLUMN()),INDEX(SP_BSR_SE_Avg,0,COLUMN()))</f>
        <v/>
      </c>
      <c r="BC101" s="2176">
        <f>SUM(INDEX(SP_BSR_Debt_Avg,0,COLUMN()),INDEX(SP_BSR_SE_Avg,0,COLUMN()))</f>
        <v/>
      </c>
      <c r="BD101" s="2176">
        <f>SUM(INDEX(SP_BSR_Debt_Avg,0,COLUMN()),INDEX(SP_BSR_SE_Avg,0,COLUMN()))</f>
        <v/>
      </c>
      <c r="BE101" s="2175">
        <f>SUM(INDEX(SP_BSR_Debt_Avg,0,COLUMN()),INDEX(SP_BSR_SE_Avg,0,COLUMN()))</f>
        <v/>
      </c>
      <c r="BF101" s="2176">
        <f>SUM(INDEX(SP_BSR_Debt_Avg,0,COLUMN()),INDEX(SP_BSR_SE_Avg,0,COLUMN()))</f>
        <v/>
      </c>
      <c r="BG101" s="2176">
        <f>SUM(INDEX(SP_BSR_Debt_Avg,0,COLUMN()),INDEX(SP_BSR_SE_Avg,0,COLUMN()))</f>
        <v/>
      </c>
      <c r="BH101" s="2176">
        <f>SUM(INDEX(SP_BSR_Debt_Avg,0,COLUMN()),INDEX(SP_BSR_SE_Avg,0,COLUMN()))</f>
        <v/>
      </c>
      <c r="BI101" s="2176">
        <f>SUM(INDEX(SP_BSR_Debt_Avg,0,COLUMN()),INDEX(SP_BSR_SE_Avg,0,COLUMN()))</f>
        <v/>
      </c>
      <c r="BJ101" s="2175">
        <f>SUM(INDEX(SP_BSR_Debt_Avg,0,COLUMN()),INDEX(SP_BSR_SE_Avg,0,COLUMN()))</f>
        <v/>
      </c>
      <c r="BK101" s="2176">
        <f>SUM(INDEX(SP_BSR_Debt_Avg,0,COLUMN()),INDEX(SP_BSR_SE_Avg,0,COLUMN()))</f>
        <v/>
      </c>
      <c r="BL101" s="2176">
        <f>SUM(INDEX(SP_BSR_Debt_Avg,0,COLUMN()),INDEX(SP_BSR_SE_Avg,0,COLUMN()))</f>
        <v/>
      </c>
      <c r="BM101" s="2176">
        <f>SUM(INDEX(SP_BSR_Debt_Avg,0,COLUMN()),INDEX(SP_BSR_SE_Avg,0,COLUMN()))</f>
        <v/>
      </c>
      <c r="BN101" s="2176">
        <f>SUM(INDEX(SP_BSR_Debt_Avg,0,COLUMN()),INDEX(SP_BSR_SE_Avg,0,COLUMN()))</f>
        <v/>
      </c>
      <c r="BO101" s="2177">
        <f>SUM(INDEX(SP_BSR_Debt_Avg,0,COLUMN()),INDEX(SP_BSR_SE_Avg,0,COLUMN()))</f>
        <v/>
      </c>
      <c r="BP101" s="2176">
        <f>SUM(INDEX(SP_BSR_Debt_Avg,0,COLUMN()),INDEX(SP_BSR_SE_Avg,0,COLUMN()))</f>
        <v/>
      </c>
      <c r="BQ101" s="2176">
        <f>SUM(INDEX(SP_BSR_Debt_Avg,0,COLUMN()),INDEX(SP_BSR_SE_Avg,0,COLUMN()))</f>
        <v/>
      </c>
      <c r="BR101" s="2176">
        <f>SUM(INDEX(SP_BSR_Debt_Avg,0,COLUMN()),INDEX(SP_BSR_SE_Avg,0,COLUMN()))</f>
        <v/>
      </c>
      <c r="BS101" s="2176">
        <f>SUM(INDEX(SP_BSR_Debt_Avg,0,COLUMN()),INDEX(SP_BSR_SE_Avg,0,COLUMN()))</f>
        <v/>
      </c>
      <c r="BT101" s="2175">
        <f>SUM(INDEX(SP_BSR_Debt_Avg,0,COLUMN()),INDEX(SP_BSR_SE_Avg,0,COLUMN()))</f>
        <v/>
      </c>
      <c r="BU101" s="2176">
        <f>SUM(INDEX(SP_BSR_Debt_Avg,0,COLUMN()),INDEX(SP_BSR_SE_Avg,0,COLUMN()))</f>
        <v/>
      </c>
      <c r="BV101" s="2176">
        <f>SUM(INDEX(SP_BSR_Debt_Avg,0,COLUMN()),INDEX(SP_BSR_SE_Avg,0,COLUMN()))</f>
        <v/>
      </c>
      <c r="BW101" s="2176">
        <f>SUM(INDEX(SP_BSR_Debt_Avg,0,COLUMN()),INDEX(SP_BSR_SE_Avg,0,COLUMN()))</f>
        <v/>
      </c>
      <c r="BX101" s="2176">
        <f>SUM(INDEX(SP_BSR_Debt_Avg,0,COLUMN()),INDEX(SP_BSR_SE_Avg,0,COLUMN()))</f>
        <v/>
      </c>
      <c r="BY101" s="2175">
        <f>SUM(INDEX(SP_BSR_Debt_Avg,0,COLUMN()),INDEX(SP_BSR_SE_Avg,0,COLUMN()))</f>
        <v/>
      </c>
      <c r="BZ101" s="2175">
        <f>SUM(INDEX(SP_BSR_Debt_Avg,0,COLUMN()),INDEX(SP_BSR_SE_Avg,0,COLUMN()))</f>
        <v/>
      </c>
      <c r="CA101" s="2175">
        <f>SUM(INDEX(SP_BSR_Debt_Avg,0,COLUMN()),INDEX(SP_BSR_SE_Avg,0,COLUMN()))</f>
        <v/>
      </c>
      <c r="CB101" s="2175">
        <f>SUM(INDEX(SP_BSR_Debt_Avg,0,COLUMN()),INDEX(SP_BSR_SE_Avg,0,COLUMN()))</f>
        <v/>
      </c>
      <c r="CC101" s="1970" t="n"/>
    </row>
    <row r="102" collapsed="1" ht="15" customFormat="1" customHeight="1" s="637">
      <c r="A102" s="167" t="inlineStr">
        <is>
          <t>ROIC</t>
        </is>
      </c>
      <c r="B102" s="168" t="n"/>
      <c r="C102" s="1520">
        <f>IF(C101&lt;0,"NMF",IF(ABS(C95/C101)&gt;1,"NMF",C95/C101))</f>
        <v/>
      </c>
      <c r="D102" s="1520">
        <f>IF(D101&lt;0,"NMF",IF(ABS(D95/D101)&gt;1,"NMF",D95/D101))</f>
        <v/>
      </c>
      <c r="E102" s="1520">
        <f>IF(E101&lt;0,"NMF",IF(ABS(E95/E101)&gt;1,"NMF",E95/E101))</f>
        <v/>
      </c>
      <c r="F102" s="1520">
        <f>IF(F101&lt;0,"NMF",IF(ABS(F95/F101)&gt;1,"NMF",F95/F101))</f>
        <v/>
      </c>
      <c r="G102" s="1520">
        <f>IF(G101&lt;0,"NMF",IF(ABS(G95/G101)&gt;1,"NMF",G95/G101))</f>
        <v/>
      </c>
      <c r="H102" s="780" t="n"/>
      <c r="I102" s="780" t="n"/>
      <c r="J102" s="780" t="n"/>
      <c r="K102" s="780">
        <f>IF(K101&lt;0,"NMF",IF(ABS(K95/K101)&gt;1,"NMF",K95/K101))</f>
        <v/>
      </c>
      <c r="L102" s="1520">
        <f>IF(L101&lt;0,"NMF",IF(ABS(L95/L101)&gt;1,"NMF",L95/L101))</f>
        <v/>
      </c>
      <c r="M102" s="780">
        <f>IF(M101&lt;0,"NMF",IF(ABS(M95/M101)&gt;1,"NMF",M95/M101))</f>
        <v/>
      </c>
      <c r="N102" s="780">
        <f>IF(N101&lt;0,"NMF",IF(ABS(N95/N101)&gt;1,"NMF",N95/N101))</f>
        <v/>
      </c>
      <c r="O102" s="780">
        <f>IF(O101&lt;0,"NMF",IF(ABS(O95/O101)&gt;1,"NMF",O95/O101))</f>
        <v/>
      </c>
      <c r="P102" s="780">
        <f>IF(P101&lt;0,"NMF",IF(ABS(P95/P101)&gt;1,"NMF",P95/P101))</f>
        <v/>
      </c>
      <c r="Q102" s="1520">
        <f>IF(Q101&lt;0,"NMF",IF(ABS(Q95/Q101)&gt;1,"NMF",Q95/Q101))</f>
        <v/>
      </c>
      <c r="R102" s="780">
        <f>IF(R101&lt;0,"NMF",IF(ABS(R95/R101)&gt;1,"NMF",R95/R101))</f>
        <v/>
      </c>
      <c r="S102" s="780">
        <f>IF(S101&lt;0,"NMF",IF(ABS(S95/S101)&gt;1,"NMF",S95/S101))</f>
        <v/>
      </c>
      <c r="T102" s="780">
        <f>IF(T101&lt;0,"NMF",IF(ABS(T95/T101)&gt;1,"NMF",T95/T101))</f>
        <v/>
      </c>
      <c r="U102" s="780">
        <f>IF(U101&lt;0,"NMF",IF(ABS(U95/U101)&gt;1,"NMF",U95/U101))</f>
        <v/>
      </c>
      <c r="V102" s="1520">
        <f>IF(V101&lt;0,"NMF",IF(ABS(V95/V101)&gt;1,"NMF",V95/V101))</f>
        <v/>
      </c>
      <c r="W102" s="780">
        <f>IF(W101&lt;0,"NMF",IF(ABS(W95/W101)&gt;1,"NMF",W95/W101))</f>
        <v/>
      </c>
      <c r="X102" s="780">
        <f>IF(X101&lt;0,"NMF",IF(ABS(X95/X101)&gt;1,"NMF",X95/X101))</f>
        <v/>
      </c>
      <c r="Y102" s="780">
        <f>IF(Y101&lt;0,"NMF",IF(ABS(Y95/Y101)&gt;1,"NMF",Y95/Y101))</f>
        <v/>
      </c>
      <c r="Z102" s="780">
        <f>IF(Z101&lt;0,"NMF",IF(ABS(Z95/Z101)&gt;1,"NMF",Z95/Z101))</f>
        <v/>
      </c>
      <c r="AA102" s="1520">
        <f>IF(AA101&lt;0,"NMF",IF(ABS(AA95/AA101)&gt;1,"NMF",AA95/AA101))</f>
        <v/>
      </c>
      <c r="AB102" s="780">
        <f>IF(AB101&lt;0,"NMF",IF(ABS(AB95/AB101)&gt;1,"NMF",AB95/AB101))</f>
        <v/>
      </c>
      <c r="AC102" s="780">
        <f>IF(AC101&lt;0,"NMF",IF(ABS(AC95/AC101)&gt;1,"NMF",AC95/AC101))</f>
        <v/>
      </c>
      <c r="AD102" s="780">
        <f>IF(AD101&lt;0,"NMF",IF(ABS(AD95/AD101)&gt;1,"NMF",AD95/AD101))</f>
        <v/>
      </c>
      <c r="AE102" s="780">
        <f>IF(AE101&lt;0,"NMF",IF(ABS(AE95/AE101)&gt;1,"NMF",AE95/AE101))</f>
        <v/>
      </c>
      <c r="AF102" s="1520">
        <f>IF(AF101&lt;0,"NMF",IF(ABS(AF95/AF101)&gt;1,"NMF",AF95/AF101))</f>
        <v/>
      </c>
      <c r="AG102" s="780">
        <f>IF(AG101&lt;0,"NMF",IF(ABS(AG95/AG101)&gt;1,"NMF",AG95/AG101))</f>
        <v/>
      </c>
      <c r="AH102" s="780">
        <f>IF(AH101&lt;0,"NMF",IF(ABS(AH95/AH101)&gt;1,"NMF",AH95/AH101))</f>
        <v/>
      </c>
      <c r="AI102" s="780">
        <f>IF(AI101&lt;0,"NMF",IF(ABS(AI95/AI101)&gt;1,"NMF",AI95/AI101))</f>
        <v/>
      </c>
      <c r="AJ102" s="780">
        <f>IF(AJ101&lt;0,"NMF",IF(ABS(AJ95/AJ101)&gt;1,"NMF",AJ95/AJ101))</f>
        <v/>
      </c>
      <c r="AK102" s="1520">
        <f>IF(AK101&lt;0,"NMF",IF(ABS(AK95/AK101)&gt;1,"NMF",AK95/AK101))</f>
        <v/>
      </c>
      <c r="AL102" s="780">
        <f>IF(AL101&lt;0,"NMF",IF(ABS(AL95/AL101)&gt;1,"NMF",AL95/AL101))</f>
        <v/>
      </c>
      <c r="AM102" s="780">
        <f>IF(AM101&lt;0,"NMF",IF(ABS(AM95/AM101)&gt;1,"NMF",AM95/AM101))</f>
        <v/>
      </c>
      <c r="AN102" s="780">
        <f>IF(AN101&lt;0,"NMF",IF(ABS(AN95/AN101)&gt;1,"NMF",AN95/AN101))</f>
        <v/>
      </c>
      <c r="AO102" s="780">
        <f>IF(AO101&lt;0,"NMF",IF(ABS(AO95/AO101)&gt;1,"NMF",AO95/AO101))</f>
        <v/>
      </c>
      <c r="AP102" s="1520">
        <f>IF(AP101&lt;0,"NMF",IF(ABS(AP95/AP101)&gt;1,"NMF",AP95/AP101))</f>
        <v/>
      </c>
      <c r="AQ102" s="780">
        <f>IF(AQ101&lt;0,"NMF",IF(ABS(AQ95/AQ101)&gt;1,"NMF",AQ95/AQ101))</f>
        <v/>
      </c>
      <c r="AR102" s="780">
        <f>IF(AR101&lt;0,"NMF",IF(ABS(AR95/AR101)&gt;1,"NMF",AR95/AR101))</f>
        <v/>
      </c>
      <c r="AS102" s="780">
        <f>IF(AS101&lt;0,"NMF",IF(ABS(AS95/AS101)&gt;1,"NMF",AS95/AS101))</f>
        <v/>
      </c>
      <c r="AT102" s="780">
        <f>IF(AT101&lt;0,"NMF",IF(ABS(AT95/AT101)&gt;1,"NMF",AT95/AT101))</f>
        <v/>
      </c>
      <c r="AU102" s="1520">
        <f>IF(AU101&lt;0,"NMF",IF(ABS(AU95/AU101)&gt;1,"NMF",AU95/AU101))</f>
        <v/>
      </c>
      <c r="AV102" s="780">
        <f>IF(AV101&lt;0,"NMF",IF(ABS(AV95/AV101)&gt;1,"NMF",AV95/AV101))</f>
        <v/>
      </c>
      <c r="AW102" s="780">
        <f>IF(AW101&lt;0,"NMF",IF(ABS(AW95/AW101)&gt;1,"NMF",AW95/AW101))</f>
        <v/>
      </c>
      <c r="AX102" s="780">
        <f>IF(AX101&lt;0,"NMF",IF(ABS(AX95/AX101)&gt;1,"NMF",AX95/AX101))</f>
        <v/>
      </c>
      <c r="AY102" s="780">
        <f>IF(AY101&lt;0,"NMF",IF(ABS(AY95/AY101)&gt;1,"NMF",AY95/AY101))</f>
        <v/>
      </c>
      <c r="AZ102" s="1520">
        <f>IF(AZ101&lt;0,"NMF",IF(ABS(AZ95/AZ101)&gt;1,"NMF",AZ95/AZ101))</f>
        <v/>
      </c>
      <c r="BA102" s="780">
        <f>IF(BA101&lt;0,"NMF",IF(ABS(BA95/BA101)&gt;1,"NMF",BA95/BA101))</f>
        <v/>
      </c>
      <c r="BB102" s="780">
        <f>IF(BB101&lt;0,"NMF",IF(ABS(BB95/BB101)&gt;1,"NMF",BB95/BB101))</f>
        <v/>
      </c>
      <c r="BC102" s="780">
        <f>IF(BC101&lt;0,"NMF",IF(ABS(BC95/BC101)&gt;1,"NMF",BC95/BC101))</f>
        <v/>
      </c>
      <c r="BD102" s="780">
        <f>IF(BD101&lt;0,"NMF",IF(ABS(BD95/BD101)&gt;1,"NMF",BD95/BD101))</f>
        <v/>
      </c>
      <c r="BE102" s="1520">
        <f>IF(BE101&lt;0,"NMF",IF(ABS(BE95/BE101)&gt;1,"NMF",BE95/BE101))</f>
        <v/>
      </c>
      <c r="BF102" s="780">
        <f>IF(BF101&lt;0,"NMF",IF(ABS(BF95/BF101)&gt;1,"NMF",BF95/BF101))</f>
        <v/>
      </c>
      <c r="BG102" s="780">
        <f>IF(BG101&lt;0,"NMF",IF(ABS(BG95/BG101)&gt;1,"NMF",BG95/BG101))</f>
        <v/>
      </c>
      <c r="BH102" s="780">
        <f>IF(BH101&lt;0,"NMF",IF(ABS(BH95/BH101)&gt;1,"NMF",BH95/BH101))</f>
        <v/>
      </c>
      <c r="BI102" s="780">
        <f>IF(BI101&lt;0,"NMF",IF(ABS(BI95/BI101)&gt;1,"NMF",BI95/BI101))</f>
        <v/>
      </c>
      <c r="BJ102" s="1520">
        <f>IF(BJ101&lt;0,"NMF",IF(ABS(BJ95/BJ101)&gt;1,"NMF",BJ95/BJ101))</f>
        <v/>
      </c>
      <c r="BK102" s="780">
        <f>IF(BK101&lt;0,"NMF",IF(ABS(BK95/BK101)&gt;1,"NMF",BK95/BK101))</f>
        <v/>
      </c>
      <c r="BL102" s="780">
        <f>IF(BL101&lt;0,"NMF",IF(ABS(BL95/BL101)&gt;1,"NMF",BL95/BL101))</f>
        <v/>
      </c>
      <c r="BM102" s="780">
        <f>IF(BM101&lt;0,"NMF",IF(ABS(BM95/BM101)&gt;1,"NMF",BM95/BM101))</f>
        <v/>
      </c>
      <c r="BN102" s="780">
        <f>IF(BN101&lt;0,"NMF",IF(ABS(BN95/BN101)&gt;1,"NMF",BN95/BN101))</f>
        <v/>
      </c>
      <c r="BO102" s="1519">
        <f>IF(BO101&lt;0,"NMF",IF(ABS(BO95/BO101)&gt;1,"NMF",BO95/BO101))</f>
        <v/>
      </c>
      <c r="BP102" s="780">
        <f>IF(BP101&lt;0,"NMF",IF(ABS(BP95/BP101)&gt;1,"NMF",BP95/BP101))</f>
        <v/>
      </c>
      <c r="BQ102" s="780">
        <f>IF(BQ101&lt;0,"NMF",IF(ABS(BQ95/BQ101)&gt;1,"NMF",BQ95/BQ101))</f>
        <v/>
      </c>
      <c r="BR102" s="780">
        <f>IF(BR101&lt;0,"NMF",IF(ABS(BR95/BR101)&gt;1,"NMF",BR95/BR101))</f>
        <v/>
      </c>
      <c r="BS102" s="780">
        <f>IF(BS101&lt;0,"NMF",IF(ABS(BS95/BS101)&gt;1,"NMF",BS95/BS101))</f>
        <v/>
      </c>
      <c r="BT102" s="1520">
        <f>IF(BT101&lt;0,"NMF",IF(ABS(BT95/BT101)&gt;1,"NMF",BT95/BT101))</f>
        <v/>
      </c>
      <c r="BU102" s="780">
        <f>IF(BU101&lt;0,"NMF",IF(ABS(BU95/BU101)&gt;1,"NMF",BU95/BU101))</f>
        <v/>
      </c>
      <c r="BV102" s="780">
        <f>IF(BV101&lt;0,"NMF",IF(ABS(BV95/BV101)&gt;1,"NMF",BV95/BV101))</f>
        <v/>
      </c>
      <c r="BW102" s="780">
        <f>IF(BW101&lt;0,"NMF",IF(ABS(BW95/BW101)&gt;1,"NMF",BW95/BW101))</f>
        <v/>
      </c>
      <c r="BX102" s="780">
        <f>IF(BX101&lt;0,"NMF",IF(ABS(BX95/BX101)&gt;1,"NMF",BX95/BX101))</f>
        <v/>
      </c>
      <c r="BY102" s="1520">
        <f>IF(BY101&lt;0,"NMF",IF(ABS(BY95/BY101)&gt;1,"NMF",BY95/BY101))</f>
        <v/>
      </c>
      <c r="BZ102" s="1520">
        <f>IF(BZ101&lt;0,"NMF",IF(ABS(BZ95/BZ101)&gt;1,"NMF",BZ95/BZ101))</f>
        <v/>
      </c>
      <c r="CA102" s="1520">
        <f>IF(CA101&lt;0,"NMF",IF(ABS(CA95/CA101)&gt;1,"NMF",CA95/CA101))</f>
        <v/>
      </c>
      <c r="CB102" s="1520">
        <f>IF(CB101&lt;0,"NMF",IF(ABS(CB95/CB101)&gt;1,"NMF",CB95/CB101))</f>
        <v/>
      </c>
      <c r="CC102" s="188" t="n"/>
    </row>
    <row r="103" hidden="1" outlineLevel="1" ht="15" customHeight="1" s="595">
      <c r="A103" s="1635" t="inlineStr">
        <is>
          <t>EBIT</t>
        </is>
      </c>
      <c r="B103" s="2137" t="n"/>
      <c r="C103" s="2175">
        <f>INDEX(MO_RIS_EBIT,0,COLUMN())</f>
        <v/>
      </c>
      <c r="D103" s="2175">
        <f>INDEX(MO_RIS_EBIT,0,COLUMN())</f>
        <v/>
      </c>
      <c r="E103" s="2175">
        <f>INDEX(MO_RIS_EBIT,0,COLUMN())</f>
        <v/>
      </c>
      <c r="F103" s="2175">
        <f>INDEX(MO_RIS_EBIT,0,COLUMN())</f>
        <v/>
      </c>
      <c r="G103" s="2175">
        <f>INDEX(MO_RIS_EBIT,0,COLUMN())</f>
        <v/>
      </c>
      <c r="H103" s="2176">
        <f>INDEX(MO_RIS_EBIT,0,COLUMN())</f>
        <v/>
      </c>
      <c r="I103" s="2176">
        <f>INDEX(MO_RIS_EBIT,0,COLUMN())</f>
        <v/>
      </c>
      <c r="J103" s="2176">
        <f>INDEX(MO_RIS_EBIT,0,COLUMN())</f>
        <v/>
      </c>
      <c r="K103" s="2176">
        <f>INDEX(MO_RIS_EBIT,0,COLUMN())</f>
        <v/>
      </c>
      <c r="L103" s="2175">
        <f>INDEX(MO_RIS_EBIT,0,COLUMN())</f>
        <v/>
      </c>
      <c r="M103" s="2176">
        <f>INDEX(MO_RIS_EBIT,0,COLUMN())</f>
        <v/>
      </c>
      <c r="N103" s="2176">
        <f>INDEX(MO_RIS_EBIT,0,COLUMN())</f>
        <v/>
      </c>
      <c r="O103" s="2176">
        <f>INDEX(MO_RIS_EBIT,0,COLUMN())</f>
        <v/>
      </c>
      <c r="P103" s="2176">
        <f>INDEX(MO_RIS_EBIT,0,COLUMN())</f>
        <v/>
      </c>
      <c r="Q103" s="2175">
        <f>INDEX(MO_RIS_EBIT,0,COLUMN())</f>
        <v/>
      </c>
      <c r="R103" s="2176">
        <f>INDEX(MO_RIS_EBIT,0,COLUMN())</f>
        <v/>
      </c>
      <c r="S103" s="2176">
        <f>INDEX(MO_RIS_EBIT,0,COLUMN())</f>
        <v/>
      </c>
      <c r="T103" s="2176">
        <f>INDEX(MO_RIS_EBIT,0,COLUMN())</f>
        <v/>
      </c>
      <c r="U103" s="2176">
        <f>INDEX(MO_RIS_EBIT,0,COLUMN())</f>
        <v/>
      </c>
      <c r="V103" s="2175">
        <f>INDEX(MO_RIS_EBIT,0,COLUMN())</f>
        <v/>
      </c>
      <c r="W103" s="2176">
        <f>INDEX(MO_RIS_EBIT,0,COLUMN())</f>
        <v/>
      </c>
      <c r="X103" s="2176">
        <f>INDEX(MO_RIS_EBIT,0,COLUMN())</f>
        <v/>
      </c>
      <c r="Y103" s="2176">
        <f>INDEX(MO_RIS_EBIT,0,COLUMN())</f>
        <v/>
      </c>
      <c r="Z103" s="2176">
        <f>INDEX(MO_RIS_EBIT,0,COLUMN())</f>
        <v/>
      </c>
      <c r="AA103" s="2175">
        <f>INDEX(MO_RIS_EBIT,0,COLUMN())</f>
        <v/>
      </c>
      <c r="AB103" s="2176">
        <f>INDEX(MO_RIS_EBIT,0,COLUMN())</f>
        <v/>
      </c>
      <c r="AC103" s="2176">
        <f>INDEX(MO_RIS_EBIT,0,COLUMN())</f>
        <v/>
      </c>
      <c r="AD103" s="2176">
        <f>INDEX(MO_RIS_EBIT,0,COLUMN())</f>
        <v/>
      </c>
      <c r="AE103" s="2176">
        <f>INDEX(MO_RIS_EBIT,0,COLUMN())</f>
        <v/>
      </c>
      <c r="AF103" s="2175">
        <f>INDEX(MO_RIS_EBIT,0,COLUMN())</f>
        <v/>
      </c>
      <c r="AG103" s="2176">
        <f>INDEX(MO_RIS_EBIT,0,COLUMN())</f>
        <v/>
      </c>
      <c r="AH103" s="2176">
        <f>INDEX(MO_RIS_EBIT,0,COLUMN())</f>
        <v/>
      </c>
      <c r="AI103" s="2176">
        <f>INDEX(MO_RIS_EBIT,0,COLUMN())</f>
        <v/>
      </c>
      <c r="AJ103" s="2176">
        <f>INDEX(MO_RIS_EBIT,0,COLUMN())</f>
        <v/>
      </c>
      <c r="AK103" s="2175">
        <f>INDEX(MO_RIS_EBIT,0,COLUMN())</f>
        <v/>
      </c>
      <c r="AL103" s="2176">
        <f>INDEX(MO_RIS_EBIT,0,COLUMN())</f>
        <v/>
      </c>
      <c r="AM103" s="2176">
        <f>INDEX(MO_RIS_EBIT,0,COLUMN())</f>
        <v/>
      </c>
      <c r="AN103" s="2176">
        <f>INDEX(MO_RIS_EBIT,0,COLUMN())</f>
        <v/>
      </c>
      <c r="AO103" s="2176">
        <f>INDEX(MO_RIS_EBIT,0,COLUMN())</f>
        <v/>
      </c>
      <c r="AP103" s="2175">
        <f>INDEX(MO_RIS_EBIT,0,COLUMN())</f>
        <v/>
      </c>
      <c r="AQ103" s="2176">
        <f>INDEX(MO_RIS_EBIT,0,COLUMN())</f>
        <v/>
      </c>
      <c r="AR103" s="2176">
        <f>INDEX(MO_RIS_EBIT,0,COLUMN())</f>
        <v/>
      </c>
      <c r="AS103" s="2176">
        <f>INDEX(MO_RIS_EBIT,0,COLUMN())</f>
        <v/>
      </c>
      <c r="AT103" s="2176">
        <f>INDEX(MO_RIS_EBIT,0,COLUMN())</f>
        <v/>
      </c>
      <c r="AU103" s="2175">
        <f>INDEX(MO_RIS_EBIT,0,COLUMN())</f>
        <v/>
      </c>
      <c r="AV103" s="2176">
        <f>INDEX(MO_RIS_EBIT,0,COLUMN())</f>
        <v/>
      </c>
      <c r="AW103" s="2176">
        <f>INDEX(MO_RIS_EBIT,0,COLUMN())</f>
        <v/>
      </c>
      <c r="AX103" s="2176">
        <f>INDEX(MO_RIS_EBIT,0,COLUMN())</f>
        <v/>
      </c>
      <c r="AY103" s="2176">
        <f>INDEX(MO_RIS_EBIT,0,COLUMN())</f>
        <v/>
      </c>
      <c r="AZ103" s="2175">
        <f>INDEX(MO_RIS_EBIT,0,COLUMN())</f>
        <v/>
      </c>
      <c r="BA103" s="2176">
        <f>INDEX(MO_RIS_EBIT,0,COLUMN())</f>
        <v/>
      </c>
      <c r="BB103" s="2176">
        <f>INDEX(MO_RIS_EBIT,0,COLUMN())</f>
        <v/>
      </c>
      <c r="BC103" s="2176">
        <f>INDEX(MO_RIS_EBIT,0,COLUMN())</f>
        <v/>
      </c>
      <c r="BD103" s="2176">
        <f>INDEX(MO_RIS_EBIT,0,COLUMN())</f>
        <v/>
      </c>
      <c r="BE103" s="2175">
        <f>INDEX(MO_RIS_EBIT,0,COLUMN())</f>
        <v/>
      </c>
      <c r="BF103" s="2176">
        <f>INDEX(MO_RIS_EBIT,0,COLUMN())</f>
        <v/>
      </c>
      <c r="BG103" s="2176">
        <f>INDEX(MO_RIS_EBIT,0,COLUMN())</f>
        <v/>
      </c>
      <c r="BH103" s="2176">
        <f>INDEX(MO_RIS_EBIT,0,COLUMN())</f>
        <v/>
      </c>
      <c r="BI103" s="2176">
        <f>INDEX(MO_RIS_EBIT,0,COLUMN())</f>
        <v/>
      </c>
      <c r="BJ103" s="2175">
        <f>INDEX(MO_RIS_EBIT,0,COLUMN())</f>
        <v/>
      </c>
      <c r="BK103" s="2176">
        <f>INDEX(MO_RIS_EBIT,0,COLUMN())</f>
        <v/>
      </c>
      <c r="BL103" s="2176">
        <f>INDEX(MO_RIS_EBIT,0,COLUMN())</f>
        <v/>
      </c>
      <c r="BM103" s="2176">
        <f>INDEX(MO_RIS_EBIT,0,COLUMN())</f>
        <v/>
      </c>
      <c r="BN103" s="2176">
        <f>INDEX(MO_RIS_EBIT,0,COLUMN())</f>
        <v/>
      </c>
      <c r="BO103" s="2177">
        <f>INDEX(MO_RIS_EBIT,0,COLUMN())</f>
        <v/>
      </c>
      <c r="BP103" s="2176">
        <f>INDEX(MO_RIS_EBIT,0,COLUMN())</f>
        <v/>
      </c>
      <c r="BQ103" s="2176">
        <f>INDEX(MO_RIS_EBIT,0,COLUMN())</f>
        <v/>
      </c>
      <c r="BR103" s="2176">
        <f>INDEX(MO_RIS_EBIT,0,COLUMN())</f>
        <v/>
      </c>
      <c r="BS103" s="2176">
        <f>INDEX(MO_RIS_EBIT,0,COLUMN())</f>
        <v/>
      </c>
      <c r="BT103" s="2175">
        <f>INDEX(MO_RIS_EBIT,0,COLUMN())</f>
        <v/>
      </c>
      <c r="BU103" s="2176">
        <f>INDEX(MO_RIS_EBIT,0,COLUMN())</f>
        <v/>
      </c>
      <c r="BV103" s="2176">
        <f>INDEX(MO_RIS_EBIT,0,COLUMN())</f>
        <v/>
      </c>
      <c r="BW103" s="2176">
        <f>INDEX(MO_RIS_EBIT,0,COLUMN())</f>
        <v/>
      </c>
      <c r="BX103" s="2176">
        <f>INDEX(MO_RIS_EBIT,0,COLUMN())</f>
        <v/>
      </c>
      <c r="BY103" s="2175">
        <f>INDEX(MO_RIS_EBIT,0,COLUMN())</f>
        <v/>
      </c>
      <c r="BZ103" s="2175">
        <f>INDEX(MO_RIS_EBIT,0,COLUMN())</f>
        <v/>
      </c>
      <c r="CA103" s="2175">
        <f>INDEX(MO_RIS_EBIT,0,COLUMN())</f>
        <v/>
      </c>
      <c r="CB103" s="2175">
        <f>INDEX(MO_RIS_EBIT,0,COLUMN())</f>
        <v/>
      </c>
      <c r="CC103" s="1970" t="n"/>
    </row>
    <row r="104" hidden="1" outlineLevel="1" ht="15" customHeight="1" s="595">
      <c r="A104" s="1635" t="inlineStr">
        <is>
          <t>LTM EBIT</t>
        </is>
      </c>
      <c r="B104" s="2137" t="n"/>
      <c r="C104" s="2175">
        <f>C103</f>
        <v/>
      </c>
      <c r="D104" s="2175">
        <f>D103</f>
        <v/>
      </c>
      <c r="E104" s="2175">
        <f>E103</f>
        <v/>
      </c>
      <c r="F104" s="2175">
        <f>F103</f>
        <v/>
      </c>
      <c r="G104" s="2175">
        <f>G103</f>
        <v/>
      </c>
      <c r="H104" s="2176" t="n"/>
      <c r="I104" s="2176" t="n"/>
      <c r="J104" s="2176" t="n"/>
      <c r="K104" s="2176">
        <f>SUM(K103,J103,I103,H103)</f>
        <v/>
      </c>
      <c r="L104" s="2175">
        <f>L103</f>
        <v/>
      </c>
      <c r="M104" s="2176">
        <f>SUM(M103,K103,J103,I103)</f>
        <v/>
      </c>
      <c r="N104" s="2176">
        <f>SUM(N103,M103,K103,J103)</f>
        <v/>
      </c>
      <c r="O104" s="2176">
        <f>SUM(O103,N103,M103,K103)</f>
        <v/>
      </c>
      <c r="P104" s="2176">
        <f>SUM(P103,O103,N103,M103)</f>
        <v/>
      </c>
      <c r="Q104" s="2175">
        <f>Q103</f>
        <v/>
      </c>
      <c r="R104" s="2176">
        <f>SUM(R103,P103,O103,N103)</f>
        <v/>
      </c>
      <c r="S104" s="2176">
        <f>SUM(S103,R103,P103,O103)</f>
        <v/>
      </c>
      <c r="T104" s="2176">
        <f>SUM(T103,S103,R103,P103)</f>
        <v/>
      </c>
      <c r="U104" s="2176">
        <f>SUM(U103,T103,S103,R103)</f>
        <v/>
      </c>
      <c r="V104" s="2175">
        <f>V103</f>
        <v/>
      </c>
      <c r="W104" s="2176">
        <f>SUM(W103,U103,T103,S103)</f>
        <v/>
      </c>
      <c r="X104" s="2176">
        <f>SUM(X103,W103,U103,T103)</f>
        <v/>
      </c>
      <c r="Y104" s="2176">
        <f>SUM(Y103,X103,W103,U103)</f>
        <v/>
      </c>
      <c r="Z104" s="2176">
        <f>SUM(Z103,Y103,X103,W103)</f>
        <v/>
      </c>
      <c r="AA104" s="2175">
        <f>AA103</f>
        <v/>
      </c>
      <c r="AB104" s="2176">
        <f>SUM(AB103,Z103,Y103,X103)</f>
        <v/>
      </c>
      <c r="AC104" s="2176">
        <f>SUM(AC103,AB103,Z103,Y103)</f>
        <v/>
      </c>
      <c r="AD104" s="2176">
        <f>SUM(AD103,AC103,AB103,Z103)</f>
        <v/>
      </c>
      <c r="AE104" s="2176">
        <f>SUM(AE103,AD103,AC103,AB103)</f>
        <v/>
      </c>
      <c r="AF104" s="2175">
        <f>AF103</f>
        <v/>
      </c>
      <c r="AG104" s="2176">
        <f>SUM(AG103,AE103,AD103,AC103)</f>
        <v/>
      </c>
      <c r="AH104" s="2176">
        <f>SUM(AH103,AG103,AE103,AD103)</f>
        <v/>
      </c>
      <c r="AI104" s="2176">
        <f>SUM(AI103,AH103,AG103,AE103)</f>
        <v/>
      </c>
      <c r="AJ104" s="2176">
        <f>SUM(AJ103,AI103,AH103,AG103)</f>
        <v/>
      </c>
      <c r="AK104" s="2175">
        <f>AK103</f>
        <v/>
      </c>
      <c r="AL104" s="2176">
        <f>SUM(AL103,AJ103,AI103,AH103)</f>
        <v/>
      </c>
      <c r="AM104" s="2176">
        <f>SUM(AM103,AL103,AJ103,AI103)</f>
        <v/>
      </c>
      <c r="AN104" s="2176">
        <f>SUM(AN103,AM103,AL103,AJ103)</f>
        <v/>
      </c>
      <c r="AO104" s="2176">
        <f>SUM(AO103,AN103,AM103,AL103)</f>
        <v/>
      </c>
      <c r="AP104" s="2175">
        <f>AP103</f>
        <v/>
      </c>
      <c r="AQ104" s="2176">
        <f>SUM(AQ103,AO103,AN103,AM103)</f>
        <v/>
      </c>
      <c r="AR104" s="2176">
        <f>SUM(AR103,AQ103,AO103,AN103)</f>
        <v/>
      </c>
      <c r="AS104" s="2176">
        <f>SUM(AS103,AR103,AQ103,AO103)</f>
        <v/>
      </c>
      <c r="AT104" s="2176">
        <f>SUM(AT103,AS103,AR103,AQ103)</f>
        <v/>
      </c>
      <c r="AU104" s="2175">
        <f>AU103</f>
        <v/>
      </c>
      <c r="AV104" s="2176">
        <f>SUM(AV103,AT103,AS103,AR103)</f>
        <v/>
      </c>
      <c r="AW104" s="2176">
        <f>SUM(AW103,AV103,AT103,AS103)</f>
        <v/>
      </c>
      <c r="AX104" s="2176">
        <f>SUM(AX103,AW103,AV103,AT103)</f>
        <v/>
      </c>
      <c r="AY104" s="2176">
        <f>SUM(AY103,AX103,AW103,AV103)</f>
        <v/>
      </c>
      <c r="AZ104" s="2175">
        <f>AZ103</f>
        <v/>
      </c>
      <c r="BA104" s="2176">
        <f>SUM(BA103,AY103,AX103,AW103)</f>
        <v/>
      </c>
      <c r="BB104" s="2176">
        <f>SUM(BB103,BA103,AY103,AX103)</f>
        <v/>
      </c>
      <c r="BC104" s="2176">
        <f>SUM(BC103,BB103,BA103,AY103)</f>
        <v/>
      </c>
      <c r="BD104" s="2176">
        <f>SUM(BD103,BC103,BB103,BA103)</f>
        <v/>
      </c>
      <c r="BE104" s="2175">
        <f>BE103</f>
        <v/>
      </c>
      <c r="BF104" s="2176">
        <f>SUM(BF103,BD103,BC103,BB103)</f>
        <v/>
      </c>
      <c r="BG104" s="2176">
        <f>SUM(BG103,BF103,BD103,BC103)</f>
        <v/>
      </c>
      <c r="BH104" s="2176">
        <f>SUM(BH103,BG103,BF103,BD103)</f>
        <v/>
      </c>
      <c r="BI104" s="2176">
        <f>SUM(BI103,BH103,BG103,BF103)</f>
        <v/>
      </c>
      <c r="BJ104" s="2175">
        <f>BJ103</f>
        <v/>
      </c>
      <c r="BK104" s="2176">
        <f>SUM(BK103,BI103,BH103,BG103)</f>
        <v/>
      </c>
      <c r="BL104" s="2176">
        <f>SUM(BL103,BK103,BI103,BH103)</f>
        <v/>
      </c>
      <c r="BM104" s="2176">
        <f>SUM(BM103,BL103,BK103,BI103)</f>
        <v/>
      </c>
      <c r="BN104" s="2176">
        <f>SUM(BN103,BM103,BL103,BK103)</f>
        <v/>
      </c>
      <c r="BO104" s="2177">
        <f>BO103</f>
        <v/>
      </c>
      <c r="BP104" s="2176">
        <f>SUM(BP103,BN103,BM103,BL103)</f>
        <v/>
      </c>
      <c r="BQ104" s="2176">
        <f>SUM(BQ103,BP103,BN103,BM103)</f>
        <v/>
      </c>
      <c r="BR104" s="2176">
        <f>SUM(BR103,BQ103,BP103,BN103)</f>
        <v/>
      </c>
      <c r="BS104" s="2176">
        <f>SUM(BS103,BR103,BQ103,BP103)</f>
        <v/>
      </c>
      <c r="BT104" s="2175">
        <f>BT103</f>
        <v/>
      </c>
      <c r="BU104" s="2176">
        <f>SUM(BU103,BS103,BR103,BQ103)</f>
        <v/>
      </c>
      <c r="BV104" s="2176">
        <f>SUM(BV103,BU103,BS103,BR103)</f>
        <v/>
      </c>
      <c r="BW104" s="2176">
        <f>SUM(BW103,BV103,BU103,BS103)</f>
        <v/>
      </c>
      <c r="BX104" s="2176">
        <f>SUM(BX103,BW103,BV103,BU103)</f>
        <v/>
      </c>
      <c r="BY104" s="2175">
        <f>BY103</f>
        <v/>
      </c>
      <c r="BZ104" s="2175">
        <f>BZ103</f>
        <v/>
      </c>
      <c r="CA104" s="2175">
        <f>CA103</f>
        <v/>
      </c>
      <c r="CB104" s="2175">
        <f>CB103</f>
        <v/>
      </c>
      <c r="CC104" s="1970" t="n"/>
    </row>
    <row r="105" hidden="1" outlineLevel="1" ht="15" customHeight="1" s="595">
      <c r="A105" s="1635" t="inlineStr">
        <is>
          <t>Current Liabilities</t>
        </is>
      </c>
      <c r="B105" s="2137" t="n"/>
      <c r="C105" s="2175">
        <f>INDEX(MO_BS_CL,0,COLUMN())</f>
        <v/>
      </c>
      <c r="D105" s="2175">
        <f>INDEX(MO_BS_CL,0,COLUMN())</f>
        <v/>
      </c>
      <c r="E105" s="2175">
        <f>INDEX(MO_BS_CL,0,COLUMN())</f>
        <v/>
      </c>
      <c r="F105" s="2175">
        <f>INDEX(MO_BS_CL,0,COLUMN())</f>
        <v/>
      </c>
      <c r="G105" s="2175">
        <f>INDEX(MO_BS_CL,0,COLUMN())</f>
        <v/>
      </c>
      <c r="H105" s="2176">
        <f>INDEX(MO_BS_CL,0,COLUMN())</f>
        <v/>
      </c>
      <c r="I105" s="2176">
        <f>INDEX(MO_BS_CL,0,COLUMN())</f>
        <v/>
      </c>
      <c r="J105" s="2176">
        <f>INDEX(MO_BS_CL,0,COLUMN())</f>
        <v/>
      </c>
      <c r="K105" s="2176">
        <f>INDEX(MO_BS_CL,0,COLUMN())</f>
        <v/>
      </c>
      <c r="L105" s="2175">
        <f>INDEX(MO_BS_CL,0,COLUMN())</f>
        <v/>
      </c>
      <c r="M105" s="2176">
        <f>INDEX(MO_BS_CL,0,COLUMN())</f>
        <v/>
      </c>
      <c r="N105" s="2176">
        <f>INDEX(MO_BS_CL,0,COLUMN())</f>
        <v/>
      </c>
      <c r="O105" s="2176">
        <f>INDEX(MO_BS_CL,0,COLUMN())</f>
        <v/>
      </c>
      <c r="P105" s="2176">
        <f>INDEX(MO_BS_CL,0,COLUMN())</f>
        <v/>
      </c>
      <c r="Q105" s="2175">
        <f>INDEX(MO_BS_CL,0,COLUMN())</f>
        <v/>
      </c>
      <c r="R105" s="2176">
        <f>INDEX(MO_BS_CL,0,COLUMN())</f>
        <v/>
      </c>
      <c r="S105" s="2176">
        <f>INDEX(MO_BS_CL,0,COLUMN())</f>
        <v/>
      </c>
      <c r="T105" s="2176">
        <f>INDEX(MO_BS_CL,0,COLUMN())</f>
        <v/>
      </c>
      <c r="U105" s="2176">
        <f>INDEX(MO_BS_CL,0,COLUMN())</f>
        <v/>
      </c>
      <c r="V105" s="2175">
        <f>INDEX(MO_BS_CL,0,COLUMN())</f>
        <v/>
      </c>
      <c r="W105" s="2176">
        <f>INDEX(MO_BS_CL,0,COLUMN())</f>
        <v/>
      </c>
      <c r="X105" s="2176">
        <f>INDEX(MO_BS_CL,0,COLUMN())</f>
        <v/>
      </c>
      <c r="Y105" s="2176">
        <f>INDEX(MO_BS_CL,0,COLUMN())</f>
        <v/>
      </c>
      <c r="Z105" s="2176">
        <f>INDEX(MO_BS_CL,0,COLUMN())</f>
        <v/>
      </c>
      <c r="AA105" s="2175">
        <f>INDEX(MO_BS_CL,0,COLUMN())</f>
        <v/>
      </c>
      <c r="AB105" s="2176">
        <f>INDEX(MO_BS_CL,0,COLUMN())</f>
        <v/>
      </c>
      <c r="AC105" s="2176">
        <f>INDEX(MO_BS_CL,0,COLUMN())</f>
        <v/>
      </c>
      <c r="AD105" s="2176">
        <f>INDEX(MO_BS_CL,0,COLUMN())</f>
        <v/>
      </c>
      <c r="AE105" s="2176">
        <f>INDEX(MO_BS_CL,0,COLUMN())</f>
        <v/>
      </c>
      <c r="AF105" s="2175">
        <f>INDEX(MO_BS_CL,0,COLUMN())</f>
        <v/>
      </c>
      <c r="AG105" s="2176">
        <f>INDEX(MO_BS_CL,0,COLUMN())</f>
        <v/>
      </c>
      <c r="AH105" s="2176">
        <f>INDEX(MO_BS_CL,0,COLUMN())</f>
        <v/>
      </c>
      <c r="AI105" s="2176">
        <f>INDEX(MO_BS_CL,0,COLUMN())</f>
        <v/>
      </c>
      <c r="AJ105" s="2176">
        <f>INDEX(MO_BS_CL,0,COLUMN())</f>
        <v/>
      </c>
      <c r="AK105" s="2175">
        <f>INDEX(MO_BS_CL,0,COLUMN())</f>
        <v/>
      </c>
      <c r="AL105" s="2176">
        <f>INDEX(MO_BS_CL,0,COLUMN())</f>
        <v/>
      </c>
      <c r="AM105" s="2176">
        <f>INDEX(MO_BS_CL,0,COLUMN())</f>
        <v/>
      </c>
      <c r="AN105" s="2176">
        <f>INDEX(MO_BS_CL,0,COLUMN())</f>
        <v/>
      </c>
      <c r="AO105" s="2176">
        <f>INDEX(MO_BS_CL,0,COLUMN())</f>
        <v/>
      </c>
      <c r="AP105" s="2175">
        <f>INDEX(MO_BS_CL,0,COLUMN())</f>
        <v/>
      </c>
      <c r="AQ105" s="2176">
        <f>INDEX(MO_BS_CL,0,COLUMN())</f>
        <v/>
      </c>
      <c r="AR105" s="2176">
        <f>INDEX(MO_BS_CL,0,COLUMN())</f>
        <v/>
      </c>
      <c r="AS105" s="2176">
        <f>INDEX(MO_BS_CL,0,COLUMN())</f>
        <v/>
      </c>
      <c r="AT105" s="2176">
        <f>INDEX(MO_BS_CL,0,COLUMN())</f>
        <v/>
      </c>
      <c r="AU105" s="2175">
        <f>INDEX(MO_BS_CL,0,COLUMN())</f>
        <v/>
      </c>
      <c r="AV105" s="2176">
        <f>INDEX(MO_BS_CL,0,COLUMN())</f>
        <v/>
      </c>
      <c r="AW105" s="2176">
        <f>INDEX(MO_BS_CL,0,COLUMN())</f>
        <v/>
      </c>
      <c r="AX105" s="2176">
        <f>INDEX(MO_BS_CL,0,COLUMN())</f>
        <v/>
      </c>
      <c r="AY105" s="2176">
        <f>INDEX(MO_BS_CL,0,COLUMN())</f>
        <v/>
      </c>
      <c r="AZ105" s="2175">
        <f>INDEX(MO_BS_CL,0,COLUMN())</f>
        <v/>
      </c>
      <c r="BA105" s="2176">
        <f>INDEX(MO_BS_CL,0,COLUMN())</f>
        <v/>
      </c>
      <c r="BB105" s="2176">
        <f>INDEX(MO_BS_CL,0,COLUMN())</f>
        <v/>
      </c>
      <c r="BC105" s="2176">
        <f>INDEX(MO_BS_CL,0,COLUMN())</f>
        <v/>
      </c>
      <c r="BD105" s="2176">
        <f>INDEX(MO_BS_CL,0,COLUMN())</f>
        <v/>
      </c>
      <c r="BE105" s="2175">
        <f>INDEX(MO_BS_CL,0,COLUMN())</f>
        <v/>
      </c>
      <c r="BF105" s="2176">
        <f>INDEX(MO_BS_CL,0,COLUMN())</f>
        <v/>
      </c>
      <c r="BG105" s="2176">
        <f>INDEX(MO_BS_CL,0,COLUMN())</f>
        <v/>
      </c>
      <c r="BH105" s="2176">
        <f>INDEX(MO_BS_CL,0,COLUMN())</f>
        <v/>
      </c>
      <c r="BI105" s="2176">
        <f>INDEX(MO_BS_CL,0,COLUMN())</f>
        <v/>
      </c>
      <c r="BJ105" s="2175">
        <f>INDEX(MO_BS_CL,0,COLUMN())</f>
        <v/>
      </c>
      <c r="BK105" s="2176">
        <f>INDEX(MO_BS_CL,0,COLUMN())</f>
        <v/>
      </c>
      <c r="BL105" s="2176">
        <f>INDEX(MO_BS_CL,0,COLUMN())</f>
        <v/>
      </c>
      <c r="BM105" s="2176">
        <f>INDEX(MO_BS_CL,0,COLUMN())</f>
        <v/>
      </c>
      <c r="BN105" s="2176">
        <f>INDEX(MO_BS_CL,0,COLUMN())</f>
        <v/>
      </c>
      <c r="BO105" s="2177">
        <f>INDEX(MO_BS_CL,0,COLUMN())</f>
        <v/>
      </c>
      <c r="BP105" s="2176">
        <f>INDEX(MO_BS_CL,0,COLUMN())</f>
        <v/>
      </c>
      <c r="BQ105" s="2176">
        <f>INDEX(MO_BS_CL,0,COLUMN())</f>
        <v/>
      </c>
      <c r="BR105" s="2176">
        <f>INDEX(MO_BS_CL,0,COLUMN())</f>
        <v/>
      </c>
      <c r="BS105" s="2176">
        <f>INDEX(MO_BS_CL,0,COLUMN())</f>
        <v/>
      </c>
      <c r="BT105" s="2175">
        <f>INDEX(MO_BS_CL,0,COLUMN())</f>
        <v/>
      </c>
      <c r="BU105" s="2176">
        <f>INDEX(MO_BS_CL,0,COLUMN())</f>
        <v/>
      </c>
      <c r="BV105" s="2176">
        <f>INDEX(MO_BS_CL,0,COLUMN())</f>
        <v/>
      </c>
      <c r="BW105" s="2176">
        <f>INDEX(MO_BS_CL,0,COLUMN())</f>
        <v/>
      </c>
      <c r="BX105" s="2176">
        <f>INDEX(MO_BS_CL,0,COLUMN())</f>
        <v/>
      </c>
      <c r="BY105" s="2175">
        <f>INDEX(MO_BS_CL,0,COLUMN())</f>
        <v/>
      </c>
      <c r="BZ105" s="2175">
        <f>INDEX(MO_BS_CL,0,COLUMN())</f>
        <v/>
      </c>
      <c r="CA105" s="2175">
        <f>INDEX(MO_BS_CL,0,COLUMN())</f>
        <v/>
      </c>
      <c r="CB105" s="2175">
        <f>INDEX(MO_BS_CL,0,COLUMN())</f>
        <v/>
      </c>
      <c r="CC105" s="1970" t="n"/>
    </row>
    <row r="106" hidden="1" outlineLevel="1" ht="15" customHeight="1" s="595">
      <c r="A106" s="1635" t="inlineStr">
        <is>
          <t>Average Current Liabilities</t>
        </is>
      </c>
      <c r="B106" s="2137" t="n"/>
      <c r="C106" s="2175">
        <f>C105</f>
        <v/>
      </c>
      <c r="D106" s="2175">
        <f>AVERAGE(D105,C105)</f>
        <v/>
      </c>
      <c r="E106" s="2175">
        <f>AVERAGE(E105,D105)</f>
        <v/>
      </c>
      <c r="F106" s="2175">
        <f>AVERAGE(F105,E105)</f>
        <v/>
      </c>
      <c r="G106" s="2175">
        <f>AVERAGE(G105,F105)</f>
        <v/>
      </c>
      <c r="H106" s="2176" t="n"/>
      <c r="I106" s="2176" t="n"/>
      <c r="J106" s="2176" t="n"/>
      <c r="K106" s="2176">
        <f>AVERAGE(K105,J105,I105,H105)</f>
        <v/>
      </c>
      <c r="L106" s="2175">
        <f>AVERAGE(L105,G105)</f>
        <v/>
      </c>
      <c r="M106" s="2176">
        <f>AVERAGE(M105,K105,J105,I105)</f>
        <v/>
      </c>
      <c r="N106" s="2176">
        <f>AVERAGE(N105,M105,K105,J105)</f>
        <v/>
      </c>
      <c r="O106" s="2176">
        <f>AVERAGE(O105,N105,M105,K105)</f>
        <v/>
      </c>
      <c r="P106" s="2176">
        <f>AVERAGE(P105,O105,N105,M105)</f>
        <v/>
      </c>
      <c r="Q106" s="2175">
        <f>AVERAGE(Q105,L105)</f>
        <v/>
      </c>
      <c r="R106" s="2176">
        <f>AVERAGE(R105,P105,O105,N105)</f>
        <v/>
      </c>
      <c r="S106" s="2176">
        <f>AVERAGE(S105,R105,P105,O105)</f>
        <v/>
      </c>
      <c r="T106" s="2176">
        <f>AVERAGE(T105,S105,R105,P105)</f>
        <v/>
      </c>
      <c r="U106" s="2176">
        <f>AVERAGE(U105,T105,S105,R105)</f>
        <v/>
      </c>
      <c r="V106" s="2175">
        <f>AVERAGE(V105,Q105)</f>
        <v/>
      </c>
      <c r="W106" s="2176">
        <f>AVERAGE(W105,U105,T105,S105)</f>
        <v/>
      </c>
      <c r="X106" s="2176">
        <f>AVERAGE(X105,W105,U105,T105)</f>
        <v/>
      </c>
      <c r="Y106" s="2176">
        <f>AVERAGE(Y105,X105,W105,U105)</f>
        <v/>
      </c>
      <c r="Z106" s="2176">
        <f>AVERAGE(Z105,Y105,X105,W105)</f>
        <v/>
      </c>
      <c r="AA106" s="2175">
        <f>AVERAGE(AA105,V105)</f>
        <v/>
      </c>
      <c r="AB106" s="2176">
        <f>AVERAGE(AB105,Z105,Y105,X105)</f>
        <v/>
      </c>
      <c r="AC106" s="2176">
        <f>AVERAGE(AC105,AB105,Z105,Y105)</f>
        <v/>
      </c>
      <c r="AD106" s="2176">
        <f>AVERAGE(AD105,AC105,AB105,Z105)</f>
        <v/>
      </c>
      <c r="AE106" s="2176">
        <f>AVERAGE(AE105,AD105,AC105,AB105)</f>
        <v/>
      </c>
      <c r="AF106" s="2175">
        <f>AVERAGE(AF105,AA105)</f>
        <v/>
      </c>
      <c r="AG106" s="2176">
        <f>AVERAGE(AG105,AE105,AD105,AC105)</f>
        <v/>
      </c>
      <c r="AH106" s="2176">
        <f>AVERAGE(AH105,AG105,AE105,AD105)</f>
        <v/>
      </c>
      <c r="AI106" s="2176">
        <f>AVERAGE(AI105,AH105,AG105,AE105)</f>
        <v/>
      </c>
      <c r="AJ106" s="2176">
        <f>AVERAGE(AJ105,AI105,AH105,AG105)</f>
        <v/>
      </c>
      <c r="AK106" s="2175">
        <f>AVERAGE(AK105,AF105)</f>
        <v/>
      </c>
      <c r="AL106" s="2176">
        <f>AVERAGE(AL105,AJ105,AI105,AH105)</f>
        <v/>
      </c>
      <c r="AM106" s="2176">
        <f>AVERAGE(AM105,AL105,AJ105,AI105)</f>
        <v/>
      </c>
      <c r="AN106" s="2176">
        <f>AVERAGE(AN105,AM105,AL105,AJ105)</f>
        <v/>
      </c>
      <c r="AO106" s="2176">
        <f>AVERAGE(AO105,AN105,AM105,AL105)</f>
        <v/>
      </c>
      <c r="AP106" s="2175">
        <f>AVERAGE(AP105,AK105)</f>
        <v/>
      </c>
      <c r="AQ106" s="2176">
        <f>AVERAGE(AQ105,AO105,AN105,AM105)</f>
        <v/>
      </c>
      <c r="AR106" s="2176">
        <f>AVERAGE(AR105,AQ105,AO105,AN105)</f>
        <v/>
      </c>
      <c r="AS106" s="2176">
        <f>AVERAGE(AS105,AR105,AQ105,AO105)</f>
        <v/>
      </c>
      <c r="AT106" s="2176">
        <f>AVERAGE(AT105,AS105,AR105,AQ105)</f>
        <v/>
      </c>
      <c r="AU106" s="2175">
        <f>AVERAGE(AU105,AP105)</f>
        <v/>
      </c>
      <c r="AV106" s="2176">
        <f>AVERAGE(AV105,AT105,AS105,AR105)</f>
        <v/>
      </c>
      <c r="AW106" s="2176">
        <f>AVERAGE(AW105,AV105,AT105,AS105)</f>
        <v/>
      </c>
      <c r="AX106" s="2176">
        <f>AVERAGE(AX105,AW105,AV105,AT105)</f>
        <v/>
      </c>
      <c r="AY106" s="2176">
        <f>AVERAGE(AY105,AX105,AW105,AV105)</f>
        <v/>
      </c>
      <c r="AZ106" s="2175">
        <f>AVERAGE(AZ105,AU105)</f>
        <v/>
      </c>
      <c r="BA106" s="2176">
        <f>AVERAGE(BA105,AY105,AX105,AW105)</f>
        <v/>
      </c>
      <c r="BB106" s="2176">
        <f>AVERAGE(BB105,BA105,AY105,AX105)</f>
        <v/>
      </c>
      <c r="BC106" s="2176">
        <f>AVERAGE(BC105,BB105,BA105,AY105)</f>
        <v/>
      </c>
      <c r="BD106" s="2176">
        <f>AVERAGE(BD105,BC105,BB105,BA105)</f>
        <v/>
      </c>
      <c r="BE106" s="2175">
        <f>AVERAGE(BE105,AZ105)</f>
        <v/>
      </c>
      <c r="BF106" s="2176">
        <f>AVERAGE(BF105,BD105,BC105,BB105)</f>
        <v/>
      </c>
      <c r="BG106" s="2176">
        <f>AVERAGE(BG105,BF105,BD105,BC105)</f>
        <v/>
      </c>
      <c r="BH106" s="2176">
        <f>AVERAGE(BH105,BG105,BF105,BD105)</f>
        <v/>
      </c>
      <c r="BI106" s="2176">
        <f>AVERAGE(BI105,BH105,BG105,BF105)</f>
        <v/>
      </c>
      <c r="BJ106" s="2175">
        <f>AVERAGE(BJ105,BE105)</f>
        <v/>
      </c>
      <c r="BK106" s="2176">
        <f>AVERAGE(BK105,BI105,BH105,BG105)</f>
        <v/>
      </c>
      <c r="BL106" s="2176">
        <f>AVERAGE(BL105,BK105,BI105,BH105)</f>
        <v/>
      </c>
      <c r="BM106" s="2176">
        <f>AVERAGE(BM105,BL105,BK105,BI105)</f>
        <v/>
      </c>
      <c r="BN106" s="2176">
        <f>AVERAGE(BN105,BM105,BL105,BK105)</f>
        <v/>
      </c>
      <c r="BO106" s="2177">
        <f>AVERAGE(BO105,BJ105)</f>
        <v/>
      </c>
      <c r="BP106" s="2176">
        <f>AVERAGE(BP105,BN105,BM105,BL105)</f>
        <v/>
      </c>
      <c r="BQ106" s="2176">
        <f>AVERAGE(BQ105,BP105,BN105,BM105)</f>
        <v/>
      </c>
      <c r="BR106" s="2176">
        <f>AVERAGE(BR105,BQ105,BP105,BN105)</f>
        <v/>
      </c>
      <c r="BS106" s="2176">
        <f>AVERAGE(BS105,BR105,BQ105,BP105)</f>
        <v/>
      </c>
      <c r="BT106" s="2175">
        <f>AVERAGE(BT105,BO105)</f>
        <v/>
      </c>
      <c r="BU106" s="2176">
        <f>AVERAGE(BU105,BS105,BR105,BQ105)</f>
        <v/>
      </c>
      <c r="BV106" s="2176">
        <f>AVERAGE(BV105,BU105,BS105,BR105)</f>
        <v/>
      </c>
      <c r="BW106" s="2176">
        <f>AVERAGE(BW105,BV105,BU105,BS105)</f>
        <v/>
      </c>
      <c r="BX106" s="2176">
        <f>AVERAGE(BX105,BW105,BV105,BU105)</f>
        <v/>
      </c>
      <c r="BY106" s="2175">
        <f>AVERAGE(BY105,BT105)</f>
        <v/>
      </c>
      <c r="BZ106" s="2175">
        <f>AVERAGE(BZ105,BY105)</f>
        <v/>
      </c>
      <c r="CA106" s="2175">
        <f>AVERAGE(CA105,BZ105)</f>
        <v/>
      </c>
      <c r="CB106" s="2175">
        <f>AVERAGE(CB105,CA105)</f>
        <v/>
      </c>
      <c r="CC106" s="1970" t="n"/>
    </row>
    <row r="107" hidden="1" outlineLevel="1" ht="15" customHeight="1" s="595">
      <c r="A107" s="1635" t="inlineStr">
        <is>
          <t>Average Capital Employed</t>
        </is>
      </c>
      <c r="B107" s="2137" t="n"/>
      <c r="C107" s="2175">
        <f>INDEX(SP_BSR_TA_Avg,0,COLUMN())-INDEX(SP_BSR_CL_Avg,0,COLUMN())</f>
        <v/>
      </c>
      <c r="D107" s="2175">
        <f>INDEX(SP_BSR_TA_Avg,0,COLUMN())-INDEX(SP_BSR_CL_Avg,0,COLUMN())</f>
        <v/>
      </c>
      <c r="E107" s="2175">
        <f>INDEX(SP_BSR_TA_Avg,0,COLUMN())-INDEX(SP_BSR_CL_Avg,0,COLUMN())</f>
        <v/>
      </c>
      <c r="F107" s="2175">
        <f>INDEX(SP_BSR_TA_Avg,0,COLUMN())-INDEX(SP_BSR_CL_Avg,0,COLUMN())</f>
        <v/>
      </c>
      <c r="G107" s="2175">
        <f>INDEX(SP_BSR_TA_Avg,0,COLUMN())-INDEX(SP_BSR_CL_Avg,0,COLUMN())</f>
        <v/>
      </c>
      <c r="H107" s="2176" t="n"/>
      <c r="I107" s="2176" t="n"/>
      <c r="J107" s="2176" t="n"/>
      <c r="K107" s="2176">
        <f>INDEX(SP_BSR_TA_Avg,0,COLUMN())-INDEX(SP_BSR_CL_Avg,0,COLUMN())</f>
        <v/>
      </c>
      <c r="L107" s="2175">
        <f>INDEX(SP_BSR_TA_Avg,0,COLUMN())-INDEX(SP_BSR_CL_Avg,0,COLUMN())</f>
        <v/>
      </c>
      <c r="M107" s="2176">
        <f>INDEX(SP_BSR_TA_Avg,0,COLUMN())-INDEX(SP_BSR_CL_Avg,0,COLUMN())</f>
        <v/>
      </c>
      <c r="N107" s="2176">
        <f>INDEX(SP_BSR_TA_Avg,0,COLUMN())-INDEX(SP_BSR_CL_Avg,0,COLUMN())</f>
        <v/>
      </c>
      <c r="O107" s="2176">
        <f>INDEX(SP_BSR_TA_Avg,0,COLUMN())-INDEX(SP_BSR_CL_Avg,0,COLUMN())</f>
        <v/>
      </c>
      <c r="P107" s="2176">
        <f>INDEX(SP_BSR_TA_Avg,0,COLUMN())-INDEX(SP_BSR_CL_Avg,0,COLUMN())</f>
        <v/>
      </c>
      <c r="Q107" s="2175">
        <f>INDEX(SP_BSR_TA_Avg,0,COLUMN())-INDEX(SP_BSR_CL_Avg,0,COLUMN())</f>
        <v/>
      </c>
      <c r="R107" s="2176">
        <f>INDEX(SP_BSR_TA_Avg,0,COLUMN())-INDEX(SP_BSR_CL_Avg,0,COLUMN())</f>
        <v/>
      </c>
      <c r="S107" s="2176">
        <f>INDEX(SP_BSR_TA_Avg,0,COLUMN())-INDEX(SP_BSR_CL_Avg,0,COLUMN())</f>
        <v/>
      </c>
      <c r="T107" s="2176">
        <f>INDEX(SP_BSR_TA_Avg,0,COLUMN())-INDEX(SP_BSR_CL_Avg,0,COLUMN())</f>
        <v/>
      </c>
      <c r="U107" s="2176">
        <f>INDEX(SP_BSR_TA_Avg,0,COLUMN())-INDEX(SP_BSR_CL_Avg,0,COLUMN())</f>
        <v/>
      </c>
      <c r="V107" s="2175">
        <f>INDEX(SP_BSR_TA_Avg,0,COLUMN())-INDEX(SP_BSR_CL_Avg,0,COLUMN())</f>
        <v/>
      </c>
      <c r="W107" s="2176">
        <f>INDEX(SP_BSR_TA_Avg,0,COLUMN())-INDEX(SP_BSR_CL_Avg,0,COLUMN())</f>
        <v/>
      </c>
      <c r="X107" s="2176">
        <f>INDEX(SP_BSR_TA_Avg,0,COLUMN())-INDEX(SP_BSR_CL_Avg,0,COLUMN())</f>
        <v/>
      </c>
      <c r="Y107" s="2176">
        <f>INDEX(SP_BSR_TA_Avg,0,COLUMN())-INDEX(SP_BSR_CL_Avg,0,COLUMN())</f>
        <v/>
      </c>
      <c r="Z107" s="2176">
        <f>INDEX(SP_BSR_TA_Avg,0,COLUMN())-INDEX(SP_BSR_CL_Avg,0,COLUMN())</f>
        <v/>
      </c>
      <c r="AA107" s="2175">
        <f>INDEX(SP_BSR_TA_Avg,0,COLUMN())-INDEX(SP_BSR_CL_Avg,0,COLUMN())</f>
        <v/>
      </c>
      <c r="AB107" s="2176">
        <f>INDEX(SP_BSR_TA_Avg,0,COLUMN())-INDEX(SP_BSR_CL_Avg,0,COLUMN())</f>
        <v/>
      </c>
      <c r="AC107" s="2176">
        <f>INDEX(SP_BSR_TA_Avg,0,COLUMN())-INDEX(SP_BSR_CL_Avg,0,COLUMN())</f>
        <v/>
      </c>
      <c r="AD107" s="2176">
        <f>INDEX(SP_BSR_TA_Avg,0,COLUMN())-INDEX(SP_BSR_CL_Avg,0,COLUMN())</f>
        <v/>
      </c>
      <c r="AE107" s="2176">
        <f>INDEX(SP_BSR_TA_Avg,0,COLUMN())-INDEX(SP_BSR_CL_Avg,0,COLUMN())</f>
        <v/>
      </c>
      <c r="AF107" s="2175">
        <f>INDEX(SP_BSR_TA_Avg,0,COLUMN())-INDEX(SP_BSR_CL_Avg,0,COLUMN())</f>
        <v/>
      </c>
      <c r="AG107" s="2176">
        <f>INDEX(SP_BSR_TA_Avg,0,COLUMN())-INDEX(SP_BSR_CL_Avg,0,COLUMN())</f>
        <v/>
      </c>
      <c r="AH107" s="2176">
        <f>INDEX(SP_BSR_TA_Avg,0,COLUMN())-INDEX(SP_BSR_CL_Avg,0,COLUMN())</f>
        <v/>
      </c>
      <c r="AI107" s="2176">
        <f>INDEX(SP_BSR_TA_Avg,0,COLUMN())-INDEX(SP_BSR_CL_Avg,0,COLUMN())</f>
        <v/>
      </c>
      <c r="AJ107" s="2176">
        <f>INDEX(SP_BSR_TA_Avg,0,COLUMN())-INDEX(SP_BSR_CL_Avg,0,COLUMN())</f>
        <v/>
      </c>
      <c r="AK107" s="2175">
        <f>INDEX(SP_BSR_TA_Avg,0,COLUMN())-INDEX(SP_BSR_CL_Avg,0,COLUMN())</f>
        <v/>
      </c>
      <c r="AL107" s="2176">
        <f>INDEX(SP_BSR_TA_Avg,0,COLUMN())-INDEX(SP_BSR_CL_Avg,0,COLUMN())</f>
        <v/>
      </c>
      <c r="AM107" s="2176">
        <f>INDEX(SP_BSR_TA_Avg,0,COLUMN())-INDEX(SP_BSR_CL_Avg,0,COLUMN())</f>
        <v/>
      </c>
      <c r="AN107" s="2176">
        <f>INDEX(SP_BSR_TA_Avg,0,COLUMN())-INDEX(SP_BSR_CL_Avg,0,COLUMN())</f>
        <v/>
      </c>
      <c r="AO107" s="2176">
        <f>INDEX(SP_BSR_TA_Avg,0,COLUMN())-INDEX(SP_BSR_CL_Avg,0,COLUMN())</f>
        <v/>
      </c>
      <c r="AP107" s="2175">
        <f>INDEX(SP_BSR_TA_Avg,0,COLUMN())-INDEX(SP_BSR_CL_Avg,0,COLUMN())</f>
        <v/>
      </c>
      <c r="AQ107" s="2176">
        <f>INDEX(SP_BSR_TA_Avg,0,COLUMN())-INDEX(SP_BSR_CL_Avg,0,COLUMN())</f>
        <v/>
      </c>
      <c r="AR107" s="2176">
        <f>INDEX(SP_BSR_TA_Avg,0,COLUMN())-INDEX(SP_BSR_CL_Avg,0,COLUMN())</f>
        <v/>
      </c>
      <c r="AS107" s="2176">
        <f>INDEX(SP_BSR_TA_Avg,0,COLUMN())-INDEX(SP_BSR_CL_Avg,0,COLUMN())</f>
        <v/>
      </c>
      <c r="AT107" s="2176">
        <f>INDEX(SP_BSR_TA_Avg,0,COLUMN())-INDEX(SP_BSR_CL_Avg,0,COLUMN())</f>
        <v/>
      </c>
      <c r="AU107" s="2175">
        <f>INDEX(SP_BSR_TA_Avg,0,COLUMN())-INDEX(SP_BSR_CL_Avg,0,COLUMN())</f>
        <v/>
      </c>
      <c r="AV107" s="2176">
        <f>INDEX(SP_BSR_TA_Avg,0,COLUMN())-INDEX(SP_BSR_CL_Avg,0,COLUMN())</f>
        <v/>
      </c>
      <c r="AW107" s="2176">
        <f>INDEX(SP_BSR_TA_Avg,0,COLUMN())-INDEX(SP_BSR_CL_Avg,0,COLUMN())</f>
        <v/>
      </c>
      <c r="AX107" s="2176">
        <f>INDEX(SP_BSR_TA_Avg,0,COLUMN())-INDEX(SP_BSR_CL_Avg,0,COLUMN())</f>
        <v/>
      </c>
      <c r="AY107" s="2176">
        <f>INDEX(SP_BSR_TA_Avg,0,COLUMN())-INDEX(SP_BSR_CL_Avg,0,COLUMN())</f>
        <v/>
      </c>
      <c r="AZ107" s="2175">
        <f>INDEX(SP_BSR_TA_Avg,0,COLUMN())-INDEX(SP_BSR_CL_Avg,0,COLUMN())</f>
        <v/>
      </c>
      <c r="BA107" s="2176">
        <f>INDEX(SP_BSR_TA_Avg,0,COLUMN())-INDEX(SP_BSR_CL_Avg,0,COLUMN())</f>
        <v/>
      </c>
      <c r="BB107" s="2176">
        <f>INDEX(SP_BSR_TA_Avg,0,COLUMN())-INDEX(SP_BSR_CL_Avg,0,COLUMN())</f>
        <v/>
      </c>
      <c r="BC107" s="2176">
        <f>INDEX(SP_BSR_TA_Avg,0,COLUMN())-INDEX(SP_BSR_CL_Avg,0,COLUMN())</f>
        <v/>
      </c>
      <c r="BD107" s="2176">
        <f>INDEX(SP_BSR_TA_Avg,0,COLUMN())-INDEX(SP_BSR_CL_Avg,0,COLUMN())</f>
        <v/>
      </c>
      <c r="BE107" s="2175">
        <f>INDEX(SP_BSR_TA_Avg,0,COLUMN())-INDEX(SP_BSR_CL_Avg,0,COLUMN())</f>
        <v/>
      </c>
      <c r="BF107" s="2176">
        <f>INDEX(SP_BSR_TA_Avg,0,COLUMN())-INDEX(SP_BSR_CL_Avg,0,COLUMN())</f>
        <v/>
      </c>
      <c r="BG107" s="2176">
        <f>INDEX(SP_BSR_TA_Avg,0,COLUMN())-INDEX(SP_BSR_CL_Avg,0,COLUMN())</f>
        <v/>
      </c>
      <c r="BH107" s="2176">
        <f>INDEX(SP_BSR_TA_Avg,0,COLUMN())-INDEX(SP_BSR_CL_Avg,0,COLUMN())</f>
        <v/>
      </c>
      <c r="BI107" s="2176">
        <f>INDEX(SP_BSR_TA_Avg,0,COLUMN())-INDEX(SP_BSR_CL_Avg,0,COLUMN())</f>
        <v/>
      </c>
      <c r="BJ107" s="2175">
        <f>INDEX(SP_BSR_TA_Avg,0,COLUMN())-INDEX(SP_BSR_CL_Avg,0,COLUMN())</f>
        <v/>
      </c>
      <c r="BK107" s="2176">
        <f>INDEX(SP_BSR_TA_Avg,0,COLUMN())-INDEX(SP_BSR_CL_Avg,0,COLUMN())</f>
        <v/>
      </c>
      <c r="BL107" s="2176">
        <f>INDEX(SP_BSR_TA_Avg,0,COLUMN())-INDEX(SP_BSR_CL_Avg,0,COLUMN())</f>
        <v/>
      </c>
      <c r="BM107" s="2176">
        <f>INDEX(SP_BSR_TA_Avg,0,COLUMN())-INDEX(SP_BSR_CL_Avg,0,COLUMN())</f>
        <v/>
      </c>
      <c r="BN107" s="2176">
        <f>INDEX(SP_BSR_TA_Avg,0,COLUMN())-INDEX(SP_BSR_CL_Avg,0,COLUMN())</f>
        <v/>
      </c>
      <c r="BO107" s="2177">
        <f>INDEX(SP_BSR_TA_Avg,0,COLUMN())-INDEX(SP_BSR_CL_Avg,0,COLUMN())</f>
        <v/>
      </c>
      <c r="BP107" s="2176">
        <f>INDEX(SP_BSR_TA_Avg,0,COLUMN())-INDEX(SP_BSR_CL_Avg,0,COLUMN())</f>
        <v/>
      </c>
      <c r="BQ107" s="2176">
        <f>INDEX(SP_BSR_TA_Avg,0,COLUMN())-INDEX(SP_BSR_CL_Avg,0,COLUMN())</f>
        <v/>
      </c>
      <c r="BR107" s="2176">
        <f>INDEX(SP_BSR_TA_Avg,0,COLUMN())-INDEX(SP_BSR_CL_Avg,0,COLUMN())</f>
        <v/>
      </c>
      <c r="BS107" s="2176">
        <f>INDEX(SP_BSR_TA_Avg,0,COLUMN())-INDEX(SP_BSR_CL_Avg,0,COLUMN())</f>
        <v/>
      </c>
      <c r="BT107" s="2175">
        <f>INDEX(SP_BSR_TA_Avg,0,COLUMN())-INDEX(SP_BSR_CL_Avg,0,COLUMN())</f>
        <v/>
      </c>
      <c r="BU107" s="2176">
        <f>INDEX(SP_BSR_TA_Avg,0,COLUMN())-INDEX(SP_BSR_CL_Avg,0,COLUMN())</f>
        <v/>
      </c>
      <c r="BV107" s="2176">
        <f>INDEX(SP_BSR_TA_Avg,0,COLUMN())-INDEX(SP_BSR_CL_Avg,0,COLUMN())</f>
        <v/>
      </c>
      <c r="BW107" s="2176">
        <f>INDEX(SP_BSR_TA_Avg,0,COLUMN())-INDEX(SP_BSR_CL_Avg,0,COLUMN())</f>
        <v/>
      </c>
      <c r="BX107" s="2176">
        <f>INDEX(SP_BSR_TA_Avg,0,COLUMN())-INDEX(SP_BSR_CL_Avg,0,COLUMN())</f>
        <v/>
      </c>
      <c r="BY107" s="2175">
        <f>INDEX(SP_BSR_TA_Avg,0,COLUMN())-INDEX(SP_BSR_CL_Avg,0,COLUMN())</f>
        <v/>
      </c>
      <c r="BZ107" s="2175">
        <f>INDEX(SP_BSR_TA_Avg,0,COLUMN())-INDEX(SP_BSR_CL_Avg,0,COLUMN())</f>
        <v/>
      </c>
      <c r="CA107" s="2175">
        <f>INDEX(SP_BSR_TA_Avg,0,COLUMN())-INDEX(SP_BSR_CL_Avg,0,COLUMN())</f>
        <v/>
      </c>
      <c r="CB107" s="2175">
        <f>INDEX(SP_BSR_TA_Avg,0,COLUMN())-INDEX(SP_BSR_CL_Avg,0,COLUMN())</f>
        <v/>
      </c>
      <c r="CC107" s="1970" t="n"/>
    </row>
    <row r="108" collapsed="1" ht="15" customFormat="1" customHeight="1" s="637">
      <c r="A108" s="167" t="inlineStr">
        <is>
          <t>ROCE</t>
        </is>
      </c>
      <c r="B108" s="168" t="n"/>
      <c r="C108" s="1520">
        <f>IF(C107&lt;0,"NMF",IF(ABS(C104/C107)&gt;1,"NMF",C104/C107))</f>
        <v/>
      </c>
      <c r="D108" s="1520">
        <f>IF(D107&lt;0,"NMF",IF(ABS(D104/D107)&gt;1,"NMF",D104/D107))</f>
        <v/>
      </c>
      <c r="E108" s="1520">
        <f>IF(E107&lt;0,"NMF",IF(ABS(E104/E107)&gt;1,"NMF",E104/E107))</f>
        <v/>
      </c>
      <c r="F108" s="1520">
        <f>IF(F107&lt;0,"NMF",IF(ABS(F104/F107)&gt;1,"NMF",F104/F107))</f>
        <v/>
      </c>
      <c r="G108" s="1520">
        <f>IF(G107&lt;0,"NMF",IF(ABS(G104/G107)&gt;1,"NMF",G104/G107))</f>
        <v/>
      </c>
      <c r="H108" s="780" t="n"/>
      <c r="I108" s="780" t="n"/>
      <c r="J108" s="780" t="n"/>
      <c r="K108" s="780">
        <f>IF(K107&lt;0,"NMF",IF(ABS(K104/K107)&gt;1,"NMF",K104/K107))</f>
        <v/>
      </c>
      <c r="L108" s="1520">
        <f>IF(L107&lt;0,"NMF",IF(ABS(L104/L107)&gt;1,"NMF",L104/L107))</f>
        <v/>
      </c>
      <c r="M108" s="780">
        <f>IF(M107&lt;0,"NMF",IF(ABS(M104/M107)&gt;1,"NMF",M104/M107))</f>
        <v/>
      </c>
      <c r="N108" s="780">
        <f>IF(N107&lt;0,"NMF",IF(ABS(N104/N107)&gt;1,"NMF",N104/N107))</f>
        <v/>
      </c>
      <c r="O108" s="780">
        <f>IF(O107&lt;0,"NMF",IF(ABS(O104/O107)&gt;1,"NMF",O104/O107))</f>
        <v/>
      </c>
      <c r="P108" s="780">
        <f>IF(P107&lt;0,"NMF",IF(ABS(P104/P107)&gt;1,"NMF",P104/P107))</f>
        <v/>
      </c>
      <c r="Q108" s="1520">
        <f>IF(Q107&lt;0,"NMF",IF(ABS(Q104/Q107)&gt;1,"NMF",Q104/Q107))</f>
        <v/>
      </c>
      <c r="R108" s="780">
        <f>IF(R107&lt;0,"NMF",IF(ABS(R104/R107)&gt;1,"NMF",R104/R107))</f>
        <v/>
      </c>
      <c r="S108" s="780">
        <f>IF(S107&lt;0,"NMF",IF(ABS(S104/S107)&gt;1,"NMF",S104/S107))</f>
        <v/>
      </c>
      <c r="T108" s="780">
        <f>IF(T107&lt;0,"NMF",IF(ABS(T104/T107)&gt;1,"NMF",T104/T107))</f>
        <v/>
      </c>
      <c r="U108" s="780">
        <f>IF(U107&lt;0,"NMF",IF(ABS(U104/U107)&gt;1,"NMF",U104/U107))</f>
        <v/>
      </c>
      <c r="V108" s="1520">
        <f>IF(V107&lt;0,"NMF",IF(ABS(V104/V107)&gt;1,"NMF",V104/V107))</f>
        <v/>
      </c>
      <c r="W108" s="780">
        <f>IF(W107&lt;0,"NMF",IF(ABS(W104/W107)&gt;1,"NMF",W104/W107))</f>
        <v/>
      </c>
      <c r="X108" s="780">
        <f>IF(X107&lt;0,"NMF",IF(ABS(X104/X107)&gt;1,"NMF",X104/X107))</f>
        <v/>
      </c>
      <c r="Y108" s="780">
        <f>IF(Y107&lt;0,"NMF",IF(ABS(Y104/Y107)&gt;1,"NMF",Y104/Y107))</f>
        <v/>
      </c>
      <c r="Z108" s="780">
        <f>IF(Z107&lt;0,"NMF",IF(ABS(Z104/Z107)&gt;1,"NMF",Z104/Z107))</f>
        <v/>
      </c>
      <c r="AA108" s="1520">
        <f>IF(AA107&lt;0,"NMF",IF(ABS(AA104/AA107)&gt;1,"NMF",AA104/AA107))</f>
        <v/>
      </c>
      <c r="AB108" s="780">
        <f>IF(AB107&lt;0,"NMF",IF(ABS(AB104/AB107)&gt;1,"NMF",AB104/AB107))</f>
        <v/>
      </c>
      <c r="AC108" s="780">
        <f>IF(AC107&lt;0,"NMF",IF(ABS(AC104/AC107)&gt;1,"NMF",AC104/AC107))</f>
        <v/>
      </c>
      <c r="AD108" s="780">
        <f>IF(AD107&lt;0,"NMF",IF(ABS(AD104/AD107)&gt;1,"NMF",AD104/AD107))</f>
        <v/>
      </c>
      <c r="AE108" s="780">
        <f>IF(AE107&lt;0,"NMF",IF(ABS(AE104/AE107)&gt;1,"NMF",AE104/AE107))</f>
        <v/>
      </c>
      <c r="AF108" s="1520">
        <f>IF(AF107&lt;0,"NMF",IF(ABS(AF104/AF107)&gt;1,"NMF",AF104/AF107))</f>
        <v/>
      </c>
      <c r="AG108" s="780">
        <f>IF(AG107&lt;0,"NMF",IF(ABS(AG104/AG107)&gt;1,"NMF",AG104/AG107))</f>
        <v/>
      </c>
      <c r="AH108" s="780">
        <f>IF(AH107&lt;0,"NMF",IF(ABS(AH104/AH107)&gt;1,"NMF",AH104/AH107))</f>
        <v/>
      </c>
      <c r="AI108" s="780">
        <f>IF(AI107&lt;0,"NMF",IF(ABS(AI104/AI107)&gt;1,"NMF",AI104/AI107))</f>
        <v/>
      </c>
      <c r="AJ108" s="780">
        <f>IF(AJ107&lt;0,"NMF",IF(ABS(AJ104/AJ107)&gt;1,"NMF",AJ104/AJ107))</f>
        <v/>
      </c>
      <c r="AK108" s="1520">
        <f>IF(AK107&lt;0,"NMF",IF(ABS(AK104/AK107)&gt;1,"NMF",AK104/AK107))</f>
        <v/>
      </c>
      <c r="AL108" s="780">
        <f>IF(AL107&lt;0,"NMF",IF(ABS(AL104/AL107)&gt;1,"NMF",AL104/AL107))</f>
        <v/>
      </c>
      <c r="AM108" s="780">
        <f>IF(AM107&lt;0,"NMF",IF(ABS(AM104/AM107)&gt;1,"NMF",AM104/AM107))</f>
        <v/>
      </c>
      <c r="AN108" s="780">
        <f>IF(AN107&lt;0,"NMF",IF(ABS(AN104/AN107)&gt;1,"NMF",AN104/AN107))</f>
        <v/>
      </c>
      <c r="AO108" s="780">
        <f>IF(AO107&lt;0,"NMF",IF(ABS(AO104/AO107)&gt;1,"NMF",AO104/AO107))</f>
        <v/>
      </c>
      <c r="AP108" s="1520">
        <f>IF(AP107&lt;0,"NMF",IF(ABS(AP104/AP107)&gt;1,"NMF",AP104/AP107))</f>
        <v/>
      </c>
      <c r="AQ108" s="780">
        <f>IF(AQ107&lt;0,"NMF",IF(ABS(AQ104/AQ107)&gt;1,"NMF",AQ104/AQ107))</f>
        <v/>
      </c>
      <c r="AR108" s="780">
        <f>IF(AR107&lt;0,"NMF",IF(ABS(AR104/AR107)&gt;1,"NMF",AR104/AR107))</f>
        <v/>
      </c>
      <c r="AS108" s="780">
        <f>IF(AS107&lt;0,"NMF",IF(ABS(AS104/AS107)&gt;1,"NMF",AS104/AS107))</f>
        <v/>
      </c>
      <c r="AT108" s="780">
        <f>IF(AT107&lt;0,"NMF",IF(ABS(AT104/AT107)&gt;1,"NMF",AT104/AT107))</f>
        <v/>
      </c>
      <c r="AU108" s="1520">
        <f>IF(AU107&lt;0,"NMF",IF(ABS(AU104/AU107)&gt;1,"NMF",AU104/AU107))</f>
        <v/>
      </c>
      <c r="AV108" s="780">
        <f>IF(AV107&lt;0,"NMF",IF(ABS(AV104/AV107)&gt;1,"NMF",AV104/AV107))</f>
        <v/>
      </c>
      <c r="AW108" s="780">
        <f>IF(AW107&lt;0,"NMF",IF(ABS(AW104/AW107)&gt;1,"NMF",AW104/AW107))</f>
        <v/>
      </c>
      <c r="AX108" s="780">
        <f>IF(AX107&lt;0,"NMF",IF(ABS(AX104/AX107)&gt;1,"NMF",AX104/AX107))</f>
        <v/>
      </c>
      <c r="AY108" s="780">
        <f>IF(AY107&lt;0,"NMF",IF(ABS(AY104/AY107)&gt;1,"NMF",AY104/AY107))</f>
        <v/>
      </c>
      <c r="AZ108" s="1520">
        <f>IF(AZ107&lt;0,"NMF",IF(ABS(AZ104/AZ107)&gt;1,"NMF",AZ104/AZ107))</f>
        <v/>
      </c>
      <c r="BA108" s="780">
        <f>IF(BA107&lt;0,"NMF",IF(ABS(BA104/BA107)&gt;1,"NMF",BA104/BA107))</f>
        <v/>
      </c>
      <c r="BB108" s="780">
        <f>IF(BB107&lt;0,"NMF",IF(ABS(BB104/BB107)&gt;1,"NMF",BB104/BB107))</f>
        <v/>
      </c>
      <c r="BC108" s="780">
        <f>IF(BC107&lt;0,"NMF",IF(ABS(BC104/BC107)&gt;1,"NMF",BC104/BC107))</f>
        <v/>
      </c>
      <c r="BD108" s="780">
        <f>IF(BD107&lt;0,"NMF",IF(ABS(BD104/BD107)&gt;1,"NMF",BD104/BD107))</f>
        <v/>
      </c>
      <c r="BE108" s="1520">
        <f>IF(BE107&lt;0,"NMF",IF(ABS(BE104/BE107)&gt;1,"NMF",BE104/BE107))</f>
        <v/>
      </c>
      <c r="BF108" s="780">
        <f>IF(BF107&lt;0,"NMF",IF(ABS(BF104/BF107)&gt;1,"NMF",BF104/BF107))</f>
        <v/>
      </c>
      <c r="BG108" s="780">
        <f>IF(BG107&lt;0,"NMF",IF(ABS(BG104/BG107)&gt;1,"NMF",BG104/BG107))</f>
        <v/>
      </c>
      <c r="BH108" s="780">
        <f>IF(BH107&lt;0,"NMF",IF(ABS(BH104/BH107)&gt;1,"NMF",BH104/BH107))</f>
        <v/>
      </c>
      <c r="BI108" s="780">
        <f>IF(BI107&lt;0,"NMF",IF(ABS(BI104/BI107)&gt;1,"NMF",BI104/BI107))</f>
        <v/>
      </c>
      <c r="BJ108" s="1520">
        <f>IF(BJ107&lt;0,"NMF",IF(ABS(BJ104/BJ107)&gt;1,"NMF",BJ104/BJ107))</f>
        <v/>
      </c>
      <c r="BK108" s="780">
        <f>IF(BK107&lt;0,"NMF",IF(ABS(BK104/BK107)&gt;1,"NMF",BK104/BK107))</f>
        <v/>
      </c>
      <c r="BL108" s="780">
        <f>IF(BL107&lt;0,"NMF",IF(ABS(BL104/BL107)&gt;1,"NMF",BL104/BL107))</f>
        <v/>
      </c>
      <c r="BM108" s="780">
        <f>IF(BM107&lt;0,"NMF",IF(ABS(BM104/BM107)&gt;1,"NMF",BM104/BM107))</f>
        <v/>
      </c>
      <c r="BN108" s="780">
        <f>IF(BN107&lt;0,"NMF",IF(ABS(BN104/BN107)&gt;1,"NMF",BN104/BN107))</f>
        <v/>
      </c>
      <c r="BO108" s="1519">
        <f>IF(BO107&lt;0,"NMF",IF(ABS(BO104/BO107)&gt;1,"NMF",BO104/BO107))</f>
        <v/>
      </c>
      <c r="BP108" s="780">
        <f>IF(BP107&lt;0,"NMF",IF(ABS(BP104/BP107)&gt;1,"NMF",BP104/BP107))</f>
        <v/>
      </c>
      <c r="BQ108" s="780">
        <f>IF(BQ107&lt;0,"NMF",IF(ABS(BQ104/BQ107)&gt;1,"NMF",BQ104/BQ107))</f>
        <v/>
      </c>
      <c r="BR108" s="780">
        <f>IF(BR107&lt;0,"NMF",IF(ABS(BR104/BR107)&gt;1,"NMF",BR104/BR107))</f>
        <v/>
      </c>
      <c r="BS108" s="780">
        <f>IF(BS107&lt;0,"NMF",IF(ABS(BS104/BS107)&gt;1,"NMF",BS104/BS107))</f>
        <v/>
      </c>
      <c r="BT108" s="1520">
        <f>IF(BT107&lt;0,"NMF",IF(ABS(BT104/BT107)&gt;1,"NMF",BT104/BT107))</f>
        <v/>
      </c>
      <c r="BU108" s="780">
        <f>IF(BU107&lt;0,"NMF",IF(ABS(BU104/BU107)&gt;1,"NMF",BU104/BU107))</f>
        <v/>
      </c>
      <c r="BV108" s="780">
        <f>IF(BV107&lt;0,"NMF",IF(ABS(BV104/BV107)&gt;1,"NMF",BV104/BV107))</f>
        <v/>
      </c>
      <c r="BW108" s="780">
        <f>IF(BW107&lt;0,"NMF",IF(ABS(BW104/BW107)&gt;1,"NMF",BW104/BW107))</f>
        <v/>
      </c>
      <c r="BX108" s="780">
        <f>IF(BX107&lt;0,"NMF",IF(ABS(BX104/BX107)&gt;1,"NMF",BX104/BX107))</f>
        <v/>
      </c>
      <c r="BY108" s="1520">
        <f>IF(BY107&lt;0,"NMF",IF(ABS(BY104/BY107)&gt;1,"NMF",BY104/BY107))</f>
        <v/>
      </c>
      <c r="BZ108" s="1520">
        <f>IF(BZ107&lt;0,"NMF",IF(ABS(BZ104/BZ107)&gt;1,"NMF",BZ104/BZ107))</f>
        <v/>
      </c>
      <c r="CA108" s="1520">
        <f>IF(CA107&lt;0,"NMF",IF(ABS(CA104/CA107)&gt;1,"NMF",CA104/CA107))</f>
        <v/>
      </c>
      <c r="CB108" s="1520">
        <f>IF(CB107&lt;0,"NMF",IF(ABS(CB104/CB107)&gt;1,"NMF",CB104/CB107))</f>
        <v/>
      </c>
      <c r="CC108" s="188" t="n"/>
    </row>
    <row r="109" ht="15" customHeight="1" s="595">
      <c r="A109" s="1780" t="n"/>
      <c r="B109" s="2141" t="n"/>
      <c r="C109" s="2142" t="n"/>
      <c r="D109" s="2142" t="n"/>
      <c r="E109" s="2142" t="n"/>
      <c r="F109" s="2142" t="n"/>
      <c r="G109" s="2142" t="n"/>
      <c r="H109" s="2136" t="n"/>
      <c r="I109" s="2136" t="n"/>
      <c r="J109" s="2136" t="n"/>
      <c r="K109" s="2136" t="n"/>
      <c r="L109" s="2142" t="n"/>
      <c r="M109" s="2136" t="n"/>
      <c r="N109" s="2136" t="n"/>
      <c r="O109" s="2136" t="n"/>
      <c r="P109" s="2136" t="n"/>
      <c r="Q109" s="2142" t="n"/>
      <c r="R109" s="2136" t="n"/>
      <c r="S109" s="2136" t="n"/>
      <c r="T109" s="2136" t="n"/>
      <c r="U109" s="2136" t="n"/>
      <c r="V109" s="2142" t="n"/>
      <c r="W109" s="2136" t="n"/>
      <c r="X109" s="2136" t="n"/>
      <c r="Y109" s="2136" t="n"/>
      <c r="Z109" s="2136" t="n"/>
      <c r="AA109" s="2142" t="n"/>
      <c r="AB109" s="2136" t="n"/>
      <c r="AC109" s="2136" t="n"/>
      <c r="AD109" s="2136" t="n"/>
      <c r="AE109" s="2136" t="n"/>
      <c r="AF109" s="2142" t="n"/>
      <c r="AG109" s="2136" t="n"/>
      <c r="AH109" s="2136" t="n"/>
      <c r="AI109" s="2136" t="n"/>
      <c r="AJ109" s="2136" t="n"/>
      <c r="AK109" s="2142" t="n"/>
      <c r="AL109" s="2136" t="n"/>
      <c r="AM109" s="2136" t="n"/>
      <c r="AN109" s="2136" t="n"/>
      <c r="AO109" s="2136" t="n"/>
      <c r="AP109" s="2142" t="n"/>
      <c r="AQ109" s="2136" t="n"/>
      <c r="AR109" s="2136" t="n"/>
      <c r="AS109" s="2136" t="n"/>
      <c r="AT109" s="2136" t="n"/>
      <c r="AU109" s="2142" t="n"/>
      <c r="AV109" s="2136" t="n"/>
      <c r="AW109" s="2136" t="n"/>
      <c r="AX109" s="2136" t="n"/>
      <c r="AY109" s="2136" t="n"/>
      <c r="AZ109" s="2142" t="n"/>
      <c r="BA109" s="2136" t="n"/>
      <c r="BB109" s="2136" t="n"/>
      <c r="BC109" s="2136" t="n"/>
      <c r="BD109" s="2136" t="n"/>
      <c r="BE109" s="2142" t="n"/>
      <c r="BF109" s="2136" t="n"/>
      <c r="BG109" s="2136" t="n"/>
      <c r="BH109" s="2136" t="n"/>
      <c r="BI109" s="2136" t="n"/>
      <c r="BJ109" s="2142" t="n"/>
      <c r="BK109" s="2136" t="n"/>
      <c r="BL109" s="2136" t="n"/>
      <c r="BM109" s="2136" t="n"/>
      <c r="BN109" s="2136" t="n"/>
      <c r="BO109" s="2143" t="n"/>
      <c r="BP109" s="2136" t="n"/>
      <c r="BQ109" s="2136" t="n"/>
      <c r="BR109" s="2136" t="n"/>
      <c r="BS109" s="2136" t="n"/>
      <c r="BT109" s="2142" t="n"/>
      <c r="BU109" s="2136" t="n"/>
      <c r="BV109" s="2136" t="n"/>
      <c r="BW109" s="2136" t="n"/>
      <c r="BX109" s="2136" t="n"/>
      <c r="BY109" s="2142" t="n"/>
      <c r="BZ109" s="2142" t="n"/>
      <c r="CA109" s="2142" t="n"/>
      <c r="CB109" s="2142" t="n"/>
      <c r="CC109" s="2136" t="n"/>
    </row>
    <row r="110" ht="15" customHeight="1" s="595">
      <c r="A110" s="2121" t="inlineStr">
        <is>
          <t>Per-Share Growth Metrics</t>
        </is>
      </c>
      <c r="B110" s="2144" t="n"/>
      <c r="C110" s="2144" t="n"/>
      <c r="D110" s="2144" t="n"/>
      <c r="E110" s="2144" t="n"/>
      <c r="F110" s="2144" t="n"/>
      <c r="G110" s="2144" t="n"/>
      <c r="H110" s="2144" t="n"/>
      <c r="I110" s="2144" t="n"/>
      <c r="J110" s="2144" t="n"/>
      <c r="K110" s="2144" t="n"/>
      <c r="L110" s="2144" t="n"/>
      <c r="M110" s="2144" t="n"/>
      <c r="N110" s="2144" t="n"/>
      <c r="O110" s="2144" t="n"/>
      <c r="P110" s="2144" t="n"/>
      <c r="Q110" s="2144" t="n"/>
      <c r="R110" s="2144" t="n"/>
      <c r="S110" s="2144" t="n"/>
      <c r="T110" s="2144" t="n"/>
      <c r="U110" s="2144" t="n"/>
      <c r="V110" s="2144" t="n"/>
      <c r="W110" s="2144" t="n"/>
      <c r="X110" s="2144" t="n"/>
      <c r="Y110" s="2144" t="n"/>
      <c r="Z110" s="2144" t="n"/>
      <c r="AA110" s="2144" t="n"/>
      <c r="AB110" s="2144" t="n"/>
      <c r="AC110" s="2144" t="n"/>
      <c r="AD110" s="2144" t="n"/>
      <c r="AE110" s="2144" t="n"/>
      <c r="AF110" s="2144" t="n"/>
      <c r="AG110" s="2144" t="n"/>
      <c r="AH110" s="2144" t="n"/>
      <c r="AI110" s="2144" t="n"/>
      <c r="AJ110" s="2144" t="n"/>
      <c r="AK110" s="2144" t="n"/>
      <c r="AL110" s="2144" t="n"/>
      <c r="AM110" s="2144" t="n"/>
      <c r="AN110" s="2144" t="n"/>
      <c r="AO110" s="2144" t="n"/>
      <c r="AP110" s="2144" t="n"/>
      <c r="AQ110" s="2144" t="n"/>
      <c r="AR110" s="2144" t="n"/>
      <c r="AS110" s="2144" t="n"/>
      <c r="AT110" s="2144" t="n"/>
      <c r="AU110" s="2144" t="n"/>
      <c r="AV110" s="2144" t="n"/>
      <c r="AW110" s="2144" t="n"/>
      <c r="AX110" s="2144" t="n"/>
      <c r="AY110" s="2144" t="n"/>
      <c r="AZ110" s="2144" t="n"/>
      <c r="BA110" s="2144" t="n"/>
      <c r="BB110" s="2144" t="n"/>
      <c r="BC110" s="2144" t="n"/>
      <c r="BD110" s="2144" t="n"/>
      <c r="BE110" s="2144" t="n"/>
      <c r="BF110" s="2144" t="n"/>
      <c r="BG110" s="2144" t="n"/>
      <c r="BH110" s="2144" t="n"/>
      <c r="BI110" s="2144" t="n"/>
      <c r="BJ110" s="2144" t="n"/>
      <c r="BK110" s="2144" t="n"/>
      <c r="BL110" s="2144" t="n"/>
      <c r="BM110" s="2144" t="n"/>
      <c r="BN110" s="2144" t="n"/>
      <c r="BO110" s="2145" t="n"/>
      <c r="BP110" s="2144" t="n"/>
      <c r="BQ110" s="2144" t="n"/>
      <c r="BR110" s="2144" t="n"/>
      <c r="BS110" s="2144" t="n"/>
      <c r="BT110" s="2144" t="n"/>
      <c r="BU110" s="2144" t="n"/>
      <c r="BV110" s="2144" t="n"/>
      <c r="BW110" s="2144" t="n"/>
      <c r="BX110" s="2144" t="n"/>
      <c r="BY110" s="2144" t="n"/>
      <c r="BZ110" s="2144" t="n"/>
      <c r="CA110" s="2144" t="n"/>
      <c r="CB110" s="2144" t="n"/>
      <c r="CC110" s="1970" t="n"/>
    </row>
    <row r="111" ht="15" customFormat="1" customHeight="1" s="636">
      <c r="A111" s="163" t="inlineStr">
        <is>
          <t>Revenue Per Share Growth</t>
        </is>
      </c>
      <c r="B111" s="162" t="n"/>
      <c r="C111" s="1515" t="n"/>
      <c r="D111" s="1515">
        <f>IF(OR(INDEX(SP_GF_Rev,0,COLUMN())&lt;=0,C24&lt;=0),"NMF",IF(ABS((INDEX(SP_GF_Rev,0,COLUMN())/INDEX(SP_GF_ShareCount,0,COLUMN()))/(C24/C43)-1)&gt;10,"NMF",(INDEX(SP_GF_Rev,0,COLUMN())/INDEX(SP_GF_ShareCount,0,COLUMN()))/(C24/C43)-1))</f>
        <v/>
      </c>
      <c r="E111" s="1515">
        <f>IF(OR(INDEX(SP_GF_Rev,0,COLUMN())&lt;=0,D24&lt;=0),"NMF",IF(ABS((INDEX(SP_GF_Rev,0,COLUMN())/INDEX(SP_GF_ShareCount,0,COLUMN()))/(D24/D43)-1)&gt;10,"NMF",(INDEX(SP_GF_Rev,0,COLUMN())/INDEX(SP_GF_ShareCount,0,COLUMN()))/(D24/D43)-1))</f>
        <v/>
      </c>
      <c r="F111" s="1515">
        <f>IF(OR(INDEX(SP_GF_Rev,0,COLUMN())&lt;=0,E24&lt;=0),"NMF",IF(ABS((INDEX(SP_GF_Rev,0,COLUMN())/INDEX(SP_GF_ShareCount,0,COLUMN()))/(E24/E43)-1)&gt;10,"NMF",(INDEX(SP_GF_Rev,0,COLUMN())/INDEX(SP_GF_ShareCount,0,COLUMN()))/(E24/E43)-1))</f>
        <v/>
      </c>
      <c r="G111" s="1515">
        <f>IF(OR(INDEX(SP_GF_Rev,0,COLUMN())&lt;=0,F24&lt;=0),"NMF",IF(ABS((INDEX(SP_GF_Rev,0,COLUMN())/INDEX(SP_GF_ShareCount,0,COLUMN()))/(F24/F43)-1)&gt;10,"NMF",(INDEX(SP_GF_Rev,0,COLUMN())/INDEX(SP_GF_ShareCount,0,COLUMN()))/(F24/F43)-1))</f>
        <v/>
      </c>
      <c r="H111" s="778" t="n"/>
      <c r="I111" s="778" t="n"/>
      <c r="J111" s="778" t="n"/>
      <c r="K111" s="778" t="n"/>
      <c r="L111" s="1515">
        <f>IF(OR(INDEX(SP_GF_Rev,0,COLUMN())&lt;=0,G24&lt;=0),"NMF",IF(ABS((INDEX(SP_GF_Rev,0,COLUMN())/INDEX(SP_GF_ShareCount,0,COLUMN()))/(G24/G43)-1)&gt;10,"NMF",(INDEX(SP_GF_Rev,0,COLUMN())/INDEX(SP_GF_ShareCount,0,COLUMN()))/(G24/G43)-1))</f>
        <v/>
      </c>
      <c r="M111" s="778">
        <f>IF(OR(INDEX(SP_GF_Rev,0,COLUMN())&lt;=0,H24&lt;=0),"NMF",IF(ABS((INDEX(SP_GF_Rev,0,COLUMN())/INDEX(SP_GF_ShareCount,0,COLUMN()))/(H24/H43)-1)&gt;10,"NMF",(INDEX(SP_GF_Rev,0,COLUMN())/INDEX(SP_GF_ShareCount,0,COLUMN()))/(H24/H43)-1))</f>
        <v/>
      </c>
      <c r="N111" s="778">
        <f>IF(OR(INDEX(SP_GF_Rev,0,COLUMN())&lt;=0,I24&lt;=0),"NMF",IF(ABS((INDEX(SP_GF_Rev,0,COLUMN())/INDEX(SP_GF_ShareCount,0,COLUMN()))/(I24/I43)-1)&gt;10,"NMF",(INDEX(SP_GF_Rev,0,COLUMN())/INDEX(SP_GF_ShareCount,0,COLUMN()))/(I24/I43)-1))</f>
        <v/>
      </c>
      <c r="O111" s="778">
        <f>IF(OR(INDEX(SP_GF_Rev,0,COLUMN())&lt;=0,J24&lt;=0),"NMF",IF(ABS((INDEX(SP_GF_Rev,0,COLUMN())/INDEX(SP_GF_ShareCount,0,COLUMN()))/(J24/J43)-1)&gt;10,"NMF",(INDEX(SP_GF_Rev,0,COLUMN())/INDEX(SP_GF_ShareCount,0,COLUMN()))/(J24/J43)-1))</f>
        <v/>
      </c>
      <c r="P111" s="778">
        <f>IF(OR(INDEX(SP_GF_Rev,0,COLUMN())&lt;=0,K24&lt;=0),"NMF",IF(ABS((INDEX(SP_GF_Rev,0,COLUMN())/INDEX(SP_GF_ShareCount,0,COLUMN()))/(K24/K43)-1)&gt;10,"NMF",(INDEX(SP_GF_Rev,0,COLUMN())/INDEX(SP_GF_ShareCount,0,COLUMN()))/(K24/K43)-1))</f>
        <v/>
      </c>
      <c r="Q111" s="1515">
        <f>IF(OR(INDEX(SP_GF_Rev,0,COLUMN())&lt;=0,L24&lt;=0),"NMF",IF(ABS((INDEX(SP_GF_Rev,0,COLUMN())/INDEX(SP_GF_ShareCount,0,COLUMN()))/(L24/L43)-1)&gt;10,"NMF",(INDEX(SP_GF_Rev,0,COLUMN())/INDEX(SP_GF_ShareCount,0,COLUMN()))/(L24/L43)-1))</f>
        <v/>
      </c>
      <c r="R111" s="778">
        <f>IF(OR(INDEX(SP_GF_Rev,0,COLUMN())&lt;=0,M24&lt;=0),"NMF",IF(ABS((INDEX(SP_GF_Rev,0,COLUMN())/INDEX(SP_GF_ShareCount,0,COLUMN()))/(M24/M43)-1)&gt;10,"NMF",(INDEX(SP_GF_Rev,0,COLUMN())/INDEX(SP_GF_ShareCount,0,COLUMN()))/(M24/M43)-1))</f>
        <v/>
      </c>
      <c r="S111" s="778">
        <f>IF(OR(INDEX(SP_GF_Rev,0,COLUMN())&lt;=0,N24&lt;=0),"NMF",IF(ABS((INDEX(SP_GF_Rev,0,COLUMN())/INDEX(SP_GF_ShareCount,0,COLUMN()))/(N24/N43)-1)&gt;10,"NMF",(INDEX(SP_GF_Rev,0,COLUMN())/INDEX(SP_GF_ShareCount,0,COLUMN()))/(N24/N43)-1))</f>
        <v/>
      </c>
      <c r="T111" s="778">
        <f>IF(OR(INDEX(SP_GF_Rev,0,COLUMN())&lt;=0,O24&lt;=0),"NMF",IF(ABS((INDEX(SP_GF_Rev,0,COLUMN())/INDEX(SP_GF_ShareCount,0,COLUMN()))/(O24/O43)-1)&gt;10,"NMF",(INDEX(SP_GF_Rev,0,COLUMN())/INDEX(SP_GF_ShareCount,0,COLUMN()))/(O24/O43)-1))</f>
        <v/>
      </c>
      <c r="U111" s="778">
        <f>IF(OR(INDEX(SP_GF_Rev,0,COLUMN())&lt;=0,P24&lt;=0),"NMF",IF(ABS((INDEX(SP_GF_Rev,0,COLUMN())/INDEX(SP_GF_ShareCount,0,COLUMN()))/(P24/P43)-1)&gt;10,"NMF",(INDEX(SP_GF_Rev,0,COLUMN())/INDEX(SP_GF_ShareCount,0,COLUMN()))/(P24/P43)-1))</f>
        <v/>
      </c>
      <c r="V111" s="1515">
        <f>IF(OR(INDEX(SP_GF_Rev,0,COLUMN())&lt;=0,Q24&lt;=0),"NMF",IF(ABS((INDEX(SP_GF_Rev,0,COLUMN())/INDEX(SP_GF_ShareCount,0,COLUMN()))/(Q24/Q43)-1)&gt;10,"NMF",(INDEX(SP_GF_Rev,0,COLUMN())/INDEX(SP_GF_ShareCount,0,COLUMN()))/(Q24/Q43)-1))</f>
        <v/>
      </c>
      <c r="W111" s="778">
        <f>IF(OR(INDEX(SP_GF_Rev,0,COLUMN())&lt;=0,R24&lt;=0),"NMF",IF(ABS((INDEX(SP_GF_Rev,0,COLUMN())/INDEX(SP_GF_ShareCount,0,COLUMN()))/(R24/R43)-1)&gt;10,"NMF",(INDEX(SP_GF_Rev,0,COLUMN())/INDEX(SP_GF_ShareCount,0,COLUMN()))/(R24/R43)-1))</f>
        <v/>
      </c>
      <c r="X111" s="778">
        <f>IF(OR(INDEX(SP_GF_Rev,0,COLUMN())&lt;=0,S24&lt;=0),"NMF",IF(ABS((INDEX(SP_GF_Rev,0,COLUMN())/INDEX(SP_GF_ShareCount,0,COLUMN()))/(S24/S43)-1)&gt;10,"NMF",(INDEX(SP_GF_Rev,0,COLUMN())/INDEX(SP_GF_ShareCount,0,COLUMN()))/(S24/S43)-1))</f>
        <v/>
      </c>
      <c r="Y111" s="778">
        <f>IF(OR(INDEX(SP_GF_Rev,0,COLUMN())&lt;=0,T24&lt;=0),"NMF",IF(ABS((INDEX(SP_GF_Rev,0,COLUMN())/INDEX(SP_GF_ShareCount,0,COLUMN()))/(T24/T43)-1)&gt;10,"NMF",(INDEX(SP_GF_Rev,0,COLUMN())/INDEX(SP_GF_ShareCount,0,COLUMN()))/(T24/T43)-1))</f>
        <v/>
      </c>
      <c r="Z111" s="778">
        <f>IF(OR(INDEX(SP_GF_Rev,0,COLUMN())&lt;=0,U24&lt;=0),"NMF",IF(ABS((INDEX(SP_GF_Rev,0,COLUMN())/INDEX(SP_GF_ShareCount,0,COLUMN()))/(U24/U43)-1)&gt;10,"NMF",(INDEX(SP_GF_Rev,0,COLUMN())/INDEX(SP_GF_ShareCount,0,COLUMN()))/(U24/U43)-1))</f>
        <v/>
      </c>
      <c r="AA111" s="1515">
        <f>IF(OR(INDEX(SP_GF_Rev,0,COLUMN())&lt;=0,V24&lt;=0),"NMF",IF(ABS((INDEX(SP_GF_Rev,0,COLUMN())/INDEX(SP_GF_ShareCount,0,COLUMN()))/(V24/V43)-1)&gt;10,"NMF",(INDEX(SP_GF_Rev,0,COLUMN())/INDEX(SP_GF_ShareCount,0,COLUMN()))/(V24/V43)-1))</f>
        <v/>
      </c>
      <c r="AB111" s="778">
        <f>IF(OR(INDEX(SP_GF_Rev,0,COLUMN())&lt;=0,W24&lt;=0),"NMF",IF(ABS((INDEX(SP_GF_Rev,0,COLUMN())/INDEX(SP_GF_ShareCount,0,COLUMN()))/(W24/W43)-1)&gt;10,"NMF",(INDEX(SP_GF_Rev,0,COLUMN())/INDEX(SP_GF_ShareCount,0,COLUMN()))/(W24/W43)-1))</f>
        <v/>
      </c>
      <c r="AC111" s="778">
        <f>IF(OR(INDEX(SP_GF_Rev,0,COLUMN())&lt;=0,X24&lt;=0),"NMF",IF(ABS((INDEX(SP_GF_Rev,0,COLUMN())/INDEX(SP_GF_ShareCount,0,COLUMN()))/(X24/X43)-1)&gt;10,"NMF",(INDEX(SP_GF_Rev,0,COLUMN())/INDEX(SP_GF_ShareCount,0,COLUMN()))/(X24/X43)-1))</f>
        <v/>
      </c>
      <c r="AD111" s="778">
        <f>IF(OR(INDEX(SP_GF_Rev,0,COLUMN())&lt;=0,Y24&lt;=0),"NMF",IF(ABS((INDEX(SP_GF_Rev,0,COLUMN())/INDEX(SP_GF_ShareCount,0,COLUMN()))/(Y24/Y43)-1)&gt;10,"NMF",(INDEX(SP_GF_Rev,0,COLUMN())/INDEX(SP_GF_ShareCount,0,COLUMN()))/(Y24/Y43)-1))</f>
        <v/>
      </c>
      <c r="AE111" s="778">
        <f>IF(OR(INDEX(SP_GF_Rev,0,COLUMN())&lt;=0,Z24&lt;=0),"NMF",IF(ABS((INDEX(SP_GF_Rev,0,COLUMN())/INDEX(SP_GF_ShareCount,0,COLUMN()))/(Z24/Z43)-1)&gt;10,"NMF",(INDEX(SP_GF_Rev,0,COLUMN())/INDEX(SP_GF_ShareCount,0,COLUMN()))/(Z24/Z43)-1))</f>
        <v/>
      </c>
      <c r="AF111" s="1515">
        <f>IF(OR(INDEX(SP_GF_Rev,0,COLUMN())&lt;=0,AA24&lt;=0),"NMF",IF(ABS((INDEX(SP_GF_Rev,0,COLUMN())/INDEX(SP_GF_ShareCount,0,COLUMN()))/(AA24/AA43)-1)&gt;10,"NMF",(INDEX(SP_GF_Rev,0,COLUMN())/INDEX(SP_GF_ShareCount,0,COLUMN()))/(AA24/AA43)-1))</f>
        <v/>
      </c>
      <c r="AG111" s="778">
        <f>IF(OR(INDEX(SP_GF_Rev,0,COLUMN())&lt;=0,AB24&lt;=0),"NMF",IF(ABS((INDEX(SP_GF_Rev,0,COLUMN())/INDEX(SP_GF_ShareCount,0,COLUMN()))/(AB24/AB43)-1)&gt;10,"NMF",(INDEX(SP_GF_Rev,0,COLUMN())/INDEX(SP_GF_ShareCount,0,COLUMN()))/(AB24/AB43)-1))</f>
        <v/>
      </c>
      <c r="AH111" s="778">
        <f>IF(OR(INDEX(SP_GF_Rev,0,COLUMN())&lt;=0,AC24&lt;=0),"NMF",IF(ABS((INDEX(SP_GF_Rev,0,COLUMN())/INDEX(SP_GF_ShareCount,0,COLUMN()))/(AC24/AC43)-1)&gt;10,"NMF",(INDEX(SP_GF_Rev,0,COLUMN())/INDEX(SP_GF_ShareCount,0,COLUMN()))/(AC24/AC43)-1))</f>
        <v/>
      </c>
      <c r="AI111" s="778">
        <f>IF(OR(INDEX(SP_GF_Rev,0,COLUMN())&lt;=0,AD24&lt;=0),"NMF",IF(ABS((INDEX(SP_GF_Rev,0,COLUMN())/INDEX(SP_GF_ShareCount,0,COLUMN()))/(AD24/AD43)-1)&gt;10,"NMF",(INDEX(SP_GF_Rev,0,COLUMN())/INDEX(SP_GF_ShareCount,0,COLUMN()))/(AD24/AD43)-1))</f>
        <v/>
      </c>
      <c r="AJ111" s="778">
        <f>IF(OR(INDEX(SP_GF_Rev,0,COLUMN())&lt;=0,AE24&lt;=0),"NMF",IF(ABS((INDEX(SP_GF_Rev,0,COLUMN())/INDEX(SP_GF_ShareCount,0,COLUMN()))/(AE24/AE43)-1)&gt;10,"NMF",(INDEX(SP_GF_Rev,0,COLUMN())/INDEX(SP_GF_ShareCount,0,COLUMN()))/(AE24/AE43)-1))</f>
        <v/>
      </c>
      <c r="AK111" s="1515">
        <f>IF(OR(INDEX(SP_GF_Rev,0,COLUMN())&lt;=0,AF24&lt;=0),"NMF",IF(ABS((INDEX(SP_GF_Rev,0,COLUMN())/INDEX(SP_GF_ShareCount,0,COLUMN()))/(AF24/AF43)-1)&gt;10,"NMF",(INDEX(SP_GF_Rev,0,COLUMN())/INDEX(SP_GF_ShareCount,0,COLUMN()))/(AF24/AF43)-1))</f>
        <v/>
      </c>
      <c r="AL111" s="778">
        <f>IF(OR(INDEX(SP_GF_Rev,0,COLUMN())&lt;=0,AG24&lt;=0),"NMF",IF(ABS((INDEX(SP_GF_Rev,0,COLUMN())/INDEX(SP_GF_ShareCount,0,COLUMN()))/(AG24/AG43)-1)&gt;10,"NMF",(INDEX(SP_GF_Rev,0,COLUMN())/INDEX(SP_GF_ShareCount,0,COLUMN()))/(AG24/AG43)-1))</f>
        <v/>
      </c>
      <c r="AM111" s="778">
        <f>IF(OR(INDEX(SP_GF_Rev,0,COLUMN())&lt;=0,AH24&lt;=0),"NMF",IF(ABS((INDEX(SP_GF_Rev,0,COLUMN())/INDEX(SP_GF_ShareCount,0,COLUMN()))/(AH24/AH43)-1)&gt;10,"NMF",(INDEX(SP_GF_Rev,0,COLUMN())/INDEX(SP_GF_ShareCount,0,COLUMN()))/(AH24/AH43)-1))</f>
        <v/>
      </c>
      <c r="AN111" s="778">
        <f>IF(OR(INDEX(SP_GF_Rev,0,COLUMN())&lt;=0,AI24&lt;=0),"NMF",IF(ABS((INDEX(SP_GF_Rev,0,COLUMN())/INDEX(SP_GF_ShareCount,0,COLUMN()))/(AI24/AI43)-1)&gt;10,"NMF",(INDEX(SP_GF_Rev,0,COLUMN())/INDEX(SP_GF_ShareCount,0,COLUMN()))/(AI24/AI43)-1))</f>
        <v/>
      </c>
      <c r="AO111" s="778">
        <f>IF(OR(INDEX(SP_GF_Rev,0,COLUMN())&lt;=0,AJ24&lt;=0),"NMF",IF(ABS((INDEX(SP_GF_Rev,0,COLUMN())/INDEX(SP_GF_ShareCount,0,COLUMN()))/(AJ24/AJ43)-1)&gt;10,"NMF",(INDEX(SP_GF_Rev,0,COLUMN())/INDEX(SP_GF_ShareCount,0,COLUMN()))/(AJ24/AJ43)-1))</f>
        <v/>
      </c>
      <c r="AP111" s="1515">
        <f>IF(OR(INDEX(SP_GF_Rev,0,COLUMN())&lt;=0,AK24&lt;=0),"NMF",IF(ABS((INDEX(SP_GF_Rev,0,COLUMN())/INDEX(SP_GF_ShareCount,0,COLUMN()))/(AK24/AK43)-1)&gt;10,"NMF",(INDEX(SP_GF_Rev,0,COLUMN())/INDEX(SP_GF_ShareCount,0,COLUMN()))/(AK24/AK43)-1))</f>
        <v/>
      </c>
      <c r="AQ111" s="778">
        <f>IF(OR(INDEX(SP_GF_Rev,0,COLUMN())&lt;=0,AL24&lt;=0),"NMF",IF(ABS((INDEX(SP_GF_Rev,0,COLUMN())/INDEX(SP_GF_ShareCount,0,COLUMN()))/(AL24/AL43)-1)&gt;10,"NMF",(INDEX(SP_GF_Rev,0,COLUMN())/INDEX(SP_GF_ShareCount,0,COLUMN()))/(AL24/AL43)-1))</f>
        <v/>
      </c>
      <c r="AR111" s="778">
        <f>IF(OR(INDEX(SP_GF_Rev,0,COLUMN())&lt;=0,AM24&lt;=0),"NMF",IF(ABS((INDEX(SP_GF_Rev,0,COLUMN())/INDEX(SP_GF_ShareCount,0,COLUMN()))/(AM24/AM43)-1)&gt;10,"NMF",(INDEX(SP_GF_Rev,0,COLUMN())/INDEX(SP_GF_ShareCount,0,COLUMN()))/(AM24/AM43)-1))</f>
        <v/>
      </c>
      <c r="AS111" s="778">
        <f>IF(OR(INDEX(SP_GF_Rev,0,COLUMN())&lt;=0,AN24&lt;=0),"NMF",IF(ABS((INDEX(SP_GF_Rev,0,COLUMN())/INDEX(SP_GF_ShareCount,0,COLUMN()))/(AN24/AN43)-1)&gt;10,"NMF",(INDEX(SP_GF_Rev,0,COLUMN())/INDEX(SP_GF_ShareCount,0,COLUMN()))/(AN24/AN43)-1))</f>
        <v/>
      </c>
      <c r="AT111" s="778">
        <f>IF(OR(INDEX(SP_GF_Rev,0,COLUMN())&lt;=0,AO24&lt;=0),"NMF",IF(ABS((INDEX(SP_GF_Rev,0,COLUMN())/INDEX(SP_GF_ShareCount,0,COLUMN()))/(AO24/AO43)-1)&gt;10,"NMF",(INDEX(SP_GF_Rev,0,COLUMN())/INDEX(SP_GF_ShareCount,0,COLUMN()))/(AO24/AO43)-1))</f>
        <v/>
      </c>
      <c r="AU111" s="1515">
        <f>IF(OR(INDEX(SP_GF_Rev,0,COLUMN())&lt;=0,AP24&lt;=0),"NMF",IF(ABS((INDEX(SP_GF_Rev,0,COLUMN())/INDEX(SP_GF_ShareCount,0,COLUMN()))/(AP24/AP43)-1)&gt;10,"NMF",(INDEX(SP_GF_Rev,0,COLUMN())/INDEX(SP_GF_ShareCount,0,COLUMN()))/(AP24/AP43)-1))</f>
        <v/>
      </c>
      <c r="AV111" s="778">
        <f>IF(OR(INDEX(SP_GF_Rev,0,COLUMN())&lt;=0,AQ24&lt;=0),"NMF",IF(ABS((INDEX(SP_GF_Rev,0,COLUMN())/INDEX(SP_GF_ShareCount,0,COLUMN()))/(AQ24/AQ43)-1)&gt;10,"NMF",(INDEX(SP_GF_Rev,0,COLUMN())/INDEX(SP_GF_ShareCount,0,COLUMN()))/(AQ24/AQ43)-1))</f>
        <v/>
      </c>
      <c r="AW111" s="778">
        <f>IF(OR(INDEX(SP_GF_Rev,0,COLUMN())&lt;=0,AR24&lt;=0),"NMF",IF(ABS((INDEX(SP_GF_Rev,0,COLUMN())/INDEX(SP_GF_ShareCount,0,COLUMN()))/(AR24/AR43)-1)&gt;10,"NMF",(INDEX(SP_GF_Rev,0,COLUMN())/INDEX(SP_GF_ShareCount,0,COLUMN()))/(AR24/AR43)-1))</f>
        <v/>
      </c>
      <c r="AX111" s="778">
        <f>IF(OR(INDEX(SP_GF_Rev,0,COLUMN())&lt;=0,AS24&lt;=0),"NMF",IF(ABS((INDEX(SP_GF_Rev,0,COLUMN())/INDEX(SP_GF_ShareCount,0,COLUMN()))/(AS24/AS43)-1)&gt;10,"NMF",(INDEX(SP_GF_Rev,0,COLUMN())/INDEX(SP_GF_ShareCount,0,COLUMN()))/(AS24/AS43)-1))</f>
        <v/>
      </c>
      <c r="AY111" s="778">
        <f>IF(OR(INDEX(SP_GF_Rev,0,COLUMN())&lt;=0,AT24&lt;=0),"NMF",IF(ABS((INDEX(SP_GF_Rev,0,COLUMN())/INDEX(SP_GF_ShareCount,0,COLUMN()))/(AT24/AT43)-1)&gt;10,"NMF",(INDEX(SP_GF_Rev,0,COLUMN())/INDEX(SP_GF_ShareCount,0,COLUMN()))/(AT24/AT43)-1))</f>
        <v/>
      </c>
      <c r="AZ111" s="1515">
        <f>IF(OR(INDEX(SP_GF_Rev,0,COLUMN())&lt;=0,AU24&lt;=0),"NMF",IF(ABS((INDEX(SP_GF_Rev,0,COLUMN())/INDEX(SP_GF_ShareCount,0,COLUMN()))/(AU24/AU43)-1)&gt;10,"NMF",(INDEX(SP_GF_Rev,0,COLUMN())/INDEX(SP_GF_ShareCount,0,COLUMN()))/(AU24/AU43)-1))</f>
        <v/>
      </c>
      <c r="BA111" s="778">
        <f>IF(OR(INDEX(SP_GF_Rev,0,COLUMN())&lt;=0,AV24&lt;=0),"NMF",IF(ABS((INDEX(SP_GF_Rev,0,COLUMN())/INDEX(SP_GF_ShareCount,0,COLUMN()))/(AV24/AV43)-1)&gt;10,"NMF",(INDEX(SP_GF_Rev,0,COLUMN())/INDEX(SP_GF_ShareCount,0,COLUMN()))/(AV24/AV43)-1))</f>
        <v/>
      </c>
      <c r="BB111" s="778">
        <f>IF(OR(INDEX(SP_GF_Rev,0,COLUMN())&lt;=0,AW24&lt;=0),"NMF",IF(ABS((INDEX(SP_GF_Rev,0,COLUMN())/INDEX(SP_GF_ShareCount,0,COLUMN()))/(AW24/AW43)-1)&gt;10,"NMF",(INDEX(SP_GF_Rev,0,COLUMN())/INDEX(SP_GF_ShareCount,0,COLUMN()))/(AW24/AW43)-1))</f>
        <v/>
      </c>
      <c r="BC111" s="778">
        <f>IF(OR(INDEX(SP_GF_Rev,0,COLUMN())&lt;=0,AX24&lt;=0),"NMF",IF(ABS((INDEX(SP_GF_Rev,0,COLUMN())/INDEX(SP_GF_ShareCount,0,COLUMN()))/(AX24/AX43)-1)&gt;10,"NMF",(INDEX(SP_GF_Rev,0,COLUMN())/INDEX(SP_GF_ShareCount,0,COLUMN()))/(AX24/AX43)-1))</f>
        <v/>
      </c>
      <c r="BD111" s="778">
        <f>IF(OR(INDEX(SP_GF_Rev,0,COLUMN())&lt;=0,AY24&lt;=0),"NMF",IF(ABS((INDEX(SP_GF_Rev,0,COLUMN())/INDEX(SP_GF_ShareCount,0,COLUMN()))/(AY24/AY43)-1)&gt;10,"NMF",(INDEX(SP_GF_Rev,0,COLUMN())/INDEX(SP_GF_ShareCount,0,COLUMN()))/(AY24/AY43)-1))</f>
        <v/>
      </c>
      <c r="BE111" s="1515">
        <f>IF(OR(INDEX(SP_GF_Rev,0,COLUMN())&lt;=0,AZ24&lt;=0),"NMF",IF(ABS((INDEX(SP_GF_Rev,0,COLUMN())/INDEX(SP_GF_ShareCount,0,COLUMN()))/(AZ24/AZ43)-1)&gt;10,"NMF",(INDEX(SP_GF_Rev,0,COLUMN())/INDEX(SP_GF_ShareCount,0,COLUMN()))/(AZ24/AZ43)-1))</f>
        <v/>
      </c>
      <c r="BF111" s="778">
        <f>IF(OR(INDEX(SP_GF_Rev,0,COLUMN())&lt;=0,BA24&lt;=0),"NMF",IF(ABS((INDEX(SP_GF_Rev,0,COLUMN())/INDEX(SP_GF_ShareCount,0,COLUMN()))/(BA24/BA43)-1)&gt;10,"NMF",(INDEX(SP_GF_Rev,0,COLUMN())/INDEX(SP_GF_ShareCount,0,COLUMN()))/(BA24/BA43)-1))</f>
        <v/>
      </c>
      <c r="BG111" s="778">
        <f>IF(OR(INDEX(SP_GF_Rev,0,COLUMN())&lt;=0,BB24&lt;=0),"NMF",IF(ABS((INDEX(SP_GF_Rev,0,COLUMN())/INDEX(SP_GF_ShareCount,0,COLUMN()))/(BB24/BB43)-1)&gt;10,"NMF",(INDEX(SP_GF_Rev,0,COLUMN())/INDEX(SP_GF_ShareCount,0,COLUMN()))/(BB24/BB43)-1))</f>
        <v/>
      </c>
      <c r="BH111" s="778">
        <f>IF(OR(INDEX(SP_GF_Rev,0,COLUMN())&lt;=0,BC24&lt;=0),"NMF",IF(ABS((INDEX(SP_GF_Rev,0,COLUMN())/INDEX(SP_GF_ShareCount,0,COLUMN()))/(BC24/BC43)-1)&gt;10,"NMF",(INDEX(SP_GF_Rev,0,COLUMN())/INDEX(SP_GF_ShareCount,0,COLUMN()))/(BC24/BC43)-1))</f>
        <v/>
      </c>
      <c r="BI111" s="778">
        <f>IF(OR(INDEX(SP_GF_Rev,0,COLUMN())&lt;=0,BD24&lt;=0),"NMF",IF(ABS((INDEX(SP_GF_Rev,0,COLUMN())/INDEX(SP_GF_ShareCount,0,COLUMN()))/(BD24/BD43)-1)&gt;10,"NMF",(INDEX(SP_GF_Rev,0,COLUMN())/INDEX(SP_GF_ShareCount,0,COLUMN()))/(BD24/BD43)-1))</f>
        <v/>
      </c>
      <c r="BJ111" s="1515">
        <f>IF(OR(INDEX(SP_GF_Rev,0,COLUMN())&lt;=0,BE24&lt;=0),"NMF",IF(ABS((INDEX(SP_GF_Rev,0,COLUMN())/INDEX(SP_GF_ShareCount,0,COLUMN()))/(BE24/BE43)-1)&gt;10,"NMF",(INDEX(SP_GF_Rev,0,COLUMN())/INDEX(SP_GF_ShareCount,0,COLUMN()))/(BE24/BE43)-1))</f>
        <v/>
      </c>
      <c r="BK111" s="778">
        <f>IF(OR(INDEX(SP_GF_Rev,0,COLUMN())&lt;=0,BF24&lt;=0),"NMF",IF(ABS((INDEX(SP_GF_Rev,0,COLUMN())/INDEX(SP_GF_ShareCount,0,COLUMN()))/(BF24/BF43)-1)&gt;10,"NMF",(INDEX(SP_GF_Rev,0,COLUMN())/INDEX(SP_GF_ShareCount,0,COLUMN()))/(BF24/BF43)-1))</f>
        <v/>
      </c>
      <c r="BL111" s="778">
        <f>IF(OR(INDEX(SP_GF_Rev,0,COLUMN())&lt;=0,BG24&lt;=0),"NMF",IF(ABS((INDEX(SP_GF_Rev,0,COLUMN())/INDEX(SP_GF_ShareCount,0,COLUMN()))/(BG24/BG43)-1)&gt;10,"NMF",(INDEX(SP_GF_Rev,0,COLUMN())/INDEX(SP_GF_ShareCount,0,COLUMN()))/(BG24/BG43)-1))</f>
        <v/>
      </c>
      <c r="BM111" s="778">
        <f>IF(OR(INDEX(SP_GF_Rev,0,COLUMN())&lt;=0,BH24&lt;=0),"NMF",IF(ABS((INDEX(SP_GF_Rev,0,COLUMN())/INDEX(SP_GF_ShareCount,0,COLUMN()))/(BH24/BH43)-1)&gt;10,"NMF",(INDEX(SP_GF_Rev,0,COLUMN())/INDEX(SP_GF_ShareCount,0,COLUMN()))/(BH24/BH43)-1))</f>
        <v/>
      </c>
      <c r="BN111" s="778">
        <f>IF(OR(INDEX(SP_GF_Rev,0,COLUMN())&lt;=0,BI24&lt;=0),"NMF",IF(ABS((INDEX(SP_GF_Rev,0,COLUMN())/INDEX(SP_GF_ShareCount,0,COLUMN()))/(BI24/BI43)-1)&gt;10,"NMF",(INDEX(SP_GF_Rev,0,COLUMN())/INDEX(SP_GF_ShareCount,0,COLUMN()))/(BI24/BI43)-1))</f>
        <v/>
      </c>
      <c r="BO111" s="1514">
        <f>IF(OR(INDEX(SP_GF_Rev,0,COLUMN())&lt;=0,BJ24&lt;=0),"NMF",IF(ABS((INDEX(SP_GF_Rev,0,COLUMN())/INDEX(SP_GF_ShareCount,0,COLUMN()))/(BJ24/BJ43)-1)&gt;10,"NMF",(INDEX(SP_GF_Rev,0,COLUMN())/INDEX(SP_GF_ShareCount,0,COLUMN()))/(BJ24/BJ43)-1))</f>
        <v/>
      </c>
      <c r="BP111" s="778">
        <f>IF(OR(INDEX(SP_GF_Rev,0,COLUMN())&lt;=0,BK24&lt;=0),"NMF",IF(ABS((INDEX(SP_GF_Rev,0,COLUMN())/INDEX(SP_GF_ShareCount,0,COLUMN()))/(BK24/BK43)-1)&gt;10,"NMF",(INDEX(SP_GF_Rev,0,COLUMN())/INDEX(SP_GF_ShareCount,0,COLUMN()))/(BK24/BK43)-1))</f>
        <v/>
      </c>
      <c r="BQ111" s="778">
        <f>IF(OR(INDEX(SP_GF_Rev,0,COLUMN())&lt;=0,BL24&lt;=0),"NMF",IF(ABS((INDEX(SP_GF_Rev,0,COLUMN())/INDEX(SP_GF_ShareCount,0,COLUMN()))/(BL24/BL43)-1)&gt;10,"NMF",(INDEX(SP_GF_Rev,0,COLUMN())/INDEX(SP_GF_ShareCount,0,COLUMN()))/(BL24/BL43)-1))</f>
        <v/>
      </c>
      <c r="BR111" s="778">
        <f>IF(OR(INDEX(SP_GF_Rev,0,COLUMN())&lt;=0,BM24&lt;=0),"NMF",IF(ABS((INDEX(SP_GF_Rev,0,COLUMN())/INDEX(SP_GF_ShareCount,0,COLUMN()))/(BM24/BM43)-1)&gt;10,"NMF",(INDEX(SP_GF_Rev,0,COLUMN())/INDEX(SP_GF_ShareCount,0,COLUMN()))/(BM24/BM43)-1))</f>
        <v/>
      </c>
      <c r="BS111" s="778">
        <f>IF(OR(INDEX(SP_GF_Rev,0,COLUMN())&lt;=0,BN24&lt;=0),"NMF",IF(ABS((INDEX(SP_GF_Rev,0,COLUMN())/INDEX(SP_GF_ShareCount,0,COLUMN()))/(BN24/BN43)-1)&gt;10,"NMF",(INDEX(SP_GF_Rev,0,COLUMN())/INDEX(SP_GF_ShareCount,0,COLUMN()))/(BN24/BN43)-1))</f>
        <v/>
      </c>
      <c r="BT111" s="1515">
        <f>IF(OR(INDEX(SP_GF_Rev,0,COLUMN())&lt;=0,BO24&lt;=0),"NMF",IF(ABS((INDEX(SP_GF_Rev,0,COLUMN())/INDEX(SP_GF_ShareCount,0,COLUMN()))/(BO24/BO43)-1)&gt;10,"NMF",(INDEX(SP_GF_Rev,0,COLUMN())/INDEX(SP_GF_ShareCount,0,COLUMN()))/(BO24/BO43)-1))</f>
        <v/>
      </c>
      <c r="BU111" s="778">
        <f>IF(OR(INDEX(SP_GF_Rev,0,COLUMN())&lt;=0,BP24&lt;=0),"NMF",IF(ABS((INDEX(SP_GF_Rev,0,COLUMN())/INDEX(SP_GF_ShareCount,0,COLUMN()))/(BP24/BP43)-1)&gt;10,"NMF",(INDEX(SP_GF_Rev,0,COLUMN())/INDEX(SP_GF_ShareCount,0,COLUMN()))/(BP24/BP43)-1))</f>
        <v/>
      </c>
      <c r="BV111" s="778">
        <f>IF(OR(INDEX(SP_GF_Rev,0,COLUMN())&lt;=0,BQ24&lt;=0),"NMF",IF(ABS((INDEX(SP_GF_Rev,0,COLUMN())/INDEX(SP_GF_ShareCount,0,COLUMN()))/(BQ24/BQ43)-1)&gt;10,"NMF",(INDEX(SP_GF_Rev,0,COLUMN())/INDEX(SP_GF_ShareCount,0,COLUMN()))/(BQ24/BQ43)-1))</f>
        <v/>
      </c>
      <c r="BW111" s="778">
        <f>IF(OR(INDEX(SP_GF_Rev,0,COLUMN())&lt;=0,BR24&lt;=0),"NMF",IF(ABS((INDEX(SP_GF_Rev,0,COLUMN())/INDEX(SP_GF_ShareCount,0,COLUMN()))/(BR24/BR43)-1)&gt;10,"NMF",(INDEX(SP_GF_Rev,0,COLUMN())/INDEX(SP_GF_ShareCount,0,COLUMN()))/(BR24/BR43)-1))</f>
        <v/>
      </c>
      <c r="BX111" s="778">
        <f>IF(OR(INDEX(SP_GF_Rev,0,COLUMN())&lt;=0,BS24&lt;=0),"NMF",IF(ABS((INDEX(SP_GF_Rev,0,COLUMN())/INDEX(SP_GF_ShareCount,0,COLUMN()))/(BS24/BS43)-1)&gt;10,"NMF",(INDEX(SP_GF_Rev,0,COLUMN())/INDEX(SP_GF_ShareCount,0,COLUMN()))/(BS24/BS43)-1))</f>
        <v/>
      </c>
      <c r="BY111" s="1515">
        <f>IF(OR(INDEX(SP_GF_Rev,0,COLUMN())&lt;=0,BT24&lt;=0),"NMF",IF(ABS((INDEX(SP_GF_Rev,0,COLUMN())/INDEX(SP_GF_ShareCount,0,COLUMN()))/(BT24/BT43)-1)&gt;10,"NMF",(INDEX(SP_GF_Rev,0,COLUMN())/INDEX(SP_GF_ShareCount,0,COLUMN()))/(BT24/BT43)-1))</f>
        <v/>
      </c>
      <c r="BZ111" s="1515">
        <f>IF(OR(INDEX(SP_GF_Rev,0,COLUMN())&lt;=0,BY24&lt;=0),"NMF",IF(ABS((INDEX(SP_GF_Rev,0,COLUMN())/INDEX(SP_GF_ShareCount,0,COLUMN()))/(BY24/BY43)-1)&gt;10,"NMF",(INDEX(SP_GF_Rev,0,COLUMN())/INDEX(SP_GF_ShareCount,0,COLUMN()))/(BY24/BY43)-1))</f>
        <v/>
      </c>
      <c r="CA111" s="1515">
        <f>IF(OR(INDEX(SP_GF_Rev,0,COLUMN())&lt;=0,BZ24&lt;=0),"NMF",IF(ABS((INDEX(SP_GF_Rev,0,COLUMN())/INDEX(SP_GF_ShareCount,0,COLUMN()))/(BZ24/BZ43)-1)&gt;10,"NMF",(INDEX(SP_GF_Rev,0,COLUMN())/INDEX(SP_GF_ShareCount,0,COLUMN()))/(BZ24/BZ43)-1))</f>
        <v/>
      </c>
      <c r="CB111" s="1515">
        <f>IF(OR(INDEX(SP_GF_Rev,0,COLUMN())&lt;=0,CA24&lt;=0),"NMF",IF(ABS((INDEX(SP_GF_Rev,0,COLUMN())/INDEX(SP_GF_ShareCount,0,COLUMN()))/(CA24/CA43)-1)&gt;10,"NMF",(INDEX(SP_GF_Rev,0,COLUMN())/INDEX(SP_GF_ShareCount,0,COLUMN()))/(CA24/CA43)-1))</f>
        <v/>
      </c>
      <c r="CC111" s="800" t="n"/>
    </row>
    <row r="112" ht="15" customFormat="1" customHeight="1" s="636">
      <c r="A112" s="163" t="inlineStr">
        <is>
          <t>Adj. EBITDA Per Share Growth</t>
        </is>
      </c>
      <c r="B112" s="162" t="n"/>
      <c r="C112" s="1515" t="n"/>
      <c r="D112" s="1515">
        <f>IF(OR(INDEX(SP_NGF_EBITDA,0,COLUMN())&lt;=0,C46&lt;=0),"NMF",IF(ABS((INDEX(SP_NGF_EBITDA,0,COLUMN())/INDEX(SP_GF_ShareCount,0,COLUMN()))/(C46/C43)-1)&gt;10,"NMF",(INDEX(SP_NGF_EBITDA,0,COLUMN())/INDEX(SP_GF_ShareCount,0,COLUMN()))/(C46/C43)-1))</f>
        <v/>
      </c>
      <c r="E112" s="1515">
        <f>IF(OR(INDEX(SP_NGF_EBITDA,0,COLUMN())&lt;=0,D46&lt;=0),"NMF",IF(ABS((INDEX(SP_NGF_EBITDA,0,COLUMN())/INDEX(SP_GF_ShareCount,0,COLUMN()))/(D46/D43)-1)&gt;10,"NMF",(INDEX(SP_NGF_EBITDA,0,COLUMN())/INDEX(SP_GF_ShareCount,0,COLUMN()))/(D46/D43)-1))</f>
        <v/>
      </c>
      <c r="F112" s="1515">
        <f>IF(OR(INDEX(SP_NGF_EBITDA,0,COLUMN())&lt;=0,E46&lt;=0),"NMF",IF(ABS((INDEX(SP_NGF_EBITDA,0,COLUMN())/INDEX(SP_GF_ShareCount,0,COLUMN()))/(E46/E43)-1)&gt;10,"NMF",(INDEX(SP_NGF_EBITDA,0,COLUMN())/INDEX(SP_GF_ShareCount,0,COLUMN()))/(E46/E43)-1))</f>
        <v/>
      </c>
      <c r="G112" s="1515">
        <f>IF(OR(INDEX(SP_NGF_EBITDA,0,COLUMN())&lt;=0,F46&lt;=0),"NMF",IF(ABS((INDEX(SP_NGF_EBITDA,0,COLUMN())/INDEX(SP_GF_ShareCount,0,COLUMN()))/(F46/F43)-1)&gt;10,"NMF",(INDEX(SP_NGF_EBITDA,0,COLUMN())/INDEX(SP_GF_ShareCount,0,COLUMN()))/(F46/F43)-1))</f>
        <v/>
      </c>
      <c r="H112" s="778" t="n"/>
      <c r="I112" s="778" t="n"/>
      <c r="J112" s="778" t="n"/>
      <c r="K112" s="778" t="n"/>
      <c r="L112" s="1515">
        <f>IF(OR(INDEX(SP_NGF_EBITDA,0,COLUMN())&lt;=0,G46&lt;=0),"NMF",IF(ABS((INDEX(SP_NGF_EBITDA,0,COLUMN())/INDEX(SP_GF_ShareCount,0,COLUMN()))/(G46/G43)-1)&gt;10,"NMF",(INDEX(SP_NGF_EBITDA,0,COLUMN())/INDEX(SP_GF_ShareCount,0,COLUMN()))/(G46/G43)-1))</f>
        <v/>
      </c>
      <c r="M112" s="778">
        <f>IF(OR(INDEX(SP_NGF_EBITDA,0,COLUMN())&lt;=0,H46&lt;=0),"NMF",IF(ABS((INDEX(SP_NGF_EBITDA,0,COLUMN())/INDEX(SP_GF_ShareCount,0,COLUMN()))/(H46/H43)-1)&gt;10,"NMF",(INDEX(SP_NGF_EBITDA,0,COLUMN())/INDEX(SP_GF_ShareCount,0,COLUMN()))/(H46/H43)-1))</f>
        <v/>
      </c>
      <c r="N112" s="778">
        <f>IF(OR(INDEX(SP_NGF_EBITDA,0,COLUMN())&lt;=0,I46&lt;=0),"NMF",IF(ABS((INDEX(SP_NGF_EBITDA,0,COLUMN())/INDEX(SP_GF_ShareCount,0,COLUMN()))/(I46/I43)-1)&gt;10,"NMF",(INDEX(SP_NGF_EBITDA,0,COLUMN())/INDEX(SP_GF_ShareCount,0,COLUMN()))/(I46/I43)-1))</f>
        <v/>
      </c>
      <c r="O112" s="778">
        <f>IF(OR(INDEX(SP_NGF_EBITDA,0,COLUMN())&lt;=0,J46&lt;=0),"NMF",IF(ABS((INDEX(SP_NGF_EBITDA,0,COLUMN())/INDEX(SP_GF_ShareCount,0,COLUMN()))/(J46/J43)-1)&gt;10,"NMF",(INDEX(SP_NGF_EBITDA,0,COLUMN())/INDEX(SP_GF_ShareCount,0,COLUMN()))/(J46/J43)-1))</f>
        <v/>
      </c>
      <c r="P112" s="778">
        <f>IF(OR(INDEX(SP_NGF_EBITDA,0,COLUMN())&lt;=0,K46&lt;=0),"NMF",IF(ABS((INDEX(SP_NGF_EBITDA,0,COLUMN())/INDEX(SP_GF_ShareCount,0,COLUMN()))/(K46/K43)-1)&gt;10,"NMF",(INDEX(SP_NGF_EBITDA,0,COLUMN())/INDEX(SP_GF_ShareCount,0,COLUMN()))/(K46/K43)-1))</f>
        <v/>
      </c>
      <c r="Q112" s="1515">
        <f>IF(OR(INDEX(SP_NGF_EBITDA,0,COLUMN())&lt;=0,L46&lt;=0),"NMF",IF(ABS((INDEX(SP_NGF_EBITDA,0,COLUMN())/INDEX(SP_GF_ShareCount,0,COLUMN()))/(L46/L43)-1)&gt;10,"NMF",(INDEX(SP_NGF_EBITDA,0,COLUMN())/INDEX(SP_GF_ShareCount,0,COLUMN()))/(L46/L43)-1))</f>
        <v/>
      </c>
      <c r="R112" s="778">
        <f>IF(OR(INDEX(SP_NGF_EBITDA,0,COLUMN())&lt;=0,M46&lt;=0),"NMF",IF(ABS((INDEX(SP_NGF_EBITDA,0,COLUMN())/INDEX(SP_GF_ShareCount,0,COLUMN()))/(M46/M43)-1)&gt;10,"NMF",(INDEX(SP_NGF_EBITDA,0,COLUMN())/INDEX(SP_GF_ShareCount,0,COLUMN()))/(M46/M43)-1))</f>
        <v/>
      </c>
      <c r="S112" s="778">
        <f>IF(OR(INDEX(SP_NGF_EBITDA,0,COLUMN())&lt;=0,N46&lt;=0),"NMF",IF(ABS((INDEX(SP_NGF_EBITDA,0,COLUMN())/INDEX(SP_GF_ShareCount,0,COLUMN()))/(N46/N43)-1)&gt;10,"NMF",(INDEX(SP_NGF_EBITDA,0,COLUMN())/INDEX(SP_GF_ShareCount,0,COLUMN()))/(N46/N43)-1))</f>
        <v/>
      </c>
      <c r="T112" s="778">
        <f>IF(OR(INDEX(SP_NGF_EBITDA,0,COLUMN())&lt;=0,O46&lt;=0),"NMF",IF(ABS((INDEX(SP_NGF_EBITDA,0,COLUMN())/INDEX(SP_GF_ShareCount,0,COLUMN()))/(O46/O43)-1)&gt;10,"NMF",(INDEX(SP_NGF_EBITDA,0,COLUMN())/INDEX(SP_GF_ShareCount,0,COLUMN()))/(O46/O43)-1))</f>
        <v/>
      </c>
      <c r="U112" s="778">
        <f>IF(OR(INDEX(SP_NGF_EBITDA,0,COLUMN())&lt;=0,P46&lt;=0),"NMF",IF(ABS((INDEX(SP_NGF_EBITDA,0,COLUMN())/INDEX(SP_GF_ShareCount,0,COLUMN()))/(P46/P43)-1)&gt;10,"NMF",(INDEX(SP_NGF_EBITDA,0,COLUMN())/INDEX(SP_GF_ShareCount,0,COLUMN()))/(P46/P43)-1))</f>
        <v/>
      </c>
      <c r="V112" s="1515">
        <f>IF(OR(INDEX(SP_NGF_EBITDA,0,COLUMN())&lt;=0,Q46&lt;=0),"NMF",IF(ABS((INDEX(SP_NGF_EBITDA,0,COLUMN())/INDEX(SP_GF_ShareCount,0,COLUMN()))/(Q46/Q43)-1)&gt;10,"NMF",(INDEX(SP_NGF_EBITDA,0,COLUMN())/INDEX(SP_GF_ShareCount,0,COLUMN()))/(Q46/Q43)-1))</f>
        <v/>
      </c>
      <c r="W112" s="778">
        <f>IF(OR(INDEX(SP_NGF_EBITDA,0,COLUMN())&lt;=0,R46&lt;=0),"NMF",IF(ABS((INDEX(SP_NGF_EBITDA,0,COLUMN())/INDEX(SP_GF_ShareCount,0,COLUMN()))/(R46/R43)-1)&gt;10,"NMF",(INDEX(SP_NGF_EBITDA,0,COLUMN())/INDEX(SP_GF_ShareCount,0,COLUMN()))/(R46/R43)-1))</f>
        <v/>
      </c>
      <c r="X112" s="778">
        <f>IF(OR(INDEX(SP_NGF_EBITDA,0,COLUMN())&lt;=0,S46&lt;=0),"NMF",IF(ABS((INDEX(SP_NGF_EBITDA,0,COLUMN())/INDEX(SP_GF_ShareCount,0,COLUMN()))/(S46/S43)-1)&gt;10,"NMF",(INDEX(SP_NGF_EBITDA,0,COLUMN())/INDEX(SP_GF_ShareCount,0,COLUMN()))/(S46/S43)-1))</f>
        <v/>
      </c>
      <c r="Y112" s="778">
        <f>IF(OR(INDEX(SP_NGF_EBITDA,0,COLUMN())&lt;=0,T46&lt;=0),"NMF",IF(ABS((INDEX(SP_NGF_EBITDA,0,COLUMN())/INDEX(SP_GF_ShareCount,0,COLUMN()))/(T46/T43)-1)&gt;10,"NMF",(INDEX(SP_NGF_EBITDA,0,COLUMN())/INDEX(SP_GF_ShareCount,0,COLUMN()))/(T46/T43)-1))</f>
        <v/>
      </c>
      <c r="Z112" s="778">
        <f>IF(OR(INDEX(SP_NGF_EBITDA,0,COLUMN())&lt;=0,U46&lt;=0),"NMF",IF(ABS((INDEX(SP_NGF_EBITDA,0,COLUMN())/INDEX(SP_GF_ShareCount,0,COLUMN()))/(U46/U43)-1)&gt;10,"NMF",(INDEX(SP_NGF_EBITDA,0,COLUMN())/INDEX(SP_GF_ShareCount,0,COLUMN()))/(U46/U43)-1))</f>
        <v/>
      </c>
      <c r="AA112" s="1515">
        <f>IF(OR(INDEX(SP_NGF_EBITDA,0,COLUMN())&lt;=0,V46&lt;=0),"NMF",IF(ABS((INDEX(SP_NGF_EBITDA,0,COLUMN())/INDEX(SP_GF_ShareCount,0,COLUMN()))/(V46/V43)-1)&gt;10,"NMF",(INDEX(SP_NGF_EBITDA,0,COLUMN())/INDEX(SP_GF_ShareCount,0,COLUMN()))/(V46/V43)-1))</f>
        <v/>
      </c>
      <c r="AB112" s="778">
        <f>IF(OR(INDEX(SP_NGF_EBITDA,0,COLUMN())&lt;=0,W46&lt;=0),"NMF",IF(ABS((INDEX(SP_NGF_EBITDA,0,COLUMN())/INDEX(SP_GF_ShareCount,0,COLUMN()))/(W46/W43)-1)&gt;10,"NMF",(INDEX(SP_NGF_EBITDA,0,COLUMN())/INDEX(SP_GF_ShareCount,0,COLUMN()))/(W46/W43)-1))</f>
        <v/>
      </c>
      <c r="AC112" s="778">
        <f>IF(OR(INDEX(SP_NGF_EBITDA,0,COLUMN())&lt;=0,X46&lt;=0),"NMF",IF(ABS((INDEX(SP_NGF_EBITDA,0,COLUMN())/INDEX(SP_GF_ShareCount,0,COLUMN()))/(X46/X43)-1)&gt;10,"NMF",(INDEX(SP_NGF_EBITDA,0,COLUMN())/INDEX(SP_GF_ShareCount,0,COLUMN()))/(X46/X43)-1))</f>
        <v/>
      </c>
      <c r="AD112" s="778">
        <f>IF(OR(INDEX(SP_NGF_EBITDA,0,COLUMN())&lt;=0,Y46&lt;=0),"NMF",IF(ABS((INDEX(SP_NGF_EBITDA,0,COLUMN())/INDEX(SP_GF_ShareCount,0,COLUMN()))/(Y46/Y43)-1)&gt;10,"NMF",(INDEX(SP_NGF_EBITDA,0,COLUMN())/INDEX(SP_GF_ShareCount,0,COLUMN()))/(Y46/Y43)-1))</f>
        <v/>
      </c>
      <c r="AE112" s="778">
        <f>IF(OR(INDEX(SP_NGF_EBITDA,0,COLUMN())&lt;=0,Z46&lt;=0),"NMF",IF(ABS((INDEX(SP_NGF_EBITDA,0,COLUMN())/INDEX(SP_GF_ShareCount,0,COLUMN()))/(Z46/Z43)-1)&gt;10,"NMF",(INDEX(SP_NGF_EBITDA,0,COLUMN())/INDEX(SP_GF_ShareCount,0,COLUMN()))/(Z46/Z43)-1))</f>
        <v/>
      </c>
      <c r="AF112" s="1515">
        <f>IF(OR(INDEX(SP_NGF_EBITDA,0,COLUMN())&lt;=0,AA46&lt;=0),"NMF",IF(ABS((INDEX(SP_NGF_EBITDA,0,COLUMN())/INDEX(SP_GF_ShareCount,0,COLUMN()))/(AA46/AA43)-1)&gt;10,"NMF",(INDEX(SP_NGF_EBITDA,0,COLUMN())/INDEX(SP_GF_ShareCount,0,COLUMN()))/(AA46/AA43)-1))</f>
        <v/>
      </c>
      <c r="AG112" s="778">
        <f>IF(OR(INDEX(SP_NGF_EBITDA,0,COLUMN())&lt;=0,AB46&lt;=0),"NMF",IF(ABS((INDEX(SP_NGF_EBITDA,0,COLUMN())/INDEX(SP_GF_ShareCount,0,COLUMN()))/(AB46/AB43)-1)&gt;10,"NMF",(INDEX(SP_NGF_EBITDA,0,COLUMN())/INDEX(SP_GF_ShareCount,0,COLUMN()))/(AB46/AB43)-1))</f>
        <v/>
      </c>
      <c r="AH112" s="778">
        <f>IF(OR(INDEX(SP_NGF_EBITDA,0,COLUMN())&lt;=0,AC46&lt;=0),"NMF",IF(ABS((INDEX(SP_NGF_EBITDA,0,COLUMN())/INDEX(SP_GF_ShareCount,0,COLUMN()))/(AC46/AC43)-1)&gt;10,"NMF",(INDEX(SP_NGF_EBITDA,0,COLUMN())/INDEX(SP_GF_ShareCount,0,COLUMN()))/(AC46/AC43)-1))</f>
        <v/>
      </c>
      <c r="AI112" s="778">
        <f>IF(OR(INDEX(SP_NGF_EBITDA,0,COLUMN())&lt;=0,AD46&lt;=0),"NMF",IF(ABS((INDEX(SP_NGF_EBITDA,0,COLUMN())/INDEX(SP_GF_ShareCount,0,COLUMN()))/(AD46/AD43)-1)&gt;10,"NMF",(INDEX(SP_NGF_EBITDA,0,COLUMN())/INDEX(SP_GF_ShareCount,0,COLUMN()))/(AD46/AD43)-1))</f>
        <v/>
      </c>
      <c r="AJ112" s="778">
        <f>IF(OR(INDEX(SP_NGF_EBITDA,0,COLUMN())&lt;=0,AE46&lt;=0),"NMF",IF(ABS((INDEX(SP_NGF_EBITDA,0,COLUMN())/INDEX(SP_GF_ShareCount,0,COLUMN()))/(AE46/AE43)-1)&gt;10,"NMF",(INDEX(SP_NGF_EBITDA,0,COLUMN())/INDEX(SP_GF_ShareCount,0,COLUMN()))/(AE46/AE43)-1))</f>
        <v/>
      </c>
      <c r="AK112" s="1515">
        <f>IF(OR(INDEX(SP_NGF_EBITDA,0,COLUMN())&lt;=0,AF46&lt;=0),"NMF",IF(ABS((INDEX(SP_NGF_EBITDA,0,COLUMN())/INDEX(SP_GF_ShareCount,0,COLUMN()))/(AF46/AF43)-1)&gt;10,"NMF",(INDEX(SP_NGF_EBITDA,0,COLUMN())/INDEX(SP_GF_ShareCount,0,COLUMN()))/(AF46/AF43)-1))</f>
        <v/>
      </c>
      <c r="AL112" s="778">
        <f>IF(OR(INDEX(SP_NGF_EBITDA,0,COLUMN())&lt;=0,AG46&lt;=0),"NMF",IF(ABS((INDEX(SP_NGF_EBITDA,0,COLUMN())/INDEX(SP_GF_ShareCount,0,COLUMN()))/(AG46/AG43)-1)&gt;10,"NMF",(INDEX(SP_NGF_EBITDA,0,COLUMN())/INDEX(SP_GF_ShareCount,0,COLUMN()))/(AG46/AG43)-1))</f>
        <v/>
      </c>
      <c r="AM112" s="778">
        <f>IF(OR(INDEX(SP_NGF_EBITDA,0,COLUMN())&lt;=0,AH46&lt;=0),"NMF",IF(ABS((INDEX(SP_NGF_EBITDA,0,COLUMN())/INDEX(SP_GF_ShareCount,0,COLUMN()))/(AH46/AH43)-1)&gt;10,"NMF",(INDEX(SP_NGF_EBITDA,0,COLUMN())/INDEX(SP_GF_ShareCount,0,COLUMN()))/(AH46/AH43)-1))</f>
        <v/>
      </c>
      <c r="AN112" s="778">
        <f>IF(OR(INDEX(SP_NGF_EBITDA,0,COLUMN())&lt;=0,AI46&lt;=0),"NMF",IF(ABS((INDEX(SP_NGF_EBITDA,0,COLUMN())/INDEX(SP_GF_ShareCount,0,COLUMN()))/(AI46/AI43)-1)&gt;10,"NMF",(INDEX(SP_NGF_EBITDA,0,COLUMN())/INDEX(SP_GF_ShareCount,0,COLUMN()))/(AI46/AI43)-1))</f>
        <v/>
      </c>
      <c r="AO112" s="778">
        <f>IF(OR(INDEX(SP_NGF_EBITDA,0,COLUMN())&lt;=0,AJ46&lt;=0),"NMF",IF(ABS((INDEX(SP_NGF_EBITDA,0,COLUMN())/INDEX(SP_GF_ShareCount,0,COLUMN()))/(AJ46/AJ43)-1)&gt;10,"NMF",(INDEX(SP_NGF_EBITDA,0,COLUMN())/INDEX(SP_GF_ShareCount,0,COLUMN()))/(AJ46/AJ43)-1))</f>
        <v/>
      </c>
      <c r="AP112" s="1515">
        <f>IF(OR(INDEX(SP_NGF_EBITDA,0,COLUMN())&lt;=0,AK46&lt;=0),"NMF",IF(ABS((INDEX(SP_NGF_EBITDA,0,COLUMN())/INDEX(SP_GF_ShareCount,0,COLUMN()))/(AK46/AK43)-1)&gt;10,"NMF",(INDEX(SP_NGF_EBITDA,0,COLUMN())/INDEX(SP_GF_ShareCount,0,COLUMN()))/(AK46/AK43)-1))</f>
        <v/>
      </c>
      <c r="AQ112" s="778">
        <f>IF(OR(INDEX(SP_NGF_EBITDA,0,COLUMN())&lt;=0,AL46&lt;=0),"NMF",IF(ABS((INDEX(SP_NGF_EBITDA,0,COLUMN())/INDEX(SP_GF_ShareCount,0,COLUMN()))/(AL46/AL43)-1)&gt;10,"NMF",(INDEX(SP_NGF_EBITDA,0,COLUMN())/INDEX(SP_GF_ShareCount,0,COLUMN()))/(AL46/AL43)-1))</f>
        <v/>
      </c>
      <c r="AR112" s="778">
        <f>IF(OR(INDEX(SP_NGF_EBITDA,0,COLUMN())&lt;=0,AM46&lt;=0),"NMF",IF(ABS((INDEX(SP_NGF_EBITDA,0,COLUMN())/INDEX(SP_GF_ShareCount,0,COLUMN()))/(AM46/AM43)-1)&gt;10,"NMF",(INDEX(SP_NGF_EBITDA,0,COLUMN())/INDEX(SP_GF_ShareCount,0,COLUMN()))/(AM46/AM43)-1))</f>
        <v/>
      </c>
      <c r="AS112" s="778">
        <f>IF(OR(INDEX(SP_NGF_EBITDA,0,COLUMN())&lt;=0,AN46&lt;=0),"NMF",IF(ABS((INDEX(SP_NGF_EBITDA,0,COLUMN())/INDEX(SP_GF_ShareCount,0,COLUMN()))/(AN46/AN43)-1)&gt;10,"NMF",(INDEX(SP_NGF_EBITDA,0,COLUMN())/INDEX(SP_GF_ShareCount,0,COLUMN()))/(AN46/AN43)-1))</f>
        <v/>
      </c>
      <c r="AT112" s="778">
        <f>IF(OR(INDEX(SP_NGF_EBITDA,0,COLUMN())&lt;=0,AO46&lt;=0),"NMF",IF(ABS((INDEX(SP_NGF_EBITDA,0,COLUMN())/INDEX(SP_GF_ShareCount,0,COLUMN()))/(AO46/AO43)-1)&gt;10,"NMF",(INDEX(SP_NGF_EBITDA,0,COLUMN())/INDEX(SP_GF_ShareCount,0,COLUMN()))/(AO46/AO43)-1))</f>
        <v/>
      </c>
      <c r="AU112" s="1515">
        <f>IF(OR(INDEX(SP_NGF_EBITDA,0,COLUMN())&lt;=0,AP46&lt;=0),"NMF",IF(ABS((INDEX(SP_NGF_EBITDA,0,COLUMN())/INDEX(SP_GF_ShareCount,0,COLUMN()))/(AP46/AP43)-1)&gt;10,"NMF",(INDEX(SP_NGF_EBITDA,0,COLUMN())/INDEX(SP_GF_ShareCount,0,COLUMN()))/(AP46/AP43)-1))</f>
        <v/>
      </c>
      <c r="AV112" s="778">
        <f>IF(OR(INDEX(SP_NGF_EBITDA,0,COLUMN())&lt;=0,AQ46&lt;=0),"NMF",IF(ABS((INDEX(SP_NGF_EBITDA,0,COLUMN())/INDEX(SP_GF_ShareCount,0,COLUMN()))/(AQ46/AQ43)-1)&gt;10,"NMF",(INDEX(SP_NGF_EBITDA,0,COLUMN())/INDEX(SP_GF_ShareCount,0,COLUMN()))/(AQ46/AQ43)-1))</f>
        <v/>
      </c>
      <c r="AW112" s="778">
        <f>IF(OR(INDEX(SP_NGF_EBITDA,0,COLUMN())&lt;=0,AR46&lt;=0),"NMF",IF(ABS((INDEX(SP_NGF_EBITDA,0,COLUMN())/INDEX(SP_GF_ShareCount,0,COLUMN()))/(AR46/AR43)-1)&gt;10,"NMF",(INDEX(SP_NGF_EBITDA,0,COLUMN())/INDEX(SP_GF_ShareCount,0,COLUMN()))/(AR46/AR43)-1))</f>
        <v/>
      </c>
      <c r="AX112" s="778">
        <f>IF(OR(INDEX(SP_NGF_EBITDA,0,COLUMN())&lt;=0,AS46&lt;=0),"NMF",IF(ABS((INDEX(SP_NGF_EBITDA,0,COLUMN())/INDEX(SP_GF_ShareCount,0,COLUMN()))/(AS46/AS43)-1)&gt;10,"NMF",(INDEX(SP_NGF_EBITDA,0,COLUMN())/INDEX(SP_GF_ShareCount,0,COLUMN()))/(AS46/AS43)-1))</f>
        <v/>
      </c>
      <c r="AY112" s="778">
        <f>IF(OR(INDEX(SP_NGF_EBITDA,0,COLUMN())&lt;=0,AT46&lt;=0),"NMF",IF(ABS((INDEX(SP_NGF_EBITDA,0,COLUMN())/INDEX(SP_GF_ShareCount,0,COLUMN()))/(AT46/AT43)-1)&gt;10,"NMF",(INDEX(SP_NGF_EBITDA,0,COLUMN())/INDEX(SP_GF_ShareCount,0,COLUMN()))/(AT46/AT43)-1))</f>
        <v/>
      </c>
      <c r="AZ112" s="1515">
        <f>IF(OR(INDEX(SP_NGF_EBITDA,0,COLUMN())&lt;=0,AU46&lt;=0),"NMF",IF(ABS((INDEX(SP_NGF_EBITDA,0,COLUMN())/INDEX(SP_GF_ShareCount,0,COLUMN()))/(AU46/AU43)-1)&gt;10,"NMF",(INDEX(SP_NGF_EBITDA,0,COLUMN())/INDEX(SP_GF_ShareCount,0,COLUMN()))/(AU46/AU43)-1))</f>
        <v/>
      </c>
      <c r="BA112" s="778">
        <f>IF(OR(INDEX(SP_NGF_EBITDA,0,COLUMN())&lt;=0,AV46&lt;=0),"NMF",IF(ABS((INDEX(SP_NGF_EBITDA,0,COLUMN())/INDEX(SP_GF_ShareCount,0,COLUMN()))/(AV46/AV43)-1)&gt;10,"NMF",(INDEX(SP_NGF_EBITDA,0,COLUMN())/INDEX(SP_GF_ShareCount,0,COLUMN()))/(AV46/AV43)-1))</f>
        <v/>
      </c>
      <c r="BB112" s="778">
        <f>IF(OR(INDEX(SP_NGF_EBITDA,0,COLUMN())&lt;=0,AW46&lt;=0),"NMF",IF(ABS((INDEX(SP_NGF_EBITDA,0,COLUMN())/INDEX(SP_GF_ShareCount,0,COLUMN()))/(AW46/AW43)-1)&gt;10,"NMF",(INDEX(SP_NGF_EBITDA,0,COLUMN())/INDEX(SP_GF_ShareCount,0,COLUMN()))/(AW46/AW43)-1))</f>
        <v/>
      </c>
      <c r="BC112" s="778">
        <f>IF(OR(INDEX(SP_NGF_EBITDA,0,COLUMN())&lt;=0,AX46&lt;=0),"NMF",IF(ABS((INDEX(SP_NGF_EBITDA,0,COLUMN())/INDEX(SP_GF_ShareCount,0,COLUMN()))/(AX46/AX43)-1)&gt;10,"NMF",(INDEX(SP_NGF_EBITDA,0,COLUMN())/INDEX(SP_GF_ShareCount,0,COLUMN()))/(AX46/AX43)-1))</f>
        <v/>
      </c>
      <c r="BD112" s="778">
        <f>IF(OR(INDEX(SP_NGF_EBITDA,0,COLUMN())&lt;=0,AY46&lt;=0),"NMF",IF(ABS((INDEX(SP_NGF_EBITDA,0,COLUMN())/INDEX(SP_GF_ShareCount,0,COLUMN()))/(AY46/AY43)-1)&gt;10,"NMF",(INDEX(SP_NGF_EBITDA,0,COLUMN())/INDEX(SP_GF_ShareCount,0,COLUMN()))/(AY46/AY43)-1))</f>
        <v/>
      </c>
      <c r="BE112" s="1515">
        <f>IF(OR(INDEX(SP_NGF_EBITDA,0,COLUMN())&lt;=0,AZ46&lt;=0),"NMF",IF(ABS((INDEX(SP_NGF_EBITDA,0,COLUMN())/INDEX(SP_GF_ShareCount,0,COLUMN()))/(AZ46/AZ43)-1)&gt;10,"NMF",(INDEX(SP_NGF_EBITDA,0,COLUMN())/INDEX(SP_GF_ShareCount,0,COLUMN()))/(AZ46/AZ43)-1))</f>
        <v/>
      </c>
      <c r="BF112" s="778">
        <f>IF(OR(INDEX(SP_NGF_EBITDA,0,COLUMN())&lt;=0,BA46&lt;=0),"NMF",IF(ABS((INDEX(SP_NGF_EBITDA,0,COLUMN())/INDEX(SP_GF_ShareCount,0,COLUMN()))/(BA46/BA43)-1)&gt;10,"NMF",(INDEX(SP_NGF_EBITDA,0,COLUMN())/INDEX(SP_GF_ShareCount,0,COLUMN()))/(BA46/BA43)-1))</f>
        <v/>
      </c>
      <c r="BG112" s="778">
        <f>IF(OR(INDEX(SP_NGF_EBITDA,0,COLUMN())&lt;=0,BB46&lt;=0),"NMF",IF(ABS((INDEX(SP_NGF_EBITDA,0,COLUMN())/INDEX(SP_GF_ShareCount,0,COLUMN()))/(BB46/BB43)-1)&gt;10,"NMF",(INDEX(SP_NGF_EBITDA,0,COLUMN())/INDEX(SP_GF_ShareCount,0,COLUMN()))/(BB46/BB43)-1))</f>
        <v/>
      </c>
      <c r="BH112" s="778">
        <f>IF(OR(INDEX(SP_NGF_EBITDA,0,COLUMN())&lt;=0,BC46&lt;=0),"NMF",IF(ABS((INDEX(SP_NGF_EBITDA,0,COLUMN())/INDEX(SP_GF_ShareCount,0,COLUMN()))/(BC46/BC43)-1)&gt;10,"NMF",(INDEX(SP_NGF_EBITDA,0,COLUMN())/INDEX(SP_GF_ShareCount,0,COLUMN()))/(BC46/BC43)-1))</f>
        <v/>
      </c>
      <c r="BI112" s="778">
        <f>IF(OR(INDEX(SP_NGF_EBITDA,0,COLUMN())&lt;=0,BD46&lt;=0),"NMF",IF(ABS((INDEX(SP_NGF_EBITDA,0,COLUMN())/INDEX(SP_GF_ShareCount,0,COLUMN()))/(BD46/BD43)-1)&gt;10,"NMF",(INDEX(SP_NGF_EBITDA,0,COLUMN())/INDEX(SP_GF_ShareCount,0,COLUMN()))/(BD46/BD43)-1))</f>
        <v/>
      </c>
      <c r="BJ112" s="1515">
        <f>IF(OR(INDEX(SP_NGF_EBITDA,0,COLUMN())&lt;=0,BE46&lt;=0),"NMF",IF(ABS((INDEX(SP_NGF_EBITDA,0,COLUMN())/INDEX(SP_GF_ShareCount,0,COLUMN()))/(BE46/BE43)-1)&gt;10,"NMF",(INDEX(SP_NGF_EBITDA,0,COLUMN())/INDEX(SP_GF_ShareCount,0,COLUMN()))/(BE46/BE43)-1))</f>
        <v/>
      </c>
      <c r="BK112" s="778">
        <f>IF(OR(INDEX(SP_NGF_EBITDA,0,COLUMN())&lt;=0,BF46&lt;=0),"NMF",IF(ABS((INDEX(SP_NGF_EBITDA,0,COLUMN())/INDEX(SP_GF_ShareCount,0,COLUMN()))/(BF46/BF43)-1)&gt;10,"NMF",(INDEX(SP_NGF_EBITDA,0,COLUMN())/INDEX(SP_GF_ShareCount,0,COLUMN()))/(BF46/BF43)-1))</f>
        <v/>
      </c>
      <c r="BL112" s="778">
        <f>IF(OR(INDEX(SP_NGF_EBITDA,0,COLUMN())&lt;=0,BG46&lt;=0),"NMF",IF(ABS((INDEX(SP_NGF_EBITDA,0,COLUMN())/INDEX(SP_GF_ShareCount,0,COLUMN()))/(BG46/BG43)-1)&gt;10,"NMF",(INDEX(SP_NGF_EBITDA,0,COLUMN())/INDEX(SP_GF_ShareCount,0,COLUMN()))/(BG46/BG43)-1))</f>
        <v/>
      </c>
      <c r="BM112" s="778">
        <f>IF(OR(INDEX(SP_NGF_EBITDA,0,COLUMN())&lt;=0,BH46&lt;=0),"NMF",IF(ABS((INDEX(SP_NGF_EBITDA,0,COLUMN())/INDEX(SP_GF_ShareCount,0,COLUMN()))/(BH46/BH43)-1)&gt;10,"NMF",(INDEX(SP_NGF_EBITDA,0,COLUMN())/INDEX(SP_GF_ShareCount,0,COLUMN()))/(BH46/BH43)-1))</f>
        <v/>
      </c>
      <c r="BN112" s="778">
        <f>IF(OR(INDEX(SP_NGF_EBITDA,0,COLUMN())&lt;=0,BI46&lt;=0),"NMF",IF(ABS((INDEX(SP_NGF_EBITDA,0,COLUMN())/INDEX(SP_GF_ShareCount,0,COLUMN()))/(BI46/BI43)-1)&gt;10,"NMF",(INDEX(SP_NGF_EBITDA,0,COLUMN())/INDEX(SP_GF_ShareCount,0,COLUMN()))/(BI46/BI43)-1))</f>
        <v/>
      </c>
      <c r="BO112" s="1514">
        <f>IF(OR(INDEX(SP_NGF_EBITDA,0,COLUMN())&lt;=0,BJ46&lt;=0),"NMF",IF(ABS((INDEX(SP_NGF_EBITDA,0,COLUMN())/INDEX(SP_GF_ShareCount,0,COLUMN()))/(BJ46/BJ43)-1)&gt;10,"NMF",(INDEX(SP_NGF_EBITDA,0,COLUMN())/INDEX(SP_GF_ShareCount,0,COLUMN()))/(BJ46/BJ43)-1))</f>
        <v/>
      </c>
      <c r="BP112" s="778">
        <f>IF(OR(INDEX(SP_NGF_EBITDA,0,COLUMN())&lt;=0,BK46&lt;=0),"NMF",IF(ABS((INDEX(SP_NGF_EBITDA,0,COLUMN())/INDEX(SP_GF_ShareCount,0,COLUMN()))/(BK46/BK43)-1)&gt;10,"NMF",(INDEX(SP_NGF_EBITDA,0,COLUMN())/INDEX(SP_GF_ShareCount,0,COLUMN()))/(BK46/BK43)-1))</f>
        <v/>
      </c>
      <c r="BQ112" s="778">
        <f>IF(OR(INDEX(SP_NGF_EBITDA,0,COLUMN())&lt;=0,BL46&lt;=0),"NMF",IF(ABS((INDEX(SP_NGF_EBITDA,0,COLUMN())/INDEX(SP_GF_ShareCount,0,COLUMN()))/(BL46/BL43)-1)&gt;10,"NMF",(INDEX(SP_NGF_EBITDA,0,COLUMN())/INDEX(SP_GF_ShareCount,0,COLUMN()))/(BL46/BL43)-1))</f>
        <v/>
      </c>
      <c r="BR112" s="778">
        <f>IF(OR(INDEX(SP_NGF_EBITDA,0,COLUMN())&lt;=0,BM46&lt;=0),"NMF",IF(ABS((INDEX(SP_NGF_EBITDA,0,COLUMN())/INDEX(SP_GF_ShareCount,0,COLUMN()))/(BM46/BM43)-1)&gt;10,"NMF",(INDEX(SP_NGF_EBITDA,0,COLUMN())/INDEX(SP_GF_ShareCount,0,COLUMN()))/(BM46/BM43)-1))</f>
        <v/>
      </c>
      <c r="BS112" s="778">
        <f>IF(OR(INDEX(SP_NGF_EBITDA,0,COLUMN())&lt;=0,BN46&lt;=0),"NMF",IF(ABS((INDEX(SP_NGF_EBITDA,0,COLUMN())/INDEX(SP_GF_ShareCount,0,COLUMN()))/(BN46/BN43)-1)&gt;10,"NMF",(INDEX(SP_NGF_EBITDA,0,COLUMN())/INDEX(SP_GF_ShareCount,0,COLUMN()))/(BN46/BN43)-1))</f>
        <v/>
      </c>
      <c r="BT112" s="1515">
        <f>IF(OR(INDEX(SP_NGF_EBITDA,0,COLUMN())&lt;=0,BO46&lt;=0),"NMF",IF(ABS((INDEX(SP_NGF_EBITDA,0,COLUMN())/INDEX(SP_GF_ShareCount,0,COLUMN()))/(BO46/BO43)-1)&gt;10,"NMF",(INDEX(SP_NGF_EBITDA,0,COLUMN())/INDEX(SP_GF_ShareCount,0,COLUMN()))/(BO46/BO43)-1))</f>
        <v/>
      </c>
      <c r="BU112" s="778">
        <f>IF(OR(INDEX(SP_NGF_EBITDA,0,COLUMN())&lt;=0,BP46&lt;=0),"NMF",IF(ABS((INDEX(SP_NGF_EBITDA,0,COLUMN())/INDEX(SP_GF_ShareCount,0,COLUMN()))/(BP46/BP43)-1)&gt;10,"NMF",(INDEX(SP_NGF_EBITDA,0,COLUMN())/INDEX(SP_GF_ShareCount,0,COLUMN()))/(BP46/BP43)-1))</f>
        <v/>
      </c>
      <c r="BV112" s="778">
        <f>IF(OR(INDEX(SP_NGF_EBITDA,0,COLUMN())&lt;=0,BQ46&lt;=0),"NMF",IF(ABS((INDEX(SP_NGF_EBITDA,0,COLUMN())/INDEX(SP_GF_ShareCount,0,COLUMN()))/(BQ46/BQ43)-1)&gt;10,"NMF",(INDEX(SP_NGF_EBITDA,0,COLUMN())/INDEX(SP_GF_ShareCount,0,COLUMN()))/(BQ46/BQ43)-1))</f>
        <v/>
      </c>
      <c r="BW112" s="778">
        <f>IF(OR(INDEX(SP_NGF_EBITDA,0,COLUMN())&lt;=0,BR46&lt;=0),"NMF",IF(ABS((INDEX(SP_NGF_EBITDA,0,COLUMN())/INDEX(SP_GF_ShareCount,0,COLUMN()))/(BR46/BR43)-1)&gt;10,"NMF",(INDEX(SP_NGF_EBITDA,0,COLUMN())/INDEX(SP_GF_ShareCount,0,COLUMN()))/(BR46/BR43)-1))</f>
        <v/>
      </c>
      <c r="BX112" s="778">
        <f>IF(OR(INDEX(SP_NGF_EBITDA,0,COLUMN())&lt;=0,BS46&lt;=0),"NMF",IF(ABS((INDEX(SP_NGF_EBITDA,0,COLUMN())/INDEX(SP_GF_ShareCount,0,COLUMN()))/(BS46/BS43)-1)&gt;10,"NMF",(INDEX(SP_NGF_EBITDA,0,COLUMN())/INDEX(SP_GF_ShareCount,0,COLUMN()))/(BS46/BS43)-1))</f>
        <v/>
      </c>
      <c r="BY112" s="1515">
        <f>IF(OR(INDEX(SP_NGF_EBITDA,0,COLUMN())&lt;=0,BT46&lt;=0),"NMF",IF(ABS((INDEX(SP_NGF_EBITDA,0,COLUMN())/INDEX(SP_GF_ShareCount,0,COLUMN()))/(BT46/BT43)-1)&gt;10,"NMF",(INDEX(SP_NGF_EBITDA,0,COLUMN())/INDEX(SP_GF_ShareCount,0,COLUMN()))/(BT46/BT43)-1))</f>
        <v/>
      </c>
      <c r="BZ112" s="1515">
        <f>IF(OR(INDEX(SP_NGF_EBITDA,0,COLUMN())&lt;=0,BY46&lt;=0),"NMF",IF(ABS((INDEX(SP_NGF_EBITDA,0,COLUMN())/INDEX(SP_GF_ShareCount,0,COLUMN()))/(BY46/BY43)-1)&gt;10,"NMF",(INDEX(SP_NGF_EBITDA,0,COLUMN())/INDEX(SP_GF_ShareCount,0,COLUMN()))/(BY46/BY43)-1))</f>
        <v/>
      </c>
      <c r="CA112" s="1515">
        <f>IF(OR(INDEX(SP_NGF_EBITDA,0,COLUMN())&lt;=0,BZ46&lt;=0),"NMF",IF(ABS((INDEX(SP_NGF_EBITDA,0,COLUMN())/INDEX(SP_GF_ShareCount,0,COLUMN()))/(BZ46/BZ43)-1)&gt;10,"NMF",(INDEX(SP_NGF_EBITDA,0,COLUMN())/INDEX(SP_GF_ShareCount,0,COLUMN()))/(BZ46/BZ43)-1))</f>
        <v/>
      </c>
      <c r="CB112" s="1515">
        <f>IF(OR(INDEX(SP_NGF_EBITDA,0,COLUMN())&lt;=0,CA46&lt;=0),"NMF",IF(ABS((INDEX(SP_NGF_EBITDA,0,COLUMN())/INDEX(SP_GF_ShareCount,0,COLUMN()))/(CA46/CA43)-1)&gt;10,"NMF",(INDEX(SP_NGF_EBITDA,0,COLUMN())/INDEX(SP_GF_ShareCount,0,COLUMN()))/(CA46/CA43)-1))</f>
        <v/>
      </c>
      <c r="CC112" s="800" t="n"/>
    </row>
    <row r="113" ht="15" customFormat="1" customHeight="1" s="636">
      <c r="A113" s="163" t="inlineStr">
        <is>
          <t>Adj. Earnings Per Share Growth</t>
        </is>
      </c>
      <c r="B113" s="162" t="n"/>
      <c r="C113" s="1515" t="n"/>
      <c r="D113" s="1515">
        <f>IF(OR(INDEX(SP_NGF_NI,0,COLUMN())&lt;=0,C48&lt;=0),"NMF",IF(ABS((INDEX(SP_NGF_NI,0,COLUMN())/INDEX(SP_GF_ShareCount,0,COLUMN()))/(C48/C43)-1)&gt;10,"NMF",(INDEX(SP_NGF_NI,0,COLUMN())/INDEX(SP_GF_ShareCount,0,COLUMN()))/(C48/C43)-1))</f>
        <v/>
      </c>
      <c r="E113" s="1515">
        <f>IF(OR(INDEX(SP_NGF_NI,0,COLUMN())&lt;=0,D48&lt;=0),"NMF",IF(ABS((INDEX(SP_NGF_NI,0,COLUMN())/INDEX(SP_GF_ShareCount,0,COLUMN()))/(D48/D43)-1)&gt;10,"NMF",(INDEX(SP_NGF_NI,0,COLUMN())/INDEX(SP_GF_ShareCount,0,COLUMN()))/(D48/D43)-1))</f>
        <v/>
      </c>
      <c r="F113" s="1515">
        <f>IF(OR(INDEX(SP_NGF_NI,0,COLUMN())&lt;=0,E48&lt;=0),"NMF",IF(ABS((INDEX(SP_NGF_NI,0,COLUMN())/INDEX(SP_GF_ShareCount,0,COLUMN()))/(E48/E43)-1)&gt;10,"NMF",(INDEX(SP_NGF_NI,0,COLUMN())/INDEX(SP_GF_ShareCount,0,COLUMN()))/(E48/E43)-1))</f>
        <v/>
      </c>
      <c r="G113" s="1515">
        <f>IF(OR(INDEX(SP_NGF_NI,0,COLUMN())&lt;=0,F48&lt;=0),"NMF",IF(ABS((INDEX(SP_NGF_NI,0,COLUMN())/INDEX(SP_GF_ShareCount,0,COLUMN()))/(F48/F43)-1)&gt;10,"NMF",(INDEX(SP_NGF_NI,0,COLUMN())/INDEX(SP_GF_ShareCount,0,COLUMN()))/(F48/F43)-1))</f>
        <v/>
      </c>
      <c r="H113" s="778" t="n"/>
      <c r="I113" s="778" t="n"/>
      <c r="J113" s="778" t="n"/>
      <c r="K113" s="778" t="n"/>
      <c r="L113" s="1515">
        <f>IF(OR(INDEX(SP_NGF_NI,0,COLUMN())&lt;=0,G48&lt;=0),"NMF",IF(ABS((INDEX(SP_NGF_NI,0,COLUMN())/INDEX(SP_GF_ShareCount,0,COLUMN()))/(G48/G43)-1)&gt;10,"NMF",(INDEX(SP_NGF_NI,0,COLUMN())/INDEX(SP_GF_ShareCount,0,COLUMN()))/(G48/G43)-1))</f>
        <v/>
      </c>
      <c r="M113" s="778">
        <f>IF(OR(INDEX(SP_NGF_NI,0,COLUMN())&lt;=0,H48&lt;=0),"NMF",IF(ABS((INDEX(SP_NGF_NI,0,COLUMN())/INDEX(SP_GF_ShareCount,0,COLUMN()))/(H48/H43)-1)&gt;10,"NMF",(INDEX(SP_NGF_NI,0,COLUMN())/INDEX(SP_GF_ShareCount,0,COLUMN()))/(H48/H43)-1))</f>
        <v/>
      </c>
      <c r="N113" s="778">
        <f>IF(OR(INDEX(SP_NGF_NI,0,COLUMN())&lt;=0,I48&lt;=0),"NMF",IF(ABS((INDEX(SP_NGF_NI,0,COLUMN())/INDEX(SP_GF_ShareCount,0,COLUMN()))/(I48/I43)-1)&gt;10,"NMF",(INDEX(SP_NGF_NI,0,COLUMN())/INDEX(SP_GF_ShareCount,0,COLUMN()))/(I48/I43)-1))</f>
        <v/>
      </c>
      <c r="O113" s="778">
        <f>IF(OR(INDEX(SP_NGF_NI,0,COLUMN())&lt;=0,J48&lt;=0),"NMF",IF(ABS((INDEX(SP_NGF_NI,0,COLUMN())/INDEX(SP_GF_ShareCount,0,COLUMN()))/(J48/J43)-1)&gt;10,"NMF",(INDEX(SP_NGF_NI,0,COLUMN())/INDEX(SP_GF_ShareCount,0,COLUMN()))/(J48/J43)-1))</f>
        <v/>
      </c>
      <c r="P113" s="778">
        <f>IF(OR(INDEX(SP_NGF_NI,0,COLUMN())&lt;=0,K48&lt;=0),"NMF",IF(ABS((INDEX(SP_NGF_NI,0,COLUMN())/INDEX(SP_GF_ShareCount,0,COLUMN()))/(K48/K43)-1)&gt;10,"NMF",(INDEX(SP_NGF_NI,0,COLUMN())/INDEX(SP_GF_ShareCount,0,COLUMN()))/(K48/K43)-1))</f>
        <v/>
      </c>
      <c r="Q113" s="1515">
        <f>IF(OR(INDEX(SP_NGF_NI,0,COLUMN())&lt;=0,L48&lt;=0),"NMF",IF(ABS((INDEX(SP_NGF_NI,0,COLUMN())/INDEX(SP_GF_ShareCount,0,COLUMN()))/(L48/L43)-1)&gt;10,"NMF",(INDEX(SP_NGF_NI,0,COLUMN())/INDEX(SP_GF_ShareCount,0,COLUMN()))/(L48/L43)-1))</f>
        <v/>
      </c>
      <c r="R113" s="778">
        <f>IF(OR(INDEX(SP_NGF_NI,0,COLUMN())&lt;=0,M48&lt;=0),"NMF",IF(ABS((INDEX(SP_NGF_NI,0,COLUMN())/INDEX(SP_GF_ShareCount,0,COLUMN()))/(M48/M43)-1)&gt;10,"NMF",(INDEX(SP_NGF_NI,0,COLUMN())/INDEX(SP_GF_ShareCount,0,COLUMN()))/(M48/M43)-1))</f>
        <v/>
      </c>
      <c r="S113" s="778">
        <f>IF(OR(INDEX(SP_NGF_NI,0,COLUMN())&lt;=0,N48&lt;=0),"NMF",IF(ABS((INDEX(SP_NGF_NI,0,COLUMN())/INDEX(SP_GF_ShareCount,0,COLUMN()))/(N48/N43)-1)&gt;10,"NMF",(INDEX(SP_NGF_NI,0,COLUMN())/INDEX(SP_GF_ShareCount,0,COLUMN()))/(N48/N43)-1))</f>
        <v/>
      </c>
      <c r="T113" s="778">
        <f>IF(OR(INDEX(SP_NGF_NI,0,COLUMN())&lt;=0,O48&lt;=0),"NMF",IF(ABS((INDEX(SP_NGF_NI,0,COLUMN())/INDEX(SP_GF_ShareCount,0,COLUMN()))/(O48/O43)-1)&gt;10,"NMF",(INDEX(SP_NGF_NI,0,COLUMN())/INDEX(SP_GF_ShareCount,0,COLUMN()))/(O48/O43)-1))</f>
        <v/>
      </c>
      <c r="U113" s="778">
        <f>IF(OR(INDEX(SP_NGF_NI,0,COLUMN())&lt;=0,P48&lt;=0),"NMF",IF(ABS((INDEX(SP_NGF_NI,0,COLUMN())/INDEX(SP_GF_ShareCount,0,COLUMN()))/(P48/P43)-1)&gt;10,"NMF",(INDEX(SP_NGF_NI,0,COLUMN())/INDEX(SP_GF_ShareCount,0,COLUMN()))/(P48/P43)-1))</f>
        <v/>
      </c>
      <c r="V113" s="1515">
        <f>IF(OR(INDEX(SP_NGF_NI,0,COLUMN())&lt;=0,Q48&lt;=0),"NMF",IF(ABS((INDEX(SP_NGF_NI,0,COLUMN())/INDEX(SP_GF_ShareCount,0,COLUMN()))/(Q48/Q43)-1)&gt;10,"NMF",(INDEX(SP_NGF_NI,0,COLUMN())/INDEX(SP_GF_ShareCount,0,COLUMN()))/(Q48/Q43)-1))</f>
        <v/>
      </c>
      <c r="W113" s="778">
        <f>IF(OR(INDEX(SP_NGF_NI,0,COLUMN())&lt;=0,R48&lt;=0),"NMF",IF(ABS((INDEX(SP_NGF_NI,0,COLUMN())/INDEX(SP_GF_ShareCount,0,COLUMN()))/(R48/R43)-1)&gt;10,"NMF",(INDEX(SP_NGF_NI,0,COLUMN())/INDEX(SP_GF_ShareCount,0,COLUMN()))/(R48/R43)-1))</f>
        <v/>
      </c>
      <c r="X113" s="778">
        <f>IF(OR(INDEX(SP_NGF_NI,0,COLUMN())&lt;=0,S48&lt;=0),"NMF",IF(ABS((INDEX(SP_NGF_NI,0,COLUMN())/INDEX(SP_GF_ShareCount,0,COLUMN()))/(S48/S43)-1)&gt;10,"NMF",(INDEX(SP_NGF_NI,0,COLUMN())/INDEX(SP_GF_ShareCount,0,COLUMN()))/(S48/S43)-1))</f>
        <v/>
      </c>
      <c r="Y113" s="778">
        <f>IF(OR(INDEX(SP_NGF_NI,0,COLUMN())&lt;=0,T48&lt;=0),"NMF",IF(ABS((INDEX(SP_NGF_NI,0,COLUMN())/INDEX(SP_GF_ShareCount,0,COLUMN()))/(T48/T43)-1)&gt;10,"NMF",(INDEX(SP_NGF_NI,0,COLUMN())/INDEX(SP_GF_ShareCount,0,COLUMN()))/(T48/T43)-1))</f>
        <v/>
      </c>
      <c r="Z113" s="778">
        <f>IF(OR(INDEX(SP_NGF_NI,0,COLUMN())&lt;=0,U48&lt;=0),"NMF",IF(ABS((INDEX(SP_NGF_NI,0,COLUMN())/INDEX(SP_GF_ShareCount,0,COLUMN()))/(U48/U43)-1)&gt;10,"NMF",(INDEX(SP_NGF_NI,0,COLUMN())/INDEX(SP_GF_ShareCount,0,COLUMN()))/(U48/U43)-1))</f>
        <v/>
      </c>
      <c r="AA113" s="1515">
        <f>IF(OR(INDEX(SP_NGF_NI,0,COLUMN())&lt;=0,V48&lt;=0),"NMF",IF(ABS((INDEX(SP_NGF_NI,0,COLUMN())/INDEX(SP_GF_ShareCount,0,COLUMN()))/(V48/V43)-1)&gt;10,"NMF",(INDEX(SP_NGF_NI,0,COLUMN())/INDEX(SP_GF_ShareCount,0,COLUMN()))/(V48/V43)-1))</f>
        <v/>
      </c>
      <c r="AB113" s="778">
        <f>IF(OR(INDEX(SP_NGF_NI,0,COLUMN())&lt;=0,W48&lt;=0),"NMF",IF(ABS((INDEX(SP_NGF_NI,0,COLUMN())/INDEX(SP_GF_ShareCount,0,COLUMN()))/(W48/W43)-1)&gt;10,"NMF",(INDEX(SP_NGF_NI,0,COLUMN())/INDEX(SP_GF_ShareCount,0,COLUMN()))/(W48/W43)-1))</f>
        <v/>
      </c>
      <c r="AC113" s="778">
        <f>IF(OR(INDEX(SP_NGF_NI,0,COLUMN())&lt;=0,X48&lt;=0),"NMF",IF(ABS((INDEX(SP_NGF_NI,0,COLUMN())/INDEX(SP_GF_ShareCount,0,COLUMN()))/(X48/X43)-1)&gt;10,"NMF",(INDEX(SP_NGF_NI,0,COLUMN())/INDEX(SP_GF_ShareCount,0,COLUMN()))/(X48/X43)-1))</f>
        <v/>
      </c>
      <c r="AD113" s="778">
        <f>IF(OR(INDEX(SP_NGF_NI,0,COLUMN())&lt;=0,Y48&lt;=0),"NMF",IF(ABS((INDEX(SP_NGF_NI,0,COLUMN())/INDEX(SP_GF_ShareCount,0,COLUMN()))/(Y48/Y43)-1)&gt;10,"NMF",(INDEX(SP_NGF_NI,0,COLUMN())/INDEX(SP_GF_ShareCount,0,COLUMN()))/(Y48/Y43)-1))</f>
        <v/>
      </c>
      <c r="AE113" s="778">
        <f>IF(OR(INDEX(SP_NGF_NI,0,COLUMN())&lt;=0,Z48&lt;=0),"NMF",IF(ABS((INDEX(SP_NGF_NI,0,COLUMN())/INDEX(SP_GF_ShareCount,0,COLUMN()))/(Z48/Z43)-1)&gt;10,"NMF",(INDEX(SP_NGF_NI,0,COLUMN())/INDEX(SP_GF_ShareCount,0,COLUMN()))/(Z48/Z43)-1))</f>
        <v/>
      </c>
      <c r="AF113" s="1515">
        <f>IF(OR(INDEX(SP_NGF_NI,0,COLUMN())&lt;=0,AA48&lt;=0),"NMF",IF(ABS((INDEX(SP_NGF_NI,0,COLUMN())/INDEX(SP_GF_ShareCount,0,COLUMN()))/(AA48/AA43)-1)&gt;10,"NMF",(INDEX(SP_NGF_NI,0,COLUMN())/INDEX(SP_GF_ShareCount,0,COLUMN()))/(AA48/AA43)-1))</f>
        <v/>
      </c>
      <c r="AG113" s="778">
        <f>IF(OR(INDEX(SP_NGF_NI,0,COLUMN())&lt;=0,AB48&lt;=0),"NMF",IF(ABS((INDEX(SP_NGF_NI,0,COLUMN())/INDEX(SP_GF_ShareCount,0,COLUMN()))/(AB48/AB43)-1)&gt;10,"NMF",(INDEX(SP_NGF_NI,0,COLUMN())/INDEX(SP_GF_ShareCount,0,COLUMN()))/(AB48/AB43)-1))</f>
        <v/>
      </c>
      <c r="AH113" s="778">
        <f>IF(OR(INDEX(SP_NGF_NI,0,COLUMN())&lt;=0,AC48&lt;=0),"NMF",IF(ABS((INDEX(SP_NGF_NI,0,COLUMN())/INDEX(SP_GF_ShareCount,0,COLUMN()))/(AC48/AC43)-1)&gt;10,"NMF",(INDEX(SP_NGF_NI,0,COLUMN())/INDEX(SP_GF_ShareCount,0,COLUMN()))/(AC48/AC43)-1))</f>
        <v/>
      </c>
      <c r="AI113" s="778">
        <f>IF(OR(INDEX(SP_NGF_NI,0,COLUMN())&lt;=0,AD48&lt;=0),"NMF",IF(ABS((INDEX(SP_NGF_NI,0,COLUMN())/INDEX(SP_GF_ShareCount,0,COLUMN()))/(AD48/AD43)-1)&gt;10,"NMF",(INDEX(SP_NGF_NI,0,COLUMN())/INDEX(SP_GF_ShareCount,0,COLUMN()))/(AD48/AD43)-1))</f>
        <v/>
      </c>
      <c r="AJ113" s="778">
        <f>IF(OR(INDEX(SP_NGF_NI,0,COLUMN())&lt;=0,AE48&lt;=0),"NMF",IF(ABS((INDEX(SP_NGF_NI,0,COLUMN())/INDEX(SP_GF_ShareCount,0,COLUMN()))/(AE48/AE43)-1)&gt;10,"NMF",(INDEX(SP_NGF_NI,0,COLUMN())/INDEX(SP_GF_ShareCount,0,COLUMN()))/(AE48/AE43)-1))</f>
        <v/>
      </c>
      <c r="AK113" s="1515">
        <f>IF(OR(INDEX(SP_NGF_NI,0,COLUMN())&lt;=0,AF48&lt;=0),"NMF",IF(ABS((INDEX(SP_NGF_NI,0,COLUMN())/INDEX(SP_GF_ShareCount,0,COLUMN()))/(AF48/AF43)-1)&gt;10,"NMF",(INDEX(SP_NGF_NI,0,COLUMN())/INDEX(SP_GF_ShareCount,0,COLUMN()))/(AF48/AF43)-1))</f>
        <v/>
      </c>
      <c r="AL113" s="778">
        <f>IF(OR(INDEX(SP_NGF_NI,0,COLUMN())&lt;=0,AG48&lt;=0),"NMF",IF(ABS((INDEX(SP_NGF_NI,0,COLUMN())/INDEX(SP_GF_ShareCount,0,COLUMN()))/(AG48/AG43)-1)&gt;10,"NMF",(INDEX(SP_NGF_NI,0,COLUMN())/INDEX(SP_GF_ShareCount,0,COLUMN()))/(AG48/AG43)-1))</f>
        <v/>
      </c>
      <c r="AM113" s="778">
        <f>IF(OR(INDEX(SP_NGF_NI,0,COLUMN())&lt;=0,AH48&lt;=0),"NMF",IF(ABS((INDEX(SP_NGF_NI,0,COLUMN())/INDEX(SP_GF_ShareCount,0,COLUMN()))/(AH48/AH43)-1)&gt;10,"NMF",(INDEX(SP_NGF_NI,0,COLUMN())/INDEX(SP_GF_ShareCount,0,COLUMN()))/(AH48/AH43)-1))</f>
        <v/>
      </c>
      <c r="AN113" s="778">
        <f>IF(OR(INDEX(SP_NGF_NI,0,COLUMN())&lt;=0,AI48&lt;=0),"NMF",IF(ABS((INDEX(SP_NGF_NI,0,COLUMN())/INDEX(SP_GF_ShareCount,0,COLUMN()))/(AI48/AI43)-1)&gt;10,"NMF",(INDEX(SP_NGF_NI,0,COLUMN())/INDEX(SP_GF_ShareCount,0,COLUMN()))/(AI48/AI43)-1))</f>
        <v/>
      </c>
      <c r="AO113" s="778">
        <f>IF(OR(INDEX(SP_NGF_NI,0,COLUMN())&lt;=0,AJ48&lt;=0),"NMF",IF(ABS((INDEX(SP_NGF_NI,0,COLUMN())/INDEX(SP_GF_ShareCount,0,COLUMN()))/(AJ48/AJ43)-1)&gt;10,"NMF",(INDEX(SP_NGF_NI,0,COLUMN())/INDEX(SP_GF_ShareCount,0,COLUMN()))/(AJ48/AJ43)-1))</f>
        <v/>
      </c>
      <c r="AP113" s="1515">
        <f>IF(OR(INDEX(SP_NGF_NI,0,COLUMN())&lt;=0,AK48&lt;=0),"NMF",IF(ABS((INDEX(SP_NGF_NI,0,COLUMN())/INDEX(SP_GF_ShareCount,0,COLUMN()))/(AK48/AK43)-1)&gt;10,"NMF",(INDEX(SP_NGF_NI,0,COLUMN())/INDEX(SP_GF_ShareCount,0,COLUMN()))/(AK48/AK43)-1))</f>
        <v/>
      </c>
      <c r="AQ113" s="778">
        <f>IF(OR(INDEX(SP_NGF_NI,0,COLUMN())&lt;=0,AL48&lt;=0),"NMF",IF(ABS((INDEX(SP_NGF_NI,0,COLUMN())/INDEX(SP_GF_ShareCount,0,COLUMN()))/(AL48/AL43)-1)&gt;10,"NMF",(INDEX(SP_NGF_NI,0,COLUMN())/INDEX(SP_GF_ShareCount,0,COLUMN()))/(AL48/AL43)-1))</f>
        <v/>
      </c>
      <c r="AR113" s="778">
        <f>IF(OR(INDEX(SP_NGF_NI,0,COLUMN())&lt;=0,AM48&lt;=0),"NMF",IF(ABS((INDEX(SP_NGF_NI,0,COLUMN())/INDEX(SP_GF_ShareCount,0,COLUMN()))/(AM48/AM43)-1)&gt;10,"NMF",(INDEX(SP_NGF_NI,0,COLUMN())/INDEX(SP_GF_ShareCount,0,COLUMN()))/(AM48/AM43)-1))</f>
        <v/>
      </c>
      <c r="AS113" s="778">
        <f>IF(OR(INDEX(SP_NGF_NI,0,COLUMN())&lt;=0,AN48&lt;=0),"NMF",IF(ABS((INDEX(SP_NGF_NI,0,COLUMN())/INDEX(SP_GF_ShareCount,0,COLUMN()))/(AN48/AN43)-1)&gt;10,"NMF",(INDEX(SP_NGF_NI,0,COLUMN())/INDEX(SP_GF_ShareCount,0,COLUMN()))/(AN48/AN43)-1))</f>
        <v/>
      </c>
      <c r="AT113" s="778">
        <f>IF(OR(INDEX(SP_NGF_NI,0,COLUMN())&lt;=0,AO48&lt;=0),"NMF",IF(ABS((INDEX(SP_NGF_NI,0,COLUMN())/INDEX(SP_GF_ShareCount,0,COLUMN()))/(AO48/AO43)-1)&gt;10,"NMF",(INDEX(SP_NGF_NI,0,COLUMN())/INDEX(SP_GF_ShareCount,0,COLUMN()))/(AO48/AO43)-1))</f>
        <v/>
      </c>
      <c r="AU113" s="1515">
        <f>IF(OR(INDEX(SP_NGF_NI,0,COLUMN())&lt;=0,AP48&lt;=0),"NMF",IF(ABS((INDEX(SP_NGF_NI,0,COLUMN())/INDEX(SP_GF_ShareCount,0,COLUMN()))/(AP48/AP43)-1)&gt;10,"NMF",(INDEX(SP_NGF_NI,0,COLUMN())/INDEX(SP_GF_ShareCount,0,COLUMN()))/(AP48/AP43)-1))</f>
        <v/>
      </c>
      <c r="AV113" s="778">
        <f>IF(OR(INDEX(SP_NGF_NI,0,COLUMN())&lt;=0,AQ48&lt;=0),"NMF",IF(ABS((INDEX(SP_NGF_NI,0,COLUMN())/INDEX(SP_GF_ShareCount,0,COLUMN()))/(AQ48/AQ43)-1)&gt;10,"NMF",(INDEX(SP_NGF_NI,0,COLUMN())/INDEX(SP_GF_ShareCount,0,COLUMN()))/(AQ48/AQ43)-1))</f>
        <v/>
      </c>
      <c r="AW113" s="778">
        <f>IF(OR(INDEX(SP_NGF_NI,0,COLUMN())&lt;=0,AR48&lt;=0),"NMF",IF(ABS((INDEX(SP_NGF_NI,0,COLUMN())/INDEX(SP_GF_ShareCount,0,COLUMN()))/(AR48/AR43)-1)&gt;10,"NMF",(INDEX(SP_NGF_NI,0,COLUMN())/INDEX(SP_GF_ShareCount,0,COLUMN()))/(AR48/AR43)-1))</f>
        <v/>
      </c>
      <c r="AX113" s="778">
        <f>IF(OR(INDEX(SP_NGF_NI,0,COLUMN())&lt;=0,AS48&lt;=0),"NMF",IF(ABS((INDEX(SP_NGF_NI,0,COLUMN())/INDEX(SP_GF_ShareCount,0,COLUMN()))/(AS48/AS43)-1)&gt;10,"NMF",(INDEX(SP_NGF_NI,0,COLUMN())/INDEX(SP_GF_ShareCount,0,COLUMN()))/(AS48/AS43)-1))</f>
        <v/>
      </c>
      <c r="AY113" s="778">
        <f>IF(OR(INDEX(SP_NGF_NI,0,COLUMN())&lt;=0,AT48&lt;=0),"NMF",IF(ABS((INDEX(SP_NGF_NI,0,COLUMN())/INDEX(SP_GF_ShareCount,0,COLUMN()))/(AT48/AT43)-1)&gt;10,"NMF",(INDEX(SP_NGF_NI,0,COLUMN())/INDEX(SP_GF_ShareCount,0,COLUMN()))/(AT48/AT43)-1))</f>
        <v/>
      </c>
      <c r="AZ113" s="1515">
        <f>IF(OR(INDEX(SP_NGF_NI,0,COLUMN())&lt;=0,AU48&lt;=0),"NMF",IF(ABS((INDEX(SP_NGF_NI,0,COLUMN())/INDEX(SP_GF_ShareCount,0,COLUMN()))/(AU48/AU43)-1)&gt;10,"NMF",(INDEX(SP_NGF_NI,0,COLUMN())/INDEX(SP_GF_ShareCount,0,COLUMN()))/(AU48/AU43)-1))</f>
        <v/>
      </c>
      <c r="BA113" s="778">
        <f>IF(OR(INDEX(SP_NGF_NI,0,COLUMN())&lt;=0,AV48&lt;=0),"NMF",IF(ABS((INDEX(SP_NGF_NI,0,COLUMN())/INDEX(SP_GF_ShareCount,0,COLUMN()))/(AV48/AV43)-1)&gt;10,"NMF",(INDEX(SP_NGF_NI,0,COLUMN())/INDEX(SP_GF_ShareCount,0,COLUMN()))/(AV48/AV43)-1))</f>
        <v/>
      </c>
      <c r="BB113" s="778">
        <f>IF(OR(INDEX(SP_NGF_NI,0,COLUMN())&lt;=0,AW48&lt;=0),"NMF",IF(ABS((INDEX(SP_NGF_NI,0,COLUMN())/INDEX(SP_GF_ShareCount,0,COLUMN()))/(AW48/AW43)-1)&gt;10,"NMF",(INDEX(SP_NGF_NI,0,COLUMN())/INDEX(SP_GF_ShareCount,0,COLUMN()))/(AW48/AW43)-1))</f>
        <v/>
      </c>
      <c r="BC113" s="778">
        <f>IF(OR(INDEX(SP_NGF_NI,0,COLUMN())&lt;=0,AX48&lt;=0),"NMF",IF(ABS((INDEX(SP_NGF_NI,0,COLUMN())/INDEX(SP_GF_ShareCount,0,COLUMN()))/(AX48/AX43)-1)&gt;10,"NMF",(INDEX(SP_NGF_NI,0,COLUMN())/INDEX(SP_GF_ShareCount,0,COLUMN()))/(AX48/AX43)-1))</f>
        <v/>
      </c>
      <c r="BD113" s="778">
        <f>IF(OR(INDEX(SP_NGF_NI,0,COLUMN())&lt;=0,AY48&lt;=0),"NMF",IF(ABS((INDEX(SP_NGF_NI,0,COLUMN())/INDEX(SP_GF_ShareCount,0,COLUMN()))/(AY48/AY43)-1)&gt;10,"NMF",(INDEX(SP_NGF_NI,0,COLUMN())/INDEX(SP_GF_ShareCount,0,COLUMN()))/(AY48/AY43)-1))</f>
        <v/>
      </c>
      <c r="BE113" s="1515">
        <f>IF(OR(INDEX(SP_NGF_NI,0,COLUMN())&lt;=0,AZ48&lt;=0),"NMF",IF(ABS((INDEX(SP_NGF_NI,0,COLUMN())/INDEX(SP_GF_ShareCount,0,COLUMN()))/(AZ48/AZ43)-1)&gt;10,"NMF",(INDEX(SP_NGF_NI,0,COLUMN())/INDEX(SP_GF_ShareCount,0,COLUMN()))/(AZ48/AZ43)-1))</f>
        <v/>
      </c>
      <c r="BF113" s="778">
        <f>IF(OR(INDEX(SP_NGF_NI,0,COLUMN())&lt;=0,BA48&lt;=0),"NMF",IF(ABS((INDEX(SP_NGF_NI,0,COLUMN())/INDEX(SP_GF_ShareCount,0,COLUMN()))/(BA48/BA43)-1)&gt;10,"NMF",(INDEX(SP_NGF_NI,0,COLUMN())/INDEX(SP_GF_ShareCount,0,COLUMN()))/(BA48/BA43)-1))</f>
        <v/>
      </c>
      <c r="BG113" s="778">
        <f>IF(OR(INDEX(SP_NGF_NI,0,COLUMN())&lt;=0,BB48&lt;=0),"NMF",IF(ABS((INDEX(SP_NGF_NI,0,COLUMN())/INDEX(SP_GF_ShareCount,0,COLUMN()))/(BB48/BB43)-1)&gt;10,"NMF",(INDEX(SP_NGF_NI,0,COLUMN())/INDEX(SP_GF_ShareCount,0,COLUMN()))/(BB48/BB43)-1))</f>
        <v/>
      </c>
      <c r="BH113" s="778">
        <f>IF(OR(INDEX(SP_NGF_NI,0,COLUMN())&lt;=0,BC48&lt;=0),"NMF",IF(ABS((INDEX(SP_NGF_NI,0,COLUMN())/INDEX(SP_GF_ShareCount,0,COLUMN()))/(BC48/BC43)-1)&gt;10,"NMF",(INDEX(SP_NGF_NI,0,COLUMN())/INDEX(SP_GF_ShareCount,0,COLUMN()))/(BC48/BC43)-1))</f>
        <v/>
      </c>
      <c r="BI113" s="778">
        <f>IF(OR(INDEX(SP_NGF_NI,0,COLUMN())&lt;=0,BD48&lt;=0),"NMF",IF(ABS((INDEX(SP_NGF_NI,0,COLUMN())/INDEX(SP_GF_ShareCount,0,COLUMN()))/(BD48/BD43)-1)&gt;10,"NMF",(INDEX(SP_NGF_NI,0,COLUMN())/INDEX(SP_GF_ShareCount,0,COLUMN()))/(BD48/BD43)-1))</f>
        <v/>
      </c>
      <c r="BJ113" s="1515">
        <f>IF(OR(INDEX(SP_NGF_NI,0,COLUMN())&lt;=0,BE48&lt;=0),"NMF",IF(ABS((INDEX(SP_NGF_NI,0,COLUMN())/INDEX(SP_GF_ShareCount,0,COLUMN()))/(BE48/BE43)-1)&gt;10,"NMF",(INDEX(SP_NGF_NI,0,COLUMN())/INDEX(SP_GF_ShareCount,0,COLUMN()))/(BE48/BE43)-1))</f>
        <v/>
      </c>
      <c r="BK113" s="778">
        <f>IF(OR(INDEX(SP_NGF_NI,0,COLUMN())&lt;=0,BF48&lt;=0),"NMF",IF(ABS((INDEX(SP_NGF_NI,0,COLUMN())/INDEX(SP_GF_ShareCount,0,COLUMN()))/(BF48/BF43)-1)&gt;10,"NMF",(INDEX(SP_NGF_NI,0,COLUMN())/INDEX(SP_GF_ShareCount,0,COLUMN()))/(BF48/BF43)-1))</f>
        <v/>
      </c>
      <c r="BL113" s="778">
        <f>IF(OR(INDEX(SP_NGF_NI,0,COLUMN())&lt;=0,BG48&lt;=0),"NMF",IF(ABS((INDEX(SP_NGF_NI,0,COLUMN())/INDEX(SP_GF_ShareCount,0,COLUMN()))/(BG48/BG43)-1)&gt;10,"NMF",(INDEX(SP_NGF_NI,0,COLUMN())/INDEX(SP_GF_ShareCount,0,COLUMN()))/(BG48/BG43)-1))</f>
        <v/>
      </c>
      <c r="BM113" s="778">
        <f>IF(OR(INDEX(SP_NGF_NI,0,COLUMN())&lt;=0,BH48&lt;=0),"NMF",IF(ABS((INDEX(SP_NGF_NI,0,COLUMN())/INDEX(SP_GF_ShareCount,0,COLUMN()))/(BH48/BH43)-1)&gt;10,"NMF",(INDEX(SP_NGF_NI,0,COLUMN())/INDEX(SP_GF_ShareCount,0,COLUMN()))/(BH48/BH43)-1))</f>
        <v/>
      </c>
      <c r="BN113" s="778">
        <f>IF(OR(INDEX(SP_NGF_NI,0,COLUMN())&lt;=0,BI48&lt;=0),"NMF",IF(ABS((INDEX(SP_NGF_NI,0,COLUMN())/INDEX(SP_GF_ShareCount,0,COLUMN()))/(BI48/BI43)-1)&gt;10,"NMF",(INDEX(SP_NGF_NI,0,COLUMN())/INDEX(SP_GF_ShareCount,0,COLUMN()))/(BI48/BI43)-1))</f>
        <v/>
      </c>
      <c r="BO113" s="1514">
        <f>IF(OR(INDEX(SP_NGF_NI,0,COLUMN())&lt;=0,BJ48&lt;=0),"NMF",IF(ABS((INDEX(SP_NGF_NI,0,COLUMN())/INDEX(SP_GF_ShareCount,0,COLUMN()))/(BJ48/BJ43)-1)&gt;10,"NMF",(INDEX(SP_NGF_NI,0,COLUMN())/INDEX(SP_GF_ShareCount,0,COLUMN()))/(BJ48/BJ43)-1))</f>
        <v/>
      </c>
      <c r="BP113" s="778">
        <f>IF(OR(INDEX(SP_NGF_NI,0,COLUMN())&lt;=0,BK48&lt;=0),"NMF",IF(ABS((INDEX(SP_NGF_NI,0,COLUMN())/INDEX(SP_GF_ShareCount,0,COLUMN()))/(BK48/BK43)-1)&gt;10,"NMF",(INDEX(SP_NGF_NI,0,COLUMN())/INDEX(SP_GF_ShareCount,0,COLUMN()))/(BK48/BK43)-1))</f>
        <v/>
      </c>
      <c r="BQ113" s="778">
        <f>IF(OR(INDEX(SP_NGF_NI,0,COLUMN())&lt;=0,BL48&lt;=0),"NMF",IF(ABS((INDEX(SP_NGF_NI,0,COLUMN())/INDEX(SP_GF_ShareCount,0,COLUMN()))/(BL48/BL43)-1)&gt;10,"NMF",(INDEX(SP_NGF_NI,0,COLUMN())/INDEX(SP_GF_ShareCount,0,COLUMN()))/(BL48/BL43)-1))</f>
        <v/>
      </c>
      <c r="BR113" s="778">
        <f>IF(OR(INDEX(SP_NGF_NI,0,COLUMN())&lt;=0,BM48&lt;=0),"NMF",IF(ABS((INDEX(SP_NGF_NI,0,COLUMN())/INDEX(SP_GF_ShareCount,0,COLUMN()))/(BM48/BM43)-1)&gt;10,"NMF",(INDEX(SP_NGF_NI,0,COLUMN())/INDEX(SP_GF_ShareCount,0,COLUMN()))/(BM48/BM43)-1))</f>
        <v/>
      </c>
      <c r="BS113" s="778">
        <f>IF(OR(INDEX(SP_NGF_NI,0,COLUMN())&lt;=0,BN48&lt;=0),"NMF",IF(ABS((INDEX(SP_NGF_NI,0,COLUMN())/INDEX(SP_GF_ShareCount,0,COLUMN()))/(BN48/BN43)-1)&gt;10,"NMF",(INDEX(SP_NGF_NI,0,COLUMN())/INDEX(SP_GF_ShareCount,0,COLUMN()))/(BN48/BN43)-1))</f>
        <v/>
      </c>
      <c r="BT113" s="1515">
        <f>IF(OR(INDEX(SP_NGF_NI,0,COLUMN())&lt;=0,BO48&lt;=0),"NMF",IF(ABS((INDEX(SP_NGF_NI,0,COLUMN())/INDEX(SP_GF_ShareCount,0,COLUMN()))/(BO48/BO43)-1)&gt;10,"NMF",(INDEX(SP_NGF_NI,0,COLUMN())/INDEX(SP_GF_ShareCount,0,COLUMN()))/(BO48/BO43)-1))</f>
        <v/>
      </c>
      <c r="BU113" s="778">
        <f>IF(OR(INDEX(SP_NGF_NI,0,COLUMN())&lt;=0,BP48&lt;=0),"NMF",IF(ABS((INDEX(SP_NGF_NI,0,COLUMN())/INDEX(SP_GF_ShareCount,0,COLUMN()))/(BP48/BP43)-1)&gt;10,"NMF",(INDEX(SP_NGF_NI,0,COLUMN())/INDEX(SP_GF_ShareCount,0,COLUMN()))/(BP48/BP43)-1))</f>
        <v/>
      </c>
      <c r="BV113" s="778">
        <f>IF(OR(INDEX(SP_NGF_NI,0,COLUMN())&lt;=0,BQ48&lt;=0),"NMF",IF(ABS((INDEX(SP_NGF_NI,0,COLUMN())/INDEX(SP_GF_ShareCount,0,COLUMN()))/(BQ48/BQ43)-1)&gt;10,"NMF",(INDEX(SP_NGF_NI,0,COLUMN())/INDEX(SP_GF_ShareCount,0,COLUMN()))/(BQ48/BQ43)-1))</f>
        <v/>
      </c>
      <c r="BW113" s="778">
        <f>IF(OR(INDEX(SP_NGF_NI,0,COLUMN())&lt;=0,BR48&lt;=0),"NMF",IF(ABS((INDEX(SP_NGF_NI,0,COLUMN())/INDEX(SP_GF_ShareCount,0,COLUMN()))/(BR48/BR43)-1)&gt;10,"NMF",(INDEX(SP_NGF_NI,0,COLUMN())/INDEX(SP_GF_ShareCount,0,COLUMN()))/(BR48/BR43)-1))</f>
        <v/>
      </c>
      <c r="BX113" s="778">
        <f>IF(OR(INDEX(SP_NGF_NI,0,COLUMN())&lt;=0,BS48&lt;=0),"NMF",IF(ABS((INDEX(SP_NGF_NI,0,COLUMN())/INDEX(SP_GF_ShareCount,0,COLUMN()))/(BS48/BS43)-1)&gt;10,"NMF",(INDEX(SP_NGF_NI,0,COLUMN())/INDEX(SP_GF_ShareCount,0,COLUMN()))/(BS48/BS43)-1))</f>
        <v/>
      </c>
      <c r="BY113" s="1515">
        <f>IF(OR(INDEX(SP_NGF_NI,0,COLUMN())&lt;=0,BT48&lt;=0),"NMF",IF(ABS((INDEX(SP_NGF_NI,0,COLUMN())/INDEX(SP_GF_ShareCount,0,COLUMN()))/(BT48/BT43)-1)&gt;10,"NMF",(INDEX(SP_NGF_NI,0,COLUMN())/INDEX(SP_GF_ShareCount,0,COLUMN()))/(BT48/BT43)-1))</f>
        <v/>
      </c>
      <c r="BZ113" s="1515">
        <f>IF(OR(INDEX(SP_NGF_NI,0,COLUMN())&lt;=0,BY48&lt;=0),"NMF",IF(ABS((INDEX(SP_NGF_NI,0,COLUMN())/INDEX(SP_GF_ShareCount,0,COLUMN()))/(BY48/BY43)-1)&gt;10,"NMF",(INDEX(SP_NGF_NI,0,COLUMN())/INDEX(SP_GF_ShareCount,0,COLUMN()))/(BY48/BY43)-1))</f>
        <v/>
      </c>
      <c r="CA113" s="1515">
        <f>IF(OR(INDEX(SP_NGF_NI,0,COLUMN())&lt;=0,BZ48&lt;=0),"NMF",IF(ABS((INDEX(SP_NGF_NI,0,COLUMN())/INDEX(SP_GF_ShareCount,0,COLUMN()))/(BZ48/BZ43)-1)&gt;10,"NMF",(INDEX(SP_NGF_NI,0,COLUMN())/INDEX(SP_GF_ShareCount,0,COLUMN()))/(BZ48/BZ43)-1))</f>
        <v/>
      </c>
      <c r="CB113" s="1515">
        <f>IF(OR(INDEX(SP_NGF_NI,0,COLUMN())&lt;=0,CA48&lt;=0),"NMF",IF(ABS((INDEX(SP_NGF_NI,0,COLUMN())/INDEX(SP_GF_ShareCount,0,COLUMN()))/(CA48/CA43)-1)&gt;10,"NMF",(INDEX(SP_NGF_NI,0,COLUMN())/INDEX(SP_GF_ShareCount,0,COLUMN()))/(CA48/CA43)-1))</f>
        <v/>
      </c>
      <c r="CC113" s="800" t="n"/>
    </row>
    <row r="114" ht="15" customFormat="1" customHeight="1" s="636">
      <c r="A114" s="163" t="inlineStr">
        <is>
          <t>Operating Cash Flow Per Share Growth</t>
        </is>
      </c>
      <c r="B114" s="162" t="n"/>
      <c r="C114" s="1515" t="n"/>
      <c r="D114" s="1515">
        <f>IF(OR(INDEX(SP_CFA_CFO,0,COLUMN())&lt;=0,C63&lt;=0),"NMF",IF(ABS((INDEX(SP_CFA_CFO,0,COLUMN())/INDEX(SP_GF_ShareCount,0,COLUMN()))/(C63/C43)-1)&gt;10,"NMF",(INDEX(SP_CFA_CFO,0,COLUMN())/INDEX(SP_GF_ShareCount,0,COLUMN()))/(C63/C43)-1))</f>
        <v/>
      </c>
      <c r="E114" s="1515">
        <f>IF(OR(INDEX(SP_CFA_CFO,0,COLUMN())&lt;=0,D63&lt;=0),"NMF",IF(ABS((INDEX(SP_CFA_CFO,0,COLUMN())/INDEX(SP_GF_ShareCount,0,COLUMN()))/(D63/D43)-1)&gt;10,"NMF",(INDEX(SP_CFA_CFO,0,COLUMN())/INDEX(SP_GF_ShareCount,0,COLUMN()))/(D63/D43)-1))</f>
        <v/>
      </c>
      <c r="F114" s="1515">
        <f>IF(OR(INDEX(SP_CFA_CFO,0,COLUMN())&lt;=0,E63&lt;=0),"NMF",IF(ABS((INDEX(SP_CFA_CFO,0,COLUMN())/INDEX(SP_GF_ShareCount,0,COLUMN()))/(E63/E43)-1)&gt;10,"NMF",(INDEX(SP_CFA_CFO,0,COLUMN())/INDEX(SP_GF_ShareCount,0,COLUMN()))/(E63/E43)-1))</f>
        <v/>
      </c>
      <c r="G114" s="1515">
        <f>IF(OR(INDEX(SP_CFA_CFO,0,COLUMN())&lt;=0,F63&lt;=0),"NMF",IF(ABS((INDEX(SP_CFA_CFO,0,COLUMN())/INDEX(SP_GF_ShareCount,0,COLUMN()))/(F63/F43)-1)&gt;10,"NMF",(INDEX(SP_CFA_CFO,0,COLUMN())/INDEX(SP_GF_ShareCount,0,COLUMN()))/(F63/F43)-1))</f>
        <v/>
      </c>
      <c r="H114" s="778" t="n"/>
      <c r="I114" s="778" t="n"/>
      <c r="J114" s="778" t="n"/>
      <c r="K114" s="778" t="n"/>
      <c r="L114" s="1515">
        <f>IF(OR(INDEX(SP_CFA_CFO,0,COLUMN())&lt;=0,G63&lt;=0),"NMF",IF(ABS((INDEX(SP_CFA_CFO,0,COLUMN())/INDEX(SP_GF_ShareCount,0,COLUMN()))/(G63/G43)-1)&gt;10,"NMF",(INDEX(SP_CFA_CFO,0,COLUMN())/INDEX(SP_GF_ShareCount,0,COLUMN()))/(G63/G43)-1))</f>
        <v/>
      </c>
      <c r="M114" s="778">
        <f>IF(OR(INDEX(SP_CFA_CFO,0,COLUMN())&lt;=0,H63&lt;=0),"NMF",IF(ABS((INDEX(SP_CFA_CFO,0,COLUMN())/INDEX(SP_GF_ShareCount,0,COLUMN()))/(H63/H43)-1)&gt;10,"NMF",(INDEX(SP_CFA_CFO,0,COLUMN())/INDEX(SP_GF_ShareCount,0,COLUMN()))/(H63/H43)-1))</f>
        <v/>
      </c>
      <c r="N114" s="778">
        <f>IF(OR(INDEX(SP_CFA_CFO,0,COLUMN())&lt;=0,I63&lt;=0),"NMF",IF(ABS((INDEX(SP_CFA_CFO,0,COLUMN())/INDEX(SP_GF_ShareCount,0,COLUMN()))/(I63/I43)-1)&gt;10,"NMF",(INDEX(SP_CFA_CFO,0,COLUMN())/INDEX(SP_GF_ShareCount,0,COLUMN()))/(I63/I43)-1))</f>
        <v/>
      </c>
      <c r="O114" s="778">
        <f>IF(OR(INDEX(SP_CFA_CFO,0,COLUMN())&lt;=0,J63&lt;=0),"NMF",IF(ABS((INDEX(SP_CFA_CFO,0,COLUMN())/INDEX(SP_GF_ShareCount,0,COLUMN()))/(J63/J43)-1)&gt;10,"NMF",(INDEX(SP_CFA_CFO,0,COLUMN())/INDEX(SP_GF_ShareCount,0,COLUMN()))/(J63/J43)-1))</f>
        <v/>
      </c>
      <c r="P114" s="778">
        <f>IF(OR(INDEX(SP_CFA_CFO,0,COLUMN())&lt;=0,K63&lt;=0),"NMF",IF(ABS((INDEX(SP_CFA_CFO,0,COLUMN())/INDEX(SP_GF_ShareCount,0,COLUMN()))/(K63/K43)-1)&gt;10,"NMF",(INDEX(SP_CFA_CFO,0,COLUMN())/INDEX(SP_GF_ShareCount,0,COLUMN()))/(K63/K43)-1))</f>
        <v/>
      </c>
      <c r="Q114" s="1515">
        <f>IF(OR(INDEX(SP_CFA_CFO,0,COLUMN())&lt;=0,L63&lt;=0),"NMF",IF(ABS((INDEX(SP_CFA_CFO,0,COLUMN())/INDEX(SP_GF_ShareCount,0,COLUMN()))/(L63/L43)-1)&gt;10,"NMF",(INDEX(SP_CFA_CFO,0,COLUMN())/INDEX(SP_GF_ShareCount,0,COLUMN()))/(L63/L43)-1))</f>
        <v/>
      </c>
      <c r="R114" s="778">
        <f>IF(OR(INDEX(SP_CFA_CFO,0,COLUMN())&lt;=0,M63&lt;=0),"NMF",IF(ABS((INDEX(SP_CFA_CFO,0,COLUMN())/INDEX(SP_GF_ShareCount,0,COLUMN()))/(M63/M43)-1)&gt;10,"NMF",(INDEX(SP_CFA_CFO,0,COLUMN())/INDEX(SP_GF_ShareCount,0,COLUMN()))/(M63/M43)-1))</f>
        <v/>
      </c>
      <c r="S114" s="778">
        <f>IF(OR(INDEX(SP_CFA_CFO,0,COLUMN())&lt;=0,N63&lt;=0),"NMF",IF(ABS((INDEX(SP_CFA_CFO,0,COLUMN())/INDEX(SP_GF_ShareCount,0,COLUMN()))/(N63/N43)-1)&gt;10,"NMF",(INDEX(SP_CFA_CFO,0,COLUMN())/INDEX(SP_GF_ShareCount,0,COLUMN()))/(N63/N43)-1))</f>
        <v/>
      </c>
      <c r="T114" s="778">
        <f>IF(OR(INDEX(SP_CFA_CFO,0,COLUMN())&lt;=0,O63&lt;=0),"NMF",IF(ABS((INDEX(SP_CFA_CFO,0,COLUMN())/INDEX(SP_GF_ShareCount,0,COLUMN()))/(O63/O43)-1)&gt;10,"NMF",(INDEX(SP_CFA_CFO,0,COLUMN())/INDEX(SP_GF_ShareCount,0,COLUMN()))/(O63/O43)-1))</f>
        <v/>
      </c>
      <c r="U114" s="778">
        <f>IF(OR(INDEX(SP_CFA_CFO,0,COLUMN())&lt;=0,P63&lt;=0),"NMF",IF(ABS((INDEX(SP_CFA_CFO,0,COLUMN())/INDEX(SP_GF_ShareCount,0,COLUMN()))/(P63/P43)-1)&gt;10,"NMF",(INDEX(SP_CFA_CFO,0,COLUMN())/INDEX(SP_GF_ShareCount,0,COLUMN()))/(P63/P43)-1))</f>
        <v/>
      </c>
      <c r="V114" s="1515">
        <f>IF(OR(INDEX(SP_CFA_CFO,0,COLUMN())&lt;=0,Q63&lt;=0),"NMF",IF(ABS((INDEX(SP_CFA_CFO,0,COLUMN())/INDEX(SP_GF_ShareCount,0,COLUMN()))/(Q63/Q43)-1)&gt;10,"NMF",(INDEX(SP_CFA_CFO,0,COLUMN())/INDEX(SP_GF_ShareCount,0,COLUMN()))/(Q63/Q43)-1))</f>
        <v/>
      </c>
      <c r="W114" s="778">
        <f>IF(OR(INDEX(SP_CFA_CFO,0,COLUMN())&lt;=0,R63&lt;=0),"NMF",IF(ABS((INDEX(SP_CFA_CFO,0,COLUMN())/INDEX(SP_GF_ShareCount,0,COLUMN()))/(R63/R43)-1)&gt;10,"NMF",(INDEX(SP_CFA_CFO,0,COLUMN())/INDEX(SP_GF_ShareCount,0,COLUMN()))/(R63/R43)-1))</f>
        <v/>
      </c>
      <c r="X114" s="778">
        <f>IF(OR(INDEX(SP_CFA_CFO,0,COLUMN())&lt;=0,S63&lt;=0),"NMF",IF(ABS((INDEX(SP_CFA_CFO,0,COLUMN())/INDEX(SP_GF_ShareCount,0,COLUMN()))/(S63/S43)-1)&gt;10,"NMF",(INDEX(SP_CFA_CFO,0,COLUMN())/INDEX(SP_GF_ShareCount,0,COLUMN()))/(S63/S43)-1))</f>
        <v/>
      </c>
      <c r="Y114" s="778">
        <f>IF(OR(INDEX(SP_CFA_CFO,0,COLUMN())&lt;=0,T63&lt;=0),"NMF",IF(ABS((INDEX(SP_CFA_CFO,0,COLUMN())/INDEX(SP_GF_ShareCount,0,COLUMN()))/(T63/T43)-1)&gt;10,"NMF",(INDEX(SP_CFA_CFO,0,COLUMN())/INDEX(SP_GF_ShareCount,0,COLUMN()))/(T63/T43)-1))</f>
        <v/>
      </c>
      <c r="Z114" s="778">
        <f>IF(OR(INDEX(SP_CFA_CFO,0,COLUMN())&lt;=0,U63&lt;=0),"NMF",IF(ABS((INDEX(SP_CFA_CFO,0,COLUMN())/INDEX(SP_GF_ShareCount,0,COLUMN()))/(U63/U43)-1)&gt;10,"NMF",(INDEX(SP_CFA_CFO,0,COLUMN())/INDEX(SP_GF_ShareCount,0,COLUMN()))/(U63/U43)-1))</f>
        <v/>
      </c>
      <c r="AA114" s="1515">
        <f>IF(OR(INDEX(SP_CFA_CFO,0,COLUMN())&lt;=0,V63&lt;=0),"NMF",IF(ABS((INDEX(SP_CFA_CFO,0,COLUMN())/INDEX(SP_GF_ShareCount,0,COLUMN()))/(V63/V43)-1)&gt;10,"NMF",(INDEX(SP_CFA_CFO,0,COLUMN())/INDEX(SP_GF_ShareCount,0,COLUMN()))/(V63/V43)-1))</f>
        <v/>
      </c>
      <c r="AB114" s="778">
        <f>IF(OR(INDEX(SP_CFA_CFO,0,COLUMN())&lt;=0,W63&lt;=0),"NMF",IF(ABS((INDEX(SP_CFA_CFO,0,COLUMN())/INDEX(SP_GF_ShareCount,0,COLUMN()))/(W63/W43)-1)&gt;10,"NMF",(INDEX(SP_CFA_CFO,0,COLUMN())/INDEX(SP_GF_ShareCount,0,COLUMN()))/(W63/W43)-1))</f>
        <v/>
      </c>
      <c r="AC114" s="778">
        <f>IF(OR(INDEX(SP_CFA_CFO,0,COLUMN())&lt;=0,X63&lt;=0),"NMF",IF(ABS((INDEX(SP_CFA_CFO,0,COLUMN())/INDEX(SP_GF_ShareCount,0,COLUMN()))/(X63/X43)-1)&gt;10,"NMF",(INDEX(SP_CFA_CFO,0,COLUMN())/INDEX(SP_GF_ShareCount,0,COLUMN()))/(X63/X43)-1))</f>
        <v/>
      </c>
      <c r="AD114" s="778">
        <f>IF(OR(INDEX(SP_CFA_CFO,0,COLUMN())&lt;=0,Y63&lt;=0),"NMF",IF(ABS((INDEX(SP_CFA_CFO,0,COLUMN())/INDEX(SP_GF_ShareCount,0,COLUMN()))/(Y63/Y43)-1)&gt;10,"NMF",(INDEX(SP_CFA_CFO,0,COLUMN())/INDEX(SP_GF_ShareCount,0,COLUMN()))/(Y63/Y43)-1))</f>
        <v/>
      </c>
      <c r="AE114" s="778">
        <f>IF(OR(INDEX(SP_CFA_CFO,0,COLUMN())&lt;=0,Z63&lt;=0),"NMF",IF(ABS((INDEX(SP_CFA_CFO,0,COLUMN())/INDEX(SP_GF_ShareCount,0,COLUMN()))/(Z63/Z43)-1)&gt;10,"NMF",(INDEX(SP_CFA_CFO,0,COLUMN())/INDEX(SP_GF_ShareCount,0,COLUMN()))/(Z63/Z43)-1))</f>
        <v/>
      </c>
      <c r="AF114" s="1515">
        <f>IF(OR(INDEX(SP_CFA_CFO,0,COLUMN())&lt;=0,AA63&lt;=0),"NMF",IF(ABS((INDEX(SP_CFA_CFO,0,COLUMN())/INDEX(SP_GF_ShareCount,0,COLUMN()))/(AA63/AA43)-1)&gt;10,"NMF",(INDEX(SP_CFA_CFO,0,COLUMN())/INDEX(SP_GF_ShareCount,0,COLUMN()))/(AA63/AA43)-1))</f>
        <v/>
      </c>
      <c r="AG114" s="778">
        <f>IF(OR(INDEX(SP_CFA_CFO,0,COLUMN())&lt;=0,AB63&lt;=0),"NMF",IF(ABS((INDEX(SP_CFA_CFO,0,COLUMN())/INDEX(SP_GF_ShareCount,0,COLUMN()))/(AB63/AB43)-1)&gt;10,"NMF",(INDEX(SP_CFA_CFO,0,COLUMN())/INDEX(SP_GF_ShareCount,0,COLUMN()))/(AB63/AB43)-1))</f>
        <v/>
      </c>
      <c r="AH114" s="778">
        <f>IF(OR(INDEX(SP_CFA_CFO,0,COLUMN())&lt;=0,AC63&lt;=0),"NMF",IF(ABS((INDEX(SP_CFA_CFO,0,COLUMN())/INDEX(SP_GF_ShareCount,0,COLUMN()))/(AC63/AC43)-1)&gt;10,"NMF",(INDEX(SP_CFA_CFO,0,COLUMN())/INDEX(SP_GF_ShareCount,0,COLUMN()))/(AC63/AC43)-1))</f>
        <v/>
      </c>
      <c r="AI114" s="778">
        <f>IF(OR(INDEX(SP_CFA_CFO,0,COLUMN())&lt;=0,AD63&lt;=0),"NMF",IF(ABS((INDEX(SP_CFA_CFO,0,COLUMN())/INDEX(SP_GF_ShareCount,0,COLUMN()))/(AD63/AD43)-1)&gt;10,"NMF",(INDEX(SP_CFA_CFO,0,COLUMN())/INDEX(SP_GF_ShareCount,0,COLUMN()))/(AD63/AD43)-1))</f>
        <v/>
      </c>
      <c r="AJ114" s="778">
        <f>IF(OR(INDEX(SP_CFA_CFO,0,COLUMN())&lt;=0,AE63&lt;=0),"NMF",IF(ABS((INDEX(SP_CFA_CFO,0,COLUMN())/INDEX(SP_GF_ShareCount,0,COLUMN()))/(AE63/AE43)-1)&gt;10,"NMF",(INDEX(SP_CFA_CFO,0,COLUMN())/INDEX(SP_GF_ShareCount,0,COLUMN()))/(AE63/AE43)-1))</f>
        <v/>
      </c>
      <c r="AK114" s="1515">
        <f>IF(OR(INDEX(SP_CFA_CFO,0,COLUMN())&lt;=0,AF63&lt;=0),"NMF",IF(ABS((INDEX(SP_CFA_CFO,0,COLUMN())/INDEX(SP_GF_ShareCount,0,COLUMN()))/(AF63/AF43)-1)&gt;10,"NMF",(INDEX(SP_CFA_CFO,0,COLUMN())/INDEX(SP_GF_ShareCount,0,COLUMN()))/(AF63/AF43)-1))</f>
        <v/>
      </c>
      <c r="AL114" s="778">
        <f>IF(OR(INDEX(SP_CFA_CFO,0,COLUMN())&lt;=0,AG63&lt;=0),"NMF",IF(ABS((INDEX(SP_CFA_CFO,0,COLUMN())/INDEX(SP_GF_ShareCount,0,COLUMN()))/(AG63/AG43)-1)&gt;10,"NMF",(INDEX(SP_CFA_CFO,0,COLUMN())/INDEX(SP_GF_ShareCount,0,COLUMN()))/(AG63/AG43)-1))</f>
        <v/>
      </c>
      <c r="AM114" s="778">
        <f>IF(OR(INDEX(SP_CFA_CFO,0,COLUMN())&lt;=0,AH63&lt;=0),"NMF",IF(ABS((INDEX(SP_CFA_CFO,0,COLUMN())/INDEX(SP_GF_ShareCount,0,COLUMN()))/(AH63/AH43)-1)&gt;10,"NMF",(INDEX(SP_CFA_CFO,0,COLUMN())/INDEX(SP_GF_ShareCount,0,COLUMN()))/(AH63/AH43)-1))</f>
        <v/>
      </c>
      <c r="AN114" s="778">
        <f>IF(OR(INDEX(SP_CFA_CFO,0,COLUMN())&lt;=0,AI63&lt;=0),"NMF",IF(ABS((INDEX(SP_CFA_CFO,0,COLUMN())/INDEX(SP_GF_ShareCount,0,COLUMN()))/(AI63/AI43)-1)&gt;10,"NMF",(INDEX(SP_CFA_CFO,0,COLUMN())/INDEX(SP_GF_ShareCount,0,COLUMN()))/(AI63/AI43)-1))</f>
        <v/>
      </c>
      <c r="AO114" s="778">
        <f>IF(OR(INDEX(SP_CFA_CFO,0,COLUMN())&lt;=0,AJ63&lt;=0),"NMF",IF(ABS((INDEX(SP_CFA_CFO,0,COLUMN())/INDEX(SP_GF_ShareCount,0,COLUMN()))/(AJ63/AJ43)-1)&gt;10,"NMF",(INDEX(SP_CFA_CFO,0,COLUMN())/INDEX(SP_GF_ShareCount,0,COLUMN()))/(AJ63/AJ43)-1))</f>
        <v/>
      </c>
      <c r="AP114" s="1515">
        <f>IF(OR(INDEX(SP_CFA_CFO,0,COLUMN())&lt;=0,AK63&lt;=0),"NMF",IF(ABS((INDEX(SP_CFA_CFO,0,COLUMN())/INDEX(SP_GF_ShareCount,0,COLUMN()))/(AK63/AK43)-1)&gt;10,"NMF",(INDEX(SP_CFA_CFO,0,COLUMN())/INDEX(SP_GF_ShareCount,0,COLUMN()))/(AK63/AK43)-1))</f>
        <v/>
      </c>
      <c r="AQ114" s="778">
        <f>IF(OR(INDEX(SP_CFA_CFO,0,COLUMN())&lt;=0,AL63&lt;=0),"NMF",IF(ABS((INDEX(SP_CFA_CFO,0,COLUMN())/INDEX(SP_GF_ShareCount,0,COLUMN()))/(AL63/AL43)-1)&gt;10,"NMF",(INDEX(SP_CFA_CFO,0,COLUMN())/INDEX(SP_GF_ShareCount,0,COLUMN()))/(AL63/AL43)-1))</f>
        <v/>
      </c>
      <c r="AR114" s="778">
        <f>IF(OR(INDEX(SP_CFA_CFO,0,COLUMN())&lt;=0,AM63&lt;=0),"NMF",IF(ABS((INDEX(SP_CFA_CFO,0,COLUMN())/INDEX(SP_GF_ShareCount,0,COLUMN()))/(AM63/AM43)-1)&gt;10,"NMF",(INDEX(SP_CFA_CFO,0,COLUMN())/INDEX(SP_GF_ShareCount,0,COLUMN()))/(AM63/AM43)-1))</f>
        <v/>
      </c>
      <c r="AS114" s="778">
        <f>IF(OR(INDEX(SP_CFA_CFO,0,COLUMN())&lt;=0,AN63&lt;=0),"NMF",IF(ABS((INDEX(SP_CFA_CFO,0,COLUMN())/INDEX(SP_GF_ShareCount,0,COLUMN()))/(AN63/AN43)-1)&gt;10,"NMF",(INDEX(SP_CFA_CFO,0,COLUMN())/INDEX(SP_GF_ShareCount,0,COLUMN()))/(AN63/AN43)-1))</f>
        <v/>
      </c>
      <c r="AT114" s="778">
        <f>IF(OR(INDEX(SP_CFA_CFO,0,COLUMN())&lt;=0,AO63&lt;=0),"NMF",IF(ABS((INDEX(SP_CFA_CFO,0,COLUMN())/INDEX(SP_GF_ShareCount,0,COLUMN()))/(AO63/AO43)-1)&gt;10,"NMF",(INDEX(SP_CFA_CFO,0,COLUMN())/INDEX(SP_GF_ShareCount,0,COLUMN()))/(AO63/AO43)-1))</f>
        <v/>
      </c>
      <c r="AU114" s="1515">
        <f>IF(OR(INDEX(SP_CFA_CFO,0,COLUMN())&lt;=0,AP63&lt;=0),"NMF",IF(ABS((INDEX(SP_CFA_CFO,0,COLUMN())/INDEX(SP_GF_ShareCount,0,COLUMN()))/(AP63/AP43)-1)&gt;10,"NMF",(INDEX(SP_CFA_CFO,0,COLUMN())/INDEX(SP_GF_ShareCount,0,COLUMN()))/(AP63/AP43)-1))</f>
        <v/>
      </c>
      <c r="AV114" s="778">
        <f>IF(OR(INDEX(SP_CFA_CFO,0,COLUMN())&lt;=0,AQ63&lt;=0),"NMF",IF(ABS((INDEX(SP_CFA_CFO,0,COLUMN())/INDEX(SP_GF_ShareCount,0,COLUMN()))/(AQ63/AQ43)-1)&gt;10,"NMF",(INDEX(SP_CFA_CFO,0,COLUMN())/INDEX(SP_GF_ShareCount,0,COLUMN()))/(AQ63/AQ43)-1))</f>
        <v/>
      </c>
      <c r="AW114" s="778">
        <f>IF(OR(INDEX(SP_CFA_CFO,0,COLUMN())&lt;=0,AR63&lt;=0),"NMF",IF(ABS((INDEX(SP_CFA_CFO,0,COLUMN())/INDEX(SP_GF_ShareCount,0,COLUMN()))/(AR63/AR43)-1)&gt;10,"NMF",(INDEX(SP_CFA_CFO,0,COLUMN())/INDEX(SP_GF_ShareCount,0,COLUMN()))/(AR63/AR43)-1))</f>
        <v/>
      </c>
      <c r="AX114" s="778">
        <f>IF(OR(INDEX(SP_CFA_CFO,0,COLUMN())&lt;=0,AS63&lt;=0),"NMF",IF(ABS((INDEX(SP_CFA_CFO,0,COLUMN())/INDEX(SP_GF_ShareCount,0,COLUMN()))/(AS63/AS43)-1)&gt;10,"NMF",(INDEX(SP_CFA_CFO,0,COLUMN())/INDEX(SP_GF_ShareCount,0,COLUMN()))/(AS63/AS43)-1))</f>
        <v/>
      </c>
      <c r="AY114" s="778">
        <f>IF(OR(INDEX(SP_CFA_CFO,0,COLUMN())&lt;=0,AT63&lt;=0),"NMF",IF(ABS((INDEX(SP_CFA_CFO,0,COLUMN())/INDEX(SP_GF_ShareCount,0,COLUMN()))/(AT63/AT43)-1)&gt;10,"NMF",(INDEX(SP_CFA_CFO,0,COLUMN())/INDEX(SP_GF_ShareCount,0,COLUMN()))/(AT63/AT43)-1))</f>
        <v/>
      </c>
      <c r="AZ114" s="1515">
        <f>IF(OR(INDEX(SP_CFA_CFO,0,COLUMN())&lt;=0,AU63&lt;=0),"NMF",IF(ABS((INDEX(SP_CFA_CFO,0,COLUMN())/INDEX(SP_GF_ShareCount,0,COLUMN()))/(AU63/AU43)-1)&gt;10,"NMF",(INDEX(SP_CFA_CFO,0,COLUMN())/INDEX(SP_GF_ShareCount,0,COLUMN()))/(AU63/AU43)-1))</f>
        <v/>
      </c>
      <c r="BA114" s="778">
        <f>IF(OR(INDEX(SP_CFA_CFO,0,COLUMN())&lt;=0,AV63&lt;=0),"NMF",IF(ABS((INDEX(SP_CFA_CFO,0,COLUMN())/INDEX(SP_GF_ShareCount,0,COLUMN()))/(AV63/AV43)-1)&gt;10,"NMF",(INDEX(SP_CFA_CFO,0,COLUMN())/INDEX(SP_GF_ShareCount,0,COLUMN()))/(AV63/AV43)-1))</f>
        <v/>
      </c>
      <c r="BB114" s="778">
        <f>IF(OR(INDEX(SP_CFA_CFO,0,COLUMN())&lt;=0,AW63&lt;=0),"NMF",IF(ABS((INDEX(SP_CFA_CFO,0,COLUMN())/INDEX(SP_GF_ShareCount,0,COLUMN()))/(AW63/AW43)-1)&gt;10,"NMF",(INDEX(SP_CFA_CFO,0,COLUMN())/INDEX(SP_GF_ShareCount,0,COLUMN()))/(AW63/AW43)-1))</f>
        <v/>
      </c>
      <c r="BC114" s="778">
        <f>IF(OR(INDEX(SP_CFA_CFO,0,COLUMN())&lt;=0,AX63&lt;=0),"NMF",IF(ABS((INDEX(SP_CFA_CFO,0,COLUMN())/INDEX(SP_GF_ShareCount,0,COLUMN()))/(AX63/AX43)-1)&gt;10,"NMF",(INDEX(SP_CFA_CFO,0,COLUMN())/INDEX(SP_GF_ShareCount,0,COLUMN()))/(AX63/AX43)-1))</f>
        <v/>
      </c>
      <c r="BD114" s="778">
        <f>IF(OR(INDEX(SP_CFA_CFO,0,COLUMN())&lt;=0,AY63&lt;=0),"NMF",IF(ABS((INDEX(SP_CFA_CFO,0,COLUMN())/INDEX(SP_GF_ShareCount,0,COLUMN()))/(AY63/AY43)-1)&gt;10,"NMF",(INDEX(SP_CFA_CFO,0,COLUMN())/INDEX(SP_GF_ShareCount,0,COLUMN()))/(AY63/AY43)-1))</f>
        <v/>
      </c>
      <c r="BE114" s="1515">
        <f>IF(OR(INDEX(SP_CFA_CFO,0,COLUMN())&lt;=0,AZ63&lt;=0),"NMF",IF(ABS((INDEX(SP_CFA_CFO,0,COLUMN())/INDEX(SP_GF_ShareCount,0,COLUMN()))/(AZ63/AZ43)-1)&gt;10,"NMF",(INDEX(SP_CFA_CFO,0,COLUMN())/INDEX(SP_GF_ShareCount,0,COLUMN()))/(AZ63/AZ43)-1))</f>
        <v/>
      </c>
      <c r="BF114" s="778">
        <f>IF(OR(INDEX(SP_CFA_CFO,0,COLUMN())&lt;=0,BA63&lt;=0),"NMF",IF(ABS((INDEX(SP_CFA_CFO,0,COLUMN())/INDEX(SP_GF_ShareCount,0,COLUMN()))/(BA63/BA43)-1)&gt;10,"NMF",(INDEX(SP_CFA_CFO,0,COLUMN())/INDEX(SP_GF_ShareCount,0,COLUMN()))/(BA63/BA43)-1))</f>
        <v/>
      </c>
      <c r="BG114" s="778">
        <f>IF(OR(INDEX(SP_CFA_CFO,0,COLUMN())&lt;=0,BB63&lt;=0),"NMF",IF(ABS((INDEX(SP_CFA_CFO,0,COLUMN())/INDEX(SP_GF_ShareCount,0,COLUMN()))/(BB63/BB43)-1)&gt;10,"NMF",(INDEX(SP_CFA_CFO,0,COLUMN())/INDEX(SP_GF_ShareCount,0,COLUMN()))/(BB63/BB43)-1))</f>
        <v/>
      </c>
      <c r="BH114" s="778">
        <f>IF(OR(INDEX(SP_CFA_CFO,0,COLUMN())&lt;=0,BC63&lt;=0),"NMF",IF(ABS((INDEX(SP_CFA_CFO,0,COLUMN())/INDEX(SP_GF_ShareCount,0,COLUMN()))/(BC63/BC43)-1)&gt;10,"NMF",(INDEX(SP_CFA_CFO,0,COLUMN())/INDEX(SP_GF_ShareCount,0,COLUMN()))/(BC63/BC43)-1))</f>
        <v/>
      </c>
      <c r="BI114" s="778">
        <f>IF(OR(INDEX(SP_CFA_CFO,0,COLUMN())&lt;=0,BD63&lt;=0),"NMF",IF(ABS((INDEX(SP_CFA_CFO,0,COLUMN())/INDEX(SP_GF_ShareCount,0,COLUMN()))/(BD63/BD43)-1)&gt;10,"NMF",(INDEX(SP_CFA_CFO,0,COLUMN())/INDEX(SP_GF_ShareCount,0,COLUMN()))/(BD63/BD43)-1))</f>
        <v/>
      </c>
      <c r="BJ114" s="1515">
        <f>IF(OR(INDEX(SP_CFA_CFO,0,COLUMN())&lt;=0,BE63&lt;=0),"NMF",IF(ABS((INDEX(SP_CFA_CFO,0,COLUMN())/INDEX(SP_GF_ShareCount,0,COLUMN()))/(BE63/BE43)-1)&gt;10,"NMF",(INDEX(SP_CFA_CFO,0,COLUMN())/INDEX(SP_GF_ShareCount,0,COLUMN()))/(BE63/BE43)-1))</f>
        <v/>
      </c>
      <c r="BK114" s="778">
        <f>IF(OR(INDEX(SP_CFA_CFO,0,COLUMN())&lt;=0,BF63&lt;=0),"NMF",IF(ABS((INDEX(SP_CFA_CFO,0,COLUMN())/INDEX(SP_GF_ShareCount,0,COLUMN()))/(BF63/BF43)-1)&gt;10,"NMF",(INDEX(SP_CFA_CFO,0,COLUMN())/INDEX(SP_GF_ShareCount,0,COLUMN()))/(BF63/BF43)-1))</f>
        <v/>
      </c>
      <c r="BL114" s="778">
        <f>IF(OR(INDEX(SP_CFA_CFO,0,COLUMN())&lt;=0,BG63&lt;=0),"NMF",IF(ABS((INDEX(SP_CFA_CFO,0,COLUMN())/INDEX(SP_GF_ShareCount,0,COLUMN()))/(BG63/BG43)-1)&gt;10,"NMF",(INDEX(SP_CFA_CFO,0,COLUMN())/INDEX(SP_GF_ShareCount,0,COLUMN()))/(BG63/BG43)-1))</f>
        <v/>
      </c>
      <c r="BM114" s="778">
        <f>IF(OR(INDEX(SP_CFA_CFO,0,COLUMN())&lt;=0,BH63&lt;=0),"NMF",IF(ABS((INDEX(SP_CFA_CFO,0,COLUMN())/INDEX(SP_GF_ShareCount,0,COLUMN()))/(BH63/BH43)-1)&gt;10,"NMF",(INDEX(SP_CFA_CFO,0,COLUMN())/INDEX(SP_GF_ShareCount,0,COLUMN()))/(BH63/BH43)-1))</f>
        <v/>
      </c>
      <c r="BN114" s="778">
        <f>IF(OR(INDEX(SP_CFA_CFO,0,COLUMN())&lt;=0,BI63&lt;=0),"NMF",IF(ABS((INDEX(SP_CFA_CFO,0,COLUMN())/INDEX(SP_GF_ShareCount,0,COLUMN()))/(BI63/BI43)-1)&gt;10,"NMF",(INDEX(SP_CFA_CFO,0,COLUMN())/INDEX(SP_GF_ShareCount,0,COLUMN()))/(BI63/BI43)-1))</f>
        <v/>
      </c>
      <c r="BO114" s="1514">
        <f>IF(OR(INDEX(SP_CFA_CFO,0,COLUMN())&lt;=0,BJ63&lt;=0),"NMF",IF(ABS((INDEX(SP_CFA_CFO,0,COLUMN())/INDEX(SP_GF_ShareCount,0,COLUMN()))/(BJ63/BJ43)-1)&gt;10,"NMF",(INDEX(SP_CFA_CFO,0,COLUMN())/INDEX(SP_GF_ShareCount,0,COLUMN()))/(BJ63/BJ43)-1))</f>
        <v/>
      </c>
      <c r="BP114" s="778">
        <f>IF(OR(INDEX(SP_CFA_CFO,0,COLUMN())&lt;=0,BK63&lt;=0),"NMF",IF(ABS((INDEX(SP_CFA_CFO,0,COLUMN())/INDEX(SP_GF_ShareCount,0,COLUMN()))/(BK63/BK43)-1)&gt;10,"NMF",(INDEX(SP_CFA_CFO,0,COLUMN())/INDEX(SP_GF_ShareCount,0,COLUMN()))/(BK63/BK43)-1))</f>
        <v/>
      </c>
      <c r="BQ114" s="778">
        <f>IF(OR(INDEX(SP_CFA_CFO,0,COLUMN())&lt;=0,BL63&lt;=0),"NMF",IF(ABS((INDEX(SP_CFA_CFO,0,COLUMN())/INDEX(SP_GF_ShareCount,0,COLUMN()))/(BL63/BL43)-1)&gt;10,"NMF",(INDEX(SP_CFA_CFO,0,COLUMN())/INDEX(SP_GF_ShareCount,0,COLUMN()))/(BL63/BL43)-1))</f>
        <v/>
      </c>
      <c r="BR114" s="778">
        <f>IF(OR(INDEX(SP_CFA_CFO,0,COLUMN())&lt;=0,BM63&lt;=0),"NMF",IF(ABS((INDEX(SP_CFA_CFO,0,COLUMN())/INDEX(SP_GF_ShareCount,0,COLUMN()))/(BM63/BM43)-1)&gt;10,"NMF",(INDEX(SP_CFA_CFO,0,COLUMN())/INDEX(SP_GF_ShareCount,0,COLUMN()))/(BM63/BM43)-1))</f>
        <v/>
      </c>
      <c r="BS114" s="778">
        <f>IF(OR(INDEX(SP_CFA_CFO,0,COLUMN())&lt;=0,BN63&lt;=0),"NMF",IF(ABS((INDEX(SP_CFA_CFO,0,COLUMN())/INDEX(SP_GF_ShareCount,0,COLUMN()))/(BN63/BN43)-1)&gt;10,"NMF",(INDEX(SP_CFA_CFO,0,COLUMN())/INDEX(SP_GF_ShareCount,0,COLUMN()))/(BN63/BN43)-1))</f>
        <v/>
      </c>
      <c r="BT114" s="1515">
        <f>IF(OR(INDEX(SP_CFA_CFO,0,COLUMN())&lt;=0,BO63&lt;=0),"NMF",IF(ABS((INDEX(SP_CFA_CFO,0,COLUMN())/INDEX(SP_GF_ShareCount,0,COLUMN()))/(BO63/BO43)-1)&gt;10,"NMF",(INDEX(SP_CFA_CFO,0,COLUMN())/INDEX(SP_GF_ShareCount,0,COLUMN()))/(BO63/BO43)-1))</f>
        <v/>
      </c>
      <c r="BU114" s="778">
        <f>IF(OR(INDEX(SP_CFA_CFO,0,COLUMN())&lt;=0,BP63&lt;=0),"NMF",IF(ABS((INDEX(SP_CFA_CFO,0,COLUMN())/INDEX(SP_GF_ShareCount,0,COLUMN()))/(BP63/BP43)-1)&gt;10,"NMF",(INDEX(SP_CFA_CFO,0,COLUMN())/INDEX(SP_GF_ShareCount,0,COLUMN()))/(BP63/BP43)-1))</f>
        <v/>
      </c>
      <c r="BV114" s="778">
        <f>IF(OR(INDEX(SP_CFA_CFO,0,COLUMN())&lt;=0,BQ63&lt;=0),"NMF",IF(ABS((INDEX(SP_CFA_CFO,0,COLUMN())/INDEX(SP_GF_ShareCount,0,COLUMN()))/(BQ63/BQ43)-1)&gt;10,"NMF",(INDEX(SP_CFA_CFO,0,COLUMN())/INDEX(SP_GF_ShareCount,0,COLUMN()))/(BQ63/BQ43)-1))</f>
        <v/>
      </c>
      <c r="BW114" s="778">
        <f>IF(OR(INDEX(SP_CFA_CFO,0,COLUMN())&lt;=0,BR63&lt;=0),"NMF",IF(ABS((INDEX(SP_CFA_CFO,0,COLUMN())/INDEX(SP_GF_ShareCount,0,COLUMN()))/(BR63/BR43)-1)&gt;10,"NMF",(INDEX(SP_CFA_CFO,0,COLUMN())/INDEX(SP_GF_ShareCount,0,COLUMN()))/(BR63/BR43)-1))</f>
        <v/>
      </c>
      <c r="BX114" s="778">
        <f>IF(OR(INDEX(SP_CFA_CFO,0,COLUMN())&lt;=0,BS63&lt;=0),"NMF",IF(ABS((INDEX(SP_CFA_CFO,0,COLUMN())/INDEX(SP_GF_ShareCount,0,COLUMN()))/(BS63/BS43)-1)&gt;10,"NMF",(INDEX(SP_CFA_CFO,0,COLUMN())/INDEX(SP_GF_ShareCount,0,COLUMN()))/(BS63/BS43)-1))</f>
        <v/>
      </c>
      <c r="BY114" s="1515">
        <f>IF(OR(INDEX(SP_CFA_CFO,0,COLUMN())&lt;=0,BT63&lt;=0),"NMF",IF(ABS((INDEX(SP_CFA_CFO,0,COLUMN())/INDEX(SP_GF_ShareCount,0,COLUMN()))/(BT63/BT43)-1)&gt;10,"NMF",(INDEX(SP_CFA_CFO,0,COLUMN())/INDEX(SP_GF_ShareCount,0,COLUMN()))/(BT63/BT43)-1))</f>
        <v/>
      </c>
      <c r="BZ114" s="1515">
        <f>IF(OR(INDEX(SP_CFA_CFO,0,COLUMN())&lt;=0,BY63&lt;=0),"NMF",IF(ABS((INDEX(SP_CFA_CFO,0,COLUMN())/INDEX(SP_GF_ShareCount,0,COLUMN()))/(BY63/BY43)-1)&gt;10,"NMF",(INDEX(SP_CFA_CFO,0,COLUMN())/INDEX(SP_GF_ShareCount,0,COLUMN()))/(BY63/BY43)-1))</f>
        <v/>
      </c>
      <c r="CA114" s="1515">
        <f>IF(OR(INDEX(SP_CFA_CFO,0,COLUMN())&lt;=0,BZ63&lt;=0),"NMF",IF(ABS((INDEX(SP_CFA_CFO,0,COLUMN())/INDEX(SP_GF_ShareCount,0,COLUMN()))/(BZ63/BZ43)-1)&gt;10,"NMF",(INDEX(SP_CFA_CFO,0,COLUMN())/INDEX(SP_GF_ShareCount,0,COLUMN()))/(BZ63/BZ43)-1))</f>
        <v/>
      </c>
      <c r="CB114" s="1515">
        <f>IF(OR(INDEX(SP_CFA_CFO,0,COLUMN())&lt;=0,CA63&lt;=0),"NMF",IF(ABS((INDEX(SP_CFA_CFO,0,COLUMN())/INDEX(SP_GF_ShareCount,0,COLUMN()))/(CA63/CA43)-1)&gt;10,"NMF",(INDEX(SP_CFA_CFO,0,COLUMN())/INDEX(SP_GF_ShareCount,0,COLUMN()))/(CA63/CA43)-1))</f>
        <v/>
      </c>
      <c r="CC114" s="800" t="n"/>
    </row>
    <row r="115" ht="15" customFormat="1" customHeight="1" s="636">
      <c r="A115" s="163" t="inlineStr">
        <is>
          <t>Free Cash Flow Per Share Growth</t>
        </is>
      </c>
      <c r="B115" s="162" t="n"/>
      <c r="C115" s="1515" t="n"/>
      <c r="D115" s="1515">
        <f>IF(OR(INDEX(SP_CFA_FCF_PreDiv,0,COLUMN())&lt;=0,C65&lt;=0),"NMF",IF(ABS((INDEX(SP_CFA_FCF_PreDiv,0,COLUMN())/INDEX(SP_GF_ShareCount,0,COLUMN()))/(C65/C43)-1)&gt;10,"NMF",(INDEX(SP_CFA_FCF_PreDiv,0,COLUMN())/INDEX(SP_GF_ShareCount,0,COLUMN()))/(C65/C43)-1))</f>
        <v/>
      </c>
      <c r="E115" s="1515">
        <f>IF(OR(INDEX(SP_CFA_FCF_PreDiv,0,COLUMN())&lt;=0,D65&lt;=0),"NMF",IF(ABS((INDEX(SP_CFA_FCF_PreDiv,0,COLUMN())/INDEX(SP_GF_ShareCount,0,COLUMN()))/(D65/D43)-1)&gt;10,"NMF",(INDEX(SP_CFA_FCF_PreDiv,0,COLUMN())/INDEX(SP_GF_ShareCount,0,COLUMN()))/(D65/D43)-1))</f>
        <v/>
      </c>
      <c r="F115" s="1515">
        <f>IF(OR(INDEX(SP_CFA_FCF_PreDiv,0,COLUMN())&lt;=0,E65&lt;=0),"NMF",IF(ABS((INDEX(SP_CFA_FCF_PreDiv,0,COLUMN())/INDEX(SP_GF_ShareCount,0,COLUMN()))/(E65/E43)-1)&gt;10,"NMF",(INDEX(SP_CFA_FCF_PreDiv,0,COLUMN())/INDEX(SP_GF_ShareCount,0,COLUMN()))/(E65/E43)-1))</f>
        <v/>
      </c>
      <c r="G115" s="1515">
        <f>IF(OR(INDEX(SP_CFA_FCF_PreDiv,0,COLUMN())&lt;=0,F65&lt;=0),"NMF",IF(ABS((INDEX(SP_CFA_FCF_PreDiv,0,COLUMN())/INDEX(SP_GF_ShareCount,0,COLUMN()))/(F65/F43)-1)&gt;10,"NMF",(INDEX(SP_CFA_FCF_PreDiv,0,COLUMN())/INDEX(SP_GF_ShareCount,0,COLUMN()))/(F65/F43)-1))</f>
        <v/>
      </c>
      <c r="H115" s="778" t="n"/>
      <c r="I115" s="778" t="n"/>
      <c r="J115" s="778" t="n"/>
      <c r="K115" s="778" t="n"/>
      <c r="L115" s="1515">
        <f>IF(OR(INDEX(SP_CFA_FCF_PreDiv,0,COLUMN())&lt;=0,G65&lt;=0),"NMF",IF(ABS((INDEX(SP_CFA_FCF_PreDiv,0,COLUMN())/INDEX(SP_GF_ShareCount,0,COLUMN()))/(G65/G43)-1)&gt;10,"NMF",(INDEX(SP_CFA_FCF_PreDiv,0,COLUMN())/INDEX(SP_GF_ShareCount,0,COLUMN()))/(G65/G43)-1))</f>
        <v/>
      </c>
      <c r="M115" s="778">
        <f>IF(OR(INDEX(SP_CFA_FCF_PreDiv,0,COLUMN())&lt;=0,H65&lt;=0),"NMF",IF(ABS((INDEX(SP_CFA_FCF_PreDiv,0,COLUMN())/INDEX(SP_GF_ShareCount,0,COLUMN()))/(H65/H43)-1)&gt;10,"NMF",(INDEX(SP_CFA_FCF_PreDiv,0,COLUMN())/INDEX(SP_GF_ShareCount,0,COLUMN()))/(H65/H43)-1))</f>
        <v/>
      </c>
      <c r="N115" s="778">
        <f>IF(OR(INDEX(SP_CFA_FCF_PreDiv,0,COLUMN())&lt;=0,I65&lt;=0),"NMF",IF(ABS((INDEX(SP_CFA_FCF_PreDiv,0,COLUMN())/INDEX(SP_GF_ShareCount,0,COLUMN()))/(I65/I43)-1)&gt;10,"NMF",(INDEX(SP_CFA_FCF_PreDiv,0,COLUMN())/INDEX(SP_GF_ShareCount,0,COLUMN()))/(I65/I43)-1))</f>
        <v/>
      </c>
      <c r="O115" s="778">
        <f>IF(OR(INDEX(SP_CFA_FCF_PreDiv,0,COLUMN())&lt;=0,J65&lt;=0),"NMF",IF(ABS((INDEX(SP_CFA_FCF_PreDiv,0,COLUMN())/INDEX(SP_GF_ShareCount,0,COLUMN()))/(J65/J43)-1)&gt;10,"NMF",(INDEX(SP_CFA_FCF_PreDiv,0,COLUMN())/INDEX(SP_GF_ShareCount,0,COLUMN()))/(J65/J43)-1))</f>
        <v/>
      </c>
      <c r="P115" s="778">
        <f>IF(OR(INDEX(SP_CFA_FCF_PreDiv,0,COLUMN())&lt;=0,K65&lt;=0),"NMF",IF(ABS((INDEX(SP_CFA_FCF_PreDiv,0,COLUMN())/INDEX(SP_GF_ShareCount,0,COLUMN()))/(K65/K43)-1)&gt;10,"NMF",(INDEX(SP_CFA_FCF_PreDiv,0,COLUMN())/INDEX(SP_GF_ShareCount,0,COLUMN()))/(K65/K43)-1))</f>
        <v/>
      </c>
      <c r="Q115" s="1515">
        <f>IF(OR(INDEX(SP_CFA_FCF_PreDiv,0,COLUMN())&lt;=0,L65&lt;=0),"NMF",IF(ABS((INDEX(SP_CFA_FCF_PreDiv,0,COLUMN())/INDEX(SP_GF_ShareCount,0,COLUMN()))/(L65/L43)-1)&gt;10,"NMF",(INDEX(SP_CFA_FCF_PreDiv,0,COLUMN())/INDEX(SP_GF_ShareCount,0,COLUMN()))/(L65/L43)-1))</f>
        <v/>
      </c>
      <c r="R115" s="778">
        <f>IF(OR(INDEX(SP_CFA_FCF_PreDiv,0,COLUMN())&lt;=0,M65&lt;=0),"NMF",IF(ABS((INDEX(SP_CFA_FCF_PreDiv,0,COLUMN())/INDEX(SP_GF_ShareCount,0,COLUMN()))/(M65/M43)-1)&gt;10,"NMF",(INDEX(SP_CFA_FCF_PreDiv,0,COLUMN())/INDEX(SP_GF_ShareCount,0,COLUMN()))/(M65/M43)-1))</f>
        <v/>
      </c>
      <c r="S115" s="778">
        <f>IF(OR(INDEX(SP_CFA_FCF_PreDiv,0,COLUMN())&lt;=0,N65&lt;=0),"NMF",IF(ABS((INDEX(SP_CFA_FCF_PreDiv,0,COLUMN())/INDEX(SP_GF_ShareCount,0,COLUMN()))/(N65/N43)-1)&gt;10,"NMF",(INDEX(SP_CFA_FCF_PreDiv,0,COLUMN())/INDEX(SP_GF_ShareCount,0,COLUMN()))/(N65/N43)-1))</f>
        <v/>
      </c>
      <c r="T115" s="778">
        <f>IF(OR(INDEX(SP_CFA_FCF_PreDiv,0,COLUMN())&lt;=0,O65&lt;=0),"NMF",IF(ABS((INDEX(SP_CFA_FCF_PreDiv,0,COLUMN())/INDEX(SP_GF_ShareCount,0,COLUMN()))/(O65/O43)-1)&gt;10,"NMF",(INDEX(SP_CFA_FCF_PreDiv,0,COLUMN())/INDEX(SP_GF_ShareCount,0,COLUMN()))/(O65/O43)-1))</f>
        <v/>
      </c>
      <c r="U115" s="778">
        <f>IF(OR(INDEX(SP_CFA_FCF_PreDiv,0,COLUMN())&lt;=0,P65&lt;=0),"NMF",IF(ABS((INDEX(SP_CFA_FCF_PreDiv,0,COLUMN())/INDEX(SP_GF_ShareCount,0,COLUMN()))/(P65/P43)-1)&gt;10,"NMF",(INDEX(SP_CFA_FCF_PreDiv,0,COLUMN())/INDEX(SP_GF_ShareCount,0,COLUMN()))/(P65/P43)-1))</f>
        <v/>
      </c>
      <c r="V115" s="1515">
        <f>IF(OR(INDEX(SP_CFA_FCF_PreDiv,0,COLUMN())&lt;=0,Q65&lt;=0),"NMF",IF(ABS((INDEX(SP_CFA_FCF_PreDiv,0,COLUMN())/INDEX(SP_GF_ShareCount,0,COLUMN()))/(Q65/Q43)-1)&gt;10,"NMF",(INDEX(SP_CFA_FCF_PreDiv,0,COLUMN())/INDEX(SP_GF_ShareCount,0,COLUMN()))/(Q65/Q43)-1))</f>
        <v/>
      </c>
      <c r="W115" s="778">
        <f>IF(OR(INDEX(SP_CFA_FCF_PreDiv,0,COLUMN())&lt;=0,R65&lt;=0),"NMF",IF(ABS((INDEX(SP_CFA_FCF_PreDiv,0,COLUMN())/INDEX(SP_GF_ShareCount,0,COLUMN()))/(R65/R43)-1)&gt;10,"NMF",(INDEX(SP_CFA_FCF_PreDiv,0,COLUMN())/INDEX(SP_GF_ShareCount,0,COLUMN()))/(R65/R43)-1))</f>
        <v/>
      </c>
      <c r="X115" s="778">
        <f>IF(OR(INDEX(SP_CFA_FCF_PreDiv,0,COLUMN())&lt;=0,S65&lt;=0),"NMF",IF(ABS((INDEX(SP_CFA_FCF_PreDiv,0,COLUMN())/INDEX(SP_GF_ShareCount,0,COLUMN()))/(S65/S43)-1)&gt;10,"NMF",(INDEX(SP_CFA_FCF_PreDiv,0,COLUMN())/INDEX(SP_GF_ShareCount,0,COLUMN()))/(S65/S43)-1))</f>
        <v/>
      </c>
      <c r="Y115" s="778">
        <f>IF(OR(INDEX(SP_CFA_FCF_PreDiv,0,COLUMN())&lt;=0,T65&lt;=0),"NMF",IF(ABS((INDEX(SP_CFA_FCF_PreDiv,0,COLUMN())/INDEX(SP_GF_ShareCount,0,COLUMN()))/(T65/T43)-1)&gt;10,"NMF",(INDEX(SP_CFA_FCF_PreDiv,0,COLUMN())/INDEX(SP_GF_ShareCount,0,COLUMN()))/(T65/T43)-1))</f>
        <v/>
      </c>
      <c r="Z115" s="778">
        <f>IF(OR(INDEX(SP_CFA_FCF_PreDiv,0,COLUMN())&lt;=0,U65&lt;=0),"NMF",IF(ABS((INDEX(SP_CFA_FCF_PreDiv,0,COLUMN())/INDEX(SP_GF_ShareCount,0,COLUMN()))/(U65/U43)-1)&gt;10,"NMF",(INDEX(SP_CFA_FCF_PreDiv,0,COLUMN())/INDEX(SP_GF_ShareCount,0,COLUMN()))/(U65/U43)-1))</f>
        <v/>
      </c>
      <c r="AA115" s="1515">
        <f>IF(OR(INDEX(SP_CFA_FCF_PreDiv,0,COLUMN())&lt;=0,V65&lt;=0),"NMF",IF(ABS((INDEX(SP_CFA_FCF_PreDiv,0,COLUMN())/INDEX(SP_GF_ShareCount,0,COLUMN()))/(V65/V43)-1)&gt;10,"NMF",(INDEX(SP_CFA_FCF_PreDiv,0,COLUMN())/INDEX(SP_GF_ShareCount,0,COLUMN()))/(V65/V43)-1))</f>
        <v/>
      </c>
      <c r="AB115" s="778">
        <f>IF(OR(INDEX(SP_CFA_FCF_PreDiv,0,COLUMN())&lt;=0,W65&lt;=0),"NMF",IF(ABS((INDEX(SP_CFA_FCF_PreDiv,0,COLUMN())/INDEX(SP_GF_ShareCount,0,COLUMN()))/(W65/W43)-1)&gt;10,"NMF",(INDEX(SP_CFA_FCF_PreDiv,0,COLUMN())/INDEX(SP_GF_ShareCount,0,COLUMN()))/(W65/W43)-1))</f>
        <v/>
      </c>
      <c r="AC115" s="778">
        <f>IF(OR(INDEX(SP_CFA_FCF_PreDiv,0,COLUMN())&lt;=0,X65&lt;=0),"NMF",IF(ABS((INDEX(SP_CFA_FCF_PreDiv,0,COLUMN())/INDEX(SP_GF_ShareCount,0,COLUMN()))/(X65/X43)-1)&gt;10,"NMF",(INDEX(SP_CFA_FCF_PreDiv,0,COLUMN())/INDEX(SP_GF_ShareCount,0,COLUMN()))/(X65/X43)-1))</f>
        <v/>
      </c>
      <c r="AD115" s="778">
        <f>IF(OR(INDEX(SP_CFA_FCF_PreDiv,0,COLUMN())&lt;=0,Y65&lt;=0),"NMF",IF(ABS((INDEX(SP_CFA_FCF_PreDiv,0,COLUMN())/INDEX(SP_GF_ShareCount,0,COLUMN()))/(Y65/Y43)-1)&gt;10,"NMF",(INDEX(SP_CFA_FCF_PreDiv,0,COLUMN())/INDEX(SP_GF_ShareCount,0,COLUMN()))/(Y65/Y43)-1))</f>
        <v/>
      </c>
      <c r="AE115" s="778">
        <f>IF(OR(INDEX(SP_CFA_FCF_PreDiv,0,COLUMN())&lt;=0,Z65&lt;=0),"NMF",IF(ABS((INDEX(SP_CFA_FCF_PreDiv,0,COLUMN())/INDEX(SP_GF_ShareCount,0,COLUMN()))/(Z65/Z43)-1)&gt;10,"NMF",(INDEX(SP_CFA_FCF_PreDiv,0,COLUMN())/INDEX(SP_GF_ShareCount,0,COLUMN()))/(Z65/Z43)-1))</f>
        <v/>
      </c>
      <c r="AF115" s="1515">
        <f>IF(OR(INDEX(SP_CFA_FCF_PreDiv,0,COLUMN())&lt;=0,AA65&lt;=0),"NMF",IF(ABS((INDEX(SP_CFA_FCF_PreDiv,0,COLUMN())/INDEX(SP_GF_ShareCount,0,COLUMN()))/(AA65/AA43)-1)&gt;10,"NMF",(INDEX(SP_CFA_FCF_PreDiv,0,COLUMN())/INDEX(SP_GF_ShareCount,0,COLUMN()))/(AA65/AA43)-1))</f>
        <v/>
      </c>
      <c r="AG115" s="778">
        <f>IF(OR(INDEX(SP_CFA_FCF_PreDiv,0,COLUMN())&lt;=0,AB65&lt;=0),"NMF",IF(ABS((INDEX(SP_CFA_FCF_PreDiv,0,COLUMN())/INDEX(SP_GF_ShareCount,0,COLUMN()))/(AB65/AB43)-1)&gt;10,"NMF",(INDEX(SP_CFA_FCF_PreDiv,0,COLUMN())/INDEX(SP_GF_ShareCount,0,COLUMN()))/(AB65/AB43)-1))</f>
        <v/>
      </c>
      <c r="AH115" s="778">
        <f>IF(OR(INDEX(SP_CFA_FCF_PreDiv,0,COLUMN())&lt;=0,AC65&lt;=0),"NMF",IF(ABS((INDEX(SP_CFA_FCF_PreDiv,0,COLUMN())/INDEX(SP_GF_ShareCount,0,COLUMN()))/(AC65/AC43)-1)&gt;10,"NMF",(INDEX(SP_CFA_FCF_PreDiv,0,COLUMN())/INDEX(SP_GF_ShareCount,0,COLUMN()))/(AC65/AC43)-1))</f>
        <v/>
      </c>
      <c r="AI115" s="778">
        <f>IF(OR(INDEX(SP_CFA_FCF_PreDiv,0,COLUMN())&lt;=0,AD65&lt;=0),"NMF",IF(ABS((INDEX(SP_CFA_FCF_PreDiv,0,COLUMN())/INDEX(SP_GF_ShareCount,0,COLUMN()))/(AD65/AD43)-1)&gt;10,"NMF",(INDEX(SP_CFA_FCF_PreDiv,0,COLUMN())/INDEX(SP_GF_ShareCount,0,COLUMN()))/(AD65/AD43)-1))</f>
        <v/>
      </c>
      <c r="AJ115" s="778">
        <f>IF(OR(INDEX(SP_CFA_FCF_PreDiv,0,COLUMN())&lt;=0,AE65&lt;=0),"NMF",IF(ABS((INDEX(SP_CFA_FCF_PreDiv,0,COLUMN())/INDEX(SP_GF_ShareCount,0,COLUMN()))/(AE65/AE43)-1)&gt;10,"NMF",(INDEX(SP_CFA_FCF_PreDiv,0,COLUMN())/INDEX(SP_GF_ShareCount,0,COLUMN()))/(AE65/AE43)-1))</f>
        <v/>
      </c>
      <c r="AK115" s="1515">
        <f>IF(OR(INDEX(SP_CFA_FCF_PreDiv,0,COLUMN())&lt;=0,AF65&lt;=0),"NMF",IF(ABS((INDEX(SP_CFA_FCF_PreDiv,0,COLUMN())/INDEX(SP_GF_ShareCount,0,COLUMN()))/(AF65/AF43)-1)&gt;10,"NMF",(INDEX(SP_CFA_FCF_PreDiv,0,COLUMN())/INDEX(SP_GF_ShareCount,0,COLUMN()))/(AF65/AF43)-1))</f>
        <v/>
      </c>
      <c r="AL115" s="778">
        <f>IF(OR(INDEX(SP_CFA_FCF_PreDiv,0,COLUMN())&lt;=0,AG65&lt;=0),"NMF",IF(ABS((INDEX(SP_CFA_FCF_PreDiv,0,COLUMN())/INDEX(SP_GF_ShareCount,0,COLUMN()))/(AG65/AG43)-1)&gt;10,"NMF",(INDEX(SP_CFA_FCF_PreDiv,0,COLUMN())/INDEX(SP_GF_ShareCount,0,COLUMN()))/(AG65/AG43)-1))</f>
        <v/>
      </c>
      <c r="AM115" s="778">
        <f>IF(OR(INDEX(SP_CFA_FCF_PreDiv,0,COLUMN())&lt;=0,AH65&lt;=0),"NMF",IF(ABS((INDEX(SP_CFA_FCF_PreDiv,0,COLUMN())/INDEX(SP_GF_ShareCount,0,COLUMN()))/(AH65/AH43)-1)&gt;10,"NMF",(INDEX(SP_CFA_FCF_PreDiv,0,COLUMN())/INDEX(SP_GF_ShareCount,0,COLUMN()))/(AH65/AH43)-1))</f>
        <v/>
      </c>
      <c r="AN115" s="778">
        <f>IF(OR(INDEX(SP_CFA_FCF_PreDiv,0,COLUMN())&lt;=0,AI65&lt;=0),"NMF",IF(ABS((INDEX(SP_CFA_FCF_PreDiv,0,COLUMN())/INDEX(SP_GF_ShareCount,0,COLUMN()))/(AI65/AI43)-1)&gt;10,"NMF",(INDEX(SP_CFA_FCF_PreDiv,0,COLUMN())/INDEX(SP_GF_ShareCount,0,COLUMN()))/(AI65/AI43)-1))</f>
        <v/>
      </c>
      <c r="AO115" s="778">
        <f>IF(OR(INDEX(SP_CFA_FCF_PreDiv,0,COLUMN())&lt;=0,AJ65&lt;=0),"NMF",IF(ABS((INDEX(SP_CFA_FCF_PreDiv,0,COLUMN())/INDEX(SP_GF_ShareCount,0,COLUMN()))/(AJ65/AJ43)-1)&gt;10,"NMF",(INDEX(SP_CFA_FCF_PreDiv,0,COLUMN())/INDEX(SP_GF_ShareCount,0,COLUMN()))/(AJ65/AJ43)-1))</f>
        <v/>
      </c>
      <c r="AP115" s="1515">
        <f>IF(OR(INDEX(SP_CFA_FCF_PreDiv,0,COLUMN())&lt;=0,AK65&lt;=0),"NMF",IF(ABS((INDEX(SP_CFA_FCF_PreDiv,0,COLUMN())/INDEX(SP_GF_ShareCount,0,COLUMN()))/(AK65/AK43)-1)&gt;10,"NMF",(INDEX(SP_CFA_FCF_PreDiv,0,COLUMN())/INDEX(SP_GF_ShareCount,0,COLUMN()))/(AK65/AK43)-1))</f>
        <v/>
      </c>
      <c r="AQ115" s="778">
        <f>IF(OR(INDEX(SP_CFA_FCF_PreDiv,0,COLUMN())&lt;=0,AL65&lt;=0),"NMF",IF(ABS((INDEX(SP_CFA_FCF_PreDiv,0,COLUMN())/INDEX(SP_GF_ShareCount,0,COLUMN()))/(AL65/AL43)-1)&gt;10,"NMF",(INDEX(SP_CFA_FCF_PreDiv,0,COLUMN())/INDEX(SP_GF_ShareCount,0,COLUMN()))/(AL65/AL43)-1))</f>
        <v/>
      </c>
      <c r="AR115" s="778">
        <f>IF(OR(INDEX(SP_CFA_FCF_PreDiv,0,COLUMN())&lt;=0,AM65&lt;=0),"NMF",IF(ABS((INDEX(SP_CFA_FCF_PreDiv,0,COLUMN())/INDEX(SP_GF_ShareCount,0,COLUMN()))/(AM65/AM43)-1)&gt;10,"NMF",(INDEX(SP_CFA_FCF_PreDiv,0,COLUMN())/INDEX(SP_GF_ShareCount,0,COLUMN()))/(AM65/AM43)-1))</f>
        <v/>
      </c>
      <c r="AS115" s="778">
        <f>IF(OR(INDEX(SP_CFA_FCF_PreDiv,0,COLUMN())&lt;=0,AN65&lt;=0),"NMF",IF(ABS((INDEX(SP_CFA_FCF_PreDiv,0,COLUMN())/INDEX(SP_GF_ShareCount,0,COLUMN()))/(AN65/AN43)-1)&gt;10,"NMF",(INDEX(SP_CFA_FCF_PreDiv,0,COLUMN())/INDEX(SP_GF_ShareCount,0,COLUMN()))/(AN65/AN43)-1))</f>
        <v/>
      </c>
      <c r="AT115" s="778">
        <f>IF(OR(INDEX(SP_CFA_FCF_PreDiv,0,COLUMN())&lt;=0,AO65&lt;=0),"NMF",IF(ABS((INDEX(SP_CFA_FCF_PreDiv,0,COLUMN())/INDEX(SP_GF_ShareCount,0,COLUMN()))/(AO65/AO43)-1)&gt;10,"NMF",(INDEX(SP_CFA_FCF_PreDiv,0,COLUMN())/INDEX(SP_GF_ShareCount,0,COLUMN()))/(AO65/AO43)-1))</f>
        <v/>
      </c>
      <c r="AU115" s="1515">
        <f>IF(OR(INDEX(SP_CFA_FCF_PreDiv,0,COLUMN())&lt;=0,AP65&lt;=0),"NMF",IF(ABS((INDEX(SP_CFA_FCF_PreDiv,0,COLUMN())/INDEX(SP_GF_ShareCount,0,COLUMN()))/(AP65/AP43)-1)&gt;10,"NMF",(INDEX(SP_CFA_FCF_PreDiv,0,COLUMN())/INDEX(SP_GF_ShareCount,0,COLUMN()))/(AP65/AP43)-1))</f>
        <v/>
      </c>
      <c r="AV115" s="778">
        <f>IF(OR(INDEX(SP_CFA_FCF_PreDiv,0,COLUMN())&lt;=0,AQ65&lt;=0),"NMF",IF(ABS((INDEX(SP_CFA_FCF_PreDiv,0,COLUMN())/INDEX(SP_GF_ShareCount,0,COLUMN()))/(AQ65/AQ43)-1)&gt;10,"NMF",(INDEX(SP_CFA_FCF_PreDiv,0,COLUMN())/INDEX(SP_GF_ShareCount,0,COLUMN()))/(AQ65/AQ43)-1))</f>
        <v/>
      </c>
      <c r="AW115" s="778">
        <f>IF(OR(INDEX(SP_CFA_FCF_PreDiv,0,COLUMN())&lt;=0,AR65&lt;=0),"NMF",IF(ABS((INDEX(SP_CFA_FCF_PreDiv,0,COLUMN())/INDEX(SP_GF_ShareCount,0,COLUMN()))/(AR65/AR43)-1)&gt;10,"NMF",(INDEX(SP_CFA_FCF_PreDiv,0,COLUMN())/INDEX(SP_GF_ShareCount,0,COLUMN()))/(AR65/AR43)-1))</f>
        <v/>
      </c>
      <c r="AX115" s="778">
        <f>IF(OR(INDEX(SP_CFA_FCF_PreDiv,0,COLUMN())&lt;=0,AS65&lt;=0),"NMF",IF(ABS((INDEX(SP_CFA_FCF_PreDiv,0,COLUMN())/INDEX(SP_GF_ShareCount,0,COLUMN()))/(AS65/AS43)-1)&gt;10,"NMF",(INDEX(SP_CFA_FCF_PreDiv,0,COLUMN())/INDEX(SP_GF_ShareCount,0,COLUMN()))/(AS65/AS43)-1))</f>
        <v/>
      </c>
      <c r="AY115" s="778">
        <f>IF(OR(INDEX(SP_CFA_FCF_PreDiv,0,COLUMN())&lt;=0,AT65&lt;=0),"NMF",IF(ABS((INDEX(SP_CFA_FCF_PreDiv,0,COLUMN())/INDEX(SP_GF_ShareCount,0,COLUMN()))/(AT65/AT43)-1)&gt;10,"NMF",(INDEX(SP_CFA_FCF_PreDiv,0,COLUMN())/INDEX(SP_GF_ShareCount,0,COLUMN()))/(AT65/AT43)-1))</f>
        <v/>
      </c>
      <c r="AZ115" s="1515">
        <f>IF(OR(INDEX(SP_CFA_FCF_PreDiv,0,COLUMN())&lt;=0,AU65&lt;=0),"NMF",IF(ABS((INDEX(SP_CFA_FCF_PreDiv,0,COLUMN())/INDEX(SP_GF_ShareCount,0,COLUMN()))/(AU65/AU43)-1)&gt;10,"NMF",(INDEX(SP_CFA_FCF_PreDiv,0,COLUMN())/INDEX(SP_GF_ShareCount,0,COLUMN()))/(AU65/AU43)-1))</f>
        <v/>
      </c>
      <c r="BA115" s="778">
        <f>IF(OR(INDEX(SP_CFA_FCF_PreDiv,0,COLUMN())&lt;=0,AV65&lt;=0),"NMF",IF(ABS((INDEX(SP_CFA_FCF_PreDiv,0,COLUMN())/INDEX(SP_GF_ShareCount,0,COLUMN()))/(AV65/AV43)-1)&gt;10,"NMF",(INDEX(SP_CFA_FCF_PreDiv,0,COLUMN())/INDEX(SP_GF_ShareCount,0,COLUMN()))/(AV65/AV43)-1))</f>
        <v/>
      </c>
      <c r="BB115" s="778">
        <f>IF(OR(INDEX(SP_CFA_FCF_PreDiv,0,COLUMN())&lt;=0,AW65&lt;=0),"NMF",IF(ABS((INDEX(SP_CFA_FCF_PreDiv,0,COLUMN())/INDEX(SP_GF_ShareCount,0,COLUMN()))/(AW65/AW43)-1)&gt;10,"NMF",(INDEX(SP_CFA_FCF_PreDiv,0,COLUMN())/INDEX(SP_GF_ShareCount,0,COLUMN()))/(AW65/AW43)-1))</f>
        <v/>
      </c>
      <c r="BC115" s="778">
        <f>IF(OR(INDEX(SP_CFA_FCF_PreDiv,0,COLUMN())&lt;=0,AX65&lt;=0),"NMF",IF(ABS((INDEX(SP_CFA_FCF_PreDiv,0,COLUMN())/INDEX(SP_GF_ShareCount,0,COLUMN()))/(AX65/AX43)-1)&gt;10,"NMF",(INDEX(SP_CFA_FCF_PreDiv,0,COLUMN())/INDEX(SP_GF_ShareCount,0,COLUMN()))/(AX65/AX43)-1))</f>
        <v/>
      </c>
      <c r="BD115" s="778">
        <f>IF(OR(INDEX(SP_CFA_FCF_PreDiv,0,COLUMN())&lt;=0,AY65&lt;=0),"NMF",IF(ABS((INDEX(SP_CFA_FCF_PreDiv,0,COLUMN())/INDEX(SP_GF_ShareCount,0,COLUMN()))/(AY65/AY43)-1)&gt;10,"NMF",(INDEX(SP_CFA_FCF_PreDiv,0,COLUMN())/INDEX(SP_GF_ShareCount,0,COLUMN()))/(AY65/AY43)-1))</f>
        <v/>
      </c>
      <c r="BE115" s="1515">
        <f>IF(OR(INDEX(SP_CFA_FCF_PreDiv,0,COLUMN())&lt;=0,AZ65&lt;=0),"NMF",IF(ABS((INDEX(SP_CFA_FCF_PreDiv,0,COLUMN())/INDEX(SP_GF_ShareCount,0,COLUMN()))/(AZ65/AZ43)-1)&gt;10,"NMF",(INDEX(SP_CFA_FCF_PreDiv,0,COLUMN())/INDEX(SP_GF_ShareCount,0,COLUMN()))/(AZ65/AZ43)-1))</f>
        <v/>
      </c>
      <c r="BF115" s="778">
        <f>IF(OR(INDEX(SP_CFA_FCF_PreDiv,0,COLUMN())&lt;=0,BA65&lt;=0),"NMF",IF(ABS((INDEX(SP_CFA_FCF_PreDiv,0,COLUMN())/INDEX(SP_GF_ShareCount,0,COLUMN()))/(BA65/BA43)-1)&gt;10,"NMF",(INDEX(SP_CFA_FCF_PreDiv,0,COLUMN())/INDEX(SP_GF_ShareCount,0,COLUMN()))/(BA65/BA43)-1))</f>
        <v/>
      </c>
      <c r="BG115" s="778">
        <f>IF(OR(INDEX(SP_CFA_FCF_PreDiv,0,COLUMN())&lt;=0,BB65&lt;=0),"NMF",IF(ABS((INDEX(SP_CFA_FCF_PreDiv,0,COLUMN())/INDEX(SP_GF_ShareCount,0,COLUMN()))/(BB65/BB43)-1)&gt;10,"NMF",(INDEX(SP_CFA_FCF_PreDiv,0,COLUMN())/INDEX(SP_GF_ShareCount,0,COLUMN()))/(BB65/BB43)-1))</f>
        <v/>
      </c>
      <c r="BH115" s="778">
        <f>IF(OR(INDEX(SP_CFA_FCF_PreDiv,0,COLUMN())&lt;=0,BC65&lt;=0),"NMF",IF(ABS((INDEX(SP_CFA_FCF_PreDiv,0,COLUMN())/INDEX(SP_GF_ShareCount,0,COLUMN()))/(BC65/BC43)-1)&gt;10,"NMF",(INDEX(SP_CFA_FCF_PreDiv,0,COLUMN())/INDEX(SP_GF_ShareCount,0,COLUMN()))/(BC65/BC43)-1))</f>
        <v/>
      </c>
      <c r="BI115" s="778">
        <f>IF(OR(INDEX(SP_CFA_FCF_PreDiv,0,COLUMN())&lt;=0,BD65&lt;=0),"NMF",IF(ABS((INDEX(SP_CFA_FCF_PreDiv,0,COLUMN())/INDEX(SP_GF_ShareCount,0,COLUMN()))/(BD65/BD43)-1)&gt;10,"NMF",(INDEX(SP_CFA_FCF_PreDiv,0,COLUMN())/INDEX(SP_GF_ShareCount,0,COLUMN()))/(BD65/BD43)-1))</f>
        <v/>
      </c>
      <c r="BJ115" s="1515">
        <f>IF(OR(INDEX(SP_CFA_FCF_PreDiv,0,COLUMN())&lt;=0,BE65&lt;=0),"NMF",IF(ABS((INDEX(SP_CFA_FCF_PreDiv,0,COLUMN())/INDEX(SP_GF_ShareCount,0,COLUMN()))/(BE65/BE43)-1)&gt;10,"NMF",(INDEX(SP_CFA_FCF_PreDiv,0,COLUMN())/INDEX(SP_GF_ShareCount,0,COLUMN()))/(BE65/BE43)-1))</f>
        <v/>
      </c>
      <c r="BK115" s="778">
        <f>IF(OR(INDEX(SP_CFA_FCF_PreDiv,0,COLUMN())&lt;=0,BF65&lt;=0),"NMF",IF(ABS((INDEX(SP_CFA_FCF_PreDiv,0,COLUMN())/INDEX(SP_GF_ShareCount,0,COLUMN()))/(BF65/BF43)-1)&gt;10,"NMF",(INDEX(SP_CFA_FCF_PreDiv,0,COLUMN())/INDEX(SP_GF_ShareCount,0,COLUMN()))/(BF65/BF43)-1))</f>
        <v/>
      </c>
      <c r="BL115" s="778">
        <f>IF(OR(INDEX(SP_CFA_FCF_PreDiv,0,COLUMN())&lt;=0,BG65&lt;=0),"NMF",IF(ABS((INDEX(SP_CFA_FCF_PreDiv,0,COLUMN())/INDEX(SP_GF_ShareCount,0,COLUMN()))/(BG65/BG43)-1)&gt;10,"NMF",(INDEX(SP_CFA_FCF_PreDiv,0,COLUMN())/INDEX(SP_GF_ShareCount,0,COLUMN()))/(BG65/BG43)-1))</f>
        <v/>
      </c>
      <c r="BM115" s="778">
        <f>IF(OR(INDEX(SP_CFA_FCF_PreDiv,0,COLUMN())&lt;=0,BH65&lt;=0),"NMF",IF(ABS((INDEX(SP_CFA_FCF_PreDiv,0,COLUMN())/INDEX(SP_GF_ShareCount,0,COLUMN()))/(BH65/BH43)-1)&gt;10,"NMF",(INDEX(SP_CFA_FCF_PreDiv,0,COLUMN())/INDEX(SP_GF_ShareCount,0,COLUMN()))/(BH65/BH43)-1))</f>
        <v/>
      </c>
      <c r="BN115" s="778">
        <f>IF(OR(INDEX(SP_CFA_FCF_PreDiv,0,COLUMN())&lt;=0,BI65&lt;=0),"NMF",IF(ABS((INDEX(SP_CFA_FCF_PreDiv,0,COLUMN())/INDEX(SP_GF_ShareCount,0,COLUMN()))/(BI65/BI43)-1)&gt;10,"NMF",(INDEX(SP_CFA_FCF_PreDiv,0,COLUMN())/INDEX(SP_GF_ShareCount,0,COLUMN()))/(BI65/BI43)-1))</f>
        <v/>
      </c>
      <c r="BO115" s="1514">
        <f>IF(OR(INDEX(SP_CFA_FCF_PreDiv,0,COLUMN())&lt;=0,BJ65&lt;=0),"NMF",IF(ABS((INDEX(SP_CFA_FCF_PreDiv,0,COLUMN())/INDEX(SP_GF_ShareCount,0,COLUMN()))/(BJ65/BJ43)-1)&gt;10,"NMF",(INDEX(SP_CFA_FCF_PreDiv,0,COLUMN())/INDEX(SP_GF_ShareCount,0,COLUMN()))/(BJ65/BJ43)-1))</f>
        <v/>
      </c>
      <c r="BP115" s="778">
        <f>IF(OR(INDEX(SP_CFA_FCF_PreDiv,0,COLUMN())&lt;=0,BK65&lt;=0),"NMF",IF(ABS((INDEX(SP_CFA_FCF_PreDiv,0,COLUMN())/INDEX(SP_GF_ShareCount,0,COLUMN()))/(BK65/BK43)-1)&gt;10,"NMF",(INDEX(SP_CFA_FCF_PreDiv,0,COLUMN())/INDEX(SP_GF_ShareCount,0,COLUMN()))/(BK65/BK43)-1))</f>
        <v/>
      </c>
      <c r="BQ115" s="778">
        <f>IF(OR(INDEX(SP_CFA_FCF_PreDiv,0,COLUMN())&lt;=0,BL65&lt;=0),"NMF",IF(ABS((INDEX(SP_CFA_FCF_PreDiv,0,COLUMN())/INDEX(SP_GF_ShareCount,0,COLUMN()))/(BL65/BL43)-1)&gt;10,"NMF",(INDEX(SP_CFA_FCF_PreDiv,0,COLUMN())/INDEX(SP_GF_ShareCount,0,COLUMN()))/(BL65/BL43)-1))</f>
        <v/>
      </c>
      <c r="BR115" s="778">
        <f>IF(OR(INDEX(SP_CFA_FCF_PreDiv,0,COLUMN())&lt;=0,BM65&lt;=0),"NMF",IF(ABS((INDEX(SP_CFA_FCF_PreDiv,0,COLUMN())/INDEX(SP_GF_ShareCount,0,COLUMN()))/(BM65/BM43)-1)&gt;10,"NMF",(INDEX(SP_CFA_FCF_PreDiv,0,COLUMN())/INDEX(SP_GF_ShareCount,0,COLUMN()))/(BM65/BM43)-1))</f>
        <v/>
      </c>
      <c r="BS115" s="778">
        <f>IF(OR(INDEX(SP_CFA_FCF_PreDiv,0,COLUMN())&lt;=0,BN65&lt;=0),"NMF",IF(ABS((INDEX(SP_CFA_FCF_PreDiv,0,COLUMN())/INDEX(SP_GF_ShareCount,0,COLUMN()))/(BN65/BN43)-1)&gt;10,"NMF",(INDEX(SP_CFA_FCF_PreDiv,0,COLUMN())/INDEX(SP_GF_ShareCount,0,COLUMN()))/(BN65/BN43)-1))</f>
        <v/>
      </c>
      <c r="BT115" s="1515">
        <f>IF(OR(INDEX(SP_CFA_FCF_PreDiv,0,COLUMN())&lt;=0,BO65&lt;=0),"NMF",IF(ABS((INDEX(SP_CFA_FCF_PreDiv,0,COLUMN())/INDEX(SP_GF_ShareCount,0,COLUMN()))/(BO65/BO43)-1)&gt;10,"NMF",(INDEX(SP_CFA_FCF_PreDiv,0,COLUMN())/INDEX(SP_GF_ShareCount,0,COLUMN()))/(BO65/BO43)-1))</f>
        <v/>
      </c>
      <c r="BU115" s="778">
        <f>IF(OR(INDEX(SP_CFA_FCF_PreDiv,0,COLUMN())&lt;=0,BP65&lt;=0),"NMF",IF(ABS((INDEX(SP_CFA_FCF_PreDiv,0,COLUMN())/INDEX(SP_GF_ShareCount,0,COLUMN()))/(BP65/BP43)-1)&gt;10,"NMF",(INDEX(SP_CFA_FCF_PreDiv,0,COLUMN())/INDEX(SP_GF_ShareCount,0,COLUMN()))/(BP65/BP43)-1))</f>
        <v/>
      </c>
      <c r="BV115" s="778">
        <f>IF(OR(INDEX(SP_CFA_FCF_PreDiv,0,COLUMN())&lt;=0,BQ65&lt;=0),"NMF",IF(ABS((INDEX(SP_CFA_FCF_PreDiv,0,COLUMN())/INDEX(SP_GF_ShareCount,0,COLUMN()))/(BQ65/BQ43)-1)&gt;10,"NMF",(INDEX(SP_CFA_FCF_PreDiv,0,COLUMN())/INDEX(SP_GF_ShareCount,0,COLUMN()))/(BQ65/BQ43)-1))</f>
        <v/>
      </c>
      <c r="BW115" s="778">
        <f>IF(OR(INDEX(SP_CFA_FCF_PreDiv,0,COLUMN())&lt;=0,BR65&lt;=0),"NMF",IF(ABS((INDEX(SP_CFA_FCF_PreDiv,0,COLUMN())/INDEX(SP_GF_ShareCount,0,COLUMN()))/(BR65/BR43)-1)&gt;10,"NMF",(INDEX(SP_CFA_FCF_PreDiv,0,COLUMN())/INDEX(SP_GF_ShareCount,0,COLUMN()))/(BR65/BR43)-1))</f>
        <v/>
      </c>
      <c r="BX115" s="778">
        <f>IF(OR(INDEX(SP_CFA_FCF_PreDiv,0,COLUMN())&lt;=0,BS65&lt;=0),"NMF",IF(ABS((INDEX(SP_CFA_FCF_PreDiv,0,COLUMN())/INDEX(SP_GF_ShareCount,0,COLUMN()))/(BS65/BS43)-1)&gt;10,"NMF",(INDEX(SP_CFA_FCF_PreDiv,0,COLUMN())/INDEX(SP_GF_ShareCount,0,COLUMN()))/(BS65/BS43)-1))</f>
        <v/>
      </c>
      <c r="BY115" s="1515">
        <f>IF(OR(INDEX(SP_CFA_FCF_PreDiv,0,COLUMN())&lt;=0,BT65&lt;=0),"NMF",IF(ABS((INDEX(SP_CFA_FCF_PreDiv,0,COLUMN())/INDEX(SP_GF_ShareCount,0,COLUMN()))/(BT65/BT43)-1)&gt;10,"NMF",(INDEX(SP_CFA_FCF_PreDiv,0,COLUMN())/INDEX(SP_GF_ShareCount,0,COLUMN()))/(BT65/BT43)-1))</f>
        <v/>
      </c>
      <c r="BZ115" s="1515">
        <f>IF(OR(INDEX(SP_CFA_FCF_PreDiv,0,COLUMN())&lt;=0,BY65&lt;=0),"NMF",IF(ABS((INDEX(SP_CFA_FCF_PreDiv,0,COLUMN())/INDEX(SP_GF_ShareCount,0,COLUMN()))/(BY65/BY43)-1)&gt;10,"NMF",(INDEX(SP_CFA_FCF_PreDiv,0,COLUMN())/INDEX(SP_GF_ShareCount,0,COLUMN()))/(BY65/BY43)-1))</f>
        <v/>
      </c>
      <c r="CA115" s="1515">
        <f>IF(OR(INDEX(SP_CFA_FCF_PreDiv,0,COLUMN())&lt;=0,BZ65&lt;=0),"NMF",IF(ABS((INDEX(SP_CFA_FCF_PreDiv,0,COLUMN())/INDEX(SP_GF_ShareCount,0,COLUMN()))/(BZ65/BZ43)-1)&gt;10,"NMF",(INDEX(SP_CFA_FCF_PreDiv,0,COLUMN())/INDEX(SP_GF_ShareCount,0,COLUMN()))/(BZ65/BZ43)-1))</f>
        <v/>
      </c>
      <c r="CB115" s="1515">
        <f>IF(OR(INDEX(SP_CFA_FCF_PreDiv,0,COLUMN())&lt;=0,CA65&lt;=0),"NMF",IF(ABS((INDEX(SP_CFA_FCF_PreDiv,0,COLUMN())/INDEX(SP_GF_ShareCount,0,COLUMN()))/(CA65/CA43)-1)&gt;10,"NMF",(INDEX(SP_CFA_FCF_PreDiv,0,COLUMN())/INDEX(SP_GF_ShareCount,0,COLUMN()))/(CA65/CA43)-1))</f>
        <v/>
      </c>
      <c r="CC115" s="800" t="n"/>
    </row>
    <row r="116" ht="15" customHeight="1" s="595">
      <c r="A116" s="1780" t="n"/>
      <c r="B116" s="2141" t="n"/>
      <c r="C116" s="2142" t="n"/>
      <c r="D116" s="2142" t="n"/>
      <c r="E116" s="2142" t="n"/>
      <c r="F116" s="2142" t="n"/>
      <c r="G116" s="2142" t="n"/>
      <c r="H116" s="2136" t="n"/>
      <c r="I116" s="2136" t="n"/>
      <c r="J116" s="2136" t="n"/>
      <c r="K116" s="2136" t="n"/>
      <c r="L116" s="2142" t="n"/>
      <c r="M116" s="2136" t="n"/>
      <c r="N116" s="2136" t="n"/>
      <c r="O116" s="2136" t="n"/>
      <c r="P116" s="2136" t="n"/>
      <c r="Q116" s="2142" t="n"/>
      <c r="R116" s="2136" t="n"/>
      <c r="S116" s="2136" t="n"/>
      <c r="T116" s="2136" t="n"/>
      <c r="U116" s="2136" t="n"/>
      <c r="V116" s="2142" t="n"/>
      <c r="W116" s="2136" t="n"/>
      <c r="X116" s="2136" t="n"/>
      <c r="Y116" s="2136" t="n"/>
      <c r="Z116" s="2136" t="n"/>
      <c r="AA116" s="2142" t="n"/>
      <c r="AB116" s="2136" t="n"/>
      <c r="AC116" s="2136" t="n"/>
      <c r="AD116" s="2136" t="n"/>
      <c r="AE116" s="2136" t="n"/>
      <c r="AF116" s="2142" t="n"/>
      <c r="AG116" s="2136" t="n"/>
      <c r="AH116" s="2136" t="n"/>
      <c r="AI116" s="2136" t="n"/>
      <c r="AJ116" s="2136" t="n"/>
      <c r="AK116" s="2142" t="n"/>
      <c r="AL116" s="2136" t="n"/>
      <c r="AM116" s="2136" t="n"/>
      <c r="AN116" s="2136" t="n"/>
      <c r="AO116" s="2136" t="n"/>
      <c r="AP116" s="2142" t="n"/>
      <c r="AQ116" s="2136" t="n"/>
      <c r="AR116" s="2136" t="n"/>
      <c r="AS116" s="2136" t="n"/>
      <c r="AT116" s="2136" t="n"/>
      <c r="AU116" s="2142" t="n"/>
      <c r="AV116" s="2136" t="n"/>
      <c r="AW116" s="2136" t="n"/>
      <c r="AX116" s="2136" t="n"/>
      <c r="AY116" s="2136" t="n"/>
      <c r="AZ116" s="2142" t="n"/>
      <c r="BA116" s="2136" t="n"/>
      <c r="BB116" s="2136" t="n"/>
      <c r="BC116" s="2136" t="n"/>
      <c r="BD116" s="2136" t="n"/>
      <c r="BE116" s="2142" t="n"/>
      <c r="BF116" s="2136" t="n"/>
      <c r="BG116" s="2136" t="n"/>
      <c r="BH116" s="2136" t="n"/>
      <c r="BI116" s="2136" t="n"/>
      <c r="BJ116" s="2142" t="n"/>
      <c r="BK116" s="2136" t="n"/>
      <c r="BL116" s="2136" t="n"/>
      <c r="BM116" s="2136" t="n"/>
      <c r="BN116" s="2136" t="n"/>
      <c r="BO116" s="2143" t="n"/>
      <c r="BP116" s="2136" t="n"/>
      <c r="BQ116" s="2136" t="n"/>
      <c r="BR116" s="2136" t="n"/>
      <c r="BS116" s="2136" t="n"/>
      <c r="BT116" s="2142" t="n"/>
      <c r="BU116" s="2136" t="n"/>
      <c r="BV116" s="2136" t="n"/>
      <c r="BW116" s="2136" t="n"/>
      <c r="BX116" s="2136" t="n"/>
      <c r="BY116" s="2142" t="n"/>
      <c r="BZ116" s="2142" t="n"/>
      <c r="CA116" s="2142" t="n"/>
      <c r="CB116" s="2142" t="n"/>
      <c r="CC116" s="2136" t="n"/>
    </row>
    <row r="117" ht="15" customHeight="1" s="595">
      <c r="A117" s="2121" t="inlineStr">
        <is>
          <t>Valuation Metrics</t>
        </is>
      </c>
      <c r="B117" s="2144" t="n"/>
      <c r="C117" s="2144" t="n"/>
      <c r="D117" s="2144" t="n"/>
      <c r="E117" s="2144" t="n"/>
      <c r="F117" s="2144" t="n"/>
      <c r="G117" s="2144" t="n"/>
      <c r="H117" s="2144" t="n"/>
      <c r="I117" s="2144" t="n"/>
      <c r="J117" s="2144" t="n"/>
      <c r="K117" s="2144" t="n"/>
      <c r="L117" s="2144" t="n"/>
      <c r="M117" s="2144" t="n"/>
      <c r="N117" s="2144" t="n"/>
      <c r="O117" s="2144" t="n"/>
      <c r="P117" s="2144" t="n"/>
      <c r="Q117" s="2144" t="n"/>
      <c r="R117" s="2144" t="n"/>
      <c r="S117" s="2144" t="n"/>
      <c r="T117" s="2144" t="n"/>
      <c r="U117" s="2144" t="n"/>
      <c r="V117" s="2144" t="n"/>
      <c r="W117" s="2144" t="n"/>
      <c r="X117" s="2144" t="n"/>
      <c r="Y117" s="2144" t="n"/>
      <c r="Z117" s="2144" t="n"/>
      <c r="AA117" s="2144" t="n"/>
      <c r="AB117" s="2144" t="n"/>
      <c r="AC117" s="2144" t="n"/>
      <c r="AD117" s="2144" t="n"/>
      <c r="AE117" s="2144" t="n"/>
      <c r="AF117" s="2144" t="n"/>
      <c r="AG117" s="2144" t="n"/>
      <c r="AH117" s="2144" t="n"/>
      <c r="AI117" s="2144" t="n"/>
      <c r="AJ117" s="2144" t="n"/>
      <c r="AK117" s="2144" t="n"/>
      <c r="AL117" s="2144" t="n"/>
      <c r="AM117" s="2144" t="n"/>
      <c r="AN117" s="2144" t="n"/>
      <c r="AO117" s="2144" t="n"/>
      <c r="AP117" s="2144" t="n"/>
      <c r="AQ117" s="2144" t="n"/>
      <c r="AR117" s="2144" t="n"/>
      <c r="AS117" s="2144" t="n"/>
      <c r="AT117" s="2144" t="n"/>
      <c r="AU117" s="2144" t="n"/>
      <c r="AV117" s="2144" t="n"/>
      <c r="AW117" s="2144" t="n"/>
      <c r="AX117" s="2144" t="n"/>
      <c r="AY117" s="2144" t="n"/>
      <c r="AZ117" s="2144" t="n"/>
      <c r="BA117" s="2144" t="n"/>
      <c r="BB117" s="2144" t="n"/>
      <c r="BC117" s="2144" t="n"/>
      <c r="BD117" s="2144" t="n"/>
      <c r="BE117" s="2144" t="n"/>
      <c r="BF117" s="2144" t="n"/>
      <c r="BG117" s="2144" t="n"/>
      <c r="BH117" s="2144" t="n"/>
      <c r="BI117" s="2144" t="n"/>
      <c r="BJ117" s="2144" t="n"/>
      <c r="BK117" s="2144" t="n"/>
      <c r="BL117" s="2144" t="n"/>
      <c r="BM117" s="2144" t="n"/>
      <c r="BN117" s="2144" t="n"/>
      <c r="BO117" s="2145" t="n"/>
      <c r="BP117" s="2144" t="n"/>
      <c r="BQ117" s="2144" t="n"/>
      <c r="BR117" s="2144" t="n"/>
      <c r="BS117" s="2144" t="n"/>
      <c r="BT117" s="2144" t="n"/>
      <c r="BU117" s="2144" t="n"/>
      <c r="BV117" s="2144" t="n"/>
      <c r="BW117" s="2144" t="n"/>
      <c r="BX117" s="2144" t="n"/>
      <c r="BY117" s="2144" t="n"/>
      <c r="BZ117" s="2144" t="n"/>
      <c r="CA117" s="2144" t="n"/>
      <c r="CB117" s="2144" t="n"/>
      <c r="CC117" s="1970" t="n"/>
    </row>
    <row r="118" ht="15" customFormat="1" customHeight="1" s="2178">
      <c r="A118" s="2179">
        <f>"P/E - "&amp;SP.ValuationToggle</f>
        <v/>
      </c>
      <c r="B118" s="2180" t="n"/>
      <c r="C118" s="2181">
        <f>INDEX(SP_CS_StockPrice,0,COLUMN())/INDEX(SP_NGF_EPS,0,COLUMN())</f>
        <v/>
      </c>
      <c r="D118" s="2181">
        <f>INDEX(SP_CS_StockPrice,0,COLUMN())/INDEX(SP_NGF_EPS,0,COLUMN())</f>
        <v/>
      </c>
      <c r="E118" s="2181">
        <f>INDEX(SP_CS_StockPrice,0,COLUMN())/INDEX(SP_NGF_EPS,0,COLUMN())</f>
        <v/>
      </c>
      <c r="F118" s="2181">
        <f>INDEX(SP_CS_StockPrice,0,COLUMN())/INDEX(SP_NGF_EPS,0,COLUMN())</f>
        <v/>
      </c>
      <c r="G118" s="2181">
        <f>INDEX(SP_CS_StockPrice,0,COLUMN())/INDEX(SP_NGF_EPS,0,COLUMN())</f>
        <v/>
      </c>
      <c r="H118" s="2182" t="n"/>
      <c r="I118" s="2182" t="n"/>
      <c r="J118" s="2182" t="n"/>
      <c r="K118" s="2182" t="n"/>
      <c r="L118" s="2181">
        <f>INDEX(SP_CS_StockPrice,0,COLUMN())/INDEX(SP_NGF_EPS,0,COLUMN())</f>
        <v/>
      </c>
      <c r="M118" s="2182" t="n"/>
      <c r="N118" s="2182" t="n"/>
      <c r="O118" s="2182" t="n"/>
      <c r="P118" s="2182" t="n"/>
      <c r="Q118" s="2181">
        <f>INDEX(SP_CS_StockPrice,0,COLUMN())/INDEX(SP_NGF_EPS,0,COLUMN())</f>
        <v/>
      </c>
      <c r="R118" s="2182" t="n"/>
      <c r="S118" s="2182" t="n"/>
      <c r="T118" s="2182" t="n"/>
      <c r="U118" s="2182" t="n"/>
      <c r="V118" s="2181">
        <f>INDEX(SP_CS_StockPrice,0,COLUMN())/INDEX(SP_NGF_EPS,0,COLUMN())</f>
        <v/>
      </c>
      <c r="W118" s="2183" t="n"/>
      <c r="X118" s="2183" t="n"/>
      <c r="Y118" s="2183" t="n"/>
      <c r="Z118" s="2183" t="n"/>
      <c r="AA118" s="2181">
        <f>INDEX(SP_CS_StockPrice,0,COLUMN())/INDEX(SP_NGF_EPS,0,COLUMN())</f>
        <v/>
      </c>
      <c r="AB118" s="2183" t="n"/>
      <c r="AC118" s="2183" t="n"/>
      <c r="AD118" s="2183" t="n"/>
      <c r="AE118" s="2183" t="n"/>
      <c r="AF118" s="2181">
        <f>INDEX(SP_CS_StockPrice,0,COLUMN())/INDEX(SP_NGF_EPS,0,COLUMN())</f>
        <v/>
      </c>
      <c r="AG118" s="2183" t="n"/>
      <c r="AH118" s="2183" t="n"/>
      <c r="AI118" s="2183" t="n"/>
      <c r="AJ118" s="2183" t="n"/>
      <c r="AK118" s="2181">
        <f>INDEX(SP_CS_StockPrice,0,COLUMN())/INDEX(SP_NGF_EPS,0,COLUMN())</f>
        <v/>
      </c>
      <c r="AL118" s="2183" t="n"/>
      <c r="AM118" s="2183" t="n"/>
      <c r="AN118" s="2183" t="n"/>
      <c r="AO118" s="2183" t="n"/>
      <c r="AP118" s="2181">
        <f>INDEX(SP_CS_StockPrice,0,COLUMN())/INDEX(SP_NGF_EPS,0,COLUMN())</f>
        <v/>
      </c>
      <c r="AQ118" s="2183" t="n"/>
      <c r="AR118" s="2183" t="n"/>
      <c r="AS118" s="2183" t="n"/>
      <c r="AT118" s="2183" t="n"/>
      <c r="AU118" s="2181">
        <f>INDEX(SP_CS_StockPrice,0,COLUMN())/INDEX(SP_NGF_EPS,0,COLUMN())</f>
        <v/>
      </c>
      <c r="AV118" s="2183" t="n"/>
      <c r="AW118" s="2183" t="n"/>
      <c r="AX118" s="2183" t="n"/>
      <c r="AY118" s="2183" t="n"/>
      <c r="AZ118" s="2181">
        <f>INDEX(SP_CS_StockPrice,0,COLUMN())/INDEX(SP_NGF_EPS,0,COLUMN())</f>
        <v/>
      </c>
      <c r="BA118" s="2183" t="n"/>
      <c r="BB118" s="2183" t="n"/>
      <c r="BC118" s="2183" t="n"/>
      <c r="BD118" s="2183" t="n"/>
      <c r="BE118" s="2181">
        <f>INDEX(SP_CS_StockPrice,0,COLUMN())/INDEX(SP_NGF_EPS,0,COLUMN())</f>
        <v/>
      </c>
      <c r="BF118" s="2183" t="n"/>
      <c r="BG118" s="2183" t="n"/>
      <c r="BH118" s="2183" t="n"/>
      <c r="BI118" s="2183" t="n"/>
      <c r="BJ118" s="2181">
        <f>INDEX(SP_CS_StockPrice,0,COLUMN())/INDEX(SP_NGF_EPS,0,COLUMN())</f>
        <v/>
      </c>
      <c r="BK118" s="2183" t="n"/>
      <c r="BL118" s="2183" t="n"/>
      <c r="BM118" s="2183" t="n"/>
      <c r="BN118" s="2183" t="n"/>
      <c r="BO118" s="2184">
        <f>INDEX(SP_CS_StockPrice,0,COLUMN())/INDEX(SP_NGF_EPS,0,COLUMN())</f>
        <v/>
      </c>
      <c r="BP118" s="2183" t="n"/>
      <c r="BQ118" s="2183" t="n"/>
      <c r="BR118" s="2183" t="n"/>
      <c r="BS118" s="2183" t="n"/>
      <c r="BT118" s="2181">
        <f>INDEX(SP_CS_StockPrice,0,COLUMN())/INDEX(SP_NGF_EPS,0,COLUMN())</f>
        <v/>
      </c>
      <c r="BU118" s="2183" t="n"/>
      <c r="BV118" s="2183" t="n"/>
      <c r="BW118" s="2183" t="n"/>
      <c r="BX118" s="2183" t="n"/>
      <c r="BY118" s="2181">
        <f>INDEX(SP_CS_StockPrice,0,COLUMN())/INDEX(SP_NGF_EPS,0,COLUMN())</f>
        <v/>
      </c>
      <c r="BZ118" s="2181">
        <f>INDEX(SP_CS_StockPrice,0,COLUMN())/INDEX(SP_NGF_EPS,0,COLUMN())</f>
        <v/>
      </c>
      <c r="CA118" s="2181">
        <f>INDEX(SP_CS_StockPrice,0,COLUMN())/INDEX(SP_NGF_EPS,0,COLUMN())</f>
        <v/>
      </c>
      <c r="CB118" s="2181">
        <f>INDEX(SP_CS_StockPrice,0,COLUMN())/INDEX(SP_NGF_EPS,0,COLUMN())</f>
        <v/>
      </c>
      <c r="CC118" s="2183" t="n"/>
    </row>
    <row r="119" ht="15" customFormat="1" customHeight="1" s="2178">
      <c r="A119" s="2179">
        <f>"EV/Sales - "&amp;SP.ValuationToggle</f>
        <v/>
      </c>
      <c r="B119" s="2180" t="n"/>
      <c r="C119" s="2181">
        <f>INDEX(SP_CS_EV,0,COLUMN())/INDEX(SP_GF_Rev,0,COLUMN())</f>
        <v/>
      </c>
      <c r="D119" s="2181">
        <f>INDEX(SP_CS_EV,0,COLUMN())/INDEX(SP_GF_Rev,0,COLUMN())</f>
        <v/>
      </c>
      <c r="E119" s="2181">
        <f>INDEX(SP_CS_EV,0,COLUMN())/INDEX(SP_GF_Rev,0,COLUMN())</f>
        <v/>
      </c>
      <c r="F119" s="2181">
        <f>INDEX(SP_CS_EV,0,COLUMN())/INDEX(SP_GF_Rev,0,COLUMN())</f>
        <v/>
      </c>
      <c r="G119" s="2181">
        <f>INDEX(SP_CS_EV,0,COLUMN())/INDEX(SP_GF_Rev,0,COLUMN())</f>
        <v/>
      </c>
      <c r="H119" s="2182" t="n"/>
      <c r="I119" s="2182" t="n"/>
      <c r="J119" s="2182" t="n"/>
      <c r="K119" s="2182" t="n"/>
      <c r="L119" s="2181">
        <f>INDEX(SP_CS_EV,0,COLUMN())/INDEX(SP_GF_Rev,0,COLUMN())</f>
        <v/>
      </c>
      <c r="M119" s="2182" t="n"/>
      <c r="N119" s="2182" t="n"/>
      <c r="O119" s="2182" t="n"/>
      <c r="P119" s="2182" t="n"/>
      <c r="Q119" s="2181">
        <f>INDEX(SP_CS_EV,0,COLUMN())/INDEX(SP_GF_Rev,0,COLUMN())</f>
        <v/>
      </c>
      <c r="R119" s="2182" t="n"/>
      <c r="S119" s="2182" t="n"/>
      <c r="T119" s="2182" t="n"/>
      <c r="U119" s="2182" t="n"/>
      <c r="V119" s="2181">
        <f>INDEX(SP_CS_EV,0,COLUMN())/INDEX(SP_GF_Rev,0,COLUMN())</f>
        <v/>
      </c>
      <c r="W119" s="2183" t="n"/>
      <c r="X119" s="2183" t="n"/>
      <c r="Y119" s="2183" t="n"/>
      <c r="Z119" s="2183" t="n"/>
      <c r="AA119" s="2181">
        <f>INDEX(SP_CS_EV,0,COLUMN())/INDEX(SP_GF_Rev,0,COLUMN())</f>
        <v/>
      </c>
      <c r="AB119" s="2183" t="n"/>
      <c r="AC119" s="2183" t="n"/>
      <c r="AD119" s="2183" t="n"/>
      <c r="AE119" s="2183" t="n"/>
      <c r="AF119" s="2181">
        <f>INDEX(SP_CS_EV,0,COLUMN())/INDEX(SP_GF_Rev,0,COLUMN())</f>
        <v/>
      </c>
      <c r="AG119" s="2183" t="n"/>
      <c r="AH119" s="2183" t="n"/>
      <c r="AI119" s="2183" t="n"/>
      <c r="AJ119" s="2183" t="n"/>
      <c r="AK119" s="2181">
        <f>INDEX(SP_CS_EV,0,COLUMN())/INDEX(SP_GF_Rev,0,COLUMN())</f>
        <v/>
      </c>
      <c r="AL119" s="2183" t="n"/>
      <c r="AM119" s="2183" t="n"/>
      <c r="AN119" s="2183" t="n"/>
      <c r="AO119" s="2183" t="n"/>
      <c r="AP119" s="2181">
        <f>INDEX(SP_CS_EV,0,COLUMN())/INDEX(SP_GF_Rev,0,COLUMN())</f>
        <v/>
      </c>
      <c r="AQ119" s="2183" t="n"/>
      <c r="AR119" s="2183" t="n"/>
      <c r="AS119" s="2183" t="n"/>
      <c r="AT119" s="2183" t="n"/>
      <c r="AU119" s="2181">
        <f>INDEX(SP_CS_EV,0,COLUMN())/INDEX(SP_GF_Rev,0,COLUMN())</f>
        <v/>
      </c>
      <c r="AV119" s="2183" t="n"/>
      <c r="AW119" s="2183" t="n"/>
      <c r="AX119" s="2183" t="n"/>
      <c r="AY119" s="2183" t="n"/>
      <c r="AZ119" s="2181">
        <f>INDEX(SP_CS_EV,0,COLUMN())/INDEX(SP_GF_Rev,0,COLUMN())</f>
        <v/>
      </c>
      <c r="BA119" s="2183" t="n"/>
      <c r="BB119" s="2183" t="n"/>
      <c r="BC119" s="2183" t="n"/>
      <c r="BD119" s="2183" t="n"/>
      <c r="BE119" s="2181">
        <f>INDEX(SP_CS_EV,0,COLUMN())/INDEX(SP_GF_Rev,0,COLUMN())</f>
        <v/>
      </c>
      <c r="BF119" s="2183" t="n"/>
      <c r="BG119" s="2183" t="n"/>
      <c r="BH119" s="2183" t="n"/>
      <c r="BI119" s="2183" t="n"/>
      <c r="BJ119" s="2181">
        <f>INDEX(SP_CS_EV,0,COLUMN())/INDEX(SP_GF_Rev,0,COLUMN())</f>
        <v/>
      </c>
      <c r="BK119" s="2183" t="n"/>
      <c r="BL119" s="2183" t="n"/>
      <c r="BM119" s="2183" t="n"/>
      <c r="BN119" s="2183" t="n"/>
      <c r="BO119" s="2184">
        <f>INDEX(SP_CS_EV,0,COLUMN())/INDEX(SP_GF_Rev,0,COLUMN())</f>
        <v/>
      </c>
      <c r="BP119" s="2183" t="n"/>
      <c r="BQ119" s="2183" t="n"/>
      <c r="BR119" s="2183" t="n"/>
      <c r="BS119" s="2183" t="n"/>
      <c r="BT119" s="2181">
        <f>INDEX(SP_CS_EV,0,COLUMN())/INDEX(SP_GF_Rev,0,COLUMN())</f>
        <v/>
      </c>
      <c r="BU119" s="2183" t="n"/>
      <c r="BV119" s="2183" t="n"/>
      <c r="BW119" s="2183" t="n"/>
      <c r="BX119" s="2183" t="n"/>
      <c r="BY119" s="2181">
        <f>INDEX(SP_CS_EV,0,COLUMN())/INDEX(SP_GF_Rev,0,COLUMN())</f>
        <v/>
      </c>
      <c r="BZ119" s="2181">
        <f>INDEX(SP_CS_EV,0,COLUMN())/INDEX(SP_GF_Rev,0,COLUMN())</f>
        <v/>
      </c>
      <c r="CA119" s="2181">
        <f>INDEX(SP_CS_EV,0,COLUMN())/INDEX(SP_GF_Rev,0,COLUMN())</f>
        <v/>
      </c>
      <c r="CB119" s="2181">
        <f>INDEX(SP_CS_EV,0,COLUMN())/INDEX(SP_GF_Rev,0,COLUMN())</f>
        <v/>
      </c>
      <c r="CC119" s="2183" t="n"/>
    </row>
    <row r="120" ht="15" customFormat="1" customHeight="1" s="2178">
      <c r="A120" s="2179">
        <f>"EV/EBITDA - "&amp;SP.ValuationToggle</f>
        <v/>
      </c>
      <c r="B120" s="2180" t="n"/>
      <c r="C120" s="2181">
        <f>INDEX(SP_CS_EV,0,COLUMN())/INDEX(SP_NGF_EBITDA,0,COLUMN())</f>
        <v/>
      </c>
      <c r="D120" s="2181">
        <f>INDEX(SP_CS_EV,0,COLUMN())/INDEX(SP_NGF_EBITDA,0,COLUMN())</f>
        <v/>
      </c>
      <c r="E120" s="2181">
        <f>INDEX(SP_CS_EV,0,COLUMN())/INDEX(SP_NGF_EBITDA,0,COLUMN())</f>
        <v/>
      </c>
      <c r="F120" s="2181">
        <f>INDEX(SP_CS_EV,0,COLUMN())/INDEX(SP_NGF_EBITDA,0,COLUMN())</f>
        <v/>
      </c>
      <c r="G120" s="2181">
        <f>INDEX(SP_CS_EV,0,COLUMN())/INDEX(SP_NGF_EBITDA,0,COLUMN())</f>
        <v/>
      </c>
      <c r="H120" s="2182" t="n"/>
      <c r="I120" s="2182" t="n"/>
      <c r="J120" s="2182" t="n"/>
      <c r="K120" s="2182" t="n"/>
      <c r="L120" s="2181">
        <f>INDEX(SP_CS_EV,0,COLUMN())/INDEX(SP_NGF_EBITDA,0,COLUMN())</f>
        <v/>
      </c>
      <c r="M120" s="2182" t="n"/>
      <c r="N120" s="2182" t="n"/>
      <c r="O120" s="2182" t="n"/>
      <c r="P120" s="2182" t="n"/>
      <c r="Q120" s="2181">
        <f>INDEX(SP_CS_EV,0,COLUMN())/INDEX(SP_NGF_EBITDA,0,COLUMN())</f>
        <v/>
      </c>
      <c r="R120" s="2182" t="n"/>
      <c r="S120" s="2182" t="n"/>
      <c r="T120" s="2182" t="n"/>
      <c r="U120" s="2182" t="n"/>
      <c r="V120" s="2181">
        <f>INDEX(SP_CS_EV,0,COLUMN())/INDEX(SP_NGF_EBITDA,0,COLUMN())</f>
        <v/>
      </c>
      <c r="W120" s="2183" t="n"/>
      <c r="X120" s="2183" t="n"/>
      <c r="Y120" s="2183" t="n"/>
      <c r="Z120" s="2183" t="n"/>
      <c r="AA120" s="2181">
        <f>INDEX(SP_CS_EV,0,COLUMN())/INDEX(SP_NGF_EBITDA,0,COLUMN())</f>
        <v/>
      </c>
      <c r="AB120" s="2183" t="n"/>
      <c r="AC120" s="2183" t="n"/>
      <c r="AD120" s="2183" t="n"/>
      <c r="AE120" s="2183" t="n"/>
      <c r="AF120" s="2181">
        <f>INDEX(SP_CS_EV,0,COLUMN())/INDEX(SP_NGF_EBITDA,0,COLUMN())</f>
        <v/>
      </c>
      <c r="AG120" s="2183" t="n"/>
      <c r="AH120" s="2183" t="n"/>
      <c r="AI120" s="2183" t="n"/>
      <c r="AJ120" s="2183" t="n"/>
      <c r="AK120" s="2181">
        <f>INDEX(SP_CS_EV,0,COLUMN())/INDEX(SP_NGF_EBITDA,0,COLUMN())</f>
        <v/>
      </c>
      <c r="AL120" s="2183" t="n"/>
      <c r="AM120" s="2183" t="n"/>
      <c r="AN120" s="2183" t="n"/>
      <c r="AO120" s="2183" t="n"/>
      <c r="AP120" s="2181">
        <f>INDEX(SP_CS_EV,0,COLUMN())/INDEX(SP_NGF_EBITDA,0,COLUMN())</f>
        <v/>
      </c>
      <c r="AQ120" s="2183" t="n"/>
      <c r="AR120" s="2183" t="n"/>
      <c r="AS120" s="2183" t="n"/>
      <c r="AT120" s="2183" t="n"/>
      <c r="AU120" s="2181">
        <f>INDEX(SP_CS_EV,0,COLUMN())/INDEX(SP_NGF_EBITDA,0,COLUMN())</f>
        <v/>
      </c>
      <c r="AV120" s="2183" t="n"/>
      <c r="AW120" s="2183" t="n"/>
      <c r="AX120" s="2183" t="n"/>
      <c r="AY120" s="2183" t="n"/>
      <c r="AZ120" s="2181">
        <f>INDEX(SP_CS_EV,0,COLUMN())/INDEX(SP_NGF_EBITDA,0,COLUMN())</f>
        <v/>
      </c>
      <c r="BA120" s="2183" t="n"/>
      <c r="BB120" s="2183" t="n"/>
      <c r="BC120" s="2183" t="n"/>
      <c r="BD120" s="2183" t="n"/>
      <c r="BE120" s="2181">
        <f>INDEX(SP_CS_EV,0,COLUMN())/INDEX(SP_NGF_EBITDA,0,COLUMN())</f>
        <v/>
      </c>
      <c r="BF120" s="2183" t="n"/>
      <c r="BG120" s="2183" t="n"/>
      <c r="BH120" s="2183" t="n"/>
      <c r="BI120" s="2183" t="n"/>
      <c r="BJ120" s="2181">
        <f>INDEX(SP_CS_EV,0,COLUMN())/INDEX(SP_NGF_EBITDA,0,COLUMN())</f>
        <v/>
      </c>
      <c r="BK120" s="2183" t="n"/>
      <c r="BL120" s="2183" t="n"/>
      <c r="BM120" s="2183" t="n"/>
      <c r="BN120" s="2183" t="n"/>
      <c r="BO120" s="2184">
        <f>INDEX(SP_CS_EV,0,COLUMN())/INDEX(SP_NGF_EBITDA,0,COLUMN())</f>
        <v/>
      </c>
      <c r="BP120" s="2183" t="n"/>
      <c r="BQ120" s="2183" t="n"/>
      <c r="BR120" s="2183" t="n"/>
      <c r="BS120" s="2183" t="n"/>
      <c r="BT120" s="2181">
        <f>INDEX(SP_CS_EV,0,COLUMN())/INDEX(SP_NGF_EBITDA,0,COLUMN())</f>
        <v/>
      </c>
      <c r="BU120" s="2183" t="n"/>
      <c r="BV120" s="2183" t="n"/>
      <c r="BW120" s="2183" t="n"/>
      <c r="BX120" s="2183" t="n"/>
      <c r="BY120" s="2181">
        <f>INDEX(SP_CS_EV,0,COLUMN())/INDEX(SP_NGF_EBITDA,0,COLUMN())</f>
        <v/>
      </c>
      <c r="BZ120" s="2181">
        <f>INDEX(SP_CS_EV,0,COLUMN())/INDEX(SP_NGF_EBITDA,0,COLUMN())</f>
        <v/>
      </c>
      <c r="CA120" s="2181">
        <f>INDEX(SP_CS_EV,0,COLUMN())/INDEX(SP_NGF_EBITDA,0,COLUMN())</f>
        <v/>
      </c>
      <c r="CB120" s="2181">
        <f>INDEX(SP_CS_EV,0,COLUMN())/INDEX(SP_NGF_EBITDA,0,COLUMN())</f>
        <v/>
      </c>
      <c r="CC120" s="2183" t="n"/>
    </row>
    <row r="121" ht="15" customFormat="1" customHeight="1" s="2178">
      <c r="A121" s="2179">
        <f>"P/CF - "&amp;SP.ValuationToggle</f>
        <v/>
      </c>
      <c r="B121" s="2180" t="n"/>
      <c r="C121" s="2181">
        <f>INDEX(SP_CS_StockPrice,0,COLUMN())/INDEX(SP_CFA_CFO_PerShare,0,COLUMN())</f>
        <v/>
      </c>
      <c r="D121" s="2181">
        <f>INDEX(SP_CS_StockPrice,0,COLUMN())/INDEX(SP_CFA_CFO_PerShare,0,COLUMN())</f>
        <v/>
      </c>
      <c r="E121" s="2181">
        <f>INDEX(SP_CS_StockPrice,0,COLUMN())/INDEX(SP_CFA_CFO_PerShare,0,COLUMN())</f>
        <v/>
      </c>
      <c r="F121" s="2181">
        <f>INDEX(SP_CS_StockPrice,0,COLUMN())/INDEX(SP_CFA_CFO_PerShare,0,COLUMN())</f>
        <v/>
      </c>
      <c r="G121" s="2181">
        <f>INDEX(SP_CS_StockPrice,0,COLUMN())/INDEX(SP_CFA_CFO_PerShare,0,COLUMN())</f>
        <v/>
      </c>
      <c r="H121" s="2182" t="n"/>
      <c r="I121" s="2182" t="n"/>
      <c r="J121" s="2182" t="n"/>
      <c r="K121" s="2182" t="n"/>
      <c r="L121" s="2181">
        <f>INDEX(SP_CS_StockPrice,0,COLUMN())/INDEX(SP_CFA_CFO_PerShare,0,COLUMN())</f>
        <v/>
      </c>
      <c r="M121" s="2182" t="n"/>
      <c r="N121" s="2182" t="n"/>
      <c r="O121" s="2182" t="n"/>
      <c r="P121" s="2182" t="n"/>
      <c r="Q121" s="2181">
        <f>INDEX(SP_CS_StockPrice,0,COLUMN())/INDEX(SP_CFA_CFO_PerShare,0,COLUMN())</f>
        <v/>
      </c>
      <c r="R121" s="2182" t="n"/>
      <c r="S121" s="2182" t="n"/>
      <c r="T121" s="2182" t="n"/>
      <c r="U121" s="2182" t="n"/>
      <c r="V121" s="2181">
        <f>INDEX(SP_CS_StockPrice,0,COLUMN())/INDEX(SP_CFA_CFO_PerShare,0,COLUMN())</f>
        <v/>
      </c>
      <c r="W121" s="2183" t="n"/>
      <c r="X121" s="2183" t="n"/>
      <c r="Y121" s="2183" t="n"/>
      <c r="Z121" s="2183" t="n"/>
      <c r="AA121" s="2181">
        <f>INDEX(SP_CS_StockPrice,0,COLUMN())/INDEX(SP_CFA_CFO_PerShare,0,COLUMN())</f>
        <v/>
      </c>
      <c r="AB121" s="2183" t="n"/>
      <c r="AC121" s="2183" t="n"/>
      <c r="AD121" s="2183" t="n"/>
      <c r="AE121" s="2183" t="n"/>
      <c r="AF121" s="2181">
        <f>INDEX(SP_CS_StockPrice,0,COLUMN())/INDEX(SP_CFA_CFO_PerShare,0,COLUMN())</f>
        <v/>
      </c>
      <c r="AG121" s="2183" t="n"/>
      <c r="AH121" s="2183" t="n"/>
      <c r="AI121" s="2183" t="n"/>
      <c r="AJ121" s="2183" t="n"/>
      <c r="AK121" s="2181">
        <f>INDEX(SP_CS_StockPrice,0,COLUMN())/INDEX(SP_CFA_CFO_PerShare,0,COLUMN())</f>
        <v/>
      </c>
      <c r="AL121" s="2183" t="n"/>
      <c r="AM121" s="2183" t="n"/>
      <c r="AN121" s="2183" t="n"/>
      <c r="AO121" s="2183" t="n"/>
      <c r="AP121" s="2181">
        <f>INDEX(SP_CS_StockPrice,0,COLUMN())/INDEX(SP_CFA_CFO_PerShare,0,COLUMN())</f>
        <v/>
      </c>
      <c r="AQ121" s="2183" t="n"/>
      <c r="AR121" s="2183" t="n"/>
      <c r="AS121" s="2183" t="n"/>
      <c r="AT121" s="2183" t="n"/>
      <c r="AU121" s="2181">
        <f>INDEX(SP_CS_StockPrice,0,COLUMN())/INDEX(SP_CFA_CFO_PerShare,0,COLUMN())</f>
        <v/>
      </c>
      <c r="AV121" s="2183" t="n"/>
      <c r="AW121" s="2183" t="n"/>
      <c r="AX121" s="2183" t="n"/>
      <c r="AY121" s="2183" t="n"/>
      <c r="AZ121" s="2181">
        <f>INDEX(SP_CS_StockPrice,0,COLUMN())/INDEX(SP_CFA_CFO_PerShare,0,COLUMN())</f>
        <v/>
      </c>
      <c r="BA121" s="2183" t="n"/>
      <c r="BB121" s="2183" t="n"/>
      <c r="BC121" s="2183" t="n"/>
      <c r="BD121" s="2183" t="n"/>
      <c r="BE121" s="2181">
        <f>INDEX(SP_CS_StockPrice,0,COLUMN())/INDEX(SP_CFA_CFO_PerShare,0,COLUMN())</f>
        <v/>
      </c>
      <c r="BF121" s="2183" t="n"/>
      <c r="BG121" s="2183" t="n"/>
      <c r="BH121" s="2183" t="n"/>
      <c r="BI121" s="2183" t="n"/>
      <c r="BJ121" s="2181">
        <f>INDEX(SP_CS_StockPrice,0,COLUMN())/INDEX(SP_CFA_CFO_PerShare,0,COLUMN())</f>
        <v/>
      </c>
      <c r="BK121" s="2183" t="n"/>
      <c r="BL121" s="2183" t="n"/>
      <c r="BM121" s="2183" t="n"/>
      <c r="BN121" s="2183" t="n"/>
      <c r="BO121" s="2184">
        <f>INDEX(SP_CS_StockPrice,0,COLUMN())/INDEX(SP_CFA_CFO_PerShare,0,COLUMN())</f>
        <v/>
      </c>
      <c r="BP121" s="2183" t="n"/>
      <c r="BQ121" s="2183" t="n"/>
      <c r="BR121" s="2183" t="n"/>
      <c r="BS121" s="2183" t="n"/>
      <c r="BT121" s="2181">
        <f>INDEX(SP_CS_StockPrice,0,COLUMN())/INDEX(SP_CFA_CFO_PerShare,0,COLUMN())</f>
        <v/>
      </c>
      <c r="BU121" s="2183" t="n"/>
      <c r="BV121" s="2183" t="n"/>
      <c r="BW121" s="2183" t="n"/>
      <c r="BX121" s="2183" t="n"/>
      <c r="BY121" s="2181">
        <f>INDEX(SP_CS_StockPrice,0,COLUMN())/INDEX(SP_CFA_CFO_PerShare,0,COLUMN())</f>
        <v/>
      </c>
      <c r="BZ121" s="2181">
        <f>INDEX(SP_CS_StockPrice,0,COLUMN())/INDEX(SP_CFA_CFO_PerShare,0,COLUMN())</f>
        <v/>
      </c>
      <c r="CA121" s="2181">
        <f>INDEX(SP_CS_StockPrice,0,COLUMN())/INDEX(SP_CFA_CFO_PerShare,0,COLUMN())</f>
        <v/>
      </c>
      <c r="CB121" s="2181">
        <f>INDEX(SP_CS_StockPrice,0,COLUMN())/INDEX(SP_CFA_CFO_PerShare,0,COLUMN())</f>
        <v/>
      </c>
      <c r="CC121" s="2183" t="n"/>
    </row>
    <row r="122" ht="15" customFormat="1" customHeight="1" s="636">
      <c r="A122" s="163">
        <f>"FCF Yield % to "&amp;SP.ValuationToggle&amp;" Market Cap"</f>
        <v/>
      </c>
      <c r="B122" s="162" t="n"/>
      <c r="C122" s="1515">
        <f>IFERROR(INDEX(SP_CFA_FCF_PreDiv,0,COLUMN())/INDEX(SP_CS_MarketCap,0,COLUMN()),"N/A")</f>
        <v/>
      </c>
      <c r="D122" s="1515">
        <f>IFERROR(INDEX(SP_CFA_FCF_PreDiv,0,COLUMN())/INDEX(SP_CS_MarketCap,0,COLUMN()),"N/A")</f>
        <v/>
      </c>
      <c r="E122" s="1515">
        <f>IFERROR(INDEX(SP_CFA_FCF_PreDiv,0,COLUMN())/INDEX(SP_CS_MarketCap,0,COLUMN()),"N/A")</f>
        <v/>
      </c>
      <c r="F122" s="1515">
        <f>IFERROR(INDEX(SP_CFA_FCF_PreDiv,0,COLUMN())/INDEX(SP_CS_MarketCap,0,COLUMN()),"N/A")</f>
        <v/>
      </c>
      <c r="G122" s="1515">
        <f>IFERROR(INDEX(SP_CFA_FCF_PreDiv,0,COLUMN())/INDEX(SP_CS_MarketCap,0,COLUMN()),"N/A")</f>
        <v/>
      </c>
      <c r="H122" s="778" t="n"/>
      <c r="I122" s="778" t="n"/>
      <c r="J122" s="778" t="n"/>
      <c r="K122" s="778" t="n"/>
      <c r="L122" s="1515">
        <f>IFERROR(INDEX(SP_CFA_FCF_PreDiv,0,COLUMN())/INDEX(SP_CS_MarketCap,0,COLUMN()),"N/A")</f>
        <v/>
      </c>
      <c r="M122" s="778" t="n"/>
      <c r="N122" s="778" t="n"/>
      <c r="O122" s="778" t="n"/>
      <c r="P122" s="778" t="n"/>
      <c r="Q122" s="1515">
        <f>IFERROR(INDEX(SP_CFA_FCF_PreDiv,0,COLUMN())/INDEX(SP_CS_MarketCap,0,COLUMN()),"N/A")</f>
        <v/>
      </c>
      <c r="R122" s="778" t="n"/>
      <c r="S122" s="778" t="n"/>
      <c r="T122" s="778" t="n"/>
      <c r="U122" s="778" t="n"/>
      <c r="V122" s="1515">
        <f>IFERROR(INDEX(SP_CFA_FCF_PreDiv,0,COLUMN())/INDEX(SP_CS_MarketCap,0,COLUMN()),"N/A")</f>
        <v/>
      </c>
      <c r="W122" s="778" t="n"/>
      <c r="X122" s="778" t="n"/>
      <c r="Y122" s="778" t="n"/>
      <c r="Z122" s="778" t="n"/>
      <c r="AA122" s="1515">
        <f>IFERROR(INDEX(SP_CFA_FCF_PreDiv,0,COLUMN())/INDEX(SP_CS_MarketCap,0,COLUMN()),"N/A")</f>
        <v/>
      </c>
      <c r="AB122" s="778" t="n"/>
      <c r="AC122" s="778" t="n"/>
      <c r="AD122" s="778" t="n"/>
      <c r="AE122" s="778" t="n"/>
      <c r="AF122" s="1515">
        <f>IFERROR(INDEX(SP_CFA_FCF_PreDiv,0,COLUMN())/INDEX(SP_CS_MarketCap,0,COLUMN()),"N/A")</f>
        <v/>
      </c>
      <c r="AG122" s="778" t="n"/>
      <c r="AH122" s="778" t="n"/>
      <c r="AI122" s="778" t="n"/>
      <c r="AJ122" s="778" t="n"/>
      <c r="AK122" s="1515">
        <f>IFERROR(INDEX(SP_CFA_FCF_PreDiv,0,COLUMN())/INDEX(SP_CS_MarketCap,0,COLUMN()),"N/A")</f>
        <v/>
      </c>
      <c r="AL122" s="778" t="n"/>
      <c r="AM122" s="778" t="n"/>
      <c r="AN122" s="778" t="n"/>
      <c r="AO122" s="778" t="n"/>
      <c r="AP122" s="1515">
        <f>IFERROR(INDEX(SP_CFA_FCF_PreDiv,0,COLUMN())/INDEX(SP_CS_MarketCap,0,COLUMN()),"N/A")</f>
        <v/>
      </c>
      <c r="AQ122" s="778" t="n"/>
      <c r="AR122" s="778" t="n"/>
      <c r="AS122" s="778" t="n"/>
      <c r="AT122" s="778" t="n"/>
      <c r="AU122" s="1515">
        <f>IFERROR(INDEX(SP_CFA_FCF_PreDiv,0,COLUMN())/INDEX(SP_CS_MarketCap,0,COLUMN()),"N/A")</f>
        <v/>
      </c>
      <c r="AV122" s="778" t="n"/>
      <c r="AW122" s="778" t="n"/>
      <c r="AX122" s="778" t="n"/>
      <c r="AY122" s="778" t="n"/>
      <c r="AZ122" s="1515">
        <f>IFERROR(INDEX(SP_CFA_FCF_PreDiv,0,COLUMN())/INDEX(SP_CS_MarketCap,0,COLUMN()),"N/A")</f>
        <v/>
      </c>
      <c r="BA122" s="778" t="n"/>
      <c r="BB122" s="778" t="n"/>
      <c r="BC122" s="778" t="n"/>
      <c r="BD122" s="778" t="n"/>
      <c r="BE122" s="1515">
        <f>IFERROR(INDEX(SP_CFA_FCF_PreDiv,0,COLUMN())/INDEX(SP_CS_MarketCap,0,COLUMN()),"N/A")</f>
        <v/>
      </c>
      <c r="BF122" s="778" t="n"/>
      <c r="BG122" s="778" t="n"/>
      <c r="BH122" s="778" t="n"/>
      <c r="BI122" s="778" t="n"/>
      <c r="BJ122" s="1515">
        <f>IFERROR(INDEX(SP_CFA_FCF_PreDiv,0,COLUMN())/INDEX(SP_CS_MarketCap,0,COLUMN()),"N/A")</f>
        <v/>
      </c>
      <c r="BK122" s="778" t="n"/>
      <c r="BL122" s="778" t="n"/>
      <c r="BM122" s="778" t="n"/>
      <c r="BN122" s="778" t="n"/>
      <c r="BO122" s="1514">
        <f>IFERROR(INDEX(SP_CFA_FCF_PreDiv,0,COLUMN())/INDEX(SP_CS_MarketCap,0,COLUMN()),"N/A")</f>
        <v/>
      </c>
      <c r="BP122" s="778" t="n"/>
      <c r="BQ122" s="778" t="n"/>
      <c r="BR122" s="778" t="n"/>
      <c r="BS122" s="778" t="n"/>
      <c r="BT122" s="1515">
        <f>INDEX(SP_CFA_FCF_PreDiv,0,COLUMN())/INDEX(SP_CS_MarketCap,0,COLUMN())</f>
        <v/>
      </c>
      <c r="BU122" s="778" t="n"/>
      <c r="BV122" s="778" t="n"/>
      <c r="BW122" s="778" t="n"/>
      <c r="BX122" s="778" t="n"/>
      <c r="BY122" s="1515">
        <f>INDEX(SP_CFA_FCF_PreDiv,0,COLUMN())/INDEX(SP_CS_MarketCap,0,COLUMN())</f>
        <v/>
      </c>
      <c r="BZ122" s="1515">
        <f>INDEX(SP_CFA_FCF_PreDiv,0,COLUMN())/INDEX(SP_CS_MarketCap,0,COLUMN())</f>
        <v/>
      </c>
      <c r="CA122" s="1515">
        <f>INDEX(SP_CFA_FCF_PreDiv,0,COLUMN())/INDEX(SP_CS_MarketCap,0,COLUMN())</f>
        <v/>
      </c>
      <c r="CB122" s="1515">
        <f>INDEX(SP_CFA_FCF_PreDiv,0,COLUMN())/INDEX(SP_CS_MarketCap,0,COLUMN())</f>
        <v/>
      </c>
      <c r="CC122" s="800" t="n"/>
    </row>
    <row r="123" ht="15" customFormat="1" customHeight="1" s="636">
      <c r="A123" s="163">
        <f>"FCF Yield % to "&amp;SP.ValuationToggle&amp;" Enterprise Value"</f>
        <v/>
      </c>
      <c r="B123" s="162" t="n"/>
      <c r="C123" s="1515">
        <f>INDEX(SP_CFA_FCF_PreDiv,0,COLUMN())/INDEX(SP_CS_EV,0,COLUMN())</f>
        <v/>
      </c>
      <c r="D123" s="1515">
        <f>INDEX(SP_CFA_FCF_PreDiv,0,COLUMN())/INDEX(SP_CS_EV,0,COLUMN())</f>
        <v/>
      </c>
      <c r="E123" s="1515">
        <f>INDEX(SP_CFA_FCF_PreDiv,0,COLUMN())/INDEX(SP_CS_EV,0,COLUMN())</f>
        <v/>
      </c>
      <c r="F123" s="1515">
        <f>INDEX(SP_CFA_FCF_PreDiv,0,COLUMN())/INDEX(SP_CS_EV,0,COLUMN())</f>
        <v/>
      </c>
      <c r="G123" s="1515">
        <f>INDEX(SP_CFA_FCF_PreDiv,0,COLUMN())/INDEX(SP_CS_EV,0,COLUMN())</f>
        <v/>
      </c>
      <c r="H123" s="778" t="n"/>
      <c r="I123" s="778" t="n"/>
      <c r="J123" s="778" t="n"/>
      <c r="K123" s="778" t="n"/>
      <c r="L123" s="1515">
        <f>INDEX(SP_CFA_FCF_PreDiv,0,COLUMN())/INDEX(SP_CS_EV,0,COLUMN())</f>
        <v/>
      </c>
      <c r="M123" s="778" t="n"/>
      <c r="N123" s="778" t="n"/>
      <c r="O123" s="778" t="n"/>
      <c r="P123" s="778" t="n"/>
      <c r="Q123" s="1515">
        <f>INDEX(SP_CFA_FCF_PreDiv,0,COLUMN())/INDEX(SP_CS_EV,0,COLUMN())</f>
        <v/>
      </c>
      <c r="R123" s="778" t="n"/>
      <c r="S123" s="778" t="n"/>
      <c r="T123" s="778" t="n"/>
      <c r="U123" s="778" t="n"/>
      <c r="V123" s="1515">
        <f>INDEX(SP_CFA_FCF_PreDiv,0,COLUMN())/INDEX(SP_CS_EV,0,COLUMN())</f>
        <v/>
      </c>
      <c r="W123" s="778" t="n"/>
      <c r="X123" s="778" t="n"/>
      <c r="Y123" s="778" t="n"/>
      <c r="Z123" s="778" t="n"/>
      <c r="AA123" s="1515">
        <f>INDEX(SP_CFA_FCF_PreDiv,0,COLUMN())/INDEX(SP_CS_EV,0,COLUMN())</f>
        <v/>
      </c>
      <c r="AB123" s="778" t="n"/>
      <c r="AC123" s="778" t="n"/>
      <c r="AD123" s="778" t="n"/>
      <c r="AE123" s="778" t="n"/>
      <c r="AF123" s="1515">
        <f>INDEX(SP_CFA_FCF_PreDiv,0,COLUMN())/INDEX(SP_CS_EV,0,COLUMN())</f>
        <v/>
      </c>
      <c r="AG123" s="778" t="n"/>
      <c r="AH123" s="778" t="n"/>
      <c r="AI123" s="778" t="n"/>
      <c r="AJ123" s="778" t="n"/>
      <c r="AK123" s="1515">
        <f>INDEX(SP_CFA_FCF_PreDiv,0,COLUMN())/INDEX(SP_CS_EV,0,COLUMN())</f>
        <v/>
      </c>
      <c r="AL123" s="778" t="n"/>
      <c r="AM123" s="778" t="n"/>
      <c r="AN123" s="778" t="n"/>
      <c r="AO123" s="778" t="n"/>
      <c r="AP123" s="1515">
        <f>INDEX(SP_CFA_FCF_PreDiv,0,COLUMN())/INDEX(SP_CS_EV,0,COLUMN())</f>
        <v/>
      </c>
      <c r="AQ123" s="778" t="n"/>
      <c r="AR123" s="778" t="n"/>
      <c r="AS123" s="778" t="n"/>
      <c r="AT123" s="778" t="n"/>
      <c r="AU123" s="1515">
        <f>INDEX(SP_CFA_FCF_PreDiv,0,COLUMN())/INDEX(SP_CS_EV,0,COLUMN())</f>
        <v/>
      </c>
      <c r="AV123" s="778" t="n"/>
      <c r="AW123" s="778" t="n"/>
      <c r="AX123" s="778" t="n"/>
      <c r="AY123" s="778" t="n"/>
      <c r="AZ123" s="1515">
        <f>INDEX(SP_CFA_FCF_PreDiv,0,COLUMN())/INDEX(SP_CS_EV,0,COLUMN())</f>
        <v/>
      </c>
      <c r="BA123" s="778" t="n"/>
      <c r="BB123" s="778" t="n"/>
      <c r="BC123" s="778" t="n"/>
      <c r="BD123" s="778" t="n"/>
      <c r="BE123" s="1515">
        <f>INDEX(SP_CFA_FCF_PreDiv,0,COLUMN())/INDEX(SP_CS_EV,0,COLUMN())</f>
        <v/>
      </c>
      <c r="BF123" s="778" t="n"/>
      <c r="BG123" s="778" t="n"/>
      <c r="BH123" s="778" t="n"/>
      <c r="BI123" s="778" t="n"/>
      <c r="BJ123" s="1515">
        <f>INDEX(SP_CFA_FCF_PreDiv,0,COLUMN())/INDEX(SP_CS_EV,0,COLUMN())</f>
        <v/>
      </c>
      <c r="BK123" s="778" t="n"/>
      <c r="BL123" s="778" t="n"/>
      <c r="BM123" s="778" t="n"/>
      <c r="BN123" s="778" t="n"/>
      <c r="BO123" s="1514">
        <f>INDEX(SP_CFA_FCF_PreDiv,0,COLUMN())/INDEX(SP_CS_EV,0,COLUMN())</f>
        <v/>
      </c>
      <c r="BP123" s="778" t="n"/>
      <c r="BQ123" s="778" t="n"/>
      <c r="BR123" s="778" t="n"/>
      <c r="BS123" s="778" t="n"/>
      <c r="BT123" s="1515">
        <f>INDEX(SP_CFA_FCF_PreDiv,0,COLUMN())/INDEX(SP_CS_EV,0,COLUMN())</f>
        <v/>
      </c>
      <c r="BU123" s="778" t="n"/>
      <c r="BV123" s="778" t="n"/>
      <c r="BW123" s="778" t="n"/>
      <c r="BX123" s="778" t="n"/>
      <c r="BY123" s="1515">
        <f>INDEX(SP_CFA_FCF_PreDiv,0,COLUMN())/INDEX(SP_CS_EV,0,COLUMN())</f>
        <v/>
      </c>
      <c r="BZ123" s="1515">
        <f>INDEX(SP_CFA_FCF_PreDiv,0,COLUMN())/INDEX(SP_CS_EV,0,COLUMN())</f>
        <v/>
      </c>
      <c r="CA123" s="1515">
        <f>INDEX(SP_CFA_FCF_PreDiv,0,COLUMN())/INDEX(SP_CS_EV,0,COLUMN())</f>
        <v/>
      </c>
      <c r="CB123" s="1515">
        <f>INDEX(SP_CFA_FCF_PreDiv,0,COLUMN())/INDEX(SP_CS_EV,0,COLUMN())</f>
        <v/>
      </c>
      <c r="CC123" s="800" t="n"/>
    </row>
    <row r="124" ht="15" customFormat="1" customHeight="1" s="636">
      <c r="A124" s="163" t="n"/>
      <c r="B124" s="162" t="n"/>
      <c r="C124" s="1515" t="n"/>
      <c r="D124" s="1515" t="n"/>
      <c r="E124" s="1515" t="n"/>
      <c r="F124" s="1515" t="n"/>
      <c r="G124" s="1515" t="n"/>
      <c r="H124" s="778" t="n"/>
      <c r="I124" s="778" t="n"/>
      <c r="J124" s="778" t="n"/>
      <c r="K124" s="778" t="n"/>
      <c r="L124" s="1515" t="n"/>
      <c r="M124" s="778" t="n"/>
      <c r="N124" s="778" t="n"/>
      <c r="O124" s="778" t="n"/>
      <c r="P124" s="778" t="n"/>
      <c r="Q124" s="1515" t="n"/>
      <c r="R124" s="778" t="n"/>
      <c r="S124" s="778" t="n"/>
      <c r="T124" s="778" t="n"/>
      <c r="U124" s="778" t="n"/>
      <c r="V124" s="1515" t="n"/>
      <c r="W124" s="778" t="n"/>
      <c r="X124" s="778" t="n"/>
      <c r="Y124" s="778" t="n"/>
      <c r="Z124" s="778" t="n"/>
      <c r="AA124" s="1515" t="n"/>
      <c r="AB124" s="778" t="n"/>
      <c r="AC124" s="778" t="n"/>
      <c r="AD124" s="778" t="n"/>
      <c r="AE124" s="778" t="n"/>
      <c r="AF124" s="1515" t="n"/>
      <c r="AG124" s="778" t="n"/>
      <c r="AH124" s="778" t="n"/>
      <c r="AI124" s="778" t="n"/>
      <c r="AJ124" s="778" t="n"/>
      <c r="AK124" s="1515" t="n"/>
      <c r="AL124" s="778" t="n"/>
      <c r="AM124" s="778" t="n"/>
      <c r="AN124" s="778" t="n"/>
      <c r="AO124" s="778" t="n"/>
      <c r="AP124" s="1515" t="n"/>
      <c r="AQ124" s="778" t="n"/>
      <c r="AR124" s="778" t="n"/>
      <c r="AS124" s="778" t="n"/>
      <c r="AT124" s="778" t="n"/>
      <c r="AU124" s="1515" t="n"/>
      <c r="AV124" s="778" t="n"/>
      <c r="AW124" s="778" t="n"/>
      <c r="AX124" s="778" t="n"/>
      <c r="AY124" s="778" t="n"/>
      <c r="AZ124" s="1515" t="n"/>
      <c r="BA124" s="778" t="n"/>
      <c r="BB124" s="778" t="n"/>
      <c r="BC124" s="778" t="n"/>
      <c r="BD124" s="778" t="n"/>
      <c r="BE124" s="1515" t="n"/>
      <c r="BF124" s="778" t="n"/>
      <c r="BG124" s="778" t="n"/>
      <c r="BH124" s="778" t="n"/>
      <c r="BI124" s="778" t="n"/>
      <c r="BJ124" s="1515" t="n"/>
      <c r="BK124" s="778" t="n"/>
      <c r="BL124" s="778" t="n"/>
      <c r="BM124" s="778" t="n"/>
      <c r="BN124" s="778" t="n"/>
      <c r="BO124" s="1514" t="n"/>
      <c r="BP124" s="778" t="n"/>
      <c r="BQ124" s="778" t="n"/>
      <c r="BR124" s="778" t="n"/>
      <c r="BS124" s="778" t="n"/>
      <c r="BT124" s="1515" t="n"/>
      <c r="BU124" s="778" t="n"/>
      <c r="BV124" s="778" t="n"/>
      <c r="BW124" s="778" t="n"/>
      <c r="BX124" s="778" t="n"/>
      <c r="BY124" s="1515" t="n"/>
      <c r="BZ124" s="1515" t="n"/>
      <c r="CA124" s="1515" t="n"/>
      <c r="CB124" s="1515" t="n"/>
      <c r="CC124" s="800" t="n"/>
    </row>
    <row r="125" ht="15" customFormat="1" customHeight="1" s="643">
      <c r="A125" s="2121" t="inlineStr">
        <is>
          <t>Check</t>
        </is>
      </c>
      <c r="B125" s="2144" t="n"/>
      <c r="C125" s="2144" t="n"/>
      <c r="D125" s="2144" t="n"/>
      <c r="E125" s="2144" t="n"/>
      <c r="F125" s="2144" t="n"/>
      <c r="G125" s="2144" t="n"/>
      <c r="H125" s="2144" t="n"/>
      <c r="I125" s="2144" t="n"/>
      <c r="J125" s="2144" t="n"/>
      <c r="K125" s="2144" t="n"/>
      <c r="L125" s="2144" t="n"/>
      <c r="M125" s="2144" t="n"/>
      <c r="N125" s="2144" t="n"/>
      <c r="O125" s="2144" t="n"/>
      <c r="P125" s="2144" t="n"/>
      <c r="Q125" s="2144" t="n"/>
      <c r="R125" s="2144" t="n"/>
      <c r="S125" s="2144" t="n"/>
      <c r="T125" s="2144" t="n"/>
      <c r="U125" s="2144" t="n"/>
      <c r="V125" s="2144" t="n"/>
      <c r="W125" s="2144" t="n"/>
      <c r="X125" s="2144" t="n"/>
      <c r="Y125" s="2144" t="n"/>
      <c r="Z125" s="2144" t="n"/>
      <c r="AA125" s="2144" t="n"/>
      <c r="AB125" s="2144" t="n"/>
      <c r="AC125" s="2144" t="n"/>
      <c r="AD125" s="2144" t="n"/>
      <c r="AE125" s="2144" t="n"/>
      <c r="AF125" s="2144" t="n"/>
      <c r="AG125" s="2144" t="n"/>
      <c r="AH125" s="2144" t="n"/>
      <c r="AI125" s="2144" t="n"/>
      <c r="AJ125" s="2144" t="n"/>
      <c r="AK125" s="2144" t="n"/>
      <c r="AL125" s="2144" t="n"/>
      <c r="AM125" s="2144" t="n"/>
      <c r="AN125" s="2144" t="n"/>
      <c r="AO125" s="2144" t="n"/>
      <c r="AP125" s="2144" t="n"/>
      <c r="AQ125" s="2144" t="n"/>
      <c r="AR125" s="2144" t="n"/>
      <c r="AS125" s="2144" t="n"/>
      <c r="AT125" s="2144" t="n"/>
      <c r="AU125" s="2144" t="n"/>
      <c r="AV125" s="2144" t="n"/>
      <c r="AW125" s="2144" t="n"/>
      <c r="AX125" s="2144" t="n"/>
      <c r="AY125" s="2144" t="n"/>
      <c r="AZ125" s="2144" t="n"/>
      <c r="BA125" s="2144" t="n"/>
      <c r="BB125" s="2144" t="n"/>
      <c r="BC125" s="2144" t="n"/>
      <c r="BD125" s="2144" t="n"/>
      <c r="BE125" s="2144" t="n"/>
      <c r="BF125" s="2144" t="n"/>
      <c r="BG125" s="2144" t="n"/>
      <c r="BH125" s="2144" t="n"/>
      <c r="BI125" s="2144" t="n"/>
      <c r="BJ125" s="2144" t="n"/>
      <c r="BK125" s="2144" t="n"/>
      <c r="BL125" s="2144" t="n"/>
      <c r="BM125" s="2144" t="n"/>
      <c r="BN125" s="2144" t="n"/>
      <c r="BO125" s="2145" t="n"/>
      <c r="BP125" s="2144" t="n"/>
      <c r="BQ125" s="2144" t="n"/>
      <c r="BR125" s="2144" t="n"/>
      <c r="BS125" s="2144" t="n"/>
      <c r="BT125" s="2144" t="n"/>
      <c r="BU125" s="2144" t="n"/>
      <c r="BV125" s="2144" t="n"/>
      <c r="BW125" s="2144" t="n"/>
      <c r="BX125" s="2144" t="n"/>
      <c r="BY125" s="2144" t="n"/>
      <c r="BZ125" s="2144" t="n"/>
      <c r="CA125" s="2144" t="n"/>
      <c r="CB125" s="2144" t="n"/>
      <c r="CC125" s="800" t="n"/>
    </row>
    <row r="126" hidden="1" outlineLevel="1" ht="15" customHeight="1" s="595">
      <c r="A126" s="1970" t="inlineStr">
        <is>
          <t>EBIT</t>
        </is>
      </c>
      <c r="B126" s="179" t="n"/>
      <c r="C126" s="1824">
        <f>ROUND(INDEX(SP_GF_EBIT,0,COLUMN())-INDEX(MO_RIS_EBIT,0,COLUMN()),6)</f>
        <v/>
      </c>
      <c r="D126" s="1824">
        <f>ROUND(INDEX(SP_GF_EBIT,0,COLUMN())-INDEX(MO_RIS_EBIT,0,COLUMN()),6)</f>
        <v/>
      </c>
      <c r="E126" s="1824">
        <f>ROUND(INDEX(SP_GF_EBIT,0,COLUMN())-INDEX(MO_RIS_EBIT,0,COLUMN()),6)</f>
        <v/>
      </c>
      <c r="F126" s="1824">
        <f>ROUND(INDEX(SP_GF_EBIT,0,COLUMN())-INDEX(MO_RIS_EBIT,0,COLUMN()),6)</f>
        <v/>
      </c>
      <c r="G126" s="1824">
        <f>ROUND(INDEX(SP_GF_EBIT,0,COLUMN())-INDEX(MO_RIS_EBIT,0,COLUMN()),6)</f>
        <v/>
      </c>
      <c r="H126" s="1824">
        <f>ROUND(INDEX(SP_GF_EBIT,0,COLUMN())-INDEX(MO_RIS_EBIT,0,COLUMN()),6)</f>
        <v/>
      </c>
      <c r="I126" s="1824">
        <f>ROUND(INDEX(SP_GF_EBIT,0,COLUMN())-INDEX(MO_RIS_EBIT,0,COLUMN()),6)</f>
        <v/>
      </c>
      <c r="J126" s="1824">
        <f>ROUND(INDEX(SP_GF_EBIT,0,COLUMN())-INDEX(MO_RIS_EBIT,0,COLUMN()),6)</f>
        <v/>
      </c>
      <c r="K126" s="1824">
        <f>ROUND(INDEX(SP_GF_EBIT,0,COLUMN())-INDEX(MO_RIS_EBIT,0,COLUMN()),6)</f>
        <v/>
      </c>
      <c r="L126" s="1824">
        <f>ROUND(INDEX(SP_GF_EBIT,0,COLUMN())-INDEX(MO_RIS_EBIT,0,COLUMN()),6)</f>
        <v/>
      </c>
      <c r="M126" s="1824">
        <f>ROUND(INDEX(SP_GF_EBIT,0,COLUMN())-INDEX(MO_RIS_EBIT,0,COLUMN()),6)</f>
        <v/>
      </c>
      <c r="N126" s="1824">
        <f>ROUND(INDEX(SP_GF_EBIT,0,COLUMN())-INDEX(MO_RIS_EBIT,0,COLUMN()),6)</f>
        <v/>
      </c>
      <c r="O126" s="1824">
        <f>ROUND(INDEX(SP_GF_EBIT,0,COLUMN())-INDEX(MO_RIS_EBIT,0,COLUMN()),6)</f>
        <v/>
      </c>
      <c r="P126" s="1824">
        <f>ROUND(INDEX(SP_GF_EBIT,0,COLUMN())-INDEX(MO_RIS_EBIT,0,COLUMN()),6)</f>
        <v/>
      </c>
      <c r="Q126" s="1824">
        <f>ROUND(INDEX(SP_GF_EBIT,0,COLUMN())-INDEX(MO_RIS_EBIT,0,COLUMN()),6)</f>
        <v/>
      </c>
      <c r="R126" s="1824">
        <f>ROUND(INDEX(SP_GF_EBIT,0,COLUMN())-INDEX(MO_RIS_EBIT,0,COLUMN()),6)</f>
        <v/>
      </c>
      <c r="S126" s="1824">
        <f>ROUND(INDEX(SP_GF_EBIT,0,COLUMN())-INDEX(MO_RIS_EBIT,0,COLUMN()),6)</f>
        <v/>
      </c>
      <c r="T126" s="1824">
        <f>ROUND(INDEX(SP_GF_EBIT,0,COLUMN())-INDEX(MO_RIS_EBIT,0,COLUMN()),6)</f>
        <v/>
      </c>
      <c r="U126" s="1824">
        <f>ROUND(INDEX(SP_GF_EBIT,0,COLUMN())-INDEX(MO_RIS_EBIT,0,COLUMN()),6)</f>
        <v/>
      </c>
      <c r="V126" s="1824">
        <f>ROUND(INDEX(SP_GF_EBIT,0,COLUMN())-INDEX(MO_RIS_EBIT,0,COLUMN()),6)</f>
        <v/>
      </c>
      <c r="W126" s="1824">
        <f>ROUND(INDEX(SP_GF_EBIT,0,COLUMN())-INDEX(MO_RIS_EBIT,0,COLUMN()),6)</f>
        <v/>
      </c>
      <c r="X126" s="1824">
        <f>ROUND(INDEX(SP_GF_EBIT,0,COLUMN())-INDEX(MO_RIS_EBIT,0,COLUMN()),6)</f>
        <v/>
      </c>
      <c r="Y126" s="1824">
        <f>ROUND(INDEX(SP_GF_EBIT,0,COLUMN())-INDEX(MO_RIS_EBIT,0,COLUMN()),6)</f>
        <v/>
      </c>
      <c r="Z126" s="1824">
        <f>ROUND(INDEX(SP_GF_EBIT,0,COLUMN())-INDEX(MO_RIS_EBIT,0,COLUMN()),6)</f>
        <v/>
      </c>
      <c r="AA126" s="1824">
        <f>ROUND(INDEX(SP_GF_EBIT,0,COLUMN())-INDEX(MO_RIS_EBIT,0,COLUMN()),6)</f>
        <v/>
      </c>
      <c r="AB126" s="1824">
        <f>ROUND(INDEX(SP_GF_EBIT,0,COLUMN())-INDEX(MO_RIS_EBIT,0,COLUMN()),6)</f>
        <v/>
      </c>
      <c r="AC126" s="1824">
        <f>ROUND(INDEX(SP_GF_EBIT,0,COLUMN())-INDEX(MO_RIS_EBIT,0,COLUMN()),6)</f>
        <v/>
      </c>
      <c r="AD126" s="1824">
        <f>ROUND(INDEX(SP_GF_EBIT,0,COLUMN())-INDEX(MO_RIS_EBIT,0,COLUMN()),6)</f>
        <v/>
      </c>
      <c r="AE126" s="1824">
        <f>ROUND(INDEX(SP_GF_EBIT,0,COLUMN())-INDEX(MO_RIS_EBIT,0,COLUMN()),6)</f>
        <v/>
      </c>
      <c r="AF126" s="1824">
        <f>ROUND(INDEX(SP_GF_EBIT,0,COLUMN())-INDEX(MO_RIS_EBIT,0,COLUMN()),6)</f>
        <v/>
      </c>
      <c r="AG126" s="1824">
        <f>ROUND(INDEX(SP_GF_EBIT,0,COLUMN())-INDEX(MO_RIS_EBIT,0,COLUMN()),6)</f>
        <v/>
      </c>
      <c r="AH126" s="1824">
        <f>ROUND(INDEX(SP_GF_EBIT,0,COLUMN())-INDEX(MO_RIS_EBIT,0,COLUMN()),6)</f>
        <v/>
      </c>
      <c r="AI126" s="1824">
        <f>ROUND(INDEX(SP_GF_EBIT,0,COLUMN())-INDEX(MO_RIS_EBIT,0,COLUMN()),6)</f>
        <v/>
      </c>
      <c r="AJ126" s="1824">
        <f>ROUND(INDEX(SP_GF_EBIT,0,COLUMN())-INDEX(MO_RIS_EBIT,0,COLUMN()),6)</f>
        <v/>
      </c>
      <c r="AK126" s="1824">
        <f>ROUND(INDEX(SP_GF_EBIT,0,COLUMN())-INDEX(MO_RIS_EBIT,0,COLUMN()),6)</f>
        <v/>
      </c>
      <c r="AL126" s="1824">
        <f>ROUND(INDEX(SP_GF_EBIT,0,COLUMN())-INDEX(MO_RIS_EBIT,0,COLUMN()),6)</f>
        <v/>
      </c>
      <c r="AM126" s="1824">
        <f>ROUND(INDEX(SP_GF_EBIT,0,COLUMN())-INDEX(MO_RIS_EBIT,0,COLUMN()),6)</f>
        <v/>
      </c>
      <c r="AN126" s="1824">
        <f>ROUND(INDEX(SP_GF_EBIT,0,COLUMN())-INDEX(MO_RIS_EBIT,0,COLUMN()),6)</f>
        <v/>
      </c>
      <c r="AO126" s="1824">
        <f>ROUND(INDEX(SP_GF_EBIT,0,COLUMN())-INDEX(MO_RIS_EBIT,0,COLUMN()),6)</f>
        <v/>
      </c>
      <c r="AP126" s="1824">
        <f>ROUND(INDEX(SP_GF_EBIT,0,COLUMN())-INDEX(MO_RIS_EBIT,0,COLUMN()),6)</f>
        <v/>
      </c>
      <c r="AQ126" s="1824">
        <f>ROUND(INDEX(SP_GF_EBIT,0,COLUMN())-INDEX(MO_RIS_EBIT,0,COLUMN()),6)</f>
        <v/>
      </c>
      <c r="AR126" s="1824">
        <f>ROUND(INDEX(SP_GF_EBIT,0,COLUMN())-INDEX(MO_RIS_EBIT,0,COLUMN()),6)</f>
        <v/>
      </c>
      <c r="AS126" s="1824">
        <f>ROUND(INDEX(SP_GF_EBIT,0,COLUMN())-INDEX(MO_RIS_EBIT,0,COLUMN()),6)</f>
        <v/>
      </c>
      <c r="AT126" s="1824">
        <f>ROUND(INDEX(SP_GF_EBIT,0,COLUMN())-INDEX(MO_RIS_EBIT,0,COLUMN()),6)</f>
        <v/>
      </c>
      <c r="AU126" s="1824">
        <f>ROUND(INDEX(SP_GF_EBIT,0,COLUMN())-INDEX(MO_RIS_EBIT,0,COLUMN()),6)</f>
        <v/>
      </c>
      <c r="AV126" s="1824">
        <f>ROUND(INDEX(SP_GF_EBIT,0,COLUMN())-INDEX(MO_RIS_EBIT,0,COLUMN()),6)</f>
        <v/>
      </c>
      <c r="AW126" s="1824">
        <f>ROUND(INDEX(SP_GF_EBIT,0,COLUMN())-INDEX(MO_RIS_EBIT,0,COLUMN()),6)</f>
        <v/>
      </c>
      <c r="AX126" s="1824">
        <f>ROUND(INDEX(SP_GF_EBIT,0,COLUMN())-INDEX(MO_RIS_EBIT,0,COLUMN()),6)</f>
        <v/>
      </c>
      <c r="AY126" s="1824">
        <f>ROUND(INDEX(SP_GF_EBIT,0,COLUMN())-INDEX(MO_RIS_EBIT,0,COLUMN()),6)</f>
        <v/>
      </c>
      <c r="AZ126" s="1824">
        <f>ROUND(INDEX(SP_GF_EBIT,0,COLUMN())-INDEX(MO_RIS_EBIT,0,COLUMN()),6)</f>
        <v/>
      </c>
      <c r="BA126" s="1824">
        <f>ROUND(INDEX(SP_GF_EBIT,0,COLUMN())-INDEX(MO_RIS_EBIT,0,COLUMN()),6)</f>
        <v/>
      </c>
      <c r="BB126" s="1824">
        <f>ROUND(INDEX(SP_GF_EBIT,0,COLUMN())-INDEX(MO_RIS_EBIT,0,COLUMN()),6)</f>
        <v/>
      </c>
      <c r="BC126" s="1824">
        <f>ROUND(INDEX(SP_GF_EBIT,0,COLUMN())-INDEX(MO_RIS_EBIT,0,COLUMN()),6)</f>
        <v/>
      </c>
      <c r="BD126" s="1824">
        <f>ROUND(INDEX(SP_GF_EBIT,0,COLUMN())-INDEX(MO_RIS_EBIT,0,COLUMN()),6)</f>
        <v/>
      </c>
      <c r="BE126" s="1824">
        <f>ROUND(INDEX(SP_GF_EBIT,0,COLUMN())-INDEX(MO_RIS_EBIT,0,COLUMN()),6)</f>
        <v/>
      </c>
      <c r="BF126" s="1824">
        <f>ROUND(INDEX(SP_GF_EBIT,0,COLUMN())-INDEX(MO_RIS_EBIT,0,COLUMN()),6)</f>
        <v/>
      </c>
      <c r="BG126" s="1824">
        <f>ROUND(INDEX(SP_GF_EBIT,0,COLUMN())-INDEX(MO_RIS_EBIT,0,COLUMN()),6)</f>
        <v/>
      </c>
      <c r="BH126" s="1824">
        <f>ROUND(INDEX(SP_GF_EBIT,0,COLUMN())-INDEX(MO_RIS_EBIT,0,COLUMN()),6)</f>
        <v/>
      </c>
      <c r="BI126" s="1824">
        <f>ROUND(INDEX(SP_GF_EBIT,0,COLUMN())-INDEX(MO_RIS_EBIT,0,COLUMN()),6)</f>
        <v/>
      </c>
      <c r="BJ126" s="1824">
        <f>ROUND(INDEX(SP_GF_EBIT,0,COLUMN())-INDEX(MO_RIS_EBIT,0,COLUMN()),6)</f>
        <v/>
      </c>
      <c r="BK126" s="1824">
        <f>ROUND(INDEX(SP_GF_EBIT,0,COLUMN())-INDEX(MO_RIS_EBIT,0,COLUMN()),6)</f>
        <v/>
      </c>
      <c r="BL126" s="1824">
        <f>ROUND(INDEX(SP_GF_EBIT,0,COLUMN())-INDEX(MO_RIS_EBIT,0,COLUMN()),6)</f>
        <v/>
      </c>
      <c r="BM126" s="1824">
        <f>ROUND(INDEX(SP_GF_EBIT,0,COLUMN())-INDEX(MO_RIS_EBIT,0,COLUMN()),6)</f>
        <v/>
      </c>
      <c r="BN126" s="1824">
        <f>ROUND(INDEX(SP_GF_EBIT,0,COLUMN())-INDEX(MO_RIS_EBIT,0,COLUMN()),6)</f>
        <v/>
      </c>
      <c r="BO126" s="1825">
        <f>ROUND(INDEX(SP_GF_EBIT,0,COLUMN())-INDEX(MO_RIS_EBIT,0,COLUMN()),6)</f>
        <v/>
      </c>
      <c r="BP126" s="1824">
        <f>ROUND(INDEX(SP_GF_EBIT,0,COLUMN())-INDEX(MO_RIS_EBIT,0,COLUMN()),6)</f>
        <v/>
      </c>
      <c r="BQ126" s="1824">
        <f>ROUND(INDEX(SP_GF_EBIT,0,COLUMN())-INDEX(MO_RIS_EBIT,0,COLUMN()),6)</f>
        <v/>
      </c>
      <c r="BR126" s="1824">
        <f>ROUND(INDEX(SP_GF_EBIT,0,COLUMN())-INDEX(MO_RIS_EBIT,0,COLUMN()),6)</f>
        <v/>
      </c>
      <c r="BS126" s="1824">
        <f>ROUND(INDEX(SP_GF_EBIT,0,COLUMN())-INDEX(MO_RIS_EBIT,0,COLUMN()),6)</f>
        <v/>
      </c>
      <c r="BT126" s="1824">
        <f>ROUND(INDEX(SP_GF_EBIT,0,COLUMN())-INDEX(MO_RIS_EBIT,0,COLUMN()),6)</f>
        <v/>
      </c>
      <c r="BU126" s="1824">
        <f>ROUND(INDEX(SP_GF_EBIT,0,COLUMN())-INDEX(MO_RIS_EBIT,0,COLUMN()),6)</f>
        <v/>
      </c>
      <c r="BV126" s="1824">
        <f>ROUND(INDEX(SP_GF_EBIT,0,COLUMN())-INDEX(MO_RIS_EBIT,0,COLUMN()),6)</f>
        <v/>
      </c>
      <c r="BW126" s="1824">
        <f>ROUND(INDEX(SP_GF_EBIT,0,COLUMN())-INDEX(MO_RIS_EBIT,0,COLUMN()),6)</f>
        <v/>
      </c>
      <c r="BX126" s="1824">
        <f>ROUND(INDEX(SP_GF_EBIT,0,COLUMN())-INDEX(MO_RIS_EBIT,0,COLUMN()),6)</f>
        <v/>
      </c>
      <c r="BY126" s="1824">
        <f>ROUND(INDEX(SP_GF_EBIT,0,COLUMN())-INDEX(MO_RIS_EBIT,0,COLUMN()),6)</f>
        <v/>
      </c>
      <c r="BZ126" s="1824">
        <f>ROUND(INDEX(SP_GF_EBIT,0,COLUMN())-INDEX(MO_RIS_EBIT,0,COLUMN()),6)</f>
        <v/>
      </c>
      <c r="CA126" s="1824">
        <f>ROUND(INDEX(SP_GF_EBIT,0,COLUMN())-INDEX(MO_RIS_EBIT,0,COLUMN()),6)</f>
        <v/>
      </c>
      <c r="CB126" s="1824">
        <f>ROUND(INDEX(SP_GF_EBIT,0,COLUMN())-INDEX(MO_RIS_EBIT,0,COLUMN()),6)</f>
        <v/>
      </c>
      <c r="CC126" s="800" t="n"/>
    </row>
    <row r="127" hidden="1" outlineLevel="1" ht="15" customHeight="1" s="595">
      <c r="A127" s="1970" t="inlineStr">
        <is>
          <t>Adjusted EBITDA</t>
        </is>
      </c>
      <c r="B127" s="179" t="n"/>
      <c r="C127" s="1824">
        <f>ROUND(INDEX(SP_NGF_EBITDA,0,COLUMN())-INDEX(MO_RIS_EBITDA_Adj,0,COLUMN()),6)</f>
        <v/>
      </c>
      <c r="D127" s="1824">
        <f>ROUND(INDEX(SP_NGF_EBITDA,0,COLUMN())-INDEX(MO_RIS_EBITDA_Adj,0,COLUMN()),6)</f>
        <v/>
      </c>
      <c r="E127" s="1824">
        <f>ROUND(INDEX(SP_NGF_EBITDA,0,COLUMN())-INDEX(MO_RIS_EBITDA_Adj,0,COLUMN()),6)</f>
        <v/>
      </c>
      <c r="F127" s="1824">
        <f>ROUND(INDEX(SP_NGF_EBITDA,0,COLUMN())-INDEX(MO_RIS_EBITDA_Adj,0,COLUMN()),6)</f>
        <v/>
      </c>
      <c r="G127" s="1824">
        <f>ROUND(INDEX(SP_NGF_EBITDA,0,COLUMN())-INDEX(MO_RIS_EBITDA_Adj,0,COLUMN()),6)</f>
        <v/>
      </c>
      <c r="H127" s="1824">
        <f>ROUND(INDEX(SP_NGF_EBITDA,0,COLUMN())-INDEX(MO_RIS_EBITDA_Adj,0,COLUMN()),6)</f>
        <v/>
      </c>
      <c r="I127" s="1824">
        <f>ROUND(INDEX(SP_NGF_EBITDA,0,COLUMN())-INDEX(MO_RIS_EBITDA_Adj,0,COLUMN()),6)</f>
        <v/>
      </c>
      <c r="J127" s="1824">
        <f>ROUND(INDEX(SP_NGF_EBITDA,0,COLUMN())-INDEX(MO_RIS_EBITDA_Adj,0,COLUMN()),6)</f>
        <v/>
      </c>
      <c r="K127" s="1824">
        <f>ROUND(INDEX(SP_NGF_EBITDA,0,COLUMN())-INDEX(MO_RIS_EBITDA_Adj,0,COLUMN()),6)</f>
        <v/>
      </c>
      <c r="L127" s="1824">
        <f>ROUND(INDEX(SP_NGF_EBITDA,0,COLUMN())-INDEX(MO_RIS_EBITDA_Adj,0,COLUMN()),6)</f>
        <v/>
      </c>
      <c r="M127" s="1824">
        <f>ROUND(INDEX(SP_NGF_EBITDA,0,COLUMN())-INDEX(MO_RIS_EBITDA_Adj,0,COLUMN()),6)</f>
        <v/>
      </c>
      <c r="N127" s="1824">
        <f>ROUND(INDEX(SP_NGF_EBITDA,0,COLUMN())-INDEX(MO_RIS_EBITDA_Adj,0,COLUMN()),6)</f>
        <v/>
      </c>
      <c r="O127" s="1824">
        <f>ROUND(INDEX(SP_NGF_EBITDA,0,COLUMN())-INDEX(MO_RIS_EBITDA_Adj,0,COLUMN()),6)</f>
        <v/>
      </c>
      <c r="P127" s="1824">
        <f>ROUND(INDEX(SP_NGF_EBITDA,0,COLUMN())-INDEX(MO_RIS_EBITDA_Adj,0,COLUMN()),6)</f>
        <v/>
      </c>
      <c r="Q127" s="1824">
        <f>ROUND(INDEX(SP_NGF_EBITDA,0,COLUMN())-INDEX(MO_RIS_EBITDA_Adj,0,COLUMN()),6)</f>
        <v/>
      </c>
      <c r="R127" s="1824">
        <f>ROUND(INDEX(SP_NGF_EBITDA,0,COLUMN())-INDEX(MO_RIS_EBITDA_Adj,0,COLUMN()),6)</f>
        <v/>
      </c>
      <c r="S127" s="1824">
        <f>ROUND(INDEX(SP_NGF_EBITDA,0,COLUMN())-INDEX(MO_RIS_EBITDA_Adj,0,COLUMN()),6)</f>
        <v/>
      </c>
      <c r="T127" s="1824">
        <f>ROUND(INDEX(SP_NGF_EBITDA,0,COLUMN())-INDEX(MO_RIS_EBITDA_Adj,0,COLUMN()),6)</f>
        <v/>
      </c>
      <c r="U127" s="1824">
        <f>ROUND(INDEX(SP_NGF_EBITDA,0,COLUMN())-INDEX(MO_RIS_EBITDA_Adj,0,COLUMN()),6)</f>
        <v/>
      </c>
      <c r="V127" s="1824">
        <f>ROUND(INDEX(SP_NGF_EBITDA,0,COLUMN())-INDEX(MO_RIS_EBITDA_Adj,0,COLUMN()),6)</f>
        <v/>
      </c>
      <c r="W127" s="1824">
        <f>ROUND(INDEX(SP_NGF_EBITDA,0,COLUMN())-INDEX(MO_RIS_EBITDA_Adj,0,COLUMN()),6)</f>
        <v/>
      </c>
      <c r="X127" s="1824">
        <f>ROUND(INDEX(SP_NGF_EBITDA,0,COLUMN())-INDEX(MO_RIS_EBITDA_Adj,0,COLUMN()),6)</f>
        <v/>
      </c>
      <c r="Y127" s="1824">
        <f>ROUND(INDEX(SP_NGF_EBITDA,0,COLUMN())-INDEX(MO_RIS_EBITDA_Adj,0,COLUMN()),6)</f>
        <v/>
      </c>
      <c r="Z127" s="1824">
        <f>ROUND(INDEX(SP_NGF_EBITDA,0,COLUMN())-INDEX(MO_RIS_EBITDA_Adj,0,COLUMN()),6)</f>
        <v/>
      </c>
      <c r="AA127" s="1824">
        <f>ROUND(INDEX(SP_NGF_EBITDA,0,COLUMN())-INDEX(MO_RIS_EBITDA_Adj,0,COLUMN()),6)</f>
        <v/>
      </c>
      <c r="AB127" s="1824">
        <f>ROUND(INDEX(SP_NGF_EBITDA,0,COLUMN())-INDEX(MO_RIS_EBITDA_Adj,0,COLUMN()),6)</f>
        <v/>
      </c>
      <c r="AC127" s="1824">
        <f>ROUND(INDEX(SP_NGF_EBITDA,0,COLUMN())-INDEX(MO_RIS_EBITDA_Adj,0,COLUMN()),6)</f>
        <v/>
      </c>
      <c r="AD127" s="1824">
        <f>ROUND(INDEX(SP_NGF_EBITDA,0,COLUMN())-INDEX(MO_RIS_EBITDA_Adj,0,COLUMN()),6)</f>
        <v/>
      </c>
      <c r="AE127" s="1824">
        <f>ROUND(INDEX(SP_NGF_EBITDA,0,COLUMN())-INDEX(MO_RIS_EBITDA_Adj,0,COLUMN()),6)</f>
        <v/>
      </c>
      <c r="AF127" s="1824">
        <f>ROUND(INDEX(SP_NGF_EBITDA,0,COLUMN())-INDEX(MO_RIS_EBITDA_Adj,0,COLUMN()),6)</f>
        <v/>
      </c>
      <c r="AG127" s="1824">
        <f>ROUND(INDEX(SP_NGF_EBITDA,0,COLUMN())-INDEX(MO_RIS_EBITDA_Adj,0,COLUMN()),6)</f>
        <v/>
      </c>
      <c r="AH127" s="1824">
        <f>ROUND(INDEX(SP_NGF_EBITDA,0,COLUMN())-INDEX(MO_RIS_EBITDA_Adj,0,COLUMN()),6)</f>
        <v/>
      </c>
      <c r="AI127" s="1824">
        <f>ROUND(INDEX(SP_NGF_EBITDA,0,COLUMN())-INDEX(MO_RIS_EBITDA_Adj,0,COLUMN()),6)</f>
        <v/>
      </c>
      <c r="AJ127" s="1824">
        <f>ROUND(INDEX(SP_NGF_EBITDA,0,COLUMN())-INDEX(MO_RIS_EBITDA_Adj,0,COLUMN()),6)</f>
        <v/>
      </c>
      <c r="AK127" s="1824">
        <f>ROUND(INDEX(SP_NGF_EBITDA,0,COLUMN())-INDEX(MO_RIS_EBITDA_Adj,0,COLUMN()),6)</f>
        <v/>
      </c>
      <c r="AL127" s="1824">
        <f>ROUND(INDEX(SP_NGF_EBITDA,0,COLUMN())-INDEX(MO_RIS_EBITDA_Adj,0,COLUMN()),6)</f>
        <v/>
      </c>
      <c r="AM127" s="1824">
        <f>ROUND(INDEX(SP_NGF_EBITDA,0,COLUMN())-INDEX(MO_RIS_EBITDA_Adj,0,COLUMN()),6)</f>
        <v/>
      </c>
      <c r="AN127" s="1824">
        <f>ROUND(INDEX(SP_NGF_EBITDA,0,COLUMN())-INDEX(MO_RIS_EBITDA_Adj,0,COLUMN()),6)</f>
        <v/>
      </c>
      <c r="AO127" s="1824">
        <f>ROUND(INDEX(SP_NGF_EBITDA,0,COLUMN())-INDEX(MO_RIS_EBITDA_Adj,0,COLUMN()),6)</f>
        <v/>
      </c>
      <c r="AP127" s="1824">
        <f>ROUND(INDEX(SP_NGF_EBITDA,0,COLUMN())-INDEX(MO_RIS_EBITDA_Adj,0,COLUMN()),6)</f>
        <v/>
      </c>
      <c r="AQ127" s="1824">
        <f>ROUND(INDEX(SP_NGF_EBITDA,0,COLUMN())-INDEX(MO_RIS_EBITDA_Adj,0,COLUMN()),6)</f>
        <v/>
      </c>
      <c r="AR127" s="1824">
        <f>ROUND(INDEX(SP_NGF_EBITDA,0,COLUMN())-INDEX(MO_RIS_EBITDA_Adj,0,COLUMN()),6)</f>
        <v/>
      </c>
      <c r="AS127" s="1824">
        <f>ROUND(INDEX(SP_NGF_EBITDA,0,COLUMN())-INDEX(MO_RIS_EBITDA_Adj,0,COLUMN()),6)</f>
        <v/>
      </c>
      <c r="AT127" s="1824">
        <f>ROUND(INDEX(SP_NGF_EBITDA,0,COLUMN())-INDEX(MO_RIS_EBITDA_Adj,0,COLUMN()),6)</f>
        <v/>
      </c>
      <c r="AU127" s="1824">
        <f>ROUND(INDEX(SP_NGF_EBITDA,0,COLUMN())-INDEX(MO_RIS_EBITDA_Adj,0,COLUMN()),6)</f>
        <v/>
      </c>
      <c r="AV127" s="1824">
        <f>ROUND(INDEX(SP_NGF_EBITDA,0,COLUMN())-INDEX(MO_RIS_EBITDA_Adj,0,COLUMN()),6)</f>
        <v/>
      </c>
      <c r="AW127" s="1824">
        <f>ROUND(INDEX(SP_NGF_EBITDA,0,COLUMN())-INDEX(MO_RIS_EBITDA_Adj,0,COLUMN()),6)</f>
        <v/>
      </c>
      <c r="AX127" s="1824">
        <f>ROUND(INDEX(SP_NGF_EBITDA,0,COLUMN())-INDEX(MO_RIS_EBITDA_Adj,0,COLUMN()),6)</f>
        <v/>
      </c>
      <c r="AY127" s="1824">
        <f>ROUND(INDEX(SP_NGF_EBITDA,0,COLUMN())-INDEX(MO_RIS_EBITDA_Adj,0,COLUMN()),6)</f>
        <v/>
      </c>
      <c r="AZ127" s="1824">
        <f>ROUND(INDEX(SP_NGF_EBITDA,0,COLUMN())-INDEX(MO_RIS_EBITDA_Adj,0,COLUMN()),6)</f>
        <v/>
      </c>
      <c r="BA127" s="1824">
        <f>ROUND(INDEX(SP_NGF_EBITDA,0,COLUMN())-INDEX(MO_RIS_EBITDA_Adj,0,COLUMN()),6)</f>
        <v/>
      </c>
      <c r="BB127" s="1824">
        <f>ROUND(INDEX(SP_NGF_EBITDA,0,COLUMN())-INDEX(MO_RIS_EBITDA_Adj,0,COLUMN()),6)</f>
        <v/>
      </c>
      <c r="BC127" s="1824">
        <f>ROUND(INDEX(SP_NGF_EBITDA,0,COLUMN())-INDEX(MO_RIS_EBITDA_Adj,0,COLUMN()),6)</f>
        <v/>
      </c>
      <c r="BD127" s="1824">
        <f>ROUND(INDEX(SP_NGF_EBITDA,0,COLUMN())-INDEX(MO_RIS_EBITDA_Adj,0,COLUMN()),6)</f>
        <v/>
      </c>
      <c r="BE127" s="1824">
        <f>ROUND(INDEX(SP_NGF_EBITDA,0,COLUMN())-INDEX(MO_RIS_EBITDA_Adj,0,COLUMN()),6)</f>
        <v/>
      </c>
      <c r="BF127" s="1824">
        <f>ROUND(INDEX(SP_NGF_EBITDA,0,COLUMN())-INDEX(MO_RIS_EBITDA_Adj,0,COLUMN()),6)</f>
        <v/>
      </c>
      <c r="BG127" s="1824">
        <f>ROUND(INDEX(SP_NGF_EBITDA,0,COLUMN())-INDEX(MO_RIS_EBITDA_Adj,0,COLUMN()),6)</f>
        <v/>
      </c>
      <c r="BH127" s="1824">
        <f>ROUND(INDEX(SP_NGF_EBITDA,0,COLUMN())-INDEX(MO_RIS_EBITDA_Adj,0,COLUMN()),6)</f>
        <v/>
      </c>
      <c r="BI127" s="1824">
        <f>ROUND(INDEX(SP_NGF_EBITDA,0,COLUMN())-INDEX(MO_RIS_EBITDA_Adj,0,COLUMN()),6)</f>
        <v/>
      </c>
      <c r="BJ127" s="1824">
        <f>ROUND(INDEX(SP_NGF_EBITDA,0,COLUMN())-INDEX(MO_RIS_EBITDA_Adj,0,COLUMN()),6)</f>
        <v/>
      </c>
      <c r="BK127" s="1824">
        <f>ROUND(INDEX(SP_NGF_EBITDA,0,COLUMN())-INDEX(MO_RIS_EBITDA_Adj,0,COLUMN()),6)</f>
        <v/>
      </c>
      <c r="BL127" s="1824">
        <f>ROUND(INDEX(SP_NGF_EBITDA,0,COLUMN())-INDEX(MO_RIS_EBITDA_Adj,0,COLUMN()),6)</f>
        <v/>
      </c>
      <c r="BM127" s="1824">
        <f>ROUND(INDEX(SP_NGF_EBITDA,0,COLUMN())-INDEX(MO_RIS_EBITDA_Adj,0,COLUMN()),6)</f>
        <v/>
      </c>
      <c r="BN127" s="1824">
        <f>ROUND(INDEX(SP_NGF_EBITDA,0,COLUMN())-INDEX(MO_RIS_EBITDA_Adj,0,COLUMN()),6)</f>
        <v/>
      </c>
      <c r="BO127" s="1825">
        <f>ROUND(INDEX(SP_NGF_EBITDA,0,COLUMN())-INDEX(MO_RIS_EBITDA_Adj,0,COLUMN()),6)</f>
        <v/>
      </c>
      <c r="BP127" s="1824">
        <f>ROUND(INDEX(SP_NGF_EBITDA,0,COLUMN())-INDEX(MO_RIS_EBITDA_Adj,0,COLUMN()),6)</f>
        <v/>
      </c>
      <c r="BQ127" s="1824">
        <f>ROUND(INDEX(SP_NGF_EBITDA,0,COLUMN())-INDEX(MO_RIS_EBITDA_Adj,0,COLUMN()),6)</f>
        <v/>
      </c>
      <c r="BR127" s="1824">
        <f>ROUND(INDEX(SP_NGF_EBITDA,0,COLUMN())-INDEX(MO_RIS_EBITDA_Adj,0,COLUMN()),6)</f>
        <v/>
      </c>
      <c r="BS127" s="1824">
        <f>ROUND(INDEX(SP_NGF_EBITDA,0,COLUMN())-INDEX(MO_RIS_EBITDA_Adj,0,COLUMN()),6)</f>
        <v/>
      </c>
      <c r="BT127" s="1824">
        <f>ROUND(INDEX(SP_NGF_EBITDA,0,COLUMN())-INDEX(MO_RIS_EBITDA_Adj,0,COLUMN()),6)</f>
        <v/>
      </c>
      <c r="BU127" s="1824">
        <f>ROUND(INDEX(SP_NGF_EBITDA,0,COLUMN())-INDEX(MO_RIS_EBITDA_Adj,0,COLUMN()),6)</f>
        <v/>
      </c>
      <c r="BV127" s="1824">
        <f>ROUND(INDEX(SP_NGF_EBITDA,0,COLUMN())-INDEX(MO_RIS_EBITDA_Adj,0,COLUMN()),6)</f>
        <v/>
      </c>
      <c r="BW127" s="1824">
        <f>ROUND(INDEX(SP_NGF_EBITDA,0,COLUMN())-INDEX(MO_RIS_EBITDA_Adj,0,COLUMN()),6)</f>
        <v/>
      </c>
      <c r="BX127" s="1824">
        <f>ROUND(INDEX(SP_NGF_EBITDA,0,COLUMN())-INDEX(MO_RIS_EBITDA_Adj,0,COLUMN()),6)</f>
        <v/>
      </c>
      <c r="BY127" s="1824">
        <f>ROUND(INDEX(SP_NGF_EBITDA,0,COLUMN())-INDEX(MO_RIS_EBITDA_Adj,0,COLUMN()),6)</f>
        <v/>
      </c>
      <c r="BZ127" s="1824">
        <f>ROUND(INDEX(SP_NGF_EBITDA,0,COLUMN())-INDEX(MO_RIS_EBITDA_Adj,0,COLUMN()),6)</f>
        <v/>
      </c>
      <c r="CA127" s="1824">
        <f>ROUND(INDEX(SP_NGF_EBITDA,0,COLUMN())-INDEX(MO_RIS_EBITDA_Adj,0,COLUMN()),6)</f>
        <v/>
      </c>
      <c r="CB127" s="1824">
        <f>ROUND(INDEX(SP_NGF_EBITDA,0,COLUMN())-INDEX(MO_RIS_EBITDA_Adj,0,COLUMN()),6)</f>
        <v/>
      </c>
      <c r="CC127" s="800" t="n"/>
    </row>
    <row r="128" hidden="1" outlineLevel="1" ht="15" customHeight="1" s="595">
      <c r="A128" s="1970" t="inlineStr">
        <is>
          <t>Adjusted EBIT</t>
        </is>
      </c>
      <c r="B128" s="179" t="n"/>
      <c r="C128" s="1824">
        <f>ROUND(INDEX(SP_NGF_EBIT,0,COLUMN())-INDEX(MO_RIS_EBIT_Adj,0,COLUMN()),6)</f>
        <v/>
      </c>
      <c r="D128" s="1824">
        <f>ROUND(INDEX(SP_NGF_EBIT,0,COLUMN())-INDEX(MO_RIS_EBIT_Adj,0,COLUMN()),6)</f>
        <v/>
      </c>
      <c r="E128" s="1824">
        <f>ROUND(INDEX(SP_NGF_EBIT,0,COLUMN())-INDEX(MO_RIS_EBIT_Adj,0,COLUMN()),6)</f>
        <v/>
      </c>
      <c r="F128" s="1824">
        <f>ROUND(INDEX(SP_NGF_EBIT,0,COLUMN())-INDEX(MO_RIS_EBIT_Adj,0,COLUMN()),6)</f>
        <v/>
      </c>
      <c r="G128" s="1824">
        <f>ROUND(INDEX(SP_NGF_EBIT,0,COLUMN())-INDEX(MO_RIS_EBIT_Adj,0,COLUMN()),6)</f>
        <v/>
      </c>
      <c r="H128" s="1824">
        <f>ROUND(INDEX(SP_NGF_EBIT,0,COLUMN())-INDEX(MO_RIS_EBIT_Adj,0,COLUMN()),6)</f>
        <v/>
      </c>
      <c r="I128" s="1824">
        <f>ROUND(INDEX(SP_NGF_EBIT,0,COLUMN())-INDEX(MO_RIS_EBIT_Adj,0,COLUMN()),6)</f>
        <v/>
      </c>
      <c r="J128" s="1824">
        <f>ROUND(INDEX(SP_NGF_EBIT,0,COLUMN())-INDEX(MO_RIS_EBIT_Adj,0,COLUMN()),6)</f>
        <v/>
      </c>
      <c r="K128" s="1824">
        <f>ROUND(INDEX(SP_NGF_EBIT,0,COLUMN())-INDEX(MO_RIS_EBIT_Adj,0,COLUMN()),6)</f>
        <v/>
      </c>
      <c r="L128" s="1824">
        <f>ROUND(INDEX(SP_NGF_EBIT,0,COLUMN())-INDEX(MO_RIS_EBIT_Adj,0,COLUMN()),6)</f>
        <v/>
      </c>
      <c r="M128" s="1824">
        <f>ROUND(INDEX(SP_NGF_EBIT,0,COLUMN())-INDEX(MO_RIS_EBIT_Adj,0,COLUMN()),6)</f>
        <v/>
      </c>
      <c r="N128" s="1824">
        <f>ROUND(INDEX(SP_NGF_EBIT,0,COLUMN())-INDEX(MO_RIS_EBIT_Adj,0,COLUMN()),6)</f>
        <v/>
      </c>
      <c r="O128" s="1824">
        <f>ROUND(INDEX(SP_NGF_EBIT,0,COLUMN())-INDEX(MO_RIS_EBIT_Adj,0,COLUMN()),6)</f>
        <v/>
      </c>
      <c r="P128" s="1824">
        <f>ROUND(INDEX(SP_NGF_EBIT,0,COLUMN())-INDEX(MO_RIS_EBIT_Adj,0,COLUMN()),6)</f>
        <v/>
      </c>
      <c r="Q128" s="1824">
        <f>ROUND(INDEX(SP_NGF_EBIT,0,COLUMN())-INDEX(MO_RIS_EBIT_Adj,0,COLUMN()),6)</f>
        <v/>
      </c>
      <c r="R128" s="1824">
        <f>ROUND(INDEX(SP_NGF_EBIT,0,COLUMN())-INDEX(MO_RIS_EBIT_Adj,0,COLUMN()),6)</f>
        <v/>
      </c>
      <c r="S128" s="1824">
        <f>ROUND(INDEX(SP_NGF_EBIT,0,COLUMN())-INDEX(MO_RIS_EBIT_Adj,0,COLUMN()),6)</f>
        <v/>
      </c>
      <c r="T128" s="1824">
        <f>ROUND(INDEX(SP_NGF_EBIT,0,COLUMN())-INDEX(MO_RIS_EBIT_Adj,0,COLUMN()),6)</f>
        <v/>
      </c>
      <c r="U128" s="1824">
        <f>ROUND(INDEX(SP_NGF_EBIT,0,COLUMN())-INDEX(MO_RIS_EBIT_Adj,0,COLUMN()),6)</f>
        <v/>
      </c>
      <c r="V128" s="1824">
        <f>ROUND(INDEX(SP_NGF_EBIT,0,COLUMN())-INDEX(MO_RIS_EBIT_Adj,0,COLUMN()),6)</f>
        <v/>
      </c>
      <c r="W128" s="1824">
        <f>ROUND(INDEX(SP_NGF_EBIT,0,COLUMN())-INDEX(MO_RIS_EBIT_Adj,0,COLUMN()),6)</f>
        <v/>
      </c>
      <c r="X128" s="1824">
        <f>ROUND(INDEX(SP_NGF_EBIT,0,COLUMN())-INDEX(MO_RIS_EBIT_Adj,0,COLUMN()),6)</f>
        <v/>
      </c>
      <c r="Y128" s="1824">
        <f>ROUND(INDEX(SP_NGF_EBIT,0,COLUMN())-INDEX(MO_RIS_EBIT_Adj,0,COLUMN()),6)</f>
        <v/>
      </c>
      <c r="Z128" s="1824">
        <f>ROUND(INDEX(SP_NGF_EBIT,0,COLUMN())-INDEX(MO_RIS_EBIT_Adj,0,COLUMN()),6)</f>
        <v/>
      </c>
      <c r="AA128" s="1824">
        <f>ROUND(INDEX(SP_NGF_EBIT,0,COLUMN())-INDEX(MO_RIS_EBIT_Adj,0,COLUMN()),6)</f>
        <v/>
      </c>
      <c r="AB128" s="1824">
        <f>ROUND(INDEX(SP_NGF_EBIT,0,COLUMN())-INDEX(MO_RIS_EBIT_Adj,0,COLUMN()),6)</f>
        <v/>
      </c>
      <c r="AC128" s="1824">
        <f>ROUND(INDEX(SP_NGF_EBIT,0,COLUMN())-INDEX(MO_RIS_EBIT_Adj,0,COLUMN()),6)</f>
        <v/>
      </c>
      <c r="AD128" s="1824">
        <f>ROUND(INDEX(SP_NGF_EBIT,0,COLUMN())-INDEX(MO_RIS_EBIT_Adj,0,COLUMN()),6)</f>
        <v/>
      </c>
      <c r="AE128" s="1824">
        <f>ROUND(INDEX(SP_NGF_EBIT,0,COLUMN())-INDEX(MO_RIS_EBIT_Adj,0,COLUMN()),6)</f>
        <v/>
      </c>
      <c r="AF128" s="1824">
        <f>ROUND(INDEX(SP_NGF_EBIT,0,COLUMN())-INDEX(MO_RIS_EBIT_Adj,0,COLUMN()),6)</f>
        <v/>
      </c>
      <c r="AG128" s="1824">
        <f>ROUND(INDEX(SP_NGF_EBIT,0,COLUMN())-INDEX(MO_RIS_EBIT_Adj,0,COLUMN()),6)</f>
        <v/>
      </c>
      <c r="AH128" s="1824">
        <f>ROUND(INDEX(SP_NGF_EBIT,0,COLUMN())-INDEX(MO_RIS_EBIT_Adj,0,COLUMN()),6)</f>
        <v/>
      </c>
      <c r="AI128" s="1824">
        <f>ROUND(INDEX(SP_NGF_EBIT,0,COLUMN())-INDEX(MO_RIS_EBIT_Adj,0,COLUMN()),6)</f>
        <v/>
      </c>
      <c r="AJ128" s="1824">
        <f>ROUND(INDEX(SP_NGF_EBIT,0,COLUMN())-INDEX(MO_RIS_EBIT_Adj,0,COLUMN()),6)</f>
        <v/>
      </c>
      <c r="AK128" s="1824">
        <f>ROUND(INDEX(SP_NGF_EBIT,0,COLUMN())-INDEX(MO_RIS_EBIT_Adj,0,COLUMN()),6)</f>
        <v/>
      </c>
      <c r="AL128" s="1824">
        <f>ROUND(INDEX(SP_NGF_EBIT,0,COLUMN())-INDEX(MO_RIS_EBIT_Adj,0,COLUMN()),6)</f>
        <v/>
      </c>
      <c r="AM128" s="1824">
        <f>ROUND(INDEX(SP_NGF_EBIT,0,COLUMN())-INDEX(MO_RIS_EBIT_Adj,0,COLUMN()),6)</f>
        <v/>
      </c>
      <c r="AN128" s="1824">
        <f>ROUND(INDEX(SP_NGF_EBIT,0,COLUMN())-INDEX(MO_RIS_EBIT_Adj,0,COLUMN()),6)</f>
        <v/>
      </c>
      <c r="AO128" s="1824">
        <f>ROUND(INDEX(SP_NGF_EBIT,0,COLUMN())-INDEX(MO_RIS_EBIT_Adj,0,COLUMN()),6)</f>
        <v/>
      </c>
      <c r="AP128" s="1824">
        <f>ROUND(INDEX(SP_NGF_EBIT,0,COLUMN())-INDEX(MO_RIS_EBIT_Adj,0,COLUMN()),6)</f>
        <v/>
      </c>
      <c r="AQ128" s="1824">
        <f>ROUND(INDEX(SP_NGF_EBIT,0,COLUMN())-INDEX(MO_RIS_EBIT_Adj,0,COLUMN()),6)</f>
        <v/>
      </c>
      <c r="AR128" s="1824">
        <f>ROUND(INDEX(SP_NGF_EBIT,0,COLUMN())-INDEX(MO_RIS_EBIT_Adj,0,COLUMN()),6)</f>
        <v/>
      </c>
      <c r="AS128" s="1824">
        <f>ROUND(INDEX(SP_NGF_EBIT,0,COLUMN())-INDEX(MO_RIS_EBIT_Adj,0,COLUMN()),6)</f>
        <v/>
      </c>
      <c r="AT128" s="1824">
        <f>ROUND(INDEX(SP_NGF_EBIT,0,COLUMN())-INDEX(MO_RIS_EBIT_Adj,0,COLUMN()),6)</f>
        <v/>
      </c>
      <c r="AU128" s="1824">
        <f>ROUND(INDEX(SP_NGF_EBIT,0,COLUMN())-INDEX(MO_RIS_EBIT_Adj,0,COLUMN()),6)</f>
        <v/>
      </c>
      <c r="AV128" s="1824">
        <f>ROUND(INDEX(SP_NGF_EBIT,0,COLUMN())-INDEX(MO_RIS_EBIT_Adj,0,COLUMN()),6)</f>
        <v/>
      </c>
      <c r="AW128" s="1824">
        <f>ROUND(INDEX(SP_NGF_EBIT,0,COLUMN())-INDEX(MO_RIS_EBIT_Adj,0,COLUMN()),6)</f>
        <v/>
      </c>
      <c r="AX128" s="1824">
        <f>ROUND(INDEX(SP_NGF_EBIT,0,COLUMN())-INDEX(MO_RIS_EBIT_Adj,0,COLUMN()),6)</f>
        <v/>
      </c>
      <c r="AY128" s="1824">
        <f>ROUND(INDEX(SP_NGF_EBIT,0,COLUMN())-INDEX(MO_RIS_EBIT_Adj,0,COLUMN()),6)</f>
        <v/>
      </c>
      <c r="AZ128" s="1824">
        <f>ROUND(INDEX(SP_NGF_EBIT,0,COLUMN())-INDEX(MO_RIS_EBIT_Adj,0,COLUMN()),6)</f>
        <v/>
      </c>
      <c r="BA128" s="1824">
        <f>ROUND(INDEX(SP_NGF_EBIT,0,COLUMN())-INDEX(MO_RIS_EBIT_Adj,0,COLUMN()),6)</f>
        <v/>
      </c>
      <c r="BB128" s="1824">
        <f>ROUND(INDEX(SP_NGF_EBIT,0,COLUMN())-INDEX(MO_RIS_EBIT_Adj,0,COLUMN()),6)</f>
        <v/>
      </c>
      <c r="BC128" s="1824">
        <f>ROUND(INDEX(SP_NGF_EBIT,0,COLUMN())-INDEX(MO_RIS_EBIT_Adj,0,COLUMN()),6)</f>
        <v/>
      </c>
      <c r="BD128" s="1824">
        <f>ROUND(INDEX(SP_NGF_EBIT,0,COLUMN())-INDEX(MO_RIS_EBIT_Adj,0,COLUMN()),6)</f>
        <v/>
      </c>
      <c r="BE128" s="1824">
        <f>ROUND(INDEX(SP_NGF_EBIT,0,COLUMN())-INDEX(MO_RIS_EBIT_Adj,0,COLUMN()),6)</f>
        <v/>
      </c>
      <c r="BF128" s="1824">
        <f>ROUND(INDEX(SP_NGF_EBIT,0,COLUMN())-INDEX(MO_RIS_EBIT_Adj,0,COLUMN()),6)</f>
        <v/>
      </c>
      <c r="BG128" s="1824">
        <f>ROUND(INDEX(SP_NGF_EBIT,0,COLUMN())-INDEX(MO_RIS_EBIT_Adj,0,COLUMN()),6)</f>
        <v/>
      </c>
      <c r="BH128" s="1824">
        <f>ROUND(INDEX(SP_NGF_EBIT,0,COLUMN())-INDEX(MO_RIS_EBIT_Adj,0,COLUMN()),6)</f>
        <v/>
      </c>
      <c r="BI128" s="1824">
        <f>ROUND(INDEX(SP_NGF_EBIT,0,COLUMN())-INDEX(MO_RIS_EBIT_Adj,0,COLUMN()),6)</f>
        <v/>
      </c>
      <c r="BJ128" s="1824">
        <f>ROUND(INDEX(SP_NGF_EBIT,0,COLUMN())-INDEX(MO_RIS_EBIT_Adj,0,COLUMN()),6)</f>
        <v/>
      </c>
      <c r="BK128" s="1824">
        <f>ROUND(INDEX(SP_NGF_EBIT,0,COLUMN())-INDEX(MO_RIS_EBIT_Adj,0,COLUMN()),6)</f>
        <v/>
      </c>
      <c r="BL128" s="1824">
        <f>ROUND(INDEX(SP_NGF_EBIT,0,COLUMN())-INDEX(MO_RIS_EBIT_Adj,0,COLUMN()),6)</f>
        <v/>
      </c>
      <c r="BM128" s="1824">
        <f>ROUND(INDEX(SP_NGF_EBIT,0,COLUMN())-INDEX(MO_RIS_EBIT_Adj,0,COLUMN()),6)</f>
        <v/>
      </c>
      <c r="BN128" s="1824">
        <f>ROUND(INDEX(SP_NGF_EBIT,0,COLUMN())-INDEX(MO_RIS_EBIT_Adj,0,COLUMN()),6)</f>
        <v/>
      </c>
      <c r="BO128" s="1825">
        <f>ROUND(INDEX(SP_NGF_EBIT,0,COLUMN())-INDEX(MO_RIS_EBIT_Adj,0,COLUMN()),6)</f>
        <v/>
      </c>
      <c r="BP128" s="1824">
        <f>ROUND(INDEX(SP_NGF_EBIT,0,COLUMN())-INDEX(MO_RIS_EBIT_Adj,0,COLUMN()),6)</f>
        <v/>
      </c>
      <c r="BQ128" s="1824">
        <f>ROUND(INDEX(SP_NGF_EBIT,0,COLUMN())-INDEX(MO_RIS_EBIT_Adj,0,COLUMN()),6)</f>
        <v/>
      </c>
      <c r="BR128" s="1824">
        <f>ROUND(INDEX(SP_NGF_EBIT,0,COLUMN())-INDEX(MO_RIS_EBIT_Adj,0,COLUMN()),6)</f>
        <v/>
      </c>
      <c r="BS128" s="1824">
        <f>ROUND(INDEX(SP_NGF_EBIT,0,COLUMN())-INDEX(MO_RIS_EBIT_Adj,0,COLUMN()),6)</f>
        <v/>
      </c>
      <c r="BT128" s="1824">
        <f>ROUND(INDEX(SP_NGF_EBIT,0,COLUMN())-INDEX(MO_RIS_EBIT_Adj,0,COLUMN()),6)</f>
        <v/>
      </c>
      <c r="BU128" s="1824">
        <f>ROUND(INDEX(SP_NGF_EBIT,0,COLUMN())-INDEX(MO_RIS_EBIT_Adj,0,COLUMN()),6)</f>
        <v/>
      </c>
      <c r="BV128" s="1824">
        <f>ROUND(INDEX(SP_NGF_EBIT,0,COLUMN())-INDEX(MO_RIS_EBIT_Adj,0,COLUMN()),6)</f>
        <v/>
      </c>
      <c r="BW128" s="1824">
        <f>ROUND(INDEX(SP_NGF_EBIT,0,COLUMN())-INDEX(MO_RIS_EBIT_Adj,0,COLUMN()),6)</f>
        <v/>
      </c>
      <c r="BX128" s="1824">
        <f>ROUND(INDEX(SP_NGF_EBIT,0,COLUMN())-INDEX(MO_RIS_EBIT_Adj,0,COLUMN()),6)</f>
        <v/>
      </c>
      <c r="BY128" s="1824">
        <f>ROUND(INDEX(SP_NGF_EBIT,0,COLUMN())-INDEX(MO_RIS_EBIT_Adj,0,COLUMN()),6)</f>
        <v/>
      </c>
      <c r="BZ128" s="1824">
        <f>ROUND(INDEX(SP_NGF_EBIT,0,COLUMN())-INDEX(MO_RIS_EBIT_Adj,0,COLUMN()),6)</f>
        <v/>
      </c>
      <c r="CA128" s="1824">
        <f>ROUND(INDEX(SP_NGF_EBIT,0,COLUMN())-INDEX(MO_RIS_EBIT_Adj,0,COLUMN()),6)</f>
        <v/>
      </c>
      <c r="CB128" s="1824">
        <f>ROUND(INDEX(SP_NGF_EBIT,0,COLUMN())-INDEX(MO_RIS_EBIT_Adj,0,COLUMN()),6)</f>
        <v/>
      </c>
      <c r="CC128" s="800" t="n"/>
    </row>
    <row r="129" hidden="1" outlineLevel="1" ht="15" customHeight="1" s="595">
      <c r="A129" s="1970" t="inlineStr">
        <is>
          <t>Non GAAP NI</t>
        </is>
      </c>
      <c r="B129" s="179" t="n"/>
      <c r="C129" s="1824">
        <f>ROUND(INDEX(SP_NGF_NI,0,COLUMN())-INDEX(MO_RIS_NI_NONGAAP_Diluted,0,COLUMN()),6)</f>
        <v/>
      </c>
      <c r="D129" s="1824">
        <f>ROUND(INDEX(SP_NGF_NI,0,COLUMN())-INDEX(MO_RIS_NI_NONGAAP_Diluted,0,COLUMN()),6)</f>
        <v/>
      </c>
      <c r="E129" s="1824">
        <f>ROUND(INDEX(SP_NGF_NI,0,COLUMN())-INDEX(MO_RIS_NI_NONGAAP_Diluted,0,COLUMN()),6)</f>
        <v/>
      </c>
      <c r="F129" s="1824">
        <f>ROUND(INDEX(SP_NGF_NI,0,COLUMN())-INDEX(MO_RIS_NI_NONGAAP_Diluted,0,COLUMN()),6)</f>
        <v/>
      </c>
      <c r="G129" s="1824">
        <f>ROUND(INDEX(SP_NGF_NI,0,COLUMN())-INDEX(MO_RIS_NI_NONGAAP_Diluted,0,COLUMN()),6)</f>
        <v/>
      </c>
      <c r="H129" s="1824">
        <f>ROUND(INDEX(SP_NGF_NI,0,COLUMN())-INDEX(MO_RIS_NI_NONGAAP_Diluted,0,COLUMN()),6)</f>
        <v/>
      </c>
      <c r="I129" s="1824">
        <f>ROUND(INDEX(SP_NGF_NI,0,COLUMN())-INDEX(MO_RIS_NI_NONGAAP_Diluted,0,COLUMN()),6)</f>
        <v/>
      </c>
      <c r="J129" s="1824">
        <f>ROUND(INDEX(SP_NGF_NI,0,COLUMN())-INDEX(MO_RIS_NI_NONGAAP_Diluted,0,COLUMN()),6)</f>
        <v/>
      </c>
      <c r="K129" s="1824">
        <f>ROUND(INDEX(SP_NGF_NI,0,COLUMN())-INDEX(MO_RIS_NI_NONGAAP_Diluted,0,COLUMN()),6)</f>
        <v/>
      </c>
      <c r="L129" s="1824">
        <f>ROUND(INDEX(SP_NGF_NI,0,COLUMN())-INDEX(MO_RIS_NI_NONGAAP_Diluted,0,COLUMN()),6)</f>
        <v/>
      </c>
      <c r="M129" s="1824">
        <f>ROUND(INDEX(SP_NGF_NI,0,COLUMN())-INDEX(MO_RIS_NI_NONGAAP_Diluted,0,COLUMN()),6)</f>
        <v/>
      </c>
      <c r="N129" s="1824">
        <f>ROUND(INDEX(SP_NGF_NI,0,COLUMN())-INDEX(MO_RIS_NI_NONGAAP_Diluted,0,COLUMN()),6)</f>
        <v/>
      </c>
      <c r="O129" s="1824">
        <f>ROUND(INDEX(SP_NGF_NI,0,COLUMN())-INDEX(MO_RIS_NI_NONGAAP_Diluted,0,COLUMN()),6)</f>
        <v/>
      </c>
      <c r="P129" s="1824">
        <f>ROUND(INDEX(SP_NGF_NI,0,COLUMN())-INDEX(MO_RIS_NI_NONGAAP_Diluted,0,COLUMN()),6)</f>
        <v/>
      </c>
      <c r="Q129" s="1824">
        <f>ROUND(INDEX(SP_NGF_NI,0,COLUMN())-INDEX(MO_RIS_NI_NONGAAP_Diluted,0,COLUMN()),6)</f>
        <v/>
      </c>
      <c r="R129" s="1824">
        <f>ROUND(INDEX(SP_NGF_NI,0,COLUMN())-INDEX(MO_RIS_NI_NONGAAP_Diluted,0,COLUMN()),6)</f>
        <v/>
      </c>
      <c r="S129" s="1824">
        <f>ROUND(INDEX(SP_NGF_NI,0,COLUMN())-INDEX(MO_RIS_NI_NONGAAP_Diluted,0,COLUMN()),6)</f>
        <v/>
      </c>
      <c r="T129" s="1824">
        <f>ROUND(INDEX(SP_NGF_NI,0,COLUMN())-INDEX(MO_RIS_NI_NONGAAP_Diluted,0,COLUMN()),6)</f>
        <v/>
      </c>
      <c r="U129" s="1824">
        <f>ROUND(INDEX(SP_NGF_NI,0,COLUMN())-INDEX(MO_RIS_NI_NONGAAP_Diluted,0,COLUMN()),6)</f>
        <v/>
      </c>
      <c r="V129" s="1824">
        <f>ROUND(INDEX(SP_NGF_NI,0,COLUMN())-INDEX(MO_RIS_NI_NONGAAP_Diluted,0,COLUMN()),6)</f>
        <v/>
      </c>
      <c r="W129" s="1824">
        <f>ROUND(INDEX(SP_NGF_NI,0,COLUMN())-INDEX(MO_RIS_NI_NONGAAP_Diluted,0,COLUMN()),6)</f>
        <v/>
      </c>
      <c r="X129" s="1824">
        <f>ROUND(INDEX(SP_NGF_NI,0,COLUMN())-INDEX(MO_RIS_NI_NONGAAP_Diluted,0,COLUMN()),6)</f>
        <v/>
      </c>
      <c r="Y129" s="1824">
        <f>ROUND(INDEX(SP_NGF_NI,0,COLUMN())-INDEX(MO_RIS_NI_NONGAAP_Diluted,0,COLUMN()),6)</f>
        <v/>
      </c>
      <c r="Z129" s="1824">
        <f>ROUND(INDEX(SP_NGF_NI,0,COLUMN())-INDEX(MO_RIS_NI_NONGAAP_Diluted,0,COLUMN()),6)</f>
        <v/>
      </c>
      <c r="AA129" s="1824">
        <f>ROUND(INDEX(SP_NGF_NI,0,COLUMN())-INDEX(MO_RIS_NI_NONGAAP_Diluted,0,COLUMN()),6)</f>
        <v/>
      </c>
      <c r="AB129" s="1824">
        <f>ROUND(INDEX(SP_NGF_NI,0,COLUMN())-INDEX(MO_RIS_NI_NONGAAP_Diluted,0,COLUMN()),6)</f>
        <v/>
      </c>
      <c r="AC129" s="1824">
        <f>ROUND(INDEX(SP_NGF_NI,0,COLUMN())-INDEX(MO_RIS_NI_NONGAAP_Diluted,0,COLUMN()),6)</f>
        <v/>
      </c>
      <c r="AD129" s="1824">
        <f>ROUND(INDEX(SP_NGF_NI,0,COLUMN())-INDEX(MO_RIS_NI_NONGAAP_Diluted,0,COLUMN()),6)</f>
        <v/>
      </c>
      <c r="AE129" s="1824">
        <f>ROUND(INDEX(SP_NGF_NI,0,COLUMN())-INDEX(MO_RIS_NI_NONGAAP_Diluted,0,COLUMN()),6)</f>
        <v/>
      </c>
      <c r="AF129" s="1824">
        <f>ROUND(INDEX(SP_NGF_NI,0,COLUMN())-INDEX(MO_RIS_NI_NONGAAP_Diluted,0,COLUMN()),6)</f>
        <v/>
      </c>
      <c r="AG129" s="1824">
        <f>ROUND(INDEX(SP_NGF_NI,0,COLUMN())-INDEX(MO_RIS_NI_NONGAAP_Diluted,0,COLUMN()),6)</f>
        <v/>
      </c>
      <c r="AH129" s="1824">
        <f>ROUND(INDEX(SP_NGF_NI,0,COLUMN())-INDEX(MO_RIS_NI_NONGAAP_Diluted,0,COLUMN()),6)</f>
        <v/>
      </c>
      <c r="AI129" s="1824">
        <f>ROUND(INDEX(SP_NGF_NI,0,COLUMN())-INDEX(MO_RIS_NI_NONGAAP_Diluted,0,COLUMN()),6)</f>
        <v/>
      </c>
      <c r="AJ129" s="1824">
        <f>ROUND(INDEX(SP_NGF_NI,0,COLUMN())-INDEX(MO_RIS_NI_NONGAAP_Diluted,0,COLUMN()),6)</f>
        <v/>
      </c>
      <c r="AK129" s="1824">
        <f>ROUND(INDEX(SP_NGF_NI,0,COLUMN())-INDEX(MO_RIS_NI_NONGAAP_Diluted,0,COLUMN()),6)</f>
        <v/>
      </c>
      <c r="AL129" s="1824">
        <f>ROUND(INDEX(SP_NGF_NI,0,COLUMN())-INDEX(MO_RIS_NI_NONGAAP_Diluted,0,COLUMN()),6)</f>
        <v/>
      </c>
      <c r="AM129" s="1824">
        <f>ROUND(INDEX(SP_NGF_NI,0,COLUMN())-INDEX(MO_RIS_NI_NONGAAP_Diluted,0,COLUMN()),6)</f>
        <v/>
      </c>
      <c r="AN129" s="1824">
        <f>ROUND(INDEX(SP_NGF_NI,0,COLUMN())-INDEX(MO_RIS_NI_NONGAAP_Diluted,0,COLUMN()),6)</f>
        <v/>
      </c>
      <c r="AO129" s="1824">
        <f>ROUND(INDEX(SP_NGF_NI,0,COLUMN())-INDEX(MO_RIS_NI_NONGAAP_Diluted,0,COLUMN()),6)</f>
        <v/>
      </c>
      <c r="AP129" s="1824">
        <f>ROUND(INDEX(SP_NGF_NI,0,COLUMN())-INDEX(MO_RIS_NI_NONGAAP_Diluted,0,COLUMN()),6)</f>
        <v/>
      </c>
      <c r="AQ129" s="1824">
        <f>ROUND(INDEX(SP_NGF_NI,0,COLUMN())-INDEX(MO_RIS_NI_NONGAAP_Diluted,0,COLUMN()),6)</f>
        <v/>
      </c>
      <c r="AR129" s="1824">
        <f>ROUND(INDEX(SP_NGF_NI,0,COLUMN())-INDEX(MO_RIS_NI_NONGAAP_Diluted,0,COLUMN()),6)</f>
        <v/>
      </c>
      <c r="AS129" s="1824">
        <f>ROUND(INDEX(SP_NGF_NI,0,COLUMN())-INDEX(MO_RIS_NI_NONGAAP_Diluted,0,COLUMN()),6)</f>
        <v/>
      </c>
      <c r="AT129" s="1824">
        <f>ROUND(INDEX(SP_NGF_NI,0,COLUMN())-INDEX(MO_RIS_NI_NONGAAP_Diluted,0,COLUMN()),6)</f>
        <v/>
      </c>
      <c r="AU129" s="1824">
        <f>ROUND(INDEX(SP_NGF_NI,0,COLUMN())-INDEX(MO_RIS_NI_NONGAAP_Diluted,0,COLUMN()),6)</f>
        <v/>
      </c>
      <c r="AV129" s="1824">
        <f>ROUND(INDEX(SP_NGF_NI,0,COLUMN())-INDEX(MO_RIS_NI_NONGAAP_Diluted,0,COLUMN()),6)</f>
        <v/>
      </c>
      <c r="AW129" s="1824">
        <f>ROUND(INDEX(SP_NGF_NI,0,COLUMN())-INDEX(MO_RIS_NI_NONGAAP_Diluted,0,COLUMN()),6)</f>
        <v/>
      </c>
      <c r="AX129" s="1824">
        <f>ROUND(INDEX(SP_NGF_NI,0,COLUMN())-INDEX(MO_RIS_NI_NONGAAP_Diluted,0,COLUMN()),6)</f>
        <v/>
      </c>
      <c r="AY129" s="1824">
        <f>ROUND(INDEX(SP_NGF_NI,0,COLUMN())-INDEX(MO_RIS_NI_NONGAAP_Diluted,0,COLUMN()),6)</f>
        <v/>
      </c>
      <c r="AZ129" s="1824">
        <f>ROUND(INDEX(SP_NGF_NI,0,COLUMN())-INDEX(MO_RIS_NI_NONGAAP_Diluted,0,COLUMN()),6)</f>
        <v/>
      </c>
      <c r="BA129" s="1824">
        <f>ROUND(INDEX(SP_NGF_NI,0,COLUMN())-INDEX(MO_RIS_NI_NONGAAP_Diluted,0,COLUMN()),6)</f>
        <v/>
      </c>
      <c r="BB129" s="1824">
        <f>ROUND(INDEX(SP_NGF_NI,0,COLUMN())-INDEX(MO_RIS_NI_NONGAAP_Diluted,0,COLUMN()),6)</f>
        <v/>
      </c>
      <c r="BC129" s="1824">
        <f>ROUND(INDEX(SP_NGF_NI,0,COLUMN())-INDEX(MO_RIS_NI_NONGAAP_Diluted,0,COLUMN()),6)</f>
        <v/>
      </c>
      <c r="BD129" s="1824">
        <f>ROUND(INDEX(SP_NGF_NI,0,COLUMN())-INDEX(MO_RIS_NI_NONGAAP_Diluted,0,COLUMN()),6)</f>
        <v/>
      </c>
      <c r="BE129" s="1824">
        <f>ROUND(INDEX(SP_NGF_NI,0,COLUMN())-INDEX(MO_RIS_NI_NONGAAP_Diluted,0,COLUMN()),6)</f>
        <v/>
      </c>
      <c r="BF129" s="1824">
        <f>ROUND(INDEX(SP_NGF_NI,0,COLUMN())-INDEX(MO_RIS_NI_NONGAAP_Diluted,0,COLUMN()),6)</f>
        <v/>
      </c>
      <c r="BG129" s="1824">
        <f>ROUND(INDEX(SP_NGF_NI,0,COLUMN())-INDEX(MO_RIS_NI_NONGAAP_Diluted,0,COLUMN()),6)</f>
        <v/>
      </c>
      <c r="BH129" s="1824">
        <f>ROUND(INDEX(SP_NGF_NI,0,COLUMN())-INDEX(MO_RIS_NI_NONGAAP_Diluted,0,COLUMN()),6)</f>
        <v/>
      </c>
      <c r="BI129" s="1824">
        <f>ROUND(INDEX(SP_NGF_NI,0,COLUMN())-INDEX(MO_RIS_NI_NONGAAP_Diluted,0,COLUMN()),6)</f>
        <v/>
      </c>
      <c r="BJ129" s="1824">
        <f>ROUND(INDEX(SP_NGF_NI,0,COLUMN())-INDEX(MO_RIS_NI_NONGAAP_Diluted,0,COLUMN()),6)</f>
        <v/>
      </c>
      <c r="BK129" s="1824">
        <f>ROUND(INDEX(SP_NGF_NI,0,COLUMN())-INDEX(MO_RIS_NI_NONGAAP_Diluted,0,COLUMN()),6)</f>
        <v/>
      </c>
      <c r="BL129" s="1824">
        <f>ROUND(INDEX(SP_NGF_NI,0,COLUMN())-INDEX(MO_RIS_NI_NONGAAP_Diluted,0,COLUMN()),6)</f>
        <v/>
      </c>
      <c r="BM129" s="1824">
        <f>ROUND(INDEX(SP_NGF_NI,0,COLUMN())-INDEX(MO_RIS_NI_NONGAAP_Diluted,0,COLUMN()),6)</f>
        <v/>
      </c>
      <c r="BN129" s="1824">
        <f>ROUND(INDEX(SP_NGF_NI,0,COLUMN())-INDEX(MO_RIS_NI_NONGAAP_Diluted,0,COLUMN()),6)</f>
        <v/>
      </c>
      <c r="BO129" s="1825">
        <f>ROUND(INDEX(SP_NGF_NI,0,COLUMN())-INDEX(MO_RIS_NI_NONGAAP_Diluted,0,COLUMN()),6)</f>
        <v/>
      </c>
      <c r="BP129" s="1824">
        <f>ROUND(INDEX(SP_NGF_NI,0,COLUMN())-INDEX(MO_RIS_NI_NONGAAP_Diluted,0,COLUMN()),6)</f>
        <v/>
      </c>
      <c r="BQ129" s="1824">
        <f>ROUND(INDEX(SP_NGF_NI,0,COLUMN())-INDEX(MO_RIS_NI_NONGAAP_Diluted,0,COLUMN()),6)</f>
        <v/>
      </c>
      <c r="BR129" s="1824">
        <f>ROUND(INDEX(SP_NGF_NI,0,COLUMN())-INDEX(MO_RIS_NI_NONGAAP_Diluted,0,COLUMN()),6)</f>
        <v/>
      </c>
      <c r="BS129" s="1824">
        <f>ROUND(INDEX(SP_NGF_NI,0,COLUMN())-INDEX(MO_RIS_NI_NONGAAP_Diluted,0,COLUMN()),6)</f>
        <v/>
      </c>
      <c r="BT129" s="1824">
        <f>ROUND(INDEX(SP_NGF_NI,0,COLUMN())-INDEX(MO_RIS_NI_NONGAAP_Diluted,0,COLUMN()),6)</f>
        <v/>
      </c>
      <c r="BU129" s="1824">
        <f>ROUND(INDEX(SP_NGF_NI,0,COLUMN())-INDEX(MO_RIS_NI_NONGAAP_Diluted,0,COLUMN()),6)</f>
        <v/>
      </c>
      <c r="BV129" s="1824">
        <f>ROUND(INDEX(SP_NGF_NI,0,COLUMN())-INDEX(MO_RIS_NI_NONGAAP_Diluted,0,COLUMN()),6)</f>
        <v/>
      </c>
      <c r="BW129" s="1824">
        <f>ROUND(INDEX(SP_NGF_NI,0,COLUMN())-INDEX(MO_RIS_NI_NONGAAP_Diluted,0,COLUMN()),6)</f>
        <v/>
      </c>
      <c r="BX129" s="1824">
        <f>ROUND(INDEX(SP_NGF_NI,0,COLUMN())-INDEX(MO_RIS_NI_NONGAAP_Diluted,0,COLUMN()),6)</f>
        <v/>
      </c>
      <c r="BY129" s="1824">
        <f>ROUND(INDEX(SP_NGF_NI,0,COLUMN())-INDEX(MO_RIS_NI_NONGAAP_Diluted,0,COLUMN()),6)</f>
        <v/>
      </c>
      <c r="BZ129" s="1824">
        <f>ROUND(INDEX(SP_NGF_NI,0,COLUMN())-INDEX(MO_RIS_NI_NONGAAP_Diluted,0,COLUMN()),6)</f>
        <v/>
      </c>
      <c r="CA129" s="1824">
        <f>ROUND(INDEX(SP_NGF_NI,0,COLUMN())-INDEX(MO_RIS_NI_NONGAAP_Diluted,0,COLUMN()),6)</f>
        <v/>
      </c>
      <c r="CB129" s="1824">
        <f>ROUND(INDEX(SP_NGF_NI,0,COLUMN())-INDEX(MO_RIS_NI_NONGAAP_Diluted,0,COLUMN()),6)</f>
        <v/>
      </c>
      <c r="CC129" s="800" t="n"/>
    </row>
    <row r="130" hidden="1" outlineLevel="1" ht="15" customHeight="1" s="595">
      <c r="A130" s="1970" t="inlineStr">
        <is>
          <t>GAAP NI</t>
        </is>
      </c>
      <c r="B130" s="179" t="n"/>
      <c r="C130" s="1824">
        <f>ROUND(INDEX(SP_GF_NI,0,COLUMN())-INDEX(MO_RIS_NI_GAAP_Basic,0,COLUMN()),6)</f>
        <v/>
      </c>
      <c r="D130" s="1824">
        <f>ROUND(INDEX(SP_GF_NI,0,COLUMN())-INDEX(MO_RIS_NI_GAAP_Basic,0,COLUMN()),6)</f>
        <v/>
      </c>
      <c r="E130" s="1824">
        <f>ROUND(INDEX(SP_GF_NI,0,COLUMN())-INDEX(MO_RIS_NI_GAAP_Basic,0,COLUMN()),6)</f>
        <v/>
      </c>
      <c r="F130" s="1824">
        <f>ROUND(INDEX(SP_GF_NI,0,COLUMN())-INDEX(MO_RIS_NI_GAAP_Basic,0,COLUMN()),6)</f>
        <v/>
      </c>
      <c r="G130" s="1824">
        <f>ROUND(INDEX(SP_GF_NI,0,COLUMN())-INDEX(MO_RIS_NI_GAAP_Basic,0,COLUMN()),6)</f>
        <v/>
      </c>
      <c r="H130" s="1824">
        <f>ROUND(INDEX(SP_GF_NI,0,COLUMN())-INDEX(MO_RIS_NI_GAAP_Basic,0,COLUMN()),6)</f>
        <v/>
      </c>
      <c r="I130" s="1824">
        <f>ROUND(INDEX(SP_GF_NI,0,COLUMN())-INDEX(MO_RIS_NI_GAAP_Basic,0,COLUMN()),6)</f>
        <v/>
      </c>
      <c r="J130" s="1824">
        <f>ROUND(INDEX(SP_GF_NI,0,COLUMN())-INDEX(MO_RIS_NI_GAAP_Basic,0,COLUMN()),6)</f>
        <v/>
      </c>
      <c r="K130" s="1824">
        <f>ROUND(INDEX(SP_GF_NI,0,COLUMN())-INDEX(MO_RIS_NI_GAAP_Basic,0,COLUMN()),6)</f>
        <v/>
      </c>
      <c r="L130" s="1824">
        <f>ROUND(INDEX(SP_GF_NI,0,COLUMN())-INDEX(MO_RIS_NI_GAAP_Basic,0,COLUMN()),6)</f>
        <v/>
      </c>
      <c r="M130" s="1824">
        <f>ROUND(INDEX(SP_GF_NI,0,COLUMN())-INDEX(MO_RIS_NI_GAAP_Basic,0,COLUMN()),6)</f>
        <v/>
      </c>
      <c r="N130" s="1824">
        <f>ROUND(INDEX(SP_GF_NI,0,COLUMN())-INDEX(MO_RIS_NI_GAAP_Basic,0,COLUMN()),6)</f>
        <v/>
      </c>
      <c r="O130" s="1824">
        <f>ROUND(INDEX(SP_GF_NI,0,COLUMN())-INDEX(MO_RIS_NI_GAAP_Basic,0,COLUMN()),6)</f>
        <v/>
      </c>
      <c r="P130" s="1824">
        <f>ROUND(INDEX(SP_GF_NI,0,COLUMN())-INDEX(MO_RIS_NI_GAAP_Basic,0,COLUMN()),6)</f>
        <v/>
      </c>
      <c r="Q130" s="1824">
        <f>ROUND(INDEX(SP_GF_NI,0,COLUMN())-INDEX(MO_RIS_NI_GAAP_Basic,0,COLUMN()),6)</f>
        <v/>
      </c>
      <c r="R130" s="1824">
        <f>ROUND(INDEX(SP_GF_NI,0,COLUMN())-INDEX(MO_RIS_NI_GAAP_Basic,0,COLUMN()),6)</f>
        <v/>
      </c>
      <c r="S130" s="1824">
        <f>ROUND(INDEX(SP_GF_NI,0,COLUMN())-INDEX(MO_RIS_NI_GAAP_Basic,0,COLUMN()),6)</f>
        <v/>
      </c>
      <c r="T130" s="1824">
        <f>ROUND(INDEX(SP_GF_NI,0,COLUMN())-INDEX(MO_RIS_NI_GAAP_Basic,0,COLUMN()),6)</f>
        <v/>
      </c>
      <c r="U130" s="1824">
        <f>ROUND(INDEX(SP_GF_NI,0,COLUMN())-INDEX(MO_RIS_NI_GAAP_Basic,0,COLUMN()),6)</f>
        <v/>
      </c>
      <c r="V130" s="1824">
        <f>ROUND(INDEX(SP_GF_NI,0,COLUMN())-INDEX(MO_RIS_NI_GAAP_Basic,0,COLUMN()),6)</f>
        <v/>
      </c>
      <c r="W130" s="1824">
        <f>ROUND(INDEX(SP_GF_NI,0,COLUMN())-INDEX(MO_RIS_NI_GAAP_Basic,0,COLUMN()),6)</f>
        <v/>
      </c>
      <c r="X130" s="1824">
        <f>ROUND(INDEX(SP_GF_NI,0,COLUMN())-INDEX(MO_RIS_NI_GAAP_Basic,0,COLUMN()),6)</f>
        <v/>
      </c>
      <c r="Y130" s="1824">
        <f>ROUND(INDEX(SP_GF_NI,0,COLUMN())-INDEX(MO_RIS_NI_GAAP_Basic,0,COLUMN()),6)</f>
        <v/>
      </c>
      <c r="Z130" s="1824">
        <f>ROUND(INDEX(SP_GF_NI,0,COLUMN())-INDEX(MO_RIS_NI_GAAP_Basic,0,COLUMN()),6)</f>
        <v/>
      </c>
      <c r="AA130" s="1824">
        <f>ROUND(INDEX(SP_GF_NI,0,COLUMN())-INDEX(MO_RIS_NI_GAAP_Basic,0,COLUMN()),6)</f>
        <v/>
      </c>
      <c r="AB130" s="1824">
        <f>ROUND(INDEX(SP_GF_NI,0,COLUMN())-INDEX(MO_RIS_NI_GAAP_Basic,0,COLUMN()),6)</f>
        <v/>
      </c>
      <c r="AC130" s="1824">
        <f>ROUND(INDEX(SP_GF_NI,0,COLUMN())-INDEX(MO_RIS_NI_GAAP_Basic,0,COLUMN()),6)</f>
        <v/>
      </c>
      <c r="AD130" s="1824">
        <f>ROUND(INDEX(SP_GF_NI,0,COLUMN())-INDEX(MO_RIS_NI_GAAP_Basic,0,COLUMN()),6)</f>
        <v/>
      </c>
      <c r="AE130" s="1824">
        <f>ROUND(INDEX(SP_GF_NI,0,COLUMN())-INDEX(MO_RIS_NI_GAAP_Basic,0,COLUMN()),6)</f>
        <v/>
      </c>
      <c r="AF130" s="1824">
        <f>ROUND(INDEX(SP_GF_NI,0,COLUMN())-INDEX(MO_RIS_NI_GAAP_Basic,0,COLUMN()),6)</f>
        <v/>
      </c>
      <c r="AG130" s="1824">
        <f>ROUND(INDEX(SP_GF_NI,0,COLUMN())-INDEX(MO_RIS_NI_GAAP_Basic,0,COLUMN()),6)</f>
        <v/>
      </c>
      <c r="AH130" s="1824">
        <f>ROUND(INDEX(SP_GF_NI,0,COLUMN())-INDEX(MO_RIS_NI_GAAP_Basic,0,COLUMN()),6)</f>
        <v/>
      </c>
      <c r="AI130" s="1824">
        <f>ROUND(INDEX(SP_GF_NI,0,COLUMN())-INDEX(MO_RIS_NI_GAAP_Basic,0,COLUMN()),6)</f>
        <v/>
      </c>
      <c r="AJ130" s="1824">
        <f>ROUND(INDEX(SP_GF_NI,0,COLUMN())-INDEX(MO_RIS_NI_GAAP_Basic,0,COLUMN()),6)</f>
        <v/>
      </c>
      <c r="AK130" s="1824">
        <f>ROUND(INDEX(SP_GF_NI,0,COLUMN())-INDEX(MO_RIS_NI_GAAP_Basic,0,COLUMN()),6)</f>
        <v/>
      </c>
      <c r="AL130" s="1824">
        <f>ROUND(INDEX(SP_GF_NI,0,COLUMN())-INDEX(MO_RIS_NI_GAAP_Basic,0,COLUMN()),6)</f>
        <v/>
      </c>
      <c r="AM130" s="1824">
        <f>ROUND(INDEX(SP_GF_NI,0,COLUMN())-INDEX(MO_RIS_NI_GAAP_Basic,0,COLUMN()),6)</f>
        <v/>
      </c>
      <c r="AN130" s="1824">
        <f>ROUND(INDEX(SP_GF_NI,0,COLUMN())-INDEX(MO_RIS_NI_GAAP_Basic,0,COLUMN()),6)</f>
        <v/>
      </c>
      <c r="AO130" s="1824">
        <f>ROUND(INDEX(SP_GF_NI,0,COLUMN())-INDEX(MO_RIS_NI_GAAP_Basic,0,COLUMN()),6)</f>
        <v/>
      </c>
      <c r="AP130" s="1824">
        <f>ROUND(INDEX(SP_GF_NI,0,COLUMN())-INDEX(MO_RIS_NI_GAAP_Basic,0,COLUMN()),6)</f>
        <v/>
      </c>
      <c r="AQ130" s="1824">
        <f>ROUND(INDEX(SP_GF_NI,0,COLUMN())-INDEX(MO_RIS_NI_GAAP_Basic,0,COLUMN()),6)</f>
        <v/>
      </c>
      <c r="AR130" s="1824">
        <f>ROUND(INDEX(SP_GF_NI,0,COLUMN())-INDEX(MO_RIS_NI_GAAP_Basic,0,COLUMN()),6)</f>
        <v/>
      </c>
      <c r="AS130" s="1824">
        <f>ROUND(INDEX(SP_GF_NI,0,COLUMN())-INDEX(MO_RIS_NI_GAAP_Basic,0,COLUMN()),6)</f>
        <v/>
      </c>
      <c r="AT130" s="1824">
        <f>ROUND(INDEX(SP_GF_NI,0,COLUMN())-INDEX(MO_RIS_NI_GAAP_Basic,0,COLUMN()),6)</f>
        <v/>
      </c>
      <c r="AU130" s="1824">
        <f>ROUND(INDEX(SP_GF_NI,0,COLUMN())-INDEX(MO_RIS_NI_GAAP_Basic,0,COLUMN()),6)</f>
        <v/>
      </c>
      <c r="AV130" s="1824">
        <f>ROUND(INDEX(SP_GF_NI,0,COLUMN())-INDEX(MO_RIS_NI_GAAP_Basic,0,COLUMN()),6)</f>
        <v/>
      </c>
      <c r="AW130" s="1824">
        <f>ROUND(INDEX(SP_GF_NI,0,COLUMN())-INDEX(MO_RIS_NI_GAAP_Basic,0,COLUMN()),6)</f>
        <v/>
      </c>
      <c r="AX130" s="1824">
        <f>ROUND(INDEX(SP_GF_NI,0,COLUMN())-INDEX(MO_RIS_NI_GAAP_Basic,0,COLUMN()),6)</f>
        <v/>
      </c>
      <c r="AY130" s="1824">
        <f>ROUND(INDEX(SP_GF_NI,0,COLUMN())-INDEX(MO_RIS_NI_GAAP_Basic,0,COLUMN()),6)</f>
        <v/>
      </c>
      <c r="AZ130" s="1824">
        <f>ROUND(INDEX(SP_GF_NI,0,COLUMN())-INDEX(MO_RIS_NI_GAAP_Basic,0,COLUMN()),6)</f>
        <v/>
      </c>
      <c r="BA130" s="1824">
        <f>ROUND(INDEX(SP_GF_NI,0,COLUMN())-INDEX(MO_RIS_NI_GAAP_Basic,0,COLUMN()),6)</f>
        <v/>
      </c>
      <c r="BB130" s="1824">
        <f>ROUND(INDEX(SP_GF_NI,0,COLUMN())-INDEX(MO_RIS_NI_GAAP_Basic,0,COLUMN()),6)</f>
        <v/>
      </c>
      <c r="BC130" s="1824">
        <f>ROUND(INDEX(SP_GF_NI,0,COLUMN())-INDEX(MO_RIS_NI_GAAP_Basic,0,COLUMN()),6)</f>
        <v/>
      </c>
      <c r="BD130" s="1824">
        <f>ROUND(INDEX(SP_GF_NI,0,COLUMN())-INDEX(MO_RIS_NI_GAAP_Basic,0,COLUMN()),6)</f>
        <v/>
      </c>
      <c r="BE130" s="1824">
        <f>ROUND(INDEX(SP_GF_NI,0,COLUMN())-INDEX(MO_RIS_NI_GAAP_Basic,0,COLUMN()),6)</f>
        <v/>
      </c>
      <c r="BF130" s="1824">
        <f>ROUND(INDEX(SP_GF_NI,0,COLUMN())-INDEX(MO_RIS_NI_GAAP_Basic,0,COLUMN()),6)</f>
        <v/>
      </c>
      <c r="BG130" s="1824">
        <f>ROUND(INDEX(SP_GF_NI,0,COLUMN())-INDEX(MO_RIS_NI_GAAP_Basic,0,COLUMN()),6)</f>
        <v/>
      </c>
      <c r="BH130" s="1824">
        <f>ROUND(INDEX(SP_GF_NI,0,COLUMN())-INDEX(MO_RIS_NI_GAAP_Basic,0,COLUMN()),6)</f>
        <v/>
      </c>
      <c r="BI130" s="1824">
        <f>ROUND(INDEX(SP_GF_NI,0,COLUMN())-INDEX(MO_RIS_NI_GAAP_Basic,0,COLUMN()),6)</f>
        <v/>
      </c>
      <c r="BJ130" s="1824">
        <f>ROUND(INDEX(SP_GF_NI,0,COLUMN())-INDEX(MO_RIS_NI_GAAP_Basic,0,COLUMN()),6)</f>
        <v/>
      </c>
      <c r="BK130" s="1824">
        <f>ROUND(INDEX(SP_GF_NI,0,COLUMN())-INDEX(MO_RIS_NI_GAAP_Basic,0,COLUMN()),6)</f>
        <v/>
      </c>
      <c r="BL130" s="1824">
        <f>ROUND(INDEX(SP_GF_NI,0,COLUMN())-INDEX(MO_RIS_NI_GAAP_Basic,0,COLUMN()),6)</f>
        <v/>
      </c>
      <c r="BM130" s="1824">
        <f>ROUND(INDEX(SP_GF_NI,0,COLUMN())-INDEX(MO_RIS_NI_GAAP_Basic,0,COLUMN()),6)</f>
        <v/>
      </c>
      <c r="BN130" s="1824">
        <f>ROUND(INDEX(SP_GF_NI,0,COLUMN())-INDEX(MO_RIS_NI_GAAP_Basic,0,COLUMN()),6)</f>
        <v/>
      </c>
      <c r="BO130" s="1825">
        <f>ROUND(INDEX(SP_GF_NI,0,COLUMN())-INDEX(MO_RIS_NI_GAAP_Basic,0,COLUMN()),6)</f>
        <v/>
      </c>
      <c r="BP130" s="1824">
        <f>ROUND(INDEX(SP_GF_NI,0,COLUMN())-INDEX(MO_RIS_NI_GAAP_Basic,0,COLUMN()),6)</f>
        <v/>
      </c>
      <c r="BQ130" s="1824">
        <f>ROUND(INDEX(SP_GF_NI,0,COLUMN())-INDEX(MO_RIS_NI_GAAP_Basic,0,COLUMN()),6)</f>
        <v/>
      </c>
      <c r="BR130" s="1824">
        <f>ROUND(INDEX(SP_GF_NI,0,COLUMN())-INDEX(MO_RIS_NI_GAAP_Basic,0,COLUMN()),6)</f>
        <v/>
      </c>
      <c r="BS130" s="1824">
        <f>ROUND(INDEX(SP_GF_NI,0,COLUMN())-INDEX(MO_RIS_NI_GAAP_Basic,0,COLUMN()),6)</f>
        <v/>
      </c>
      <c r="BT130" s="1824">
        <f>ROUND(INDEX(SP_GF_NI,0,COLUMN())-INDEX(MO_RIS_NI_GAAP_Basic,0,COLUMN()),6)</f>
        <v/>
      </c>
      <c r="BU130" s="1824">
        <f>ROUND(INDEX(SP_GF_NI,0,COLUMN())-INDEX(MO_RIS_NI_GAAP_Basic,0,COLUMN()),6)</f>
        <v/>
      </c>
      <c r="BV130" s="1824">
        <f>ROUND(INDEX(SP_GF_NI,0,COLUMN())-INDEX(MO_RIS_NI_GAAP_Basic,0,COLUMN()),6)</f>
        <v/>
      </c>
      <c r="BW130" s="1824">
        <f>ROUND(INDEX(SP_GF_NI,0,COLUMN())-INDEX(MO_RIS_NI_GAAP_Basic,0,COLUMN()),6)</f>
        <v/>
      </c>
      <c r="BX130" s="1824">
        <f>ROUND(INDEX(SP_GF_NI,0,COLUMN())-INDEX(MO_RIS_NI_GAAP_Basic,0,COLUMN()),6)</f>
        <v/>
      </c>
      <c r="BY130" s="1824">
        <f>ROUND(INDEX(SP_GF_NI,0,COLUMN())-INDEX(MO_RIS_NI_GAAP_Basic,0,COLUMN()),6)</f>
        <v/>
      </c>
      <c r="BZ130" s="1824">
        <f>ROUND(INDEX(SP_GF_NI,0,COLUMN())-INDEX(MO_RIS_NI_GAAP_Basic,0,COLUMN()),6)</f>
        <v/>
      </c>
      <c r="CA130" s="1824">
        <f>ROUND(INDEX(SP_GF_NI,0,COLUMN())-INDEX(MO_RIS_NI_GAAP_Basic,0,COLUMN()),6)</f>
        <v/>
      </c>
      <c r="CB130" s="1824">
        <f>ROUND(INDEX(SP_GF_NI,0,COLUMN())-INDEX(MO_RIS_NI_GAAP_Basic,0,COLUMN()),6)</f>
        <v/>
      </c>
      <c r="CC130" s="800" t="n"/>
    </row>
    <row r="131" hidden="1" outlineLevel="1" ht="15" customHeight="1" s="595">
      <c r="A131" s="1970" t="inlineStr">
        <is>
          <t>Change in Cash Summary = Change in Cash Model</t>
        </is>
      </c>
      <c r="B131" s="179" t="n"/>
      <c r="C131" s="1824">
        <f>ROUND(INDEX(SP_CFA_NetChange,0,COLUMN())-INDEX(MO_CFS_NetChange,0,COLUMN()),6)</f>
        <v/>
      </c>
      <c r="D131" s="1824">
        <f>ROUND(INDEX(SP_CFA_NetChange,0,COLUMN())-INDEX(MO_CFS_NetChange,0,COLUMN()),6)</f>
        <v/>
      </c>
      <c r="E131" s="1824">
        <f>ROUND(INDEX(SP_CFA_NetChange,0,COLUMN())-INDEX(MO_CFS_NetChange,0,COLUMN()),6)</f>
        <v/>
      </c>
      <c r="F131" s="1824">
        <f>ROUND(INDEX(SP_CFA_NetChange,0,COLUMN())-INDEX(MO_CFS_NetChange,0,COLUMN()),6)</f>
        <v/>
      </c>
      <c r="G131" s="1824">
        <f>ROUND(INDEX(SP_CFA_NetChange,0,COLUMN())-INDEX(MO_CFS_NetChange,0,COLUMN()),6)</f>
        <v/>
      </c>
      <c r="H131" s="1824">
        <f>ROUND(INDEX(SP_CFA_NetChange,0,COLUMN())-INDEX(MO_CFS_NetChange,0,COLUMN()),6)</f>
        <v/>
      </c>
      <c r="I131" s="1824">
        <f>ROUND(INDEX(SP_CFA_NetChange,0,COLUMN())-INDEX(MO_CFS_NetChange,0,COLUMN()),6)</f>
        <v/>
      </c>
      <c r="J131" s="1824">
        <f>ROUND(INDEX(SP_CFA_NetChange,0,COLUMN())-INDEX(MO_CFS_NetChange,0,COLUMN()),6)</f>
        <v/>
      </c>
      <c r="K131" s="1824">
        <f>ROUND(INDEX(SP_CFA_NetChange,0,COLUMN())-INDEX(MO_CFS_NetChange,0,COLUMN()),6)</f>
        <v/>
      </c>
      <c r="L131" s="1824">
        <f>ROUND(INDEX(SP_CFA_NetChange,0,COLUMN())-INDEX(MO_CFS_NetChange,0,COLUMN()),6)</f>
        <v/>
      </c>
      <c r="M131" s="1824">
        <f>ROUND(INDEX(SP_CFA_NetChange,0,COLUMN())-INDEX(MO_CFS_NetChange,0,COLUMN()),6)</f>
        <v/>
      </c>
      <c r="N131" s="1824">
        <f>ROUND(INDEX(SP_CFA_NetChange,0,COLUMN())-INDEX(MO_CFS_NetChange,0,COLUMN()),6)</f>
        <v/>
      </c>
      <c r="O131" s="1824">
        <f>ROUND(INDEX(SP_CFA_NetChange,0,COLUMN())-INDEX(MO_CFS_NetChange,0,COLUMN()),6)</f>
        <v/>
      </c>
      <c r="P131" s="1824">
        <f>ROUND(INDEX(SP_CFA_NetChange,0,COLUMN())-INDEX(MO_CFS_NetChange,0,COLUMN()),6)</f>
        <v/>
      </c>
      <c r="Q131" s="1824">
        <f>ROUND(INDEX(SP_CFA_NetChange,0,COLUMN())-INDEX(MO_CFS_NetChange,0,COLUMN()),6)</f>
        <v/>
      </c>
      <c r="R131" s="1824">
        <f>ROUND(INDEX(SP_CFA_NetChange,0,COLUMN())-INDEX(MO_CFS_NetChange,0,COLUMN()),6)</f>
        <v/>
      </c>
      <c r="S131" s="1824">
        <f>ROUND(INDEX(SP_CFA_NetChange,0,COLUMN())-INDEX(MO_CFS_NetChange,0,COLUMN()),6)</f>
        <v/>
      </c>
      <c r="T131" s="1824">
        <f>ROUND(INDEX(SP_CFA_NetChange,0,COLUMN())-INDEX(MO_CFS_NetChange,0,COLUMN()),6)</f>
        <v/>
      </c>
      <c r="U131" s="1824">
        <f>ROUND(INDEX(SP_CFA_NetChange,0,COLUMN())-INDEX(MO_CFS_NetChange,0,COLUMN()),6)</f>
        <v/>
      </c>
      <c r="V131" s="1824">
        <f>ROUND(INDEX(SP_CFA_NetChange,0,COLUMN())-INDEX(MO_CFS_NetChange,0,COLUMN()),6)</f>
        <v/>
      </c>
      <c r="W131" s="1824">
        <f>ROUND(INDEX(SP_CFA_NetChange,0,COLUMN())-INDEX(MO_CFS_NetChange,0,COLUMN()),6)</f>
        <v/>
      </c>
      <c r="X131" s="1824">
        <f>ROUND(INDEX(SP_CFA_NetChange,0,COLUMN())-INDEX(MO_CFS_NetChange,0,COLUMN()),6)</f>
        <v/>
      </c>
      <c r="Y131" s="1824">
        <f>ROUND(INDEX(SP_CFA_NetChange,0,COLUMN())-INDEX(MO_CFS_NetChange,0,COLUMN()),6)</f>
        <v/>
      </c>
      <c r="Z131" s="1824">
        <f>ROUND(INDEX(SP_CFA_NetChange,0,COLUMN())-INDEX(MO_CFS_NetChange,0,COLUMN()),6)</f>
        <v/>
      </c>
      <c r="AA131" s="1824">
        <f>ROUND(INDEX(SP_CFA_NetChange,0,COLUMN())-INDEX(MO_CFS_NetChange,0,COLUMN()),6)</f>
        <v/>
      </c>
      <c r="AB131" s="1824">
        <f>ROUND(INDEX(SP_CFA_NetChange,0,COLUMN())-INDEX(MO_CFS_NetChange,0,COLUMN()),6)</f>
        <v/>
      </c>
      <c r="AC131" s="1824">
        <f>ROUND(INDEX(SP_CFA_NetChange,0,COLUMN())-INDEX(MO_CFS_NetChange,0,COLUMN()),6)</f>
        <v/>
      </c>
      <c r="AD131" s="1824">
        <f>ROUND(INDEX(SP_CFA_NetChange,0,COLUMN())-INDEX(MO_CFS_NetChange,0,COLUMN()),6)</f>
        <v/>
      </c>
      <c r="AE131" s="1824">
        <f>ROUND(INDEX(SP_CFA_NetChange,0,COLUMN())-INDEX(MO_CFS_NetChange,0,COLUMN()),6)</f>
        <v/>
      </c>
      <c r="AF131" s="1824">
        <f>ROUND(INDEX(SP_CFA_NetChange,0,COLUMN())-INDEX(MO_CFS_NetChange,0,COLUMN()),6)</f>
        <v/>
      </c>
      <c r="AG131" s="1824">
        <f>ROUND(INDEX(SP_CFA_NetChange,0,COLUMN())-INDEX(MO_CFS_NetChange,0,COLUMN()),6)</f>
        <v/>
      </c>
      <c r="AH131" s="1824">
        <f>ROUND(INDEX(SP_CFA_NetChange,0,COLUMN())-INDEX(MO_CFS_NetChange,0,COLUMN()),6)</f>
        <v/>
      </c>
      <c r="AI131" s="1824">
        <f>ROUND(INDEX(SP_CFA_NetChange,0,COLUMN())-INDEX(MO_CFS_NetChange,0,COLUMN()),6)</f>
        <v/>
      </c>
      <c r="AJ131" s="1824">
        <f>ROUND(INDEX(SP_CFA_NetChange,0,COLUMN())-INDEX(MO_CFS_NetChange,0,COLUMN()),6)</f>
        <v/>
      </c>
      <c r="AK131" s="1824">
        <f>ROUND(INDEX(SP_CFA_NetChange,0,COLUMN())-INDEX(MO_CFS_NetChange,0,COLUMN()),6)</f>
        <v/>
      </c>
      <c r="AL131" s="1824">
        <f>ROUND(INDEX(SP_CFA_NetChange,0,COLUMN())-INDEX(MO_CFS_NetChange,0,COLUMN()),6)</f>
        <v/>
      </c>
      <c r="AM131" s="1824">
        <f>ROUND(INDEX(SP_CFA_NetChange,0,COLUMN())-INDEX(MO_CFS_NetChange,0,COLUMN()),6)</f>
        <v/>
      </c>
      <c r="AN131" s="1824">
        <f>ROUND(INDEX(SP_CFA_NetChange,0,COLUMN())-INDEX(MO_CFS_NetChange,0,COLUMN()),6)</f>
        <v/>
      </c>
      <c r="AO131" s="1824">
        <f>ROUND(INDEX(SP_CFA_NetChange,0,COLUMN())-INDEX(MO_CFS_NetChange,0,COLUMN()),6)</f>
        <v/>
      </c>
      <c r="AP131" s="1824">
        <f>ROUND(INDEX(SP_CFA_NetChange,0,COLUMN())-INDEX(MO_CFS_NetChange,0,COLUMN()),6)</f>
        <v/>
      </c>
      <c r="AQ131" s="1824">
        <f>ROUND(INDEX(SP_CFA_NetChange,0,COLUMN())-INDEX(MO_CFS_NetChange,0,COLUMN()),6)</f>
        <v/>
      </c>
      <c r="AR131" s="1824">
        <f>ROUND(INDEX(SP_CFA_NetChange,0,COLUMN())-INDEX(MO_CFS_NetChange,0,COLUMN()),6)</f>
        <v/>
      </c>
      <c r="AS131" s="1824">
        <f>ROUND(INDEX(SP_CFA_NetChange,0,COLUMN())-INDEX(MO_CFS_NetChange,0,COLUMN()),6)</f>
        <v/>
      </c>
      <c r="AT131" s="1824">
        <f>ROUND(INDEX(SP_CFA_NetChange,0,COLUMN())-INDEX(MO_CFS_NetChange,0,COLUMN()),6)</f>
        <v/>
      </c>
      <c r="AU131" s="1824">
        <f>ROUND(INDEX(SP_CFA_NetChange,0,COLUMN())-INDEX(MO_CFS_NetChange,0,COLUMN()),6)</f>
        <v/>
      </c>
      <c r="AV131" s="1824">
        <f>ROUND(INDEX(SP_CFA_NetChange,0,COLUMN())-INDEX(MO_CFS_NetChange,0,COLUMN()),6)</f>
        <v/>
      </c>
      <c r="AW131" s="1824">
        <f>ROUND(INDEX(SP_CFA_NetChange,0,COLUMN())-INDEX(MO_CFS_NetChange,0,COLUMN()),6)</f>
        <v/>
      </c>
      <c r="AX131" s="1824">
        <f>ROUND(INDEX(SP_CFA_NetChange,0,COLUMN())-INDEX(MO_CFS_NetChange,0,COLUMN()),6)</f>
        <v/>
      </c>
      <c r="AY131" s="1824">
        <f>ROUND(INDEX(SP_CFA_NetChange,0,COLUMN())-INDEX(MO_CFS_NetChange,0,COLUMN()),6)</f>
        <v/>
      </c>
      <c r="AZ131" s="1824">
        <f>ROUND(INDEX(SP_CFA_NetChange,0,COLUMN())-INDEX(MO_CFS_NetChange,0,COLUMN()),6)</f>
        <v/>
      </c>
      <c r="BA131" s="1824">
        <f>ROUND(INDEX(SP_CFA_NetChange,0,COLUMN())-INDEX(MO_CFS_NetChange,0,COLUMN()),6)</f>
        <v/>
      </c>
      <c r="BB131" s="1824">
        <f>ROUND(INDEX(SP_CFA_NetChange,0,COLUMN())-INDEX(MO_CFS_NetChange,0,COLUMN()),6)</f>
        <v/>
      </c>
      <c r="BC131" s="1824">
        <f>ROUND(INDEX(SP_CFA_NetChange,0,COLUMN())-INDEX(MO_CFS_NetChange,0,COLUMN()),6)</f>
        <v/>
      </c>
      <c r="BD131" s="1824">
        <f>ROUND(INDEX(SP_CFA_NetChange,0,COLUMN())-INDEX(MO_CFS_NetChange,0,COLUMN()),6)</f>
        <v/>
      </c>
      <c r="BE131" s="1824">
        <f>ROUND(INDEX(SP_CFA_NetChange,0,COLUMN())-INDEX(MO_CFS_NetChange,0,COLUMN()),6)</f>
        <v/>
      </c>
      <c r="BF131" s="1824">
        <f>ROUND(INDEX(SP_CFA_NetChange,0,COLUMN())-INDEX(MO_CFS_NetChange,0,COLUMN()),6)</f>
        <v/>
      </c>
      <c r="BG131" s="1824">
        <f>ROUND(INDEX(SP_CFA_NetChange,0,COLUMN())-INDEX(MO_CFS_NetChange,0,COLUMN()),6)</f>
        <v/>
      </c>
      <c r="BH131" s="1824">
        <f>ROUND(INDEX(SP_CFA_NetChange,0,COLUMN())-INDEX(MO_CFS_NetChange,0,COLUMN()),6)</f>
        <v/>
      </c>
      <c r="BI131" s="1824">
        <f>ROUND(INDEX(SP_CFA_NetChange,0,COLUMN())-INDEX(MO_CFS_NetChange,0,COLUMN()),6)</f>
        <v/>
      </c>
      <c r="BJ131" s="1824">
        <f>ROUND(INDEX(SP_CFA_NetChange,0,COLUMN())-INDEX(MO_CFS_NetChange,0,COLUMN()),6)</f>
        <v/>
      </c>
      <c r="BK131" s="1824">
        <f>ROUND(INDEX(SP_CFA_NetChange,0,COLUMN())-INDEX(MO_CFS_NetChange,0,COLUMN()),6)</f>
        <v/>
      </c>
      <c r="BL131" s="1824">
        <f>ROUND(INDEX(SP_CFA_NetChange,0,COLUMN())-INDEX(MO_CFS_NetChange,0,COLUMN()),6)</f>
        <v/>
      </c>
      <c r="BM131" s="1824">
        <f>ROUND(INDEX(SP_CFA_NetChange,0,COLUMN())-INDEX(MO_CFS_NetChange,0,COLUMN()),6)</f>
        <v/>
      </c>
      <c r="BN131" s="1824">
        <f>ROUND(INDEX(SP_CFA_NetChange,0,COLUMN())-INDEX(MO_CFS_NetChange,0,COLUMN()),6)</f>
        <v/>
      </c>
      <c r="BO131" s="1825">
        <f>ROUND(INDEX(SP_CFA_NetChange,0,COLUMN())-INDEX(MO_CFS_NetChange,0,COLUMN()),6)</f>
        <v/>
      </c>
      <c r="BP131" s="1824">
        <f>ROUND(INDEX(SP_CFA_NetChange,0,COLUMN())-INDEX(MO_CFS_NetChange,0,COLUMN()),6)</f>
        <v/>
      </c>
      <c r="BQ131" s="1824">
        <f>ROUND(INDEX(SP_CFA_NetChange,0,COLUMN())-INDEX(MO_CFS_NetChange,0,COLUMN()),6)</f>
        <v/>
      </c>
      <c r="BR131" s="1824">
        <f>ROUND(INDEX(SP_CFA_NetChange,0,COLUMN())-INDEX(MO_CFS_NetChange,0,COLUMN()),6)</f>
        <v/>
      </c>
      <c r="BS131" s="1824">
        <f>ROUND(INDEX(SP_CFA_NetChange,0,COLUMN())-INDEX(MO_CFS_NetChange,0,COLUMN()),6)</f>
        <v/>
      </c>
      <c r="BT131" s="1824">
        <f>ROUND(INDEX(SP_CFA_NetChange,0,COLUMN())-INDEX(MO_CFS_NetChange,0,COLUMN()),6)</f>
        <v/>
      </c>
      <c r="BU131" s="1824">
        <f>ROUND(INDEX(SP_CFA_NetChange,0,COLUMN())-INDEX(MO_CFS_NetChange,0,COLUMN()),6)</f>
        <v/>
      </c>
      <c r="BV131" s="1824">
        <f>ROUND(INDEX(SP_CFA_NetChange,0,COLUMN())-INDEX(MO_CFS_NetChange,0,COLUMN()),6)</f>
        <v/>
      </c>
      <c r="BW131" s="1824">
        <f>ROUND(INDEX(SP_CFA_NetChange,0,COLUMN())-INDEX(MO_CFS_NetChange,0,COLUMN()),6)</f>
        <v/>
      </c>
      <c r="BX131" s="1824">
        <f>ROUND(INDEX(SP_CFA_NetChange,0,COLUMN())-INDEX(MO_CFS_NetChange,0,COLUMN()),6)</f>
        <v/>
      </c>
      <c r="BY131" s="1824">
        <f>ROUND(INDEX(SP_CFA_NetChange,0,COLUMN())-INDEX(MO_CFS_NetChange,0,COLUMN()),6)</f>
        <v/>
      </c>
      <c r="BZ131" s="1824">
        <f>ROUND(INDEX(SP_CFA_NetChange,0,COLUMN())-INDEX(MO_CFS_NetChange,0,COLUMN()),6)</f>
        <v/>
      </c>
      <c r="CA131" s="1824">
        <f>ROUND(INDEX(SP_CFA_NetChange,0,COLUMN())-INDEX(MO_CFS_NetChange,0,COLUMN()),6)</f>
        <v/>
      </c>
      <c r="CB131" s="1824">
        <f>ROUND(INDEX(SP_CFA_NetChange,0,COLUMN())-INDEX(MO_CFS_NetChange,0,COLUMN()),6)</f>
        <v/>
      </c>
      <c r="CC131" s="800" t="n"/>
    </row>
    <row r="132" collapsed="1" ht="15" customHeight="1" s="595">
      <c r="A132" s="800" t="n"/>
      <c r="B132" s="800" t="n"/>
      <c r="C132" s="1524" t="n"/>
      <c r="D132" s="1524" t="n"/>
      <c r="E132" s="1524" t="n"/>
      <c r="F132" s="1524" t="n"/>
      <c r="G132" s="1524" t="n"/>
      <c r="H132" s="800" t="n"/>
      <c r="I132" s="800" t="n"/>
      <c r="J132" s="800" t="n"/>
      <c r="K132" s="800" t="n"/>
      <c r="L132" s="1524" t="n"/>
      <c r="M132" s="800" t="n"/>
      <c r="N132" s="800" t="n"/>
      <c r="O132" s="800" t="n"/>
      <c r="P132" s="800" t="n"/>
      <c r="Q132" s="1524" t="n"/>
      <c r="R132" s="800" t="n"/>
      <c r="S132" s="800" t="n"/>
      <c r="T132" s="800" t="n"/>
      <c r="U132" s="800" t="n"/>
      <c r="V132" s="1524" t="n"/>
      <c r="W132" s="800" t="n"/>
      <c r="X132" s="800" t="n"/>
      <c r="Y132" s="800" t="n"/>
      <c r="Z132" s="800" t="n"/>
      <c r="AA132" s="1524" t="n"/>
      <c r="AB132" s="800" t="n"/>
      <c r="AC132" s="800" t="n"/>
      <c r="AD132" s="800" t="n"/>
      <c r="AE132" s="800" t="n"/>
      <c r="AF132" s="1524" t="n"/>
      <c r="AG132" s="800" t="n"/>
      <c r="AH132" s="800" t="n"/>
      <c r="AI132" s="800" t="n"/>
      <c r="AJ132" s="800" t="n"/>
      <c r="AK132" s="1524" t="n"/>
      <c r="AL132" s="800" t="n"/>
      <c r="AM132" s="800" t="n"/>
      <c r="AN132" s="800" t="n"/>
      <c r="AO132" s="800" t="n"/>
      <c r="AP132" s="1524" t="n"/>
      <c r="AQ132" s="800" t="n"/>
      <c r="AR132" s="800" t="n"/>
      <c r="AS132" s="800" t="n"/>
      <c r="AT132" s="800" t="n"/>
      <c r="AU132" s="1524" t="n"/>
      <c r="AV132" s="800" t="n"/>
      <c r="AW132" s="800" t="n"/>
      <c r="AX132" s="800" t="n"/>
      <c r="AY132" s="800" t="n"/>
      <c r="AZ132" s="1524" t="n"/>
      <c r="BA132" s="800" t="n"/>
      <c r="BB132" s="800" t="n"/>
      <c r="BC132" s="800" t="n"/>
      <c r="BD132" s="800" t="n"/>
      <c r="BE132" s="1524" t="n"/>
      <c r="BF132" s="800" t="n"/>
      <c r="BG132" s="800" t="n"/>
      <c r="BH132" s="800" t="n"/>
      <c r="BI132" s="800" t="n"/>
      <c r="BJ132" s="1524" t="n"/>
      <c r="BK132" s="800" t="n"/>
      <c r="BL132" s="800" t="n"/>
      <c r="BM132" s="800" t="n"/>
      <c r="BN132" s="800" t="n"/>
      <c r="BO132" s="1523" t="n"/>
      <c r="BP132" s="800" t="n"/>
      <c r="BQ132" s="800" t="n"/>
      <c r="BR132" s="800" t="n"/>
      <c r="BS132" s="800" t="n"/>
      <c r="BT132" s="1524" t="n"/>
      <c r="BU132" s="800" t="n"/>
      <c r="BV132" s="800" t="n"/>
      <c r="BW132" s="800" t="n"/>
      <c r="BX132" s="800" t="n"/>
      <c r="BY132" s="1524" t="n"/>
      <c r="BZ132" s="1524" t="n"/>
      <c r="CA132" s="1524" t="n"/>
      <c r="CB132" s="1524" t="n"/>
      <c r="CC132" s="800" t="n"/>
    </row>
    <row r="133" ht="15" customHeight="1" s="595">
      <c r="A133" s="2185" t="inlineStr">
        <is>
          <t>Tegus</t>
        </is>
      </c>
      <c r="B133" s="781" t="n"/>
      <c r="C133" s="781" t="n"/>
      <c r="D133" s="781" t="n"/>
      <c r="E133" s="781" t="n"/>
      <c r="F133" s="781" t="n"/>
      <c r="G133" s="781" t="n"/>
      <c r="H133" s="781" t="n"/>
      <c r="I133" s="781" t="n"/>
      <c r="J133" s="781" t="n"/>
      <c r="K133" s="781" t="n"/>
      <c r="L133" s="781" t="n"/>
      <c r="M133" s="781" t="n"/>
      <c r="N133" s="781" t="n"/>
      <c r="O133" s="781" t="n"/>
      <c r="P133" s="781" t="n"/>
      <c r="Q133" s="781" t="n"/>
      <c r="R133" s="781" t="n"/>
      <c r="S133" s="781" t="n"/>
      <c r="T133" s="781" t="n"/>
      <c r="U133" s="781" t="n"/>
      <c r="V133" s="781" t="n"/>
      <c r="W133" s="781" t="n"/>
      <c r="X133" s="781" t="n"/>
      <c r="Y133" s="781" t="n"/>
      <c r="Z133" s="781" t="n"/>
      <c r="AA133" s="781" t="n"/>
      <c r="AB133" s="781" t="n"/>
      <c r="AC133" s="781" t="n"/>
      <c r="AD133" s="781" t="n"/>
      <c r="AE133" s="781" t="n"/>
      <c r="AF133" s="781" t="n"/>
      <c r="AG133" s="781" t="n"/>
      <c r="AH133" s="781" t="n"/>
      <c r="AI133" s="781" t="n"/>
      <c r="AJ133" s="781" t="n"/>
      <c r="AK133" s="781" t="n"/>
      <c r="AL133" s="781" t="n"/>
      <c r="AM133" s="781" t="n"/>
      <c r="AN133" s="781" t="n"/>
      <c r="AO133" s="781" t="n"/>
      <c r="AP133" s="781" t="n"/>
      <c r="AQ133" s="781" t="n"/>
      <c r="AR133" s="781" t="n"/>
      <c r="AS133" s="781" t="n"/>
      <c r="AT133" s="781" t="n"/>
      <c r="AU133" s="781" t="n"/>
      <c r="AV133" s="781" t="n"/>
      <c r="AW133" s="781" t="n"/>
      <c r="AX133" s="781" t="n"/>
      <c r="AY133" s="781" t="n"/>
      <c r="AZ133" s="781" t="n"/>
      <c r="BA133" s="781" t="n"/>
      <c r="BB133" s="781" t="n"/>
      <c r="BC133" s="781" t="n"/>
      <c r="BD133" s="781" t="n"/>
      <c r="BE133" s="781" t="n"/>
      <c r="BF133" s="781" t="n"/>
      <c r="BG133" s="781" t="n"/>
      <c r="BH133" s="781" t="n"/>
      <c r="BI133" s="781" t="n"/>
      <c r="BJ133" s="781" t="n"/>
      <c r="BK133" s="781" t="n"/>
      <c r="BL133" s="781" t="n"/>
      <c r="BM133" s="781" t="n"/>
      <c r="BN133" s="781" t="n"/>
      <c r="BO133" s="781" t="n"/>
      <c r="BP133" s="781" t="n"/>
      <c r="BQ133" s="781" t="n"/>
      <c r="BR133" s="781" t="n"/>
      <c r="BS133" s="781" t="n"/>
      <c r="BT133" s="781" t="n"/>
      <c r="BU133" s="781" t="n"/>
      <c r="BV133" s="781" t="n"/>
      <c r="BW133" s="781" t="n"/>
      <c r="BX133" s="781" t="n"/>
      <c r="BY133" s="781" t="n"/>
      <c r="BZ133" s="781" t="n"/>
      <c r="CA133" s="781" t="n"/>
      <c r="CB133" s="781" t="n"/>
      <c r="CC133" s="800" t="n"/>
    </row>
    <row r="134" collapsed="1" ht="15" customHeight="1" s="595">
      <c r="A134" s="2186" t="n"/>
      <c r="B134" s="800" t="n"/>
      <c r="C134" s="800" t="n"/>
      <c r="D134" s="800" t="n"/>
      <c r="E134" s="800" t="n"/>
      <c r="F134" s="800" t="n"/>
      <c r="G134" s="800" t="n"/>
      <c r="H134" s="800" t="n"/>
      <c r="I134" s="800" t="n"/>
      <c r="J134" s="800" t="n"/>
      <c r="K134" s="800" t="n"/>
      <c r="L134" s="800" t="n"/>
      <c r="M134" s="800" t="n"/>
      <c r="N134" s="800" t="n"/>
      <c r="O134" s="800" t="n"/>
      <c r="P134" s="800" t="n"/>
      <c r="Q134" s="800" t="n"/>
      <c r="R134" s="800" t="n"/>
      <c r="S134" s="800" t="n"/>
      <c r="T134" s="800" t="n"/>
      <c r="U134" s="800" t="n"/>
      <c r="V134" s="800" t="n"/>
      <c r="W134" s="800" t="n"/>
      <c r="X134" s="800" t="n"/>
      <c r="Y134" s="800" t="n"/>
      <c r="Z134" s="800" t="n"/>
      <c r="AA134" s="800" t="n"/>
      <c r="AB134" s="800" t="n"/>
      <c r="AC134" s="800" t="n"/>
      <c r="AD134" s="800" t="n"/>
      <c r="AE134" s="800" t="n"/>
      <c r="AF134" s="800" t="n"/>
      <c r="AG134" s="800" t="n"/>
      <c r="AH134" s="800" t="n"/>
      <c r="AI134" s="800" t="n"/>
      <c r="AJ134" s="800" t="n"/>
      <c r="AK134" s="800" t="n"/>
      <c r="AL134" s="800" t="n"/>
      <c r="AM134" s="800" t="n"/>
      <c r="AN134" s="800" t="n"/>
      <c r="AO134" s="800" t="n"/>
      <c r="AP134" s="800" t="n"/>
      <c r="AQ134" s="800" t="n"/>
      <c r="AR134" s="800" t="n"/>
      <c r="AS134" s="800" t="n"/>
      <c r="AT134" s="800" t="n"/>
      <c r="AU134" s="800" t="n"/>
      <c r="AV134" s="800" t="n"/>
      <c r="AW134" s="800" t="n"/>
      <c r="AX134" s="800" t="n"/>
      <c r="AY134" s="800" t="n"/>
      <c r="AZ134" s="800" t="n"/>
      <c r="BA134" s="800" t="n"/>
      <c r="BB134" s="800" t="n"/>
      <c r="BC134" s="800" t="n"/>
      <c r="BD134" s="800" t="n"/>
      <c r="BE134" s="800" t="n"/>
      <c r="BF134" s="800" t="n"/>
      <c r="BG134" s="800" t="n"/>
      <c r="BH134" s="800" t="n"/>
      <c r="BI134" s="800" t="n"/>
      <c r="BJ134" s="800" t="n"/>
      <c r="BK134" s="800" t="n"/>
      <c r="BL134" s="800" t="n"/>
      <c r="BM134" s="800" t="n"/>
      <c r="BN134" s="800" t="n"/>
      <c r="BO134" s="800" t="n"/>
      <c r="BP134" s="800" t="n"/>
      <c r="BQ134" s="800" t="n"/>
      <c r="BR134" s="800" t="n"/>
      <c r="BS134" s="800" t="n"/>
      <c r="BT134" s="800" t="n"/>
      <c r="BU134" s="800" t="n"/>
      <c r="BV134" s="800" t="n"/>
      <c r="BW134" s="800" t="n"/>
      <c r="BX134" s="800" t="n"/>
      <c r="BY134" s="800" t="n"/>
      <c r="BZ134" s="800" t="n"/>
      <c r="CA134" s="800" t="n"/>
      <c r="CB134" s="800" t="n"/>
      <c r="CC134" s="800" t="n"/>
    </row>
  </sheetData>
  <conditionalFormatting sqref="C126:CB131">
    <cfRule type="cellIs" priority="227" operator="equal" dxfId="1">
      <formula>0</formula>
    </cfRule>
    <cfRule type="cellIs" priority="226" operator="notEqual" dxfId="0">
      <formula>0</formula>
    </cfRule>
  </conditionalFormatting>
  <dataValidations count="1">
    <dataValidation sqref="B4" showDropDown="0" showInputMessage="1" showErrorMessage="1" allowBlank="1" type="list">
      <formula1>OFFSET(tb_ValuationToggle,1,0,4,1)</formula1>
    </dataValidation>
  </dataValidations>
  <pageMargins left="0.7" right="0.7" top="0.75" bottom="0.75" header="0.3" footer="0.3"/>
  <pageSetup orientation="portrait" paperSize="1" scale="37"/>
</worksheet>
</file>

<file path=xl/worksheets/sheet6.xml><?xml version="1.0" encoding="utf-8"?>
<worksheet xmlns="http://schemas.openxmlformats.org/spreadsheetml/2006/main">
  <sheetPr codeName="Sheet41">
    <outlinePr summaryBelow="1" summaryRight="1"/>
    <pageSetUpPr/>
  </sheetPr>
  <dimension ref="A1:J72"/>
  <sheetViews>
    <sheetView showGridLines="0" topLeftCell="A1" workbookViewId="0">
      <selection activeCell="A1" sqref="A1"/>
    </sheetView>
  </sheetViews>
  <sheetFormatPr baseColWidth="8" defaultColWidth="8.71428571428571" defaultRowHeight="15"/>
  <cols>
    <col width="4.42857142857143" customWidth="1" style="16" min="1" max="1"/>
    <col width="9.71428571428571" customWidth="1" style="16" min="2" max="2"/>
    <col width="15.7142857142857" customWidth="1" style="16" min="3" max="3"/>
    <col width="20.7142857142857" customWidth="1" style="16" min="4" max="4"/>
    <col width="30.7142857142857" customWidth="1" style="16" min="5" max="5"/>
    <col width="20.7142857142857" customWidth="1" style="16" min="6" max="6"/>
    <col width="23.7142857142857" customWidth="1" style="16" min="7" max="7"/>
    <col width="45.7142857142857" customWidth="1" style="16" min="8" max="8"/>
    <col width="7.71428571428571" customWidth="1" style="16" min="9" max="9"/>
    <col width="8.71428571428571" customWidth="1" style="16" min="10" max="16"/>
    <col width="8.71428571428571" customWidth="1" style="16" min="17" max="16384"/>
  </cols>
  <sheetData>
    <row r="1" ht="15" customHeight="1" s="595">
      <c r="A1" s="17" t="n"/>
      <c r="B1" s="17" t="n"/>
      <c r="C1" s="17" t="n"/>
      <c r="D1" s="17" t="n"/>
      <c r="E1" s="17" t="n"/>
      <c r="F1" s="17" t="n"/>
      <c r="G1" s="17" t="n"/>
      <c r="H1" s="17" t="n"/>
      <c r="I1" s="17" t="n"/>
      <c r="J1" s="17" t="n"/>
    </row>
    <row r="2" ht="15" customHeight="1" s="595">
      <c r="A2" s="17" t="n"/>
      <c r="B2" s="17" t="n"/>
      <c r="C2" s="17" t="n"/>
      <c r="D2" s="17" t="n"/>
      <c r="E2" s="17" t="n"/>
      <c r="F2" s="17" t="n"/>
      <c r="G2" s="17" t="n"/>
      <c r="H2" s="17" t="n"/>
      <c r="I2" s="17" t="n"/>
      <c r="J2" s="17" t="n"/>
    </row>
    <row r="3" ht="15" customHeight="1" s="595">
      <c r="A3" s="17" t="n"/>
      <c r="B3" s="17" t="n"/>
      <c r="C3" s="17" t="n"/>
      <c r="D3" s="17" t="n"/>
      <c r="E3" s="17" t="n"/>
      <c r="F3" s="17" t="n"/>
      <c r="G3" s="17" t="n"/>
      <c r="H3" s="17" t="n"/>
      <c r="I3" s="17" t="n"/>
      <c r="J3" s="17" t="n"/>
    </row>
    <row r="4" ht="15" customHeight="1" s="595">
      <c r="A4" s="17" t="n"/>
      <c r="B4" s="17" t="n"/>
      <c r="C4" s="17" t="n"/>
      <c r="D4" s="17" t="n"/>
      <c r="E4" s="17" t="n"/>
      <c r="F4" s="17" t="n"/>
      <c r="G4" s="17" t="n"/>
      <c r="H4" s="17" t="n"/>
      <c r="I4" s="17" t="n"/>
      <c r="J4" s="17" t="n"/>
    </row>
    <row r="5" ht="15" customHeight="1" s="595">
      <c r="A5" s="17" t="n"/>
      <c r="B5" s="17" t="n"/>
      <c r="C5" s="17" t="n"/>
      <c r="D5" s="17" t="n"/>
      <c r="E5" s="17" t="n"/>
      <c r="F5" s="17" t="n"/>
      <c r="G5" s="17" t="n"/>
      <c r="H5" s="17" t="n"/>
      <c r="I5" s="17" t="n"/>
      <c r="J5" s="17" t="n"/>
    </row>
    <row r="6" ht="15" customHeight="1" s="595">
      <c r="A6" s="17" t="n"/>
      <c r="B6" s="17" t="n"/>
      <c r="C6" s="17" t="n"/>
      <c r="D6" s="17" t="n"/>
      <c r="E6" s="17" t="n"/>
      <c r="F6" s="17" t="n"/>
      <c r="G6" s="17" t="n"/>
      <c r="H6" s="17" t="n"/>
      <c r="I6" s="17" t="n"/>
      <c r="J6" s="17" t="n"/>
    </row>
    <row r="7" ht="18.75" customHeight="1" s="595">
      <c r="A7" s="17" t="n"/>
      <c r="B7" s="17" t="n"/>
      <c r="C7" s="17" t="n"/>
      <c r="D7" s="17" t="n"/>
      <c r="E7" s="2187">
        <f>MO.MRFPColumnNumber</f>
        <v/>
      </c>
      <c r="F7" s="527">
        <f>MO.MRFP</f>
        <v/>
      </c>
      <c r="G7" s="527" t="n"/>
      <c r="H7" s="2188">
        <f>AA.CSIN</f>
        <v/>
      </c>
      <c r="I7" s="523" t="n"/>
      <c r="J7" s="522" t="n"/>
    </row>
    <row r="8" ht="15" customHeight="1" s="595">
      <c r="A8" s="17" t="n"/>
      <c r="B8" s="17" t="n"/>
      <c r="C8" s="17" t="n"/>
      <c r="D8" s="17" t="n"/>
      <c r="E8" s="17" t="n"/>
      <c r="F8" s="17" t="n"/>
      <c r="G8" s="17" t="n"/>
      <c r="H8" s="2189">
        <f>+AA.ModelVersion</f>
        <v/>
      </c>
      <c r="I8" s="17" t="n"/>
      <c r="J8" s="17" t="n"/>
    </row>
    <row r="9" ht="15" customHeight="1" s="595">
      <c r="A9" s="17" t="n"/>
      <c r="B9" s="17" t="n"/>
      <c r="C9" s="17" t="n"/>
      <c r="D9" s="17" t="n"/>
      <c r="E9" s="17" t="n"/>
      <c r="F9" s="17" t="n"/>
      <c r="G9" s="17" t="n"/>
      <c r="H9" s="17" t="n"/>
      <c r="I9" s="17" t="n"/>
      <c r="J9" s="17" t="n"/>
    </row>
    <row r="10" ht="15" customHeight="1" s="595">
      <c r="A10" s="17" t="n"/>
      <c r="B10" s="17" t="n"/>
      <c r="C10" s="564" t="inlineStr">
        <is>
          <t>Update Date</t>
        </is>
      </c>
      <c r="D10" s="564" t="inlineStr">
        <is>
          <t>Updated By (Initials)</t>
        </is>
      </c>
      <c r="E10" s="564" t="inlineStr">
        <is>
          <t>Update Type</t>
        </is>
      </c>
      <c r="F10" s="564" t="inlineStr">
        <is>
          <t>Most Recent Period</t>
        </is>
      </c>
      <c r="G10" s="564" t="inlineStr">
        <is>
          <t>Special Comments</t>
        </is>
      </c>
      <c r="H10" s="565" t="inlineStr">
        <is>
          <t>Link to Press Release / News Item</t>
        </is>
      </c>
      <c r="I10" s="17" t="n"/>
      <c r="J10" s="17" t="n"/>
    </row>
    <row r="11" ht="15" customHeight="1" s="595">
      <c r="A11" s="17" t="n"/>
      <c r="B11" s="17" t="n"/>
      <c r="C11" s="538" t="n">
        <v>46049</v>
      </c>
      <c r="D11" s="539" t="inlineStr">
        <is>
          <t>ALT</t>
        </is>
      </c>
      <c r="E11" s="540" t="inlineStr">
        <is>
          <t>Initial (Press Release)</t>
        </is>
      </c>
      <c r="F11" s="540" t="inlineStr">
        <is>
          <t>FY2025</t>
        </is>
      </c>
      <c r="G11" s="541" t="n"/>
      <c r="H11" s="592" t="inlineStr">
        <is>
          <t>Earnings Press Release</t>
        </is>
      </c>
      <c r="I11" s="17" t="n"/>
      <c r="J11" s="17" t="n"/>
    </row>
    <row r="12" ht="15" customHeight="1" s="595">
      <c r="A12" s="17" t="n"/>
      <c r="B12" s="17" t="n"/>
      <c r="C12" s="538" t="n">
        <v>45944</v>
      </c>
      <c r="D12" s="539" t="inlineStr">
        <is>
          <t>BL</t>
        </is>
      </c>
      <c r="E12" s="540" t="inlineStr">
        <is>
          <t>Quarterly (Earnings Report)</t>
        </is>
      </c>
      <c r="F12" s="540" t="inlineStr">
        <is>
          <t>Q3-2025</t>
        </is>
      </c>
      <c r="G12" s="541" t="n"/>
      <c r="H12" s="263" t="inlineStr">
        <is>
          <t>Earnings Press Release</t>
        </is>
      </c>
      <c r="I12" s="17" t="n"/>
      <c r="J12" s="17" t="n"/>
    </row>
    <row r="13" ht="15" customHeight="1" s="595">
      <c r="A13" s="17" t="n"/>
      <c r="B13" s="17" t="n"/>
      <c r="C13" s="538" t="n">
        <v>45853</v>
      </c>
      <c r="D13" s="539" t="inlineStr">
        <is>
          <t>TP</t>
        </is>
      </c>
      <c r="E13" s="540" t="inlineStr">
        <is>
          <t>Quarterly (Earnings Report)</t>
        </is>
      </c>
      <c r="F13" s="540" t="inlineStr">
        <is>
          <t>Q2-2025</t>
        </is>
      </c>
      <c r="G13" s="541" t="n"/>
      <c r="H13" s="263" t="inlineStr">
        <is>
          <t>Earnings Press Release</t>
        </is>
      </c>
      <c r="I13" s="17" t="n"/>
      <c r="J13" s="17" t="n"/>
    </row>
    <row r="14" ht="15" customHeight="1" s="595">
      <c r="A14" s="17" t="n"/>
      <c r="B14" s="17" t="n"/>
      <c r="C14" s="538" t="n">
        <v>45762</v>
      </c>
      <c r="D14" s="539" t="inlineStr">
        <is>
          <t>AN</t>
        </is>
      </c>
      <c r="E14" s="540" t="inlineStr">
        <is>
          <t>Quarterly (Earnings Report)</t>
        </is>
      </c>
      <c r="F14" s="540" t="inlineStr">
        <is>
          <t>Q1-2025</t>
        </is>
      </c>
      <c r="G14" s="541" t="n"/>
      <c r="H14" s="263" t="inlineStr">
        <is>
          <t>Earnings Press Release</t>
        </is>
      </c>
      <c r="I14" s="17" t="n"/>
      <c r="J14" s="17" t="n"/>
    </row>
    <row r="15" ht="15" customHeight="1" s="595">
      <c r="A15" s="17" t="n"/>
      <c r="B15" s="17" t="n"/>
      <c r="C15" s="538" t="n">
        <v>45721</v>
      </c>
      <c r="D15" s="539" t="inlineStr">
        <is>
          <t>AR</t>
        </is>
      </c>
      <c r="E15" s="540" t="inlineStr">
        <is>
          <t>Annual (Earnings Report)</t>
        </is>
      </c>
      <c r="F15" s="540" t="inlineStr">
        <is>
          <t>FY2024</t>
        </is>
      </c>
      <c r="G15" s="541" t="n"/>
      <c r="H15" s="263" t="inlineStr">
        <is>
          <t>Earnings Press Release</t>
        </is>
      </c>
      <c r="I15" s="17" t="n"/>
      <c r="J15" s="17" t="n"/>
    </row>
    <row r="16" ht="15" customHeight="1" s="595">
      <c r="A16" s="17" t="n"/>
      <c r="B16" s="17" t="n"/>
      <c r="C16" s="538" t="n">
        <v>45685</v>
      </c>
      <c r="D16" s="539" t="inlineStr">
        <is>
          <t>BL</t>
        </is>
      </c>
      <c r="E16" s="540" t="inlineStr">
        <is>
          <t>Initial (Press Release)</t>
        </is>
      </c>
      <c r="F16" s="540" t="inlineStr">
        <is>
          <t>FY2024</t>
        </is>
      </c>
      <c r="G16" s="541" t="n"/>
      <c r="H16" s="263" t="inlineStr">
        <is>
          <t>Earnings Press Release</t>
        </is>
      </c>
      <c r="I16" s="17" t="n"/>
      <c r="J16" s="17" t="n"/>
    </row>
    <row r="17" ht="15" customHeight="1" s="595">
      <c r="A17" s="17" t="n"/>
      <c r="B17" s="17" t="n"/>
      <c r="C17" s="538" t="n">
        <v>45580</v>
      </c>
      <c r="D17" s="539" t="inlineStr">
        <is>
          <t>AW</t>
        </is>
      </c>
      <c r="E17" s="540" t="inlineStr">
        <is>
          <t>Quarterly (Earnings Report)</t>
        </is>
      </c>
      <c r="F17" s="540" t="inlineStr">
        <is>
          <t>Q3-2024</t>
        </is>
      </c>
      <c r="G17" s="541" t="n"/>
      <c r="H17" s="263" t="inlineStr">
        <is>
          <t>Earnings Press Release</t>
        </is>
      </c>
      <c r="I17" s="17" t="n"/>
      <c r="J17" s="17" t="n"/>
    </row>
    <row r="18" ht="15" customHeight="1" s="595">
      <c r="A18" s="17" t="n"/>
      <c r="B18" s="17" t="n"/>
      <c r="C18" s="538" t="n">
        <v>45490</v>
      </c>
      <c r="D18" s="539" t="inlineStr">
        <is>
          <t>TP</t>
        </is>
      </c>
      <c r="E18" s="540" t="inlineStr">
        <is>
          <t>Quarterly (Earnings Report)</t>
        </is>
      </c>
      <c r="F18" s="540" t="inlineStr">
        <is>
          <t>Q2-2024</t>
        </is>
      </c>
      <c r="G18" s="541" t="n"/>
      <c r="H18" s="263" t="inlineStr">
        <is>
          <t>Earnings Press Release</t>
        </is>
      </c>
      <c r="I18" s="17" t="n"/>
      <c r="J18" s="17" t="n"/>
    </row>
    <row r="19" ht="15" customHeight="1" s="595">
      <c r="A19" s="17" t="n"/>
      <c r="B19" s="17" t="n"/>
      <c r="C19" s="538" t="n">
        <v>45398</v>
      </c>
      <c r="D19" s="539" t="inlineStr">
        <is>
          <t>AN</t>
        </is>
      </c>
      <c r="E19" s="540" t="inlineStr">
        <is>
          <t>Quarterly (Earnings Report)</t>
        </is>
      </c>
      <c r="F19" s="540" t="inlineStr">
        <is>
          <t>Q1-2024</t>
        </is>
      </c>
      <c r="G19" s="541" t="n"/>
      <c r="H19" s="263" t="inlineStr">
        <is>
          <t>Earnings Press Release</t>
        </is>
      </c>
      <c r="I19" s="17" t="n"/>
      <c r="J19" s="17" t="n"/>
    </row>
    <row r="20" ht="15" customHeight="1" s="595">
      <c r="A20" s="17" t="n"/>
      <c r="B20" s="17" t="n"/>
      <c r="C20" s="538" t="n">
        <v>45336</v>
      </c>
      <c r="D20" s="539" t="inlineStr">
        <is>
          <t>AN</t>
        </is>
      </c>
      <c r="E20" s="540" t="inlineStr">
        <is>
          <t>Annual (Earnings Report)</t>
        </is>
      </c>
      <c r="F20" s="540" t="inlineStr">
        <is>
          <t>FY2023</t>
        </is>
      </c>
      <c r="G20" s="541" t="n"/>
      <c r="H20" s="263" t="inlineStr">
        <is>
          <t>Earnings Press Release</t>
        </is>
      </c>
      <c r="I20" s="17" t="n"/>
      <c r="J20" s="17" t="n"/>
    </row>
    <row r="21" ht="15" customHeight="1" s="595">
      <c r="A21" s="17" t="n"/>
      <c r="B21" s="17" t="n"/>
      <c r="C21" s="538" t="n">
        <v>45314</v>
      </c>
      <c r="D21" s="539" t="inlineStr">
        <is>
          <t>TP</t>
        </is>
      </c>
      <c r="E21" s="540" t="inlineStr">
        <is>
          <t>Initial (Press Release)</t>
        </is>
      </c>
      <c r="F21" s="540" t="inlineStr">
        <is>
          <t>FY2023</t>
        </is>
      </c>
      <c r="G21" s="541" t="n"/>
      <c r="H21" s="566" t="inlineStr">
        <is>
          <t>Earnings Press Release</t>
        </is>
      </c>
      <c r="I21" s="17" t="n"/>
      <c r="J21" s="17" t="n"/>
    </row>
    <row r="22" ht="15" customHeight="1" s="595">
      <c r="A22" s="17" t="n"/>
      <c r="B22" s="17" t="n"/>
      <c r="C22" s="538" t="n">
        <v>45216</v>
      </c>
      <c r="D22" s="539" t="inlineStr">
        <is>
          <t>TP</t>
        </is>
      </c>
      <c r="E22" s="540" t="inlineStr">
        <is>
          <t>Quarterly (Earnings Report)</t>
        </is>
      </c>
      <c r="F22" s="540" t="inlineStr">
        <is>
          <t>Q3-2023</t>
        </is>
      </c>
      <c r="G22" s="541" t="n"/>
      <c r="H22" s="263" t="inlineStr">
        <is>
          <t>Earnings Press Release</t>
        </is>
      </c>
      <c r="I22" s="17" t="n"/>
      <c r="J22" s="17" t="n"/>
    </row>
    <row r="23" ht="15" customHeight="1" s="595">
      <c r="A23" s="17" t="n"/>
      <c r="B23" s="17" t="n"/>
      <c r="C23" s="538" t="n">
        <v>45126</v>
      </c>
      <c r="D23" s="539" t="inlineStr">
        <is>
          <t>TP</t>
        </is>
      </c>
      <c r="E23" s="540" t="inlineStr">
        <is>
          <t>Quarterly (Earnings Report)</t>
        </is>
      </c>
      <c r="F23" s="540" t="inlineStr">
        <is>
          <t>Q2-2023</t>
        </is>
      </c>
      <c r="G23" s="541" t="n"/>
      <c r="H23" s="542" t="inlineStr">
        <is>
          <t>Earnings Press Release</t>
        </is>
      </c>
      <c r="I23" s="17" t="n"/>
      <c r="J23" s="17" t="n"/>
    </row>
    <row r="24" ht="15" customHeight="1" s="595">
      <c r="A24" s="17" t="n"/>
      <c r="B24" s="17" t="n"/>
      <c r="C24" s="538" t="n">
        <v>45034</v>
      </c>
      <c r="D24" s="539" t="inlineStr">
        <is>
          <t>CZ</t>
        </is>
      </c>
      <c r="E24" s="540" t="inlineStr">
        <is>
          <t>Quarterly (Earnings Report)</t>
        </is>
      </c>
      <c r="F24" s="540" t="inlineStr">
        <is>
          <t>Q1-2023</t>
        </is>
      </c>
      <c r="G24" s="543" t="n"/>
      <c r="H24" s="544" t="inlineStr">
        <is>
          <t>Earnings Press Release</t>
        </is>
      </c>
      <c r="I24" s="17" t="n"/>
      <c r="J24" s="17" t="n"/>
    </row>
    <row r="25" ht="15" customHeight="1" s="595">
      <c r="A25" s="17" t="n"/>
      <c r="B25" s="17" t="n"/>
      <c r="C25" s="538" t="n">
        <v>44972</v>
      </c>
      <c r="D25" s="539" t="inlineStr">
        <is>
          <t>DY</t>
        </is>
      </c>
      <c r="E25" s="540" t="inlineStr">
        <is>
          <t>Annual (Earnings Report)</t>
        </is>
      </c>
      <c r="F25" s="540" t="inlineStr">
        <is>
          <t>FY2022</t>
        </is>
      </c>
      <c r="G25" s="541" t="n"/>
      <c r="H25" s="263" t="inlineStr">
        <is>
          <t>Earnings Press Release</t>
        </is>
      </c>
      <c r="I25" s="17" t="n"/>
      <c r="J25" s="17" t="n"/>
    </row>
    <row r="26" ht="15" customHeight="1" s="595">
      <c r="A26" s="17" t="n"/>
      <c r="B26" s="17" t="n"/>
      <c r="C26" s="538" t="n">
        <v>44950</v>
      </c>
      <c r="D26" s="539" t="inlineStr">
        <is>
          <t>DY</t>
        </is>
      </c>
      <c r="E26" s="540" t="inlineStr">
        <is>
          <t>Initial (Press Release)</t>
        </is>
      </c>
      <c r="F26" s="540" t="inlineStr">
        <is>
          <t>FY2022</t>
        </is>
      </c>
      <c r="G26" s="541" t="n"/>
      <c r="H26" s="263" t="inlineStr">
        <is>
          <t>Earnings Press Release</t>
        </is>
      </c>
      <c r="I26" s="17" t="n"/>
      <c r="J26" s="17" t="n"/>
    </row>
    <row r="27" ht="15" customHeight="1" s="595">
      <c r="A27" s="17" t="n"/>
      <c r="B27" s="17" t="n"/>
      <c r="C27" s="538" t="n">
        <v>44852</v>
      </c>
      <c r="D27" s="539" t="inlineStr">
        <is>
          <t>HS</t>
        </is>
      </c>
      <c r="E27" s="540" t="inlineStr">
        <is>
          <t>Quarterly (Earnings Report)</t>
        </is>
      </c>
      <c r="F27" s="540" t="inlineStr">
        <is>
          <t>Q3-2022</t>
        </is>
      </c>
      <c r="G27" s="541" t="n"/>
      <c r="H27" s="263" t="inlineStr">
        <is>
          <t>Earnings Press Release</t>
        </is>
      </c>
      <c r="I27" s="17" t="n"/>
      <c r="J27" s="17" t="n"/>
    </row>
    <row r="28" ht="15" customHeight="1" s="595">
      <c r="A28" s="17" t="n"/>
      <c r="B28" s="17" t="n"/>
      <c r="C28" s="538" t="n">
        <v>44762</v>
      </c>
      <c r="D28" s="539" t="inlineStr">
        <is>
          <t>AK</t>
        </is>
      </c>
      <c r="E28" s="540" t="inlineStr">
        <is>
          <t>Quarterly (Earnings Report)</t>
        </is>
      </c>
      <c r="F28" s="540" t="inlineStr">
        <is>
          <t>Q2-2022</t>
        </is>
      </c>
      <c r="G28" s="541" t="n"/>
      <c r="H28" s="263" t="inlineStr">
        <is>
          <t>Earnings Press Release</t>
        </is>
      </c>
      <c r="I28" s="17" t="n"/>
      <c r="J28" s="17" t="n"/>
    </row>
    <row r="29" ht="15" customHeight="1" s="595">
      <c r="A29" s="17" t="n"/>
      <c r="B29" s="17" t="n"/>
      <c r="C29" s="538" t="n">
        <v>44671</v>
      </c>
      <c r="D29" s="539" t="inlineStr">
        <is>
          <t>AK</t>
        </is>
      </c>
      <c r="E29" s="540" t="inlineStr">
        <is>
          <t>Quarterly (Earnings Report)</t>
        </is>
      </c>
      <c r="F29" s="540" t="inlineStr">
        <is>
          <t>Q1-2022</t>
        </is>
      </c>
      <c r="G29" s="541" t="n"/>
      <c r="H29" s="263" t="inlineStr">
        <is>
          <t>Earnings Press Release</t>
        </is>
      </c>
      <c r="I29" s="17" t="n"/>
      <c r="J29" s="17" t="n"/>
    </row>
    <row r="30" ht="15" customHeight="1" s="595">
      <c r="A30" s="17" t="n"/>
      <c r="B30" s="17" t="n"/>
      <c r="C30" s="538" t="n">
        <v>44601</v>
      </c>
      <c r="D30" s="539" t="inlineStr">
        <is>
          <t>SK</t>
        </is>
      </c>
      <c r="E30" s="540" t="inlineStr">
        <is>
          <t>Annual (Earnings Report)</t>
        </is>
      </c>
      <c r="F30" s="540" t="inlineStr">
        <is>
          <t>FY2021</t>
        </is>
      </c>
      <c r="G30" s="541" t="n"/>
      <c r="H30" s="263" t="inlineStr">
        <is>
          <t>Earnings Press Release</t>
        </is>
      </c>
      <c r="I30" s="17" t="n"/>
      <c r="J30" s="17" t="n"/>
    </row>
    <row r="31" ht="15" customHeight="1" s="595">
      <c r="A31" s="17" t="n"/>
      <c r="B31" s="17" t="n"/>
      <c r="C31" s="538" t="n">
        <v>44579</v>
      </c>
      <c r="D31" s="539" t="inlineStr">
        <is>
          <t>AW</t>
        </is>
      </c>
      <c r="E31" s="540" t="inlineStr">
        <is>
          <t>Annual (Earnings Report)</t>
        </is>
      </c>
      <c r="F31" s="540" t="inlineStr">
        <is>
          <t>FY2021</t>
        </is>
      </c>
      <c r="G31" s="541" t="n"/>
      <c r="H31" s="542" t="inlineStr">
        <is>
          <t>Earnings Press Release</t>
        </is>
      </c>
      <c r="I31" s="17" t="n"/>
      <c r="J31" s="17" t="n"/>
    </row>
    <row r="32" ht="15" customHeight="1" s="595">
      <c r="A32" s="17" t="n"/>
      <c r="B32" s="17" t="n"/>
      <c r="C32" s="538" t="n">
        <v>44488</v>
      </c>
      <c r="D32" s="539" t="inlineStr">
        <is>
          <t>HS</t>
        </is>
      </c>
      <c r="E32" s="540" t="inlineStr">
        <is>
          <t>Quarterly (Earnings Report)</t>
        </is>
      </c>
      <c r="F32" s="540" t="inlineStr">
        <is>
          <t>Q3-2021</t>
        </is>
      </c>
      <c r="G32" s="541" t="n"/>
      <c r="H32" s="263" t="inlineStr">
        <is>
          <t>Earnings Press Release</t>
        </is>
      </c>
      <c r="I32" s="17" t="n"/>
      <c r="J32" s="17" t="n"/>
    </row>
    <row r="33" ht="15" customHeight="1" s="595">
      <c r="A33" s="17" t="n"/>
      <c r="B33" s="17" t="n"/>
      <c r="C33" s="538" t="n">
        <v>44397</v>
      </c>
      <c r="D33" s="539" t="inlineStr">
        <is>
          <t>HS</t>
        </is>
      </c>
      <c r="E33" s="540" t="inlineStr">
        <is>
          <t>Quarterly (Earnings Report)</t>
        </is>
      </c>
      <c r="F33" s="540" t="inlineStr">
        <is>
          <t>Q2-2021</t>
        </is>
      </c>
      <c r="G33" s="541" t="n"/>
      <c r="H33" s="263" t="inlineStr">
        <is>
          <t>Earnings Press Release</t>
        </is>
      </c>
      <c r="I33" s="17" t="n"/>
      <c r="J33" s="17" t="n"/>
    </row>
    <row r="34" ht="15" customHeight="1" s="595">
      <c r="A34" s="17" t="n"/>
      <c r="B34" s="17" t="n"/>
      <c r="C34" s="538" t="n">
        <v>44306</v>
      </c>
      <c r="D34" s="539" t="inlineStr">
        <is>
          <t>AW</t>
        </is>
      </c>
      <c r="E34" s="540" t="inlineStr">
        <is>
          <t>Quarterly (Earnings Report)</t>
        </is>
      </c>
      <c r="F34" s="540" t="inlineStr">
        <is>
          <t>Q1-2021</t>
        </is>
      </c>
      <c r="G34" s="541" t="n"/>
      <c r="H34" s="542" t="inlineStr">
        <is>
          <t>Earnings Press Release</t>
        </is>
      </c>
      <c r="I34" s="17" t="n"/>
      <c r="J34" s="17" t="n"/>
    </row>
    <row r="35" ht="15" customHeight="1" s="595">
      <c r="A35" s="17" t="n"/>
      <c r="B35" s="17" t="n"/>
      <c r="C35" s="538" t="n">
        <v>44215</v>
      </c>
      <c r="D35" s="539" t="inlineStr">
        <is>
          <t>AP</t>
        </is>
      </c>
      <c r="E35" s="540" t="inlineStr">
        <is>
          <t>Annual (Earnings Report)</t>
        </is>
      </c>
      <c r="F35" s="540" t="inlineStr">
        <is>
          <t>FY2020</t>
        </is>
      </c>
      <c r="G35" s="541" t="n"/>
      <c r="H35" s="263" t="inlineStr">
        <is>
          <t>Earnings Press Release</t>
        </is>
      </c>
      <c r="I35" s="17" t="n"/>
      <c r="J35" s="17" t="n"/>
    </row>
    <row r="36" ht="15" customHeight="1" s="595">
      <c r="A36" s="17" t="n"/>
      <c r="B36" s="17" t="n"/>
      <c r="C36" s="538" t="n">
        <v>44118</v>
      </c>
      <c r="D36" s="539" t="inlineStr">
        <is>
          <t>KZZH</t>
        </is>
      </c>
      <c r="E36" s="540" t="inlineStr">
        <is>
          <t>Quarterly (Earnings Report)</t>
        </is>
      </c>
      <c r="F36" s="540" t="inlineStr">
        <is>
          <t>Q3-2020</t>
        </is>
      </c>
      <c r="G36" s="545" t="n"/>
      <c r="H36" s="263" t="inlineStr">
        <is>
          <t>Earnings Press Release</t>
        </is>
      </c>
      <c r="I36" s="17" t="n"/>
      <c r="J36" s="17" t="n"/>
    </row>
    <row r="37" ht="15" customHeight="1" s="595">
      <c r="A37" s="17" t="n"/>
      <c r="B37" s="17" t="n"/>
      <c r="C37" s="538" t="n">
        <v>44027</v>
      </c>
      <c r="D37" s="539" t="inlineStr">
        <is>
          <t>HS</t>
        </is>
      </c>
      <c r="E37" s="540" t="inlineStr">
        <is>
          <t>Quarterly (Earnings Report)</t>
        </is>
      </c>
      <c r="F37" s="540" t="inlineStr">
        <is>
          <t>Q2-2020</t>
        </is>
      </c>
      <c r="G37" s="545" t="n"/>
      <c r="H37" s="263" t="inlineStr">
        <is>
          <t>Earnings Press Release</t>
        </is>
      </c>
      <c r="I37" s="17" t="n"/>
      <c r="J37" s="17" t="n"/>
    </row>
    <row r="38" ht="15" customHeight="1" s="595">
      <c r="A38" s="17" t="n"/>
      <c r="B38" s="17" t="n"/>
      <c r="C38" s="538" t="n">
        <v>43936</v>
      </c>
      <c r="D38" s="539" t="inlineStr">
        <is>
          <t>HS</t>
        </is>
      </c>
      <c r="E38" s="540" t="inlineStr">
        <is>
          <t>Quarterly (Earnings Report)</t>
        </is>
      </c>
      <c r="F38" s="540" t="inlineStr">
        <is>
          <t>Q1-2020</t>
        </is>
      </c>
      <c r="G38" s="545" t="n"/>
      <c r="H38" s="263" t="inlineStr">
        <is>
          <t>Earnings Press Release</t>
        </is>
      </c>
      <c r="I38" s="17" t="n"/>
      <c r="J38" s="17" t="n"/>
    </row>
    <row r="39" ht="15" customHeight="1" s="595">
      <c r="A39" s="17" t="n"/>
      <c r="B39" s="17" t="n"/>
      <c r="C39" s="538" t="n">
        <v>43873</v>
      </c>
      <c r="D39" s="539" t="inlineStr">
        <is>
          <t>AP</t>
        </is>
      </c>
      <c r="E39" s="540" t="inlineStr">
        <is>
          <t>Annual (Earnings Report)</t>
        </is>
      </c>
      <c r="F39" s="540" t="inlineStr">
        <is>
          <t>FY2019</t>
        </is>
      </c>
      <c r="G39" s="545" t="n"/>
      <c r="H39" s="542" t="inlineStr">
        <is>
          <t>Earnings Press Release</t>
        </is>
      </c>
      <c r="I39" s="17" t="n"/>
      <c r="J39" s="17" t="n"/>
    </row>
    <row r="40" ht="15" customHeight="1" s="595">
      <c r="A40" s="17" t="n"/>
      <c r="B40" s="17" t="n"/>
      <c r="C40" s="538" t="n">
        <v>43852</v>
      </c>
      <c r="D40" s="539" t="inlineStr">
        <is>
          <t>AK</t>
        </is>
      </c>
      <c r="E40" s="540" t="inlineStr">
        <is>
          <t>Annual (Earnings Report)</t>
        </is>
      </c>
      <c r="F40" s="540" t="inlineStr">
        <is>
          <t>FY2019</t>
        </is>
      </c>
      <c r="G40" s="545" t="n"/>
      <c r="H40" s="544" t="inlineStr">
        <is>
          <t>Earnings Press Release</t>
        </is>
      </c>
      <c r="I40" s="17" t="n"/>
      <c r="J40" s="17" t="n"/>
    </row>
    <row r="41" ht="15" customHeight="1" s="595">
      <c r="A41" s="17" t="n"/>
      <c r="B41" s="17" t="n"/>
      <c r="C41" s="538" t="n">
        <v>43754</v>
      </c>
      <c r="D41" s="539" t="inlineStr">
        <is>
          <t>AW HS</t>
        </is>
      </c>
      <c r="E41" s="540" t="inlineStr">
        <is>
          <t>Quarterly (Earnings Report)</t>
        </is>
      </c>
      <c r="F41" s="540" t="inlineStr">
        <is>
          <t>Q3-2019</t>
        </is>
      </c>
      <c r="G41" s="545" t="n"/>
      <c r="H41" s="544" t="inlineStr">
        <is>
          <t>Earnings Press Release</t>
        </is>
      </c>
      <c r="I41" s="17" t="n"/>
      <c r="J41" s="17" t="n"/>
    </row>
    <row r="42" ht="15" customHeight="1" s="595">
      <c r="A42" s="17" t="n"/>
      <c r="B42" s="17" t="n"/>
      <c r="C42" s="546" t="n">
        <v>43663</v>
      </c>
      <c r="D42" s="547" t="inlineStr">
        <is>
          <t>WC</t>
        </is>
      </c>
      <c r="E42" s="548" t="inlineStr">
        <is>
          <t>Quarterly (Earnings Report)</t>
        </is>
      </c>
      <c r="F42" s="548" t="inlineStr">
        <is>
          <t>Q2-2019</t>
        </is>
      </c>
      <c r="G42" s="549" t="n"/>
      <c r="H42" s="550" t="inlineStr">
        <is>
          <t>Earnings Press Release</t>
        </is>
      </c>
      <c r="I42" s="17" t="n"/>
      <c r="J42" s="17" t="n"/>
    </row>
    <row r="43" ht="15" customHeight="1" s="595">
      <c r="A43" s="17" t="n"/>
      <c r="B43" s="17" t="n"/>
      <c r="C43" s="551" t="n">
        <v>43572</v>
      </c>
      <c r="D43" s="552" t="inlineStr">
        <is>
          <t>AH</t>
        </is>
      </c>
      <c r="E43" s="553" t="inlineStr">
        <is>
          <t>Quarterly (Earnings Report)</t>
        </is>
      </c>
      <c r="F43" s="553" t="inlineStr">
        <is>
          <t>Q1-2019</t>
        </is>
      </c>
      <c r="G43" s="554" t="n"/>
      <c r="H43" s="550" t="inlineStr">
        <is>
          <t>Earnings Press Release</t>
        </is>
      </c>
      <c r="I43" s="17" t="n"/>
      <c r="J43" s="17" t="n"/>
    </row>
    <row r="44" ht="15" customHeight="1" s="595">
      <c r="A44" s="17" t="n"/>
      <c r="B44" s="17" t="n"/>
      <c r="C44" s="551" t="n">
        <v>43488</v>
      </c>
      <c r="D44" s="552" t="inlineStr">
        <is>
          <t>JK</t>
        </is>
      </c>
      <c r="E44" s="553" t="inlineStr">
        <is>
          <t>Annual (Earnings Report)</t>
        </is>
      </c>
      <c r="F44" s="553" t="inlineStr">
        <is>
          <t>FY2018</t>
        </is>
      </c>
      <c r="G44" s="554" t="inlineStr">
        <is>
          <t>PR Update</t>
        </is>
      </c>
      <c r="H44" s="555" t="inlineStr">
        <is>
          <t>Earnings Press Release</t>
        </is>
      </c>
      <c r="I44" s="17" t="n"/>
      <c r="J44" s="17" t="n"/>
    </row>
    <row r="45" ht="15" customHeight="1" s="595">
      <c r="A45" s="17" t="n"/>
      <c r="B45" s="17" t="n"/>
      <c r="C45" s="551" t="n">
        <v>43441</v>
      </c>
      <c r="D45" s="552" t="inlineStr">
        <is>
          <t>RL</t>
        </is>
      </c>
      <c r="E45" s="553" t="inlineStr">
        <is>
          <t>WC Project</t>
        </is>
      </c>
      <c r="F45" s="553" t="inlineStr">
        <is>
          <t>Q3-2018</t>
        </is>
      </c>
      <c r="G45" s="554" t="n"/>
      <c r="H45" s="555" t="n"/>
      <c r="I45" s="17" t="n"/>
      <c r="J45" s="17" t="n"/>
    </row>
    <row r="46" ht="15" customHeight="1" s="595">
      <c r="A46" s="17" t="n"/>
      <c r="B46" s="17" t="n"/>
      <c r="C46" s="551" t="n">
        <v>43390</v>
      </c>
      <c r="D46" s="552" t="inlineStr">
        <is>
          <t>LZ FL</t>
        </is>
      </c>
      <c r="E46" s="553" t="inlineStr">
        <is>
          <t>Quarterly (Earnings Report)</t>
        </is>
      </c>
      <c r="F46" s="553" t="inlineStr">
        <is>
          <t>Q3-2018</t>
        </is>
      </c>
      <c r="G46" s="554" t="n"/>
      <c r="H46" s="555" t="inlineStr">
        <is>
          <t>Earnings Press Release</t>
        </is>
      </c>
      <c r="I46" s="17" t="n"/>
      <c r="J46" s="17" t="n"/>
    </row>
    <row r="47" ht="15" customHeight="1" s="595">
      <c r="A47" s="17" t="n"/>
      <c r="B47" s="17" t="n"/>
      <c r="C47" s="551" t="n">
        <v>43299</v>
      </c>
      <c r="D47" s="552" t="inlineStr">
        <is>
          <t>EN</t>
        </is>
      </c>
      <c r="E47" s="553" t="inlineStr">
        <is>
          <t>Quarterly (Earnings Report)</t>
        </is>
      </c>
      <c r="F47" s="553" t="inlineStr">
        <is>
          <t>Q2-2018</t>
        </is>
      </c>
      <c r="G47" s="554" t="n"/>
      <c r="H47" s="555" t="inlineStr">
        <is>
          <t>Earnings Press Release</t>
        </is>
      </c>
      <c r="I47" s="17" t="n"/>
      <c r="J47" s="17" t="n"/>
    </row>
    <row r="48" ht="15" customHeight="1" s="595">
      <c r="A48" s="17" t="n"/>
      <c r="B48" s="17" t="n"/>
      <c r="C48" s="556" t="n">
        <v>43213</v>
      </c>
      <c r="D48" s="557" t="inlineStr">
        <is>
          <t>AB</t>
        </is>
      </c>
      <c r="E48" s="558" t="inlineStr">
        <is>
          <t>New Build</t>
        </is>
      </c>
      <c r="F48" s="558" t="inlineStr">
        <is>
          <t>Q1-2018</t>
        </is>
      </c>
      <c r="G48" s="541" t="n"/>
      <c r="H48" s="559" t="n"/>
      <c r="I48" s="17" t="n"/>
      <c r="J48" s="17" t="n"/>
    </row>
    <row r="49" ht="15" customHeight="1" s="595">
      <c r="A49" s="17" t="n"/>
      <c r="B49" s="17" t="n"/>
      <c r="C49" s="17" t="n"/>
      <c r="D49" s="17" t="n"/>
      <c r="E49" s="17" t="n"/>
      <c r="F49" s="17" t="n"/>
      <c r="G49" s="17" t="n"/>
      <c r="H49" s="17" t="n"/>
      <c r="I49" s="17" t="n"/>
      <c r="J49" s="17" t="n"/>
    </row>
    <row r="50" ht="15" customHeight="1" s="595">
      <c r="A50" s="17" t="n"/>
      <c r="B50" s="17" t="n"/>
      <c r="C50" s="17" t="n"/>
      <c r="D50" s="17" t="n"/>
      <c r="E50" s="17" t="n"/>
      <c r="F50" s="17" t="n"/>
      <c r="G50" s="17" t="n"/>
      <c r="H50" s="17" t="n"/>
      <c r="I50" s="17" t="n"/>
      <c r="J50" s="17" t="n"/>
    </row>
    <row r="51" ht="15" customHeight="1" s="595">
      <c r="A51" s="17" t="n"/>
      <c r="B51" s="17" t="n"/>
      <c r="C51" s="17" t="n"/>
      <c r="D51" s="17" t="n"/>
      <c r="E51" s="17" t="n"/>
      <c r="F51" s="17" t="n"/>
      <c r="G51" s="17" t="n"/>
      <c r="H51" s="17" t="n"/>
      <c r="I51" s="17" t="n"/>
      <c r="J51" s="17" t="n"/>
    </row>
    <row r="52" ht="15" customHeight="1" s="595">
      <c r="A52" s="17" t="n"/>
      <c r="B52" s="17" t="n"/>
      <c r="C52" s="17" t="n"/>
      <c r="D52" s="17" t="n"/>
      <c r="E52" s="17" t="n"/>
      <c r="F52" s="17" t="n"/>
      <c r="G52" s="17" t="n"/>
      <c r="H52" s="17" t="n"/>
      <c r="I52" s="17" t="n"/>
      <c r="J52" s="17" t="n"/>
    </row>
    <row r="53" ht="15" customHeight="1" s="595">
      <c r="A53" s="17" t="n"/>
      <c r="B53" s="17" t="n"/>
      <c r="C53" s="17" t="n"/>
      <c r="D53" s="17" t="n"/>
      <c r="E53" s="17" t="n"/>
      <c r="F53" s="17" t="n"/>
      <c r="G53" s="17" t="n"/>
      <c r="H53" s="17" t="n"/>
      <c r="I53" s="17" t="n"/>
      <c r="J53" s="17" t="n"/>
    </row>
    <row r="54" ht="15" customHeight="1" s="595">
      <c r="A54" s="17" t="n"/>
      <c r="B54" s="17" t="n"/>
      <c r="C54" s="17" t="n"/>
      <c r="D54" s="17" t="n"/>
      <c r="E54" s="17" t="n"/>
      <c r="F54" s="17" t="n"/>
      <c r="G54" s="17" t="n"/>
      <c r="H54" s="17" t="n"/>
      <c r="I54" s="17" t="n"/>
      <c r="J54" s="17" t="n"/>
    </row>
    <row r="55" ht="15" customHeight="1" s="595">
      <c r="A55" s="17" t="n"/>
      <c r="B55" s="17" t="n"/>
      <c r="C55" s="17" t="n"/>
      <c r="D55" s="17" t="n"/>
      <c r="E55" s="17" t="n"/>
      <c r="F55" s="17" t="n"/>
      <c r="G55" s="17" t="n"/>
      <c r="H55" s="17" t="n"/>
      <c r="I55" s="17" t="n"/>
      <c r="J55" s="17" t="n"/>
    </row>
    <row r="56" ht="15" customHeight="1" s="595">
      <c r="A56" s="17" t="n"/>
      <c r="B56" s="17" t="n"/>
      <c r="C56" s="17" t="n"/>
      <c r="D56" s="17" t="n"/>
      <c r="E56" s="17" t="n"/>
      <c r="F56" s="17" t="n"/>
      <c r="G56" s="17" t="n"/>
      <c r="H56" s="17" t="n"/>
      <c r="I56" s="17" t="n"/>
      <c r="J56" s="17" t="n"/>
    </row>
    <row r="57" ht="15" customHeight="1" s="595">
      <c r="A57" s="17" t="n"/>
      <c r="B57" s="17" t="n"/>
      <c r="C57" s="17" t="n"/>
      <c r="D57" s="17" t="n"/>
      <c r="E57" s="17" t="n"/>
      <c r="F57" s="17" t="n"/>
      <c r="G57" s="17" t="n"/>
      <c r="H57" s="17" t="n"/>
      <c r="I57" s="17" t="n"/>
      <c r="J57" s="17" t="n"/>
    </row>
    <row r="58" ht="15" customHeight="1" s="595">
      <c r="A58" s="17" t="n"/>
      <c r="B58" s="17" t="n"/>
      <c r="C58" s="17" t="n"/>
      <c r="D58" s="17" t="n"/>
      <c r="E58" s="17" t="n"/>
      <c r="F58" s="17" t="n"/>
      <c r="G58" s="17" t="n"/>
      <c r="H58" s="17" t="n"/>
      <c r="I58" s="17" t="n"/>
      <c r="J58" s="17" t="n"/>
    </row>
    <row r="59" ht="15" customHeight="1" s="595">
      <c r="A59" s="17" t="n"/>
      <c r="B59" s="17" t="n"/>
      <c r="C59" s="17" t="n"/>
      <c r="D59" s="17" t="n"/>
      <c r="E59" s="17" t="n"/>
      <c r="F59" s="17" t="n"/>
      <c r="G59" s="17" t="n"/>
      <c r="H59" s="17" t="n"/>
      <c r="I59" s="17" t="n"/>
      <c r="J59" s="17" t="n"/>
    </row>
    <row r="60" ht="15" customHeight="1" s="595">
      <c r="A60" s="17" t="n"/>
      <c r="B60" s="17" t="n"/>
      <c r="C60" s="17" t="n"/>
      <c r="D60" s="17" t="n"/>
      <c r="E60" s="17" t="n"/>
      <c r="F60" s="17" t="n"/>
      <c r="G60" s="17" t="n"/>
      <c r="H60" s="17" t="n"/>
      <c r="I60" s="17" t="n"/>
      <c r="J60" s="17" t="n"/>
    </row>
    <row r="61" ht="15" customHeight="1" s="595">
      <c r="A61" s="17" t="n"/>
      <c r="B61" s="17" t="n"/>
      <c r="C61" s="17" t="n"/>
      <c r="D61" s="17" t="n"/>
      <c r="E61" s="17" t="n"/>
      <c r="F61" s="17" t="n"/>
      <c r="G61" s="17" t="n"/>
      <c r="H61" s="17" t="n"/>
      <c r="I61" s="17" t="n"/>
      <c r="J61" s="17" t="n"/>
    </row>
    <row r="62" ht="15" customHeight="1" s="595">
      <c r="A62" s="17" t="n"/>
      <c r="B62" s="17" t="n"/>
      <c r="C62" s="17" t="n"/>
      <c r="D62" s="17" t="n"/>
      <c r="E62" s="17" t="n"/>
      <c r="F62" s="17" t="n"/>
      <c r="G62" s="17" t="n"/>
      <c r="H62" s="17" t="n"/>
      <c r="I62" s="17" t="n"/>
      <c r="J62" s="17" t="n"/>
    </row>
    <row r="63" ht="15" customHeight="1" s="595">
      <c r="A63" s="17" t="n"/>
      <c r="B63" s="17" t="n"/>
      <c r="C63" s="17" t="n"/>
      <c r="D63" s="17" t="n"/>
      <c r="E63" s="17" t="n"/>
      <c r="F63" s="17" t="n"/>
      <c r="G63" s="17" t="n"/>
      <c r="H63" s="17" t="n"/>
      <c r="I63" s="17" t="n"/>
      <c r="J63" s="17" t="n"/>
    </row>
    <row r="64" ht="15" customHeight="1" s="595">
      <c r="A64" s="17" t="n"/>
      <c r="B64" s="17" t="n"/>
      <c r="C64" s="17" t="n"/>
      <c r="D64" s="17" t="n"/>
      <c r="E64" s="17" t="n"/>
      <c r="F64" s="17" t="n"/>
      <c r="G64" s="17" t="n"/>
      <c r="H64" s="17" t="n"/>
      <c r="I64" s="17" t="n"/>
      <c r="J64" s="17" t="n"/>
    </row>
    <row r="65" ht="15" customHeight="1" s="595">
      <c r="A65" s="17" t="n"/>
      <c r="B65" s="17" t="n"/>
      <c r="C65" s="17" t="n"/>
      <c r="D65" s="17" t="n"/>
      <c r="E65" s="17" t="n"/>
      <c r="F65" s="17" t="n"/>
      <c r="G65" s="17" t="n"/>
      <c r="H65" s="17" t="n"/>
      <c r="I65" s="17" t="n"/>
      <c r="J65" s="17" t="n"/>
    </row>
    <row r="66" ht="15" customHeight="1" s="595">
      <c r="A66" s="17" t="n"/>
      <c r="B66" s="17" t="n"/>
      <c r="C66" s="17" t="n"/>
      <c r="D66" s="17" t="n"/>
      <c r="E66" s="17" t="n"/>
      <c r="F66" s="17" t="n"/>
      <c r="G66" s="17" t="n"/>
      <c r="H66" s="17" t="n"/>
      <c r="I66" s="17" t="n"/>
      <c r="J66" s="17" t="n"/>
    </row>
    <row r="67" ht="15" customHeight="1" s="595">
      <c r="A67" s="17" t="n"/>
      <c r="B67" s="17" t="n"/>
      <c r="C67" s="17" t="n"/>
      <c r="D67" s="17" t="n"/>
      <c r="E67" s="17" t="n"/>
      <c r="F67" s="17" t="n"/>
      <c r="G67" s="17" t="n"/>
      <c r="H67" s="17" t="n"/>
      <c r="I67" s="17" t="n"/>
      <c r="J67" s="17" t="n"/>
    </row>
    <row r="68" ht="15" customHeight="1" s="595">
      <c r="A68" s="17" t="n"/>
      <c r="B68" s="17" t="n"/>
      <c r="C68" s="17" t="n"/>
      <c r="D68" s="17" t="n"/>
      <c r="E68" s="17" t="n"/>
      <c r="F68" s="17" t="n"/>
      <c r="G68" s="17" t="n"/>
      <c r="H68" s="17" t="n"/>
      <c r="I68" s="17" t="n"/>
      <c r="J68" s="17" t="n"/>
    </row>
    <row r="69" ht="15" customHeight="1" s="595">
      <c r="A69" s="17" t="n"/>
      <c r="B69" s="17" t="n"/>
      <c r="C69" s="17" t="n"/>
      <c r="D69" s="17" t="n"/>
      <c r="E69" s="17" t="n"/>
      <c r="F69" s="17" t="n"/>
      <c r="G69" s="17" t="n"/>
      <c r="H69" s="17" t="n"/>
      <c r="I69" s="17" t="n"/>
      <c r="J69" s="17" t="n"/>
    </row>
    <row r="70" ht="15" customHeight="1" s="595">
      <c r="A70" s="17" t="n"/>
      <c r="B70" s="17" t="n"/>
      <c r="C70" s="17" t="n"/>
      <c r="D70" s="17" t="n"/>
      <c r="E70" s="17" t="n"/>
      <c r="F70" s="17" t="n"/>
      <c r="G70" s="17" t="n"/>
      <c r="H70" s="17" t="n"/>
      <c r="I70" s="17" t="n"/>
      <c r="J70" s="17" t="n"/>
    </row>
    <row r="71" ht="15" customHeight="1" s="595">
      <c r="A71" s="17" t="n"/>
      <c r="B71" s="17" t="n"/>
      <c r="C71" s="17" t="n"/>
      <c r="D71" s="17" t="n"/>
      <c r="E71" s="17" t="n"/>
      <c r="F71" s="17" t="n"/>
      <c r="G71" s="17" t="n"/>
      <c r="H71" s="17" t="n"/>
      <c r="I71" s="17" t="n"/>
      <c r="J71" s="17" t="n"/>
    </row>
    <row r="72" ht="15" customHeight="1" s="595">
      <c r="A72" s="17" t="n"/>
      <c r="B72" s="17" t="n"/>
      <c r="C72" s="17" t="n"/>
      <c r="D72" s="17" t="n"/>
      <c r="E72" s="17" t="n"/>
      <c r="F72" s="17" t="n"/>
      <c r="G72" s="17" t="n"/>
      <c r="H72" s="17" t="n"/>
      <c r="I72" s="17" t="n"/>
      <c r="J72" s="17" t="n"/>
    </row>
  </sheetData>
  <hyperlinks>
    <hyperlink xmlns:r="http://schemas.openxmlformats.org/officeDocument/2006/relationships" ref="H11" tooltip="Website Link" display="Earnings Press Release" r:id="rId1"/>
    <hyperlink xmlns:r="http://schemas.openxmlformats.org/officeDocument/2006/relationships" ref="H12" tooltip="Website Link" display="Earnings Press Release" r:id="rId2"/>
    <hyperlink xmlns:r="http://schemas.openxmlformats.org/officeDocument/2006/relationships" ref="H13" tooltip="Website Link" display="Earnings Press Release" r:id="rId3"/>
    <hyperlink xmlns:r="http://schemas.openxmlformats.org/officeDocument/2006/relationships" ref="H14" tooltip="Website Link" display="Earnings Press Release" r:id="rId4"/>
    <hyperlink xmlns:r="http://schemas.openxmlformats.org/officeDocument/2006/relationships" ref="H15" tooltip="Website Link" display="Earnings Press Release" r:id="rId5"/>
    <hyperlink xmlns:r="http://schemas.openxmlformats.org/officeDocument/2006/relationships" ref="H16" tooltip="Website Link" display="Earnings Press Release" r:id="rId6"/>
    <hyperlink xmlns:r="http://schemas.openxmlformats.org/officeDocument/2006/relationships" ref="H17" tooltip="Website Link" display="Earnings Press Release" r:id="rId7"/>
    <hyperlink xmlns:r="http://schemas.openxmlformats.org/officeDocument/2006/relationships" ref="H18" tooltip="Website Link" display="Earnings Press Release" r:id="rId8"/>
    <hyperlink xmlns:r="http://schemas.openxmlformats.org/officeDocument/2006/relationships" ref="H19" tooltip="Website Link" display="Earnings Press Release" r:id="rId9"/>
    <hyperlink xmlns:r="http://schemas.openxmlformats.org/officeDocument/2006/relationships" ref="H20" tooltip="Website Link" display="Earnings Press Release" r:id="rId10"/>
    <hyperlink xmlns:r="http://schemas.openxmlformats.org/officeDocument/2006/relationships" ref="H21" tooltip="Website Link" display="Earnings Press Release" r:id="rId11"/>
    <hyperlink xmlns:r="http://schemas.openxmlformats.org/officeDocument/2006/relationships" ref="H22" tooltip="Website Link" display="Earnings Press Release" r:id="rId12"/>
    <hyperlink xmlns:r="http://schemas.openxmlformats.org/officeDocument/2006/relationships" ref="H23" tooltip="Website Link" display="Earnings Press Release" r:id="rId13"/>
    <hyperlink xmlns:r="http://schemas.openxmlformats.org/officeDocument/2006/relationships" ref="H24" tooltip="Website Link" display="Earnings Press Release" r:id="rId14"/>
    <hyperlink xmlns:r="http://schemas.openxmlformats.org/officeDocument/2006/relationships" ref="H25" tooltip="Website Link" display="Earnings Press Release" r:id="rId15"/>
    <hyperlink xmlns:r="http://schemas.openxmlformats.org/officeDocument/2006/relationships" ref="H26" tooltip="Website Link" display="Earnings Press Release" r:id="rId16"/>
    <hyperlink xmlns:r="http://schemas.openxmlformats.org/officeDocument/2006/relationships" ref="H27" tooltip="Website Link" display="Earnings Press Release" r:id="rId17"/>
    <hyperlink xmlns:r="http://schemas.openxmlformats.org/officeDocument/2006/relationships" ref="H28" tooltip="Website Link" display="Earnings Press Release" r:id="rId18"/>
    <hyperlink xmlns:r="http://schemas.openxmlformats.org/officeDocument/2006/relationships" ref="H29" tooltip="Website Link" display="Earnings Press Release" r:id="rId19"/>
    <hyperlink xmlns:r="http://schemas.openxmlformats.org/officeDocument/2006/relationships" ref="H30" tooltip="Website Link" display="Earnings Press Release" r:id="rId20"/>
    <hyperlink xmlns:r="http://schemas.openxmlformats.org/officeDocument/2006/relationships" ref="H31" tooltip="Website Link" display="Earnings Press Release" r:id="rId21"/>
    <hyperlink xmlns:r="http://schemas.openxmlformats.org/officeDocument/2006/relationships" ref="H32" tooltip="Website Link" display="Earnings Press Release" r:id="rId22"/>
    <hyperlink xmlns:r="http://schemas.openxmlformats.org/officeDocument/2006/relationships" ref="H33" tooltip="Website Link" display="Earnings Press Release" r:id="rId23"/>
    <hyperlink xmlns:r="http://schemas.openxmlformats.org/officeDocument/2006/relationships" ref="H34" tooltip="Website Link" display="Earnings Press Release" r:id="rId24"/>
    <hyperlink xmlns:r="http://schemas.openxmlformats.org/officeDocument/2006/relationships" ref="H35" tooltip="Website Link" display="Earnings Press Release" r:id="rId25"/>
    <hyperlink xmlns:r="http://schemas.openxmlformats.org/officeDocument/2006/relationships" ref="H36" tooltip="Website Link" display="Earnings Press Release" r:id="rId26"/>
    <hyperlink xmlns:r="http://schemas.openxmlformats.org/officeDocument/2006/relationships" ref="H37" tooltip="Website Link" display="Earnings Press Release" r:id="rId27"/>
    <hyperlink xmlns:r="http://schemas.openxmlformats.org/officeDocument/2006/relationships" ref="H38" tooltip="Website Link" display="Earnings Press Release" r:id="rId28"/>
    <hyperlink xmlns:r="http://schemas.openxmlformats.org/officeDocument/2006/relationships" ref="H39" display="Earnings Press Release" r:id="rId29"/>
    <hyperlink xmlns:r="http://schemas.openxmlformats.org/officeDocument/2006/relationships" ref="H40" tooltip="Website Link" display="Earnings Press Release" r:id="rId30"/>
    <hyperlink xmlns:r="http://schemas.openxmlformats.org/officeDocument/2006/relationships" ref="H41" tooltip="Website Link" display="Earnings Press Release" r:id="rId31"/>
    <hyperlink xmlns:r="http://schemas.openxmlformats.org/officeDocument/2006/relationships" ref="H42" tooltip="Website Link" display="Earnings Press Release" r:id="rId32"/>
    <hyperlink xmlns:r="http://schemas.openxmlformats.org/officeDocument/2006/relationships" ref="H43" display="Earnings Press Release" r:id="rId33"/>
    <hyperlink xmlns:r="http://schemas.openxmlformats.org/officeDocument/2006/relationships" ref="H44" display="Earnings Press Release" r:id="rId34"/>
    <hyperlink xmlns:r="http://schemas.openxmlformats.org/officeDocument/2006/relationships" ref="H46" display="Earnings Press Release" r:id="rId35"/>
    <hyperlink xmlns:r="http://schemas.openxmlformats.org/officeDocument/2006/relationships" ref="H47" display="Earnings Press Release" r:id="rId36"/>
  </hyperlinks>
  <pageMargins left="0.7" right="0.7" top="0.75" bottom="0.75" header="0.3" footer="0.3"/>
  <pageSetup orientation="portrait" paperSize="1"/>
  <drawing xmlns:r="http://schemas.openxmlformats.org/officeDocument/2006/relationships" r:id="rId3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Canalyst</dc:creator>
  <dcterms:created xmlns:dcterms="http://purl.org/dc/terms/" xmlns:xsi="http://www.w3.org/2001/XMLSchema-instance" xsi:type="dcterms:W3CDTF">2016-04-22T21:21:10Z</dcterms:created>
  <dcterms:modified xmlns:dcterms="http://purl.org/dc/terms/" xmlns:xsi="http://www.w3.org/2001/XMLSchema-instance" xsi:type="dcterms:W3CDTF">2026-02-18T04:58:17Z</dcterms:modified>
  <cp:lastModifiedBy>Tegus (ALT)</cp:lastModifiedBy>
  <cp:lastPrinted>2023-04-17T22:37:55Z</cp:lastPrinted>
</cp:coreProperties>
</file>